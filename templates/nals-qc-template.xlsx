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https://gounbc.sharepoint.com/sites/NALS/Shared Documents/General/NALS Internal/Records/2026 Projects/2026NALS02621 RW/ICPOES/"/>
    </mc:Choice>
  </mc:AlternateContent>
  <xr:revisionPtr revIDLastSave="23" documentId="8_{2884117A-0B41-4626-A4E4-59B2360DAC15}" xr6:coauthVersionLast="47" xr6:coauthVersionMax="47" xr10:uidLastSave="{12DD3FE4-8613-4FD6-95A5-5052C5E325CE}"/>
  <bookViews>
    <workbookView xWindow="-120" yWindow="-120" windowWidth="29040" windowHeight="15720" tabRatio="816" activeTab="1" xr2:uid="{00000000-000D-0000-FFFF-FFFF00000000}"/>
  </bookViews>
  <sheets>
    <sheet name="BATCH" sheetId="1" r:id="rId1"/>
    <sheet name="SUMMARY TABLE" sheetId="11" r:id="rId2"/>
    <sheet name="INSTRUCTIONS" sheetId="7" r:id="rId3"/>
    <sheet name="CODES" sheetId="13" r:id="rId4"/>
    <sheet name="TRACKED CHANGES" sheetId="16" r:id="rId5"/>
    <sheet name="BATCH VERIFICATION" sheetId="17" r:id="rId6"/>
    <sheet name="SUMMARY TABLE VERIFICATION" sheetId="18" r:id="rId7"/>
  </sheets>
  <definedNames>
    <definedName name="Slicer_Total_Metals">#N/A</definedName>
  </definedNames>
  <calcPr calcId="191028" fullCalcOn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 i="1" l="1"/>
  <c r="B116" i="18" l="1"/>
  <c r="B115" i="18"/>
  <c r="B114" i="18"/>
  <c r="B113" i="18"/>
  <c r="B112" i="18"/>
  <c r="B111" i="18"/>
  <c r="B110" i="18"/>
  <c r="B109" i="18"/>
  <c r="B108" i="18"/>
  <c r="B107" i="18"/>
  <c r="B106" i="18"/>
  <c r="B105" i="18"/>
  <c r="B104" i="18"/>
  <c r="B103" i="18"/>
  <c r="B102" i="18"/>
  <c r="B101" i="18"/>
  <c r="B100" i="18"/>
  <c r="B99" i="18"/>
  <c r="B98" i="18"/>
  <c r="B97" i="18"/>
  <c r="B96" i="18"/>
  <c r="B95" i="18"/>
  <c r="B94" i="18"/>
  <c r="B93" i="18"/>
  <c r="B92" i="18"/>
  <c r="B91" i="18"/>
  <c r="B90" i="18"/>
  <c r="B89" i="18"/>
  <c r="B88" i="18"/>
  <c r="B87" i="18"/>
  <c r="B86" i="18"/>
  <c r="B85" i="18"/>
  <c r="B84" i="18"/>
  <c r="B83" i="18"/>
  <c r="B82" i="18"/>
  <c r="B81" i="18"/>
  <c r="B80" i="18"/>
  <c r="B79" i="18"/>
  <c r="B78" i="18"/>
  <c r="B77" i="18"/>
  <c r="B76" i="18"/>
  <c r="B75" i="18"/>
  <c r="B74" i="18"/>
  <c r="B73" i="18"/>
  <c r="B72" i="18"/>
  <c r="B71" i="18"/>
  <c r="B70" i="18"/>
  <c r="B69" i="18"/>
  <c r="B68" i="18"/>
  <c r="B67" i="18"/>
  <c r="B66" i="18"/>
  <c r="B65" i="18"/>
  <c r="B64" i="18"/>
  <c r="C60" i="18"/>
  <c r="C116" i="18" s="1"/>
  <c r="C59" i="18"/>
  <c r="C115" i="18" s="1"/>
  <c r="C58" i="18"/>
  <c r="C114" i="18" s="1"/>
  <c r="C57" i="18"/>
  <c r="C113" i="18" s="1"/>
  <c r="C56" i="18"/>
  <c r="C112" i="18" s="1"/>
  <c r="C55" i="18"/>
  <c r="C111" i="18" s="1"/>
  <c r="C54" i="18"/>
  <c r="C110" i="18" s="1"/>
  <c r="C53" i="18"/>
  <c r="C109" i="18" s="1"/>
  <c r="C52" i="18"/>
  <c r="C108" i="18" s="1"/>
  <c r="C51" i="18"/>
  <c r="C107" i="18" s="1"/>
  <c r="C50" i="18"/>
  <c r="C106" i="18" s="1"/>
  <c r="C49" i="18"/>
  <c r="C105" i="18" s="1"/>
  <c r="C48" i="18"/>
  <c r="C104" i="18" s="1"/>
  <c r="C47" i="18"/>
  <c r="C103" i="18" s="1"/>
  <c r="C46" i="18"/>
  <c r="C102" i="18" s="1"/>
  <c r="C45" i="18"/>
  <c r="C101" i="18" s="1"/>
  <c r="C44" i="18"/>
  <c r="C100" i="18" s="1"/>
  <c r="C43" i="18"/>
  <c r="C99" i="18" s="1"/>
  <c r="C42" i="18"/>
  <c r="C98" i="18" s="1"/>
  <c r="C41" i="18"/>
  <c r="C97" i="18" s="1"/>
  <c r="C40" i="18"/>
  <c r="C96" i="18" s="1"/>
  <c r="C39" i="18"/>
  <c r="C95" i="18" s="1"/>
  <c r="C38" i="18"/>
  <c r="C94" i="18" s="1"/>
  <c r="C37" i="18"/>
  <c r="C93" i="18" s="1"/>
  <c r="C36" i="18"/>
  <c r="C92" i="18" s="1"/>
  <c r="C35" i="18"/>
  <c r="C91" i="18" s="1"/>
  <c r="C34" i="18"/>
  <c r="C90" i="18" s="1"/>
  <c r="C33" i="18"/>
  <c r="C89" i="18" s="1"/>
  <c r="C32" i="18"/>
  <c r="C88" i="18" s="1"/>
  <c r="C31" i="18"/>
  <c r="C87" i="18" s="1"/>
  <c r="C30" i="18"/>
  <c r="C86" i="18" s="1"/>
  <c r="C29" i="18"/>
  <c r="C85" i="18" s="1"/>
  <c r="C28" i="18"/>
  <c r="C84" i="18" s="1"/>
  <c r="C27" i="18"/>
  <c r="C83" i="18" s="1"/>
  <c r="C26" i="18"/>
  <c r="C82" i="18" s="1"/>
  <c r="C25" i="18"/>
  <c r="C81" i="18" s="1"/>
  <c r="C24" i="18"/>
  <c r="C80" i="18" s="1"/>
  <c r="C23" i="18"/>
  <c r="C79" i="18" s="1"/>
  <c r="C22" i="18"/>
  <c r="C78" i="18" s="1"/>
  <c r="C21" i="18"/>
  <c r="C77" i="18" s="1"/>
  <c r="C20" i="18"/>
  <c r="C76" i="18" s="1"/>
  <c r="C19" i="18"/>
  <c r="C75" i="18" s="1"/>
  <c r="C18" i="18"/>
  <c r="C74" i="18" s="1"/>
  <c r="C17" i="18"/>
  <c r="C73" i="18" s="1"/>
  <c r="C16" i="18"/>
  <c r="C72" i="18" s="1"/>
  <c r="C15" i="18"/>
  <c r="C71" i="18" s="1"/>
  <c r="C14" i="18"/>
  <c r="C70" i="18" s="1"/>
  <c r="C13" i="18"/>
  <c r="C69" i="18" s="1"/>
  <c r="C12" i="18"/>
  <c r="C68" i="18" s="1"/>
  <c r="C11" i="18"/>
  <c r="C67" i="18" s="1"/>
  <c r="C10" i="18"/>
  <c r="C66" i="18" s="1"/>
  <c r="C9" i="18"/>
  <c r="C65" i="18" s="1"/>
  <c r="C8" i="18"/>
  <c r="C64" i="18" s="1"/>
  <c r="D7" i="18" a="1"/>
  <c r="D7" i="18" s="1"/>
  <c r="B5" i="18"/>
  <c r="A3" i="18"/>
  <c r="B113" i="17"/>
  <c r="A113" i="17"/>
  <c r="B112" i="17"/>
  <c r="A112" i="17"/>
  <c r="B111" i="17"/>
  <c r="A111" i="17"/>
  <c r="B110" i="17"/>
  <c r="A110" i="17"/>
  <c r="B109" i="17"/>
  <c r="A109" i="17"/>
  <c r="B108" i="17"/>
  <c r="A108" i="17"/>
  <c r="B107" i="17"/>
  <c r="A107" i="17"/>
  <c r="B106" i="17"/>
  <c r="A106" i="17"/>
  <c r="B105" i="17"/>
  <c r="A105" i="17"/>
  <c r="B104" i="17"/>
  <c r="A104" i="17"/>
  <c r="B103" i="17"/>
  <c r="A103" i="17"/>
  <c r="B102" i="17"/>
  <c r="A102" i="17"/>
  <c r="B101" i="17"/>
  <c r="A101" i="17"/>
  <c r="B100" i="17"/>
  <c r="A100" i="17"/>
  <c r="B99" i="17"/>
  <c r="A99" i="17"/>
  <c r="B98" i="17"/>
  <c r="A98" i="17"/>
  <c r="B97" i="17"/>
  <c r="A97" i="17"/>
  <c r="B96" i="17"/>
  <c r="A96" i="17"/>
  <c r="DI95" i="17"/>
  <c r="DH95" i="17"/>
  <c r="DG95" i="17"/>
  <c r="DF95" i="17"/>
  <c r="DE95" i="17"/>
  <c r="DD95" i="17"/>
  <c r="DC95" i="17"/>
  <c r="DB95" i="17"/>
  <c r="DA95" i="17"/>
  <c r="CZ95" i="17"/>
  <c r="CY95" i="17"/>
  <c r="CX95" i="17"/>
  <c r="CW95" i="17"/>
  <c r="CV95" i="17"/>
  <c r="CU95" i="17"/>
  <c r="CT95" i="17"/>
  <c r="CS95" i="17"/>
  <c r="CR95" i="17"/>
  <c r="CQ95" i="17"/>
  <c r="CP95" i="17"/>
  <c r="CO95" i="17"/>
  <c r="CN95" i="17"/>
  <c r="CM95" i="17"/>
  <c r="CL95" i="17"/>
  <c r="CK95" i="17"/>
  <c r="CJ95" i="17"/>
  <c r="CI95" i="17"/>
  <c r="CH95" i="17"/>
  <c r="CG95" i="17"/>
  <c r="CF95" i="17"/>
  <c r="CE95" i="17"/>
  <c r="CD95" i="17"/>
  <c r="CC95" i="17"/>
  <c r="CB95" i="17"/>
  <c r="CA95" i="17"/>
  <c r="BZ95" i="17"/>
  <c r="BY95" i="17"/>
  <c r="BX95" i="17"/>
  <c r="BW95" i="17"/>
  <c r="BV95" i="17"/>
  <c r="BU95" i="17"/>
  <c r="BT95" i="17"/>
  <c r="BS95" i="17"/>
  <c r="BR95" i="17"/>
  <c r="BQ95" i="17"/>
  <c r="BP95" i="17"/>
  <c r="BO95" i="17"/>
  <c r="BN95" i="17"/>
  <c r="BM95" i="17"/>
  <c r="BL95" i="17"/>
  <c r="BK95" i="17"/>
  <c r="BJ95" i="17"/>
  <c r="BI95" i="17"/>
  <c r="BH95" i="17"/>
  <c r="BG95" i="17"/>
  <c r="BF95" i="17"/>
  <c r="BE95" i="17"/>
  <c r="BD95" i="17"/>
  <c r="BC95" i="17"/>
  <c r="BB95" i="17"/>
  <c r="BA95" i="17"/>
  <c r="AZ95" i="17"/>
  <c r="AY95" i="17"/>
  <c r="AX95" i="17"/>
  <c r="AW95" i="17"/>
  <c r="AV95" i="17"/>
  <c r="AU95" i="17"/>
  <c r="AT95" i="17"/>
  <c r="AS95" i="17"/>
  <c r="AR95" i="17"/>
  <c r="AQ95" i="17"/>
  <c r="AP95" i="17"/>
  <c r="AO95" i="17"/>
  <c r="AN95" i="17"/>
  <c r="AM95" i="17"/>
  <c r="AL95" i="17"/>
  <c r="AK95" i="17"/>
  <c r="AJ95" i="17"/>
  <c r="AI95" i="17"/>
  <c r="AH95" i="17"/>
  <c r="AG95" i="17"/>
  <c r="AF95" i="17"/>
  <c r="AE95" i="17"/>
  <c r="AD95" i="17"/>
  <c r="AC95" i="17"/>
  <c r="AB95" i="17"/>
  <c r="AA95" i="17"/>
  <c r="Z95" i="17"/>
  <c r="Y95" i="17"/>
  <c r="X95" i="17"/>
  <c r="W95" i="17"/>
  <c r="V95" i="17"/>
  <c r="U95" i="17"/>
  <c r="T95" i="17"/>
  <c r="S95" i="17"/>
  <c r="R95" i="17"/>
  <c r="Q95" i="17"/>
  <c r="P95" i="17"/>
  <c r="O95" i="17"/>
  <c r="N95" i="17"/>
  <c r="M95" i="17"/>
  <c r="L95" i="17"/>
  <c r="K95" i="17"/>
  <c r="J95" i="17"/>
  <c r="I95" i="17"/>
  <c r="H95" i="17"/>
  <c r="G95" i="17"/>
  <c r="F95" i="17"/>
  <c r="E95" i="17"/>
  <c r="D95" i="17"/>
  <c r="C95" i="17"/>
  <c r="DI94" i="17"/>
  <c r="DH94" i="17"/>
  <c r="DG94" i="17"/>
  <c r="DF94" i="17"/>
  <c r="DE94" i="17"/>
  <c r="DD94" i="17"/>
  <c r="DC94" i="17"/>
  <c r="DB94" i="17"/>
  <c r="DA94" i="17"/>
  <c r="CZ94" i="17"/>
  <c r="CY94" i="17"/>
  <c r="CX94" i="17"/>
  <c r="CW94" i="17"/>
  <c r="CV94" i="17"/>
  <c r="CU94" i="17"/>
  <c r="CT94" i="17"/>
  <c r="CS94" i="17"/>
  <c r="CR94" i="17"/>
  <c r="CQ94" i="17"/>
  <c r="CP94" i="17"/>
  <c r="CO94" i="17"/>
  <c r="CN94" i="17"/>
  <c r="CM94" i="17"/>
  <c r="CL94" i="17"/>
  <c r="CK94" i="17"/>
  <c r="CJ94" i="17"/>
  <c r="CI94" i="17"/>
  <c r="CH94" i="17"/>
  <c r="CG94" i="17"/>
  <c r="CF94" i="17"/>
  <c r="CE94" i="17"/>
  <c r="CD94" i="17"/>
  <c r="CC94" i="17"/>
  <c r="CB94" i="17"/>
  <c r="CA94" i="17"/>
  <c r="BZ94" i="17"/>
  <c r="BY94" i="17"/>
  <c r="BX94" i="17"/>
  <c r="BW94" i="17"/>
  <c r="BV94" i="17"/>
  <c r="BU94" i="17"/>
  <c r="BT94" i="17"/>
  <c r="BS94" i="17"/>
  <c r="BR94" i="17"/>
  <c r="BQ94" i="17"/>
  <c r="BP94" i="17"/>
  <c r="BO94" i="17"/>
  <c r="BN94" i="17"/>
  <c r="BM94" i="17"/>
  <c r="BL94" i="17"/>
  <c r="BK94" i="17"/>
  <c r="BJ94" i="17"/>
  <c r="BI94" i="17"/>
  <c r="BH94" i="17"/>
  <c r="BG94" i="17"/>
  <c r="BF94" i="17"/>
  <c r="BE94" i="17"/>
  <c r="BD94" i="17"/>
  <c r="BC94" i="17"/>
  <c r="BB94" i="17"/>
  <c r="BA94" i="17"/>
  <c r="AZ94" i="17"/>
  <c r="AY94" i="17"/>
  <c r="AX94" i="17"/>
  <c r="AW94" i="17"/>
  <c r="AV94" i="17"/>
  <c r="AU94" i="17"/>
  <c r="AT94" i="17"/>
  <c r="AS94" i="17"/>
  <c r="AR94" i="17"/>
  <c r="AQ94" i="17"/>
  <c r="AP94" i="17"/>
  <c r="AO94" i="17"/>
  <c r="AN94" i="17"/>
  <c r="AM94" i="17"/>
  <c r="AL94" i="17"/>
  <c r="AK94" i="17"/>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K94" i="17"/>
  <c r="J94" i="17"/>
  <c r="I94" i="17"/>
  <c r="H94" i="17"/>
  <c r="G94" i="17"/>
  <c r="F94" i="17"/>
  <c r="E94" i="17"/>
  <c r="D94" i="17"/>
  <c r="C94" i="17"/>
  <c r="B90" i="17"/>
  <c r="A90" i="17"/>
  <c r="B89" i="17"/>
  <c r="A89" i="17"/>
  <c r="B88" i="17"/>
  <c r="A88" i="17"/>
  <c r="B87" i="17"/>
  <c r="A87" i="17"/>
  <c r="B86" i="17"/>
  <c r="A86" i="17"/>
  <c r="B85" i="17"/>
  <c r="A85" i="17"/>
  <c r="B84" i="17"/>
  <c r="A84" i="17"/>
  <c r="B83" i="17"/>
  <c r="A83" i="17"/>
  <c r="B82" i="17"/>
  <c r="A82" i="17"/>
  <c r="B81" i="17"/>
  <c r="A81" i="17"/>
  <c r="B80" i="17"/>
  <c r="A80" i="17"/>
  <c r="B79" i="17"/>
  <c r="A79" i="17"/>
  <c r="B78" i="17"/>
  <c r="A78" i="17"/>
  <c r="B77" i="17"/>
  <c r="A77" i="17"/>
  <c r="B76" i="17"/>
  <c r="A76" i="17"/>
  <c r="B75" i="17"/>
  <c r="A75" i="17"/>
  <c r="B74" i="17"/>
  <c r="A74" i="17"/>
  <c r="B73" i="17"/>
  <c r="A73" i="17"/>
  <c r="B72" i="17"/>
  <c r="A72" i="17"/>
  <c r="B71" i="17"/>
  <c r="A71" i="17"/>
  <c r="DI70" i="17"/>
  <c r="DH70" i="17"/>
  <c r="DG70" i="17"/>
  <c r="DF70" i="17"/>
  <c r="DE70" i="17"/>
  <c r="DD70" i="17"/>
  <c r="DC70" i="17"/>
  <c r="DB70" i="17"/>
  <c r="DA70" i="17"/>
  <c r="CZ70" i="17"/>
  <c r="CY70" i="17"/>
  <c r="CX70" i="17"/>
  <c r="CW70" i="17"/>
  <c r="CV70" i="17"/>
  <c r="CU70" i="17"/>
  <c r="CT70" i="17"/>
  <c r="CS70" i="17"/>
  <c r="CR70" i="17"/>
  <c r="CQ70" i="17"/>
  <c r="CP70" i="17"/>
  <c r="CO70" i="17"/>
  <c r="CN70" i="17"/>
  <c r="CM70" i="17"/>
  <c r="CL70" i="17"/>
  <c r="CK70" i="17"/>
  <c r="CJ70" i="17"/>
  <c r="CI70" i="17"/>
  <c r="CH70" i="17"/>
  <c r="CG70" i="17"/>
  <c r="CF70" i="17"/>
  <c r="CE70" i="17"/>
  <c r="CD70" i="17"/>
  <c r="CC70" i="17"/>
  <c r="CB70" i="17"/>
  <c r="CA70" i="17"/>
  <c r="BZ70" i="17"/>
  <c r="BY70" i="17"/>
  <c r="BX70" i="17"/>
  <c r="BW70" i="17"/>
  <c r="BV70" i="17"/>
  <c r="BU70" i="17"/>
  <c r="BT70" i="17"/>
  <c r="BS70" i="17"/>
  <c r="BR70" i="17"/>
  <c r="BQ70" i="17"/>
  <c r="BP70" i="17"/>
  <c r="BO70" i="17"/>
  <c r="BN70" i="17"/>
  <c r="BM70" i="17"/>
  <c r="BL70" i="17"/>
  <c r="BK70" i="17"/>
  <c r="BJ70" i="17"/>
  <c r="BI70" i="17"/>
  <c r="BH70" i="17"/>
  <c r="BG70" i="17"/>
  <c r="BF70" i="17"/>
  <c r="BE70" i="17"/>
  <c r="BD70" i="17"/>
  <c r="BC70" i="17"/>
  <c r="BB70" i="17"/>
  <c r="BA70" i="17"/>
  <c r="AZ70" i="17"/>
  <c r="AY70" i="17"/>
  <c r="AX70" i="17"/>
  <c r="AW70" i="17"/>
  <c r="AV70" i="17"/>
  <c r="AU70" i="17"/>
  <c r="AT70" i="17"/>
  <c r="AS70" i="17"/>
  <c r="AR70" i="17"/>
  <c r="AQ70" i="17"/>
  <c r="AP70" i="17"/>
  <c r="AO70" i="17"/>
  <c r="AN70" i="17"/>
  <c r="AM70" i="17"/>
  <c r="AL70" i="17"/>
  <c r="AK70" i="17"/>
  <c r="AJ70" i="17"/>
  <c r="AI70" i="17"/>
  <c r="AH70" i="17"/>
  <c r="AG70" i="17"/>
  <c r="AF70" i="17"/>
  <c r="AE70" i="17"/>
  <c r="AD70" i="17"/>
  <c r="AC70" i="17"/>
  <c r="AB70" i="17"/>
  <c r="AA70" i="17"/>
  <c r="Z70" i="17"/>
  <c r="Y70" i="17"/>
  <c r="X70" i="17"/>
  <c r="W70" i="17"/>
  <c r="V70" i="17"/>
  <c r="U70" i="17"/>
  <c r="T70" i="17"/>
  <c r="S70" i="17"/>
  <c r="R70" i="17"/>
  <c r="Q70" i="17"/>
  <c r="P70" i="17"/>
  <c r="O70" i="17"/>
  <c r="N70" i="17"/>
  <c r="M70" i="17"/>
  <c r="L70" i="17"/>
  <c r="K70" i="17"/>
  <c r="J70" i="17"/>
  <c r="I70" i="17"/>
  <c r="H70" i="17"/>
  <c r="G70" i="17"/>
  <c r="F70" i="17"/>
  <c r="E70" i="17"/>
  <c r="D70" i="17"/>
  <c r="C70" i="17"/>
  <c r="DI69" i="17"/>
  <c r="DH69" i="17"/>
  <c r="DG69" i="17"/>
  <c r="DF69" i="17"/>
  <c r="DE69" i="17"/>
  <c r="DD69" i="17"/>
  <c r="DC69" i="17"/>
  <c r="DB69" i="17"/>
  <c r="DA69" i="17"/>
  <c r="CZ69" i="17"/>
  <c r="CY69" i="17"/>
  <c r="CX69" i="17"/>
  <c r="CW69" i="17"/>
  <c r="CV69" i="17"/>
  <c r="CU69" i="17"/>
  <c r="CT69" i="17"/>
  <c r="CS69" i="17"/>
  <c r="CR69" i="17"/>
  <c r="CQ69" i="17"/>
  <c r="CP69" i="17"/>
  <c r="CO69" i="17"/>
  <c r="CN69" i="17"/>
  <c r="CM69" i="17"/>
  <c r="CL69" i="17"/>
  <c r="CK69" i="17"/>
  <c r="CJ69" i="17"/>
  <c r="CI69" i="17"/>
  <c r="CH69" i="17"/>
  <c r="CG69" i="17"/>
  <c r="CF69" i="17"/>
  <c r="CE69" i="17"/>
  <c r="CD69" i="17"/>
  <c r="CC69" i="17"/>
  <c r="CB69" i="17"/>
  <c r="CA69" i="17"/>
  <c r="BZ69" i="17"/>
  <c r="BY69" i="17"/>
  <c r="BX69" i="17"/>
  <c r="BW69" i="17"/>
  <c r="BV69" i="17"/>
  <c r="BU69" i="17"/>
  <c r="BT69" i="17"/>
  <c r="BS69" i="17"/>
  <c r="BR69" i="17"/>
  <c r="BQ69" i="17"/>
  <c r="BP69" i="17"/>
  <c r="BO69" i="17"/>
  <c r="BN69" i="17"/>
  <c r="BM69" i="17"/>
  <c r="BL69" i="17"/>
  <c r="BK69" i="17"/>
  <c r="BJ69" i="17"/>
  <c r="BI69" i="17"/>
  <c r="BH69" i="17"/>
  <c r="BG69" i="17"/>
  <c r="BF69" i="17"/>
  <c r="BE69" i="17"/>
  <c r="BD69" i="17"/>
  <c r="BC69" i="17"/>
  <c r="BB69" i="17"/>
  <c r="BA69" i="17"/>
  <c r="AZ69" i="17"/>
  <c r="AY69" i="17"/>
  <c r="AX69" i="17"/>
  <c r="AW69" i="17"/>
  <c r="AV69" i="17"/>
  <c r="AU69" i="17"/>
  <c r="AT69" i="17"/>
  <c r="AS69" i="17"/>
  <c r="AR69" i="17"/>
  <c r="AQ69" i="17"/>
  <c r="AP69" i="17"/>
  <c r="AO69" i="17"/>
  <c r="AN69" i="17"/>
  <c r="AM69" i="17"/>
  <c r="AL69" i="17"/>
  <c r="AK69" i="17"/>
  <c r="AJ69" i="17"/>
  <c r="AI69" i="17"/>
  <c r="AH69" i="17"/>
  <c r="AG69" i="17"/>
  <c r="AF69" i="17"/>
  <c r="AE69" i="17"/>
  <c r="AD69" i="17"/>
  <c r="AC69" i="17"/>
  <c r="AB69" i="17"/>
  <c r="AA69" i="17"/>
  <c r="Z69" i="17"/>
  <c r="Y69" i="17"/>
  <c r="X69" i="17"/>
  <c r="W69" i="17"/>
  <c r="V69" i="17"/>
  <c r="U69" i="17"/>
  <c r="T69" i="17"/>
  <c r="S69" i="17"/>
  <c r="R69" i="17"/>
  <c r="Q69" i="17"/>
  <c r="P69" i="17"/>
  <c r="O69" i="17"/>
  <c r="N69" i="17"/>
  <c r="M69" i="17"/>
  <c r="L69" i="17"/>
  <c r="K69" i="17"/>
  <c r="J69" i="17"/>
  <c r="I69" i="17"/>
  <c r="H69" i="17"/>
  <c r="G69" i="17"/>
  <c r="F69" i="17"/>
  <c r="E69" i="17"/>
  <c r="D69" i="17"/>
  <c r="C69" i="17"/>
  <c r="DI65" i="17"/>
  <c r="DH65" i="17"/>
  <c r="DG65" i="17"/>
  <c r="DF65" i="17"/>
  <c r="DE65" i="17"/>
  <c r="DD65" i="17"/>
  <c r="DC65" i="17"/>
  <c r="DB65" i="17"/>
  <c r="DA65" i="17"/>
  <c r="CZ65" i="17"/>
  <c r="CY65" i="17"/>
  <c r="CX65" i="17"/>
  <c r="CW65" i="17"/>
  <c r="CV65" i="17"/>
  <c r="CU65" i="17"/>
  <c r="CT65" i="17"/>
  <c r="CS65" i="17"/>
  <c r="CR65" i="17"/>
  <c r="CQ65" i="17"/>
  <c r="CP65" i="17"/>
  <c r="CO65" i="17"/>
  <c r="CN65" i="17"/>
  <c r="CM65" i="17"/>
  <c r="CL65" i="17"/>
  <c r="CK65" i="17"/>
  <c r="CJ65" i="17"/>
  <c r="CI65" i="17"/>
  <c r="CH65" i="17"/>
  <c r="CG65" i="17"/>
  <c r="CF65" i="17"/>
  <c r="CE65" i="17"/>
  <c r="CD65" i="17"/>
  <c r="CC65" i="17"/>
  <c r="CB65" i="17"/>
  <c r="CA65" i="17"/>
  <c r="BZ65" i="17"/>
  <c r="BY65" i="17"/>
  <c r="BX65" i="17"/>
  <c r="BW65" i="17"/>
  <c r="BV65" i="17"/>
  <c r="BU65" i="17"/>
  <c r="BT65" i="17"/>
  <c r="BS65" i="17"/>
  <c r="BR65" i="17"/>
  <c r="BQ65" i="17"/>
  <c r="BP65" i="17"/>
  <c r="BO65" i="17"/>
  <c r="BN65" i="17"/>
  <c r="BM65" i="17"/>
  <c r="BL65" i="17"/>
  <c r="BK65" i="17"/>
  <c r="BJ65" i="17"/>
  <c r="BI65" i="17"/>
  <c r="BH65" i="17"/>
  <c r="BG65" i="17"/>
  <c r="BF65" i="17"/>
  <c r="BE65" i="17"/>
  <c r="BD65" i="17"/>
  <c r="BC65" i="17"/>
  <c r="BB65" i="17"/>
  <c r="BA65" i="17"/>
  <c r="AZ65" i="17"/>
  <c r="AY65" i="17"/>
  <c r="AX65" i="17"/>
  <c r="AW65" i="17"/>
  <c r="AV65" i="17"/>
  <c r="AU65" i="17"/>
  <c r="AT65" i="17"/>
  <c r="AS65" i="17"/>
  <c r="AR65" i="17"/>
  <c r="AQ65" i="17"/>
  <c r="AP65" i="17"/>
  <c r="AO65" i="17"/>
  <c r="AN65" i="17"/>
  <c r="AM65" i="17"/>
  <c r="AL65" i="17"/>
  <c r="AK65" i="17"/>
  <c r="AJ65" i="17"/>
  <c r="AI65" i="17"/>
  <c r="AH65" i="17"/>
  <c r="AG65" i="17"/>
  <c r="AF65" i="17"/>
  <c r="AE65" i="17"/>
  <c r="AD65" i="17"/>
  <c r="AC65" i="17"/>
  <c r="AB65" i="17"/>
  <c r="AA65" i="17"/>
  <c r="Z65" i="17"/>
  <c r="Y65" i="17"/>
  <c r="X65" i="17"/>
  <c r="W65" i="17"/>
  <c r="V65" i="17"/>
  <c r="U65" i="17"/>
  <c r="T65" i="17"/>
  <c r="S65" i="17"/>
  <c r="R65" i="17"/>
  <c r="Q65" i="17"/>
  <c r="P65" i="17"/>
  <c r="O65" i="17"/>
  <c r="N65" i="17"/>
  <c r="M65" i="17"/>
  <c r="L65" i="17"/>
  <c r="K65" i="17"/>
  <c r="J65" i="17"/>
  <c r="I65" i="17"/>
  <c r="H65" i="17"/>
  <c r="G65" i="17"/>
  <c r="F65" i="17"/>
  <c r="E65" i="17"/>
  <c r="D65" i="17"/>
  <c r="C65" i="17"/>
  <c r="B65" i="17"/>
  <c r="A65" i="17"/>
  <c r="DI64" i="17"/>
  <c r="DH64" i="17"/>
  <c r="DG64" i="17"/>
  <c r="DF64" i="17"/>
  <c r="DE64" i="17"/>
  <c r="DD64" i="17"/>
  <c r="DC64" i="17"/>
  <c r="DB64" i="17"/>
  <c r="DA64" i="17"/>
  <c r="CZ64" i="17"/>
  <c r="CY64" i="17"/>
  <c r="CX64" i="17"/>
  <c r="CW64" i="17"/>
  <c r="CV64" i="17"/>
  <c r="CU64" i="17"/>
  <c r="CT64" i="17"/>
  <c r="CS64" i="17"/>
  <c r="CR64" i="17"/>
  <c r="CQ64" i="17"/>
  <c r="CP64" i="17"/>
  <c r="CO64" i="17"/>
  <c r="CN64" i="17"/>
  <c r="CM64" i="17"/>
  <c r="CL64" i="17"/>
  <c r="CK64" i="17"/>
  <c r="CJ64" i="17"/>
  <c r="CI64" i="17"/>
  <c r="CH64" i="17"/>
  <c r="CG64" i="17"/>
  <c r="CF64" i="17"/>
  <c r="CE64" i="17"/>
  <c r="CD64" i="17"/>
  <c r="CC64" i="17"/>
  <c r="CB64" i="17"/>
  <c r="CA64" i="17"/>
  <c r="BZ64" i="17"/>
  <c r="BY64" i="17"/>
  <c r="BX64" i="17"/>
  <c r="BW64" i="17"/>
  <c r="BV64" i="17"/>
  <c r="BU64" i="17"/>
  <c r="BT64" i="17"/>
  <c r="BS64" i="17"/>
  <c r="BR64" i="17"/>
  <c r="BQ64" i="17"/>
  <c r="BP64" i="17"/>
  <c r="BO64" i="17"/>
  <c r="BN64" i="17"/>
  <c r="BM64" i="17"/>
  <c r="BL64" i="17"/>
  <c r="BK64" i="17"/>
  <c r="BJ64" i="17"/>
  <c r="BI64" i="17"/>
  <c r="BH64" i="17"/>
  <c r="BG64" i="17"/>
  <c r="BF64" i="17"/>
  <c r="BE64" i="17"/>
  <c r="BD64" i="17"/>
  <c r="BC64" i="17"/>
  <c r="BB64" i="17"/>
  <c r="BA64" i="17"/>
  <c r="AZ64" i="17"/>
  <c r="AY64" i="17"/>
  <c r="AX64" i="17"/>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64" i="17"/>
  <c r="DI63" i="17"/>
  <c r="DH63" i="17"/>
  <c r="DG63" i="17"/>
  <c r="DF63" i="17"/>
  <c r="DE63" i="17"/>
  <c r="DD63" i="17"/>
  <c r="DC63" i="17"/>
  <c r="DB63" i="17"/>
  <c r="DA63" i="17"/>
  <c r="CZ63" i="17"/>
  <c r="CY63" i="17"/>
  <c r="CX63" i="17"/>
  <c r="CW63" i="17"/>
  <c r="CV63" i="17"/>
  <c r="CU63" i="17"/>
  <c r="CT63" i="17"/>
  <c r="CS63" i="17"/>
  <c r="CR63" i="17"/>
  <c r="CQ63" i="17"/>
  <c r="CP63" i="17"/>
  <c r="CO63" i="17"/>
  <c r="CN63" i="17"/>
  <c r="CM63" i="17"/>
  <c r="CL63" i="17"/>
  <c r="CK63" i="17"/>
  <c r="CJ63" i="17"/>
  <c r="CI63" i="17"/>
  <c r="CH63" i="17"/>
  <c r="CG63" i="17"/>
  <c r="CF63" i="17"/>
  <c r="CE63" i="17"/>
  <c r="CD63" i="17"/>
  <c r="CC63" i="17"/>
  <c r="CB63" i="17"/>
  <c r="CA63" i="17"/>
  <c r="BZ63" i="17"/>
  <c r="BY63" i="17"/>
  <c r="BX63" i="17"/>
  <c r="BW63" i="17"/>
  <c r="BV63" i="17"/>
  <c r="BU63" i="17"/>
  <c r="BT63" i="17"/>
  <c r="BS63" i="17"/>
  <c r="BR63" i="17"/>
  <c r="BQ63" i="17"/>
  <c r="BP63" i="17"/>
  <c r="BO63" i="17"/>
  <c r="BN63" i="17"/>
  <c r="BM63" i="17"/>
  <c r="BL63" i="17"/>
  <c r="BK63" i="17"/>
  <c r="BJ63" i="17"/>
  <c r="BI63" i="17"/>
  <c r="BH63" i="17"/>
  <c r="BG63" i="17"/>
  <c r="BF63" i="17"/>
  <c r="BE63" i="17"/>
  <c r="BD63" i="17"/>
  <c r="BC63" i="17"/>
  <c r="BB63" i="17"/>
  <c r="BA63" i="17"/>
  <c r="AZ63" i="17"/>
  <c r="AY63" i="17"/>
  <c r="AX63"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63" i="17"/>
  <c r="DI62" i="17"/>
  <c r="DH62" i="17"/>
  <c r="DG62" i="17"/>
  <c r="DF62" i="17"/>
  <c r="DE62" i="17"/>
  <c r="DD62" i="17"/>
  <c r="DC62" i="17"/>
  <c r="DB62" i="17"/>
  <c r="DA62" i="17"/>
  <c r="CZ62" i="17"/>
  <c r="CY62" i="17"/>
  <c r="CX62" i="17"/>
  <c r="CW62" i="17"/>
  <c r="CV62" i="17"/>
  <c r="CU62" i="17"/>
  <c r="CT62" i="17"/>
  <c r="CS62" i="17"/>
  <c r="CR62" i="17"/>
  <c r="CQ62" i="17"/>
  <c r="CP62" i="17"/>
  <c r="CO62" i="17"/>
  <c r="CN62" i="17"/>
  <c r="CM62" i="17"/>
  <c r="CL62" i="17"/>
  <c r="CK62" i="17"/>
  <c r="CJ62" i="17"/>
  <c r="CI62" i="17"/>
  <c r="CH62" i="17"/>
  <c r="CG62" i="17"/>
  <c r="CF62" i="17"/>
  <c r="CE62" i="17"/>
  <c r="CD62" i="17"/>
  <c r="CC62" i="17"/>
  <c r="CB62" i="17"/>
  <c r="CA62" i="17"/>
  <c r="BZ62" i="17"/>
  <c r="BY62" i="17"/>
  <c r="BX62" i="17"/>
  <c r="BW62" i="17"/>
  <c r="BV62" i="17"/>
  <c r="BU62" i="17"/>
  <c r="BT62" i="17"/>
  <c r="BS62" i="17"/>
  <c r="BR62" i="17"/>
  <c r="BQ62" i="17"/>
  <c r="BP62" i="17"/>
  <c r="BO62" i="17"/>
  <c r="BN62" i="17"/>
  <c r="BM62" i="17"/>
  <c r="BL62" i="17"/>
  <c r="BK62" i="17"/>
  <c r="BJ62" i="17"/>
  <c r="BI62" i="17"/>
  <c r="BH62" i="17"/>
  <c r="BG62" i="17"/>
  <c r="BF62" i="17"/>
  <c r="BE62" i="17"/>
  <c r="BD62" i="17"/>
  <c r="BC62" i="17"/>
  <c r="BB62" i="17"/>
  <c r="BA62" i="17"/>
  <c r="AZ62" i="17"/>
  <c r="AY62" i="17"/>
  <c r="AX62"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62" i="17"/>
  <c r="DI61" i="17"/>
  <c r="DH61" i="17"/>
  <c r="DG61" i="17"/>
  <c r="DF61" i="17"/>
  <c r="DE61" i="17"/>
  <c r="DD61" i="17"/>
  <c r="DC61" i="17"/>
  <c r="DB61" i="17"/>
  <c r="DA61" i="17"/>
  <c r="CZ61" i="17"/>
  <c r="CY61" i="17"/>
  <c r="CX61" i="17"/>
  <c r="CW61" i="17"/>
  <c r="CV61" i="17"/>
  <c r="CU61" i="17"/>
  <c r="CT61" i="17"/>
  <c r="CS61" i="17"/>
  <c r="CR61" i="17"/>
  <c r="CQ61" i="17"/>
  <c r="CP61" i="17"/>
  <c r="CO61" i="17"/>
  <c r="CN61" i="17"/>
  <c r="CM61" i="17"/>
  <c r="CL61" i="17"/>
  <c r="CK61" i="17"/>
  <c r="CJ61" i="17"/>
  <c r="CI61" i="17"/>
  <c r="CH61" i="17"/>
  <c r="CG61" i="17"/>
  <c r="CF61" i="17"/>
  <c r="CE61" i="17"/>
  <c r="CD61" i="17"/>
  <c r="CC61" i="17"/>
  <c r="CB61" i="17"/>
  <c r="CA61" i="17"/>
  <c r="BZ61" i="17"/>
  <c r="BY61" i="17"/>
  <c r="BX61" i="17"/>
  <c r="BW61" i="17"/>
  <c r="BV61" i="17"/>
  <c r="BU61" i="17"/>
  <c r="BT61" i="17"/>
  <c r="BS61" i="17"/>
  <c r="BR61" i="17"/>
  <c r="BQ61" i="17"/>
  <c r="BP61" i="17"/>
  <c r="BO61" i="17"/>
  <c r="BN61" i="17"/>
  <c r="BM61" i="17"/>
  <c r="BL61" i="17"/>
  <c r="BK61" i="17"/>
  <c r="BJ61" i="17"/>
  <c r="BI61" i="17"/>
  <c r="BH61" i="17"/>
  <c r="BG61" i="17"/>
  <c r="BF61" i="17"/>
  <c r="BE61" i="17"/>
  <c r="BD61" i="17"/>
  <c r="BC61" i="17"/>
  <c r="BB61" i="17"/>
  <c r="BA61" i="17"/>
  <c r="AZ61" i="17"/>
  <c r="AY61" i="17"/>
  <c r="AX61"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61" i="17"/>
  <c r="DI60" i="17"/>
  <c r="DH60" i="17"/>
  <c r="DG60" i="17"/>
  <c r="DF60" i="17"/>
  <c r="DE60" i="17"/>
  <c r="DD60" i="17"/>
  <c r="DC60" i="17"/>
  <c r="DB60" i="17"/>
  <c r="DA60" i="17"/>
  <c r="CZ60" i="17"/>
  <c r="CY60" i="17"/>
  <c r="CX60" i="17"/>
  <c r="CW60" i="17"/>
  <c r="CV60" i="17"/>
  <c r="CU60" i="17"/>
  <c r="CT60" i="17"/>
  <c r="CS60" i="17"/>
  <c r="CR60" i="17"/>
  <c r="CQ60" i="17"/>
  <c r="CP60" i="17"/>
  <c r="CO60" i="17"/>
  <c r="CN60" i="17"/>
  <c r="CM60" i="17"/>
  <c r="CL60" i="17"/>
  <c r="CK60" i="17"/>
  <c r="CJ60" i="17"/>
  <c r="CI60" i="17"/>
  <c r="CH60" i="17"/>
  <c r="CG60" i="17"/>
  <c r="CF60" i="17"/>
  <c r="CE60" i="17"/>
  <c r="CD60" i="17"/>
  <c r="CC60" i="17"/>
  <c r="CB60" i="17"/>
  <c r="CA60" i="17"/>
  <c r="BZ60" i="17"/>
  <c r="BY60" i="17"/>
  <c r="BX60" i="17"/>
  <c r="BW60" i="17"/>
  <c r="BV60" i="17"/>
  <c r="BU60" i="17"/>
  <c r="BT60" i="17"/>
  <c r="BS60" i="17"/>
  <c r="BR60" i="17"/>
  <c r="BQ60" i="17"/>
  <c r="BP60" i="17"/>
  <c r="BO60" i="17"/>
  <c r="BN60" i="17"/>
  <c r="BM60" i="17"/>
  <c r="BL60" i="17"/>
  <c r="BK60" i="17"/>
  <c r="BJ60" i="17"/>
  <c r="BI60" i="17"/>
  <c r="BH60" i="17"/>
  <c r="BG60" i="17"/>
  <c r="BF60" i="17"/>
  <c r="BE60" i="17"/>
  <c r="BD60" i="17"/>
  <c r="BC60" i="17"/>
  <c r="BB60" i="17"/>
  <c r="BA60" i="17"/>
  <c r="AZ60" i="17"/>
  <c r="AY60" i="17"/>
  <c r="AX60"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A60" i="17"/>
  <c r="DI59" i="17"/>
  <c r="DH59" i="17"/>
  <c r="DG59" i="17"/>
  <c r="DF59" i="17"/>
  <c r="DE59" i="17"/>
  <c r="DD59" i="17"/>
  <c r="DC59" i="17"/>
  <c r="DB59" i="17"/>
  <c r="DA59" i="17"/>
  <c r="CZ59" i="17"/>
  <c r="CY59" i="17"/>
  <c r="CX59" i="17"/>
  <c r="CW59" i="17"/>
  <c r="CV59" i="17"/>
  <c r="CU59" i="17"/>
  <c r="CT59" i="17"/>
  <c r="CS59" i="17"/>
  <c r="CR59" i="17"/>
  <c r="CQ59" i="17"/>
  <c r="CP59" i="17"/>
  <c r="CO59" i="17"/>
  <c r="CN59" i="17"/>
  <c r="CM59" i="17"/>
  <c r="CL59" i="17"/>
  <c r="CK59" i="17"/>
  <c r="CJ59" i="17"/>
  <c r="CI59" i="17"/>
  <c r="CH59" i="17"/>
  <c r="CG59" i="17"/>
  <c r="CF59" i="17"/>
  <c r="CE59" i="17"/>
  <c r="CD59" i="17"/>
  <c r="CC59" i="17"/>
  <c r="CB59" i="17"/>
  <c r="CA59" i="17"/>
  <c r="BZ59" i="17"/>
  <c r="BY59" i="17"/>
  <c r="BX59" i="17"/>
  <c r="BW59" i="17"/>
  <c r="BV59" i="17"/>
  <c r="BU59" i="17"/>
  <c r="BT59" i="17"/>
  <c r="BS59" i="17"/>
  <c r="BR59" i="17"/>
  <c r="BQ59" i="17"/>
  <c r="BP59" i="17"/>
  <c r="BO59" i="17"/>
  <c r="BN59" i="17"/>
  <c r="BM59" i="17"/>
  <c r="BL59" i="17"/>
  <c r="BK59" i="17"/>
  <c r="BJ59" i="17"/>
  <c r="BI59" i="17"/>
  <c r="BH59" i="17"/>
  <c r="BG59" i="17"/>
  <c r="BF59" i="17"/>
  <c r="BE59" i="17"/>
  <c r="BD59" i="17"/>
  <c r="BC59" i="17"/>
  <c r="BB59" i="17"/>
  <c r="BA59" i="17"/>
  <c r="AZ59" i="17"/>
  <c r="AY59" i="17"/>
  <c r="AX59" i="17"/>
  <c r="AW59" i="17"/>
  <c r="AV59" i="17"/>
  <c r="AU59" i="17"/>
  <c r="AT59" i="17"/>
  <c r="AS59" i="17"/>
  <c r="AR59" i="17"/>
  <c r="AQ59" i="17"/>
  <c r="AP59" i="17"/>
  <c r="AO59" i="17"/>
  <c r="AN59" i="17"/>
  <c r="AM59" i="17"/>
  <c r="AL59" i="17"/>
  <c r="AK59" i="17"/>
  <c r="AJ59" i="17"/>
  <c r="AI59" i="17"/>
  <c r="AH59" i="17"/>
  <c r="AG59" i="17"/>
  <c r="AF59" i="17"/>
  <c r="AE59" i="17"/>
  <c r="AD59" i="17"/>
  <c r="AC59" i="17"/>
  <c r="AB59" i="17"/>
  <c r="AA59" i="17"/>
  <c r="Z59" i="17"/>
  <c r="Y59" i="17"/>
  <c r="X59" i="17"/>
  <c r="W59" i="17"/>
  <c r="V59" i="17"/>
  <c r="U59" i="17"/>
  <c r="T59" i="17"/>
  <c r="S59" i="17"/>
  <c r="R59" i="17"/>
  <c r="Q59" i="17"/>
  <c r="P59" i="17"/>
  <c r="O59" i="17"/>
  <c r="N59" i="17"/>
  <c r="M59" i="17"/>
  <c r="L59" i="17"/>
  <c r="K59" i="17"/>
  <c r="J59" i="17"/>
  <c r="I59" i="17"/>
  <c r="H59" i="17"/>
  <c r="G59" i="17"/>
  <c r="F59" i="17"/>
  <c r="E59" i="17"/>
  <c r="D59" i="17"/>
  <c r="C59" i="17"/>
  <c r="B59" i="17"/>
  <c r="A59" i="17"/>
  <c r="DI58" i="17"/>
  <c r="DH58" i="17"/>
  <c r="DG58" i="17"/>
  <c r="DF58" i="17"/>
  <c r="DE58" i="17"/>
  <c r="DD58" i="17"/>
  <c r="DC58" i="17"/>
  <c r="DB58" i="17"/>
  <c r="DA58" i="17"/>
  <c r="CZ58" i="17"/>
  <c r="CY58" i="17"/>
  <c r="CX58" i="17"/>
  <c r="CW58" i="17"/>
  <c r="CV58" i="17"/>
  <c r="CU58" i="17"/>
  <c r="CT58" i="17"/>
  <c r="CS58" i="17"/>
  <c r="CR58" i="17"/>
  <c r="CQ58" i="17"/>
  <c r="CP58" i="17"/>
  <c r="CO58" i="17"/>
  <c r="CN58" i="17"/>
  <c r="CM58" i="17"/>
  <c r="CL58" i="17"/>
  <c r="CK58" i="17"/>
  <c r="CJ58" i="17"/>
  <c r="CI58" i="17"/>
  <c r="CH58" i="17"/>
  <c r="CG58" i="17"/>
  <c r="CF58" i="17"/>
  <c r="CE58" i="17"/>
  <c r="CD58" i="17"/>
  <c r="CC58" i="17"/>
  <c r="CB58" i="17"/>
  <c r="CA58" i="17"/>
  <c r="BZ58" i="17"/>
  <c r="BY58" i="17"/>
  <c r="BX58" i="17"/>
  <c r="BW58" i="17"/>
  <c r="BV58" i="17"/>
  <c r="BU58" i="17"/>
  <c r="BT58" i="17"/>
  <c r="BS58" i="17"/>
  <c r="BR58" i="17"/>
  <c r="BQ58" i="17"/>
  <c r="BP58" i="17"/>
  <c r="BO58" i="17"/>
  <c r="BN58" i="17"/>
  <c r="BM58" i="17"/>
  <c r="BL58" i="17"/>
  <c r="BK58" i="17"/>
  <c r="BJ58" i="17"/>
  <c r="BI58" i="17"/>
  <c r="BH58" i="17"/>
  <c r="BG58" i="17"/>
  <c r="BF58" i="17"/>
  <c r="BE58" i="17"/>
  <c r="BD58" i="17"/>
  <c r="BC58" i="17"/>
  <c r="BB58" i="17"/>
  <c r="BA58" i="17"/>
  <c r="AZ58" i="17"/>
  <c r="AY58" i="17"/>
  <c r="AX58" i="17"/>
  <c r="AW58" i="17"/>
  <c r="AV58" i="17"/>
  <c r="AU58" i="17"/>
  <c r="AT58" i="17"/>
  <c r="AS58" i="17"/>
  <c r="AR58" i="17"/>
  <c r="AQ58" i="17"/>
  <c r="AP58" i="17"/>
  <c r="AO58" i="17"/>
  <c r="AN58" i="17"/>
  <c r="AM58" i="17"/>
  <c r="AL58" i="17"/>
  <c r="AK58" i="17"/>
  <c r="AJ58" i="17"/>
  <c r="AI58" i="17"/>
  <c r="AH58" i="17"/>
  <c r="AG58" i="17"/>
  <c r="AF58" i="17"/>
  <c r="AE58" i="17"/>
  <c r="AD58" i="17"/>
  <c r="AC58" i="17"/>
  <c r="AB58" i="17"/>
  <c r="AA58" i="17"/>
  <c r="Z58" i="17"/>
  <c r="Y58" i="17"/>
  <c r="X58" i="17"/>
  <c r="W58" i="17"/>
  <c r="V58" i="17"/>
  <c r="U58" i="17"/>
  <c r="T58" i="17"/>
  <c r="S58" i="17"/>
  <c r="R58" i="17"/>
  <c r="Q58" i="17"/>
  <c r="P58" i="17"/>
  <c r="O58" i="17"/>
  <c r="N58" i="17"/>
  <c r="M58" i="17"/>
  <c r="L58" i="17"/>
  <c r="K58" i="17"/>
  <c r="J58" i="17"/>
  <c r="I58" i="17"/>
  <c r="H58" i="17"/>
  <c r="G58" i="17"/>
  <c r="F58" i="17"/>
  <c r="E58" i="17"/>
  <c r="D58" i="17"/>
  <c r="C58" i="17"/>
  <c r="B58" i="17"/>
  <c r="A58" i="17"/>
  <c r="DC57" i="17"/>
  <c r="DB57" i="17"/>
  <c r="BX57" i="17"/>
  <c r="BW57" i="17"/>
  <c r="BN57" i="17"/>
  <c r="BI57" i="17"/>
  <c r="BH57" i="17"/>
  <c r="AW57" i="17"/>
  <c r="AV57" i="17"/>
  <c r="O57" i="17"/>
  <c r="N57" i="17"/>
  <c r="B57" i="17"/>
  <c r="A57" i="17"/>
  <c r="DC56" i="17"/>
  <c r="DB56" i="17"/>
  <c r="CK56" i="17"/>
  <c r="BX56" i="17"/>
  <c r="BW56" i="17"/>
  <c r="BN56" i="17"/>
  <c r="BM56" i="17"/>
  <c r="BL56" i="17"/>
  <c r="BI56" i="17"/>
  <c r="BH56" i="17"/>
  <c r="AW56" i="17"/>
  <c r="AV56" i="17"/>
  <c r="AH56" i="17"/>
  <c r="AG56" i="17"/>
  <c r="O56" i="17"/>
  <c r="N56" i="17"/>
  <c r="E56" i="17"/>
  <c r="B56" i="17"/>
  <c r="A56" i="17"/>
  <c r="DC55" i="17"/>
  <c r="DB55" i="17"/>
  <c r="BX55" i="17"/>
  <c r="BW55" i="17"/>
  <c r="BN55" i="17"/>
  <c r="BI55" i="17"/>
  <c r="BH55" i="17"/>
  <c r="AW55" i="17"/>
  <c r="AV55" i="17"/>
  <c r="O55" i="17"/>
  <c r="N55" i="17"/>
  <c r="B55" i="17"/>
  <c r="A55" i="17"/>
  <c r="DC54" i="17"/>
  <c r="DB54" i="17"/>
  <c r="BX54" i="17"/>
  <c r="BW54" i="17"/>
  <c r="BN54" i="17"/>
  <c r="AW54" i="17"/>
  <c r="AV54" i="17"/>
  <c r="O54" i="17"/>
  <c r="N54" i="17"/>
  <c r="B54" i="17"/>
  <c r="A54" i="17"/>
  <c r="DC53" i="17"/>
  <c r="DB53" i="17"/>
  <c r="BX53" i="17"/>
  <c r="BW53" i="17"/>
  <c r="BN53" i="17"/>
  <c r="AW53" i="17"/>
  <c r="AV53" i="17"/>
  <c r="O53" i="17"/>
  <c r="N53" i="17"/>
  <c r="B53" i="17"/>
  <c r="A53" i="17"/>
  <c r="DC52" i="17"/>
  <c r="DB52" i="17"/>
  <c r="CB52" i="17"/>
  <c r="CA52" i="17"/>
  <c r="BX52" i="17"/>
  <c r="BW52" i="17"/>
  <c r="BN52" i="17"/>
  <c r="AW52" i="17"/>
  <c r="AV52" i="17"/>
  <c r="O52" i="17"/>
  <c r="N52" i="17"/>
  <c r="B52" i="17"/>
  <c r="A52" i="17"/>
  <c r="DC51" i="17"/>
  <c r="DB51" i="17"/>
  <c r="CB51" i="17"/>
  <c r="CA51" i="17"/>
  <c r="BX51" i="17"/>
  <c r="BW51" i="17"/>
  <c r="BN51" i="17"/>
  <c r="AW51" i="17"/>
  <c r="AV51" i="17"/>
  <c r="O51" i="17"/>
  <c r="N51" i="17"/>
  <c r="B51" i="17"/>
  <c r="A51" i="17"/>
  <c r="DC50" i="17"/>
  <c r="DB50" i="17"/>
  <c r="DA50" i="17"/>
  <c r="BX50" i="17"/>
  <c r="BW50" i="17"/>
  <c r="BN50" i="17"/>
  <c r="AW50" i="17"/>
  <c r="AV50" i="17"/>
  <c r="O50" i="17"/>
  <c r="N50" i="17"/>
  <c r="B50" i="17"/>
  <c r="A50" i="17"/>
  <c r="DC49" i="17"/>
  <c r="DB49" i="17"/>
  <c r="BX49" i="17"/>
  <c r="BW49" i="17"/>
  <c r="BN49" i="17"/>
  <c r="AW49" i="17"/>
  <c r="AV49" i="17"/>
  <c r="O49" i="17"/>
  <c r="N49" i="17"/>
  <c r="B49" i="17"/>
  <c r="A49" i="17"/>
  <c r="DC48" i="17"/>
  <c r="DB48" i="17"/>
  <c r="BX48" i="17"/>
  <c r="BW48" i="17"/>
  <c r="BN48" i="17"/>
  <c r="AW48" i="17"/>
  <c r="AV48" i="17"/>
  <c r="O48" i="17"/>
  <c r="N48" i="17"/>
  <c r="B48" i="17"/>
  <c r="A48" i="17"/>
  <c r="DC47" i="17"/>
  <c r="DB47" i="17"/>
  <c r="BX47" i="17"/>
  <c r="BW47" i="17"/>
  <c r="BN47" i="17"/>
  <c r="AW47" i="17"/>
  <c r="AV47" i="17"/>
  <c r="O47" i="17"/>
  <c r="N47" i="17"/>
  <c r="B47" i="17"/>
  <c r="A47" i="17"/>
  <c r="DC46" i="17"/>
  <c r="DB46" i="17"/>
  <c r="BX46" i="17"/>
  <c r="BW46" i="17"/>
  <c r="BN46" i="17"/>
  <c r="AW46" i="17"/>
  <c r="AV46" i="17"/>
  <c r="O46" i="17"/>
  <c r="N46" i="17"/>
  <c r="B46" i="17"/>
  <c r="A46" i="17"/>
  <c r="DI45" i="17"/>
  <c r="DH45" i="17"/>
  <c r="DG45" i="17"/>
  <c r="DF45" i="17"/>
  <c r="DE45" i="17"/>
  <c r="DD45" i="17"/>
  <c r="DC45" i="17"/>
  <c r="DB45" i="17"/>
  <c r="DA45" i="17"/>
  <c r="CZ45" i="17"/>
  <c r="CY45" i="17"/>
  <c r="CX45" i="17"/>
  <c r="CW45" i="17"/>
  <c r="CV45" i="17"/>
  <c r="CU45" i="17"/>
  <c r="CT45" i="17"/>
  <c r="CS45" i="17"/>
  <c r="CR45" i="17"/>
  <c r="CQ45" i="17"/>
  <c r="CP45" i="17"/>
  <c r="CO45" i="17"/>
  <c r="CN45" i="17"/>
  <c r="CM45" i="17"/>
  <c r="CL45" i="17"/>
  <c r="CK45" i="17"/>
  <c r="CJ45" i="17"/>
  <c r="CI45" i="17"/>
  <c r="CH45" i="17"/>
  <c r="CG45" i="17"/>
  <c r="CF45" i="17"/>
  <c r="CE45" i="17"/>
  <c r="CD45" i="17"/>
  <c r="CC45" i="17"/>
  <c r="CB45" i="17"/>
  <c r="CA45" i="17"/>
  <c r="BZ45" i="17"/>
  <c r="BY45" i="17"/>
  <c r="BX45" i="17"/>
  <c r="BW45" i="17"/>
  <c r="BV45" i="17"/>
  <c r="BU45" i="17"/>
  <c r="BT45" i="17"/>
  <c r="BS45" i="17"/>
  <c r="BR45" i="17"/>
  <c r="BQ45" i="17"/>
  <c r="BP45" i="17"/>
  <c r="BO45" i="17"/>
  <c r="BN45" i="17"/>
  <c r="BM45" i="17"/>
  <c r="BL45" i="17"/>
  <c r="BK45" i="17"/>
  <c r="BJ45" i="17"/>
  <c r="BI45" i="17"/>
  <c r="BH45" i="17"/>
  <c r="BG45" i="17"/>
  <c r="BF45" i="17"/>
  <c r="BE45" i="17"/>
  <c r="BD45" i="17"/>
  <c r="BC45" i="17"/>
  <c r="BB45" i="17"/>
  <c r="BA45" i="17"/>
  <c r="AZ45" i="17"/>
  <c r="AY45" i="17"/>
  <c r="AX45" i="17"/>
  <c r="AW45" i="17"/>
  <c r="AV45" i="17"/>
  <c r="AU45" i="17"/>
  <c r="AT45" i="17"/>
  <c r="AS45" i="17"/>
  <c r="AR45" i="17"/>
  <c r="AQ45" i="17"/>
  <c r="AP45" i="17"/>
  <c r="AO45" i="17"/>
  <c r="AN45" i="17"/>
  <c r="AM45" i="17"/>
  <c r="AL45" i="17"/>
  <c r="AK45" i="17"/>
  <c r="AJ45" i="17"/>
  <c r="AI45" i="17"/>
  <c r="AH45" i="17"/>
  <c r="AG45" i="17"/>
  <c r="AF45" i="17"/>
  <c r="AE45" i="17"/>
  <c r="AD45" i="17"/>
  <c r="AC45" i="17"/>
  <c r="AB45" i="17"/>
  <c r="AA45" i="17"/>
  <c r="Z45" i="17"/>
  <c r="Y45" i="17"/>
  <c r="X45" i="17"/>
  <c r="W45" i="17"/>
  <c r="V45" i="17"/>
  <c r="U45" i="17"/>
  <c r="T45" i="17"/>
  <c r="S45" i="17"/>
  <c r="R45" i="17"/>
  <c r="Q45" i="17"/>
  <c r="P45" i="17"/>
  <c r="O45" i="17"/>
  <c r="N45" i="17"/>
  <c r="M45" i="17"/>
  <c r="L45" i="17"/>
  <c r="K45" i="17"/>
  <c r="J45" i="17"/>
  <c r="I45" i="17"/>
  <c r="H45" i="17"/>
  <c r="G45" i="17"/>
  <c r="F45" i="17"/>
  <c r="E45" i="17"/>
  <c r="D45" i="17"/>
  <c r="C45" i="17"/>
  <c r="DI44" i="17"/>
  <c r="DH44" i="17"/>
  <c r="DG44" i="17"/>
  <c r="DF44" i="17"/>
  <c r="DE44" i="17"/>
  <c r="DD44" i="17"/>
  <c r="DC44" i="17"/>
  <c r="DB44" i="17"/>
  <c r="DA44" i="17"/>
  <c r="CZ44" i="17"/>
  <c r="CY44" i="17"/>
  <c r="CX44" i="17"/>
  <c r="CW44" i="17"/>
  <c r="CV44" i="17"/>
  <c r="CU44" i="17"/>
  <c r="CT44" i="17"/>
  <c r="CS44" i="17"/>
  <c r="CR44" i="17"/>
  <c r="CQ44" i="17"/>
  <c r="CP44" i="17"/>
  <c r="CO44" i="17"/>
  <c r="CN44" i="17"/>
  <c r="CM44" i="17"/>
  <c r="CL44" i="17"/>
  <c r="CK44" i="17"/>
  <c r="CJ44" i="17"/>
  <c r="CI44" i="17"/>
  <c r="CH44" i="17"/>
  <c r="CG44" i="17"/>
  <c r="CF44" i="17"/>
  <c r="CE44" i="17"/>
  <c r="CD44" i="17"/>
  <c r="CC44" i="17"/>
  <c r="CB44" i="17"/>
  <c r="CA44" i="17"/>
  <c r="BZ44" i="17"/>
  <c r="BY44" i="17"/>
  <c r="BX44" i="17"/>
  <c r="BW44" i="17"/>
  <c r="BV44" i="17"/>
  <c r="BU44" i="17"/>
  <c r="BT44" i="17"/>
  <c r="BS44" i="17"/>
  <c r="BR44" i="17"/>
  <c r="BQ44" i="17"/>
  <c r="BP44" i="17"/>
  <c r="BO44" i="17"/>
  <c r="BN44" i="17"/>
  <c r="BM44" i="17"/>
  <c r="BL44" i="17"/>
  <c r="BK44" i="17"/>
  <c r="BJ44" i="17"/>
  <c r="BI44" i="17"/>
  <c r="BH44" i="17"/>
  <c r="BG44" i="17"/>
  <c r="BF44" i="17"/>
  <c r="BE44" i="17"/>
  <c r="BD44" i="17"/>
  <c r="BC44" i="17"/>
  <c r="BB44" i="17"/>
  <c r="BA44" i="17"/>
  <c r="AZ44" i="17"/>
  <c r="AY44" i="17"/>
  <c r="AX44" i="17"/>
  <c r="AW44" i="17"/>
  <c r="AV44" i="17"/>
  <c r="AU44" i="17"/>
  <c r="AT44" i="17"/>
  <c r="AS44" i="17"/>
  <c r="AR44" i="17"/>
  <c r="AQ44" i="17"/>
  <c r="AP44" i="17"/>
  <c r="AO44" i="17"/>
  <c r="AN44" i="17"/>
  <c r="AM44" i="17"/>
  <c r="AL44" i="17"/>
  <c r="AK44" i="17"/>
  <c r="AJ44" i="17"/>
  <c r="AI44" i="17"/>
  <c r="AH44" i="17"/>
  <c r="AG44" i="17"/>
  <c r="AF44" i="17"/>
  <c r="AE44" i="17"/>
  <c r="AD44" i="17"/>
  <c r="AC44" i="17"/>
  <c r="AB44" i="17"/>
  <c r="AA44" i="17"/>
  <c r="Z44" i="17"/>
  <c r="Y44" i="17"/>
  <c r="X44" i="17"/>
  <c r="W44" i="17"/>
  <c r="V44" i="17"/>
  <c r="U44" i="17"/>
  <c r="T44" i="17"/>
  <c r="S44" i="17"/>
  <c r="R44" i="17"/>
  <c r="Q44" i="17"/>
  <c r="P44" i="17"/>
  <c r="O44" i="17"/>
  <c r="N44" i="17"/>
  <c r="M44" i="17"/>
  <c r="L44" i="17"/>
  <c r="K44" i="17"/>
  <c r="J44" i="17"/>
  <c r="I44" i="17"/>
  <c r="H44" i="17"/>
  <c r="G44" i="17"/>
  <c r="F44" i="17"/>
  <c r="E44" i="17"/>
  <c r="D44" i="17"/>
  <c r="C44" i="17"/>
  <c r="DI40" i="17"/>
  <c r="DH40" i="17"/>
  <c r="DG40" i="17"/>
  <c r="DF40" i="17"/>
  <c r="DE40" i="17"/>
  <c r="DD40" i="17"/>
  <c r="DC40" i="17"/>
  <c r="DB40" i="17"/>
  <c r="DA40" i="17"/>
  <c r="CZ40" i="17"/>
  <c r="CY40" i="17"/>
  <c r="CX40" i="17"/>
  <c r="CW40" i="17"/>
  <c r="CV40" i="17"/>
  <c r="CU40" i="17"/>
  <c r="CT40" i="17"/>
  <c r="CS40" i="17"/>
  <c r="CR40" i="17"/>
  <c r="CQ40" i="17"/>
  <c r="CP40" i="17"/>
  <c r="CO40" i="17"/>
  <c r="CN40" i="17"/>
  <c r="CM40" i="17"/>
  <c r="CL40" i="17"/>
  <c r="CK40" i="17"/>
  <c r="CJ40" i="17"/>
  <c r="CI40" i="17"/>
  <c r="CH40" i="17"/>
  <c r="CG40" i="17"/>
  <c r="CF40" i="17"/>
  <c r="CE40" i="17"/>
  <c r="CD40" i="17"/>
  <c r="CC40" i="17"/>
  <c r="CB40" i="17"/>
  <c r="CA40" i="17"/>
  <c r="BZ40" i="17"/>
  <c r="BY40" i="17"/>
  <c r="BX40" i="17"/>
  <c r="BW40" i="17"/>
  <c r="BV40" i="17"/>
  <c r="BU40" i="17"/>
  <c r="BT40" i="17"/>
  <c r="BS40" i="17"/>
  <c r="BR40" i="17"/>
  <c r="BQ40" i="17"/>
  <c r="BP40" i="17"/>
  <c r="BO40" i="17"/>
  <c r="BN40" i="17"/>
  <c r="BM40" i="17"/>
  <c r="BL40" i="17"/>
  <c r="BK40" i="17"/>
  <c r="BJ40" i="17"/>
  <c r="BI40" i="17"/>
  <c r="BH40" i="17"/>
  <c r="BG40" i="17"/>
  <c r="BF40" i="17"/>
  <c r="BE40" i="17"/>
  <c r="BD40" i="17"/>
  <c r="BC40" i="17"/>
  <c r="BB40" i="17"/>
  <c r="BA40" i="17"/>
  <c r="AZ40" i="17"/>
  <c r="AY40" i="17"/>
  <c r="AX40" i="17"/>
  <c r="AW40" i="17"/>
  <c r="AV40" i="17"/>
  <c r="AU40" i="17"/>
  <c r="AT40" i="17"/>
  <c r="AS40" i="17"/>
  <c r="AR40" i="17"/>
  <c r="AQ40" i="17"/>
  <c r="AP40" i="17"/>
  <c r="AO40" i="17"/>
  <c r="AN40" i="17"/>
  <c r="AM40" i="17"/>
  <c r="AL40" i="17"/>
  <c r="AK40" i="17"/>
  <c r="AJ40" i="17"/>
  <c r="AI40" i="17"/>
  <c r="AH40" i="17"/>
  <c r="AG40" i="17"/>
  <c r="AF40" i="17"/>
  <c r="AE40" i="17"/>
  <c r="AD40" i="17"/>
  <c r="AC40" i="17"/>
  <c r="AB40" i="17"/>
  <c r="AA40" i="17"/>
  <c r="Z40" i="17"/>
  <c r="Y40" i="17"/>
  <c r="X40" i="17"/>
  <c r="W40" i="17"/>
  <c r="V40" i="17"/>
  <c r="U40" i="17"/>
  <c r="T40" i="17"/>
  <c r="S40" i="17"/>
  <c r="R40" i="17"/>
  <c r="Q40" i="17"/>
  <c r="P40" i="17"/>
  <c r="O40" i="17"/>
  <c r="N40" i="17"/>
  <c r="M40" i="17"/>
  <c r="L40" i="17"/>
  <c r="K40" i="17"/>
  <c r="J40" i="17"/>
  <c r="I40" i="17"/>
  <c r="H40" i="17"/>
  <c r="G40" i="17"/>
  <c r="F40" i="17"/>
  <c r="E40" i="17"/>
  <c r="D40" i="17"/>
  <c r="C40" i="17"/>
  <c r="DI39" i="17"/>
  <c r="DI50" i="17" s="1"/>
  <c r="DH39" i="17"/>
  <c r="DH46" i="17" s="1"/>
  <c r="DG39" i="17"/>
  <c r="DG51" i="17" s="1"/>
  <c r="DG76" i="17" s="1"/>
  <c r="DF39" i="17"/>
  <c r="DF50" i="17" s="1"/>
  <c r="DE39" i="17"/>
  <c r="DE50" i="17" s="1"/>
  <c r="DD39" i="17"/>
  <c r="DD50" i="17" s="1"/>
  <c r="DD75" i="17" s="1"/>
  <c r="DC39" i="17"/>
  <c r="DB39" i="17"/>
  <c r="DA39" i="17"/>
  <c r="DA47" i="17" s="1"/>
  <c r="CZ39" i="17"/>
  <c r="CZ47" i="17" s="1"/>
  <c r="CZ72" i="17" s="1"/>
  <c r="CZ97" i="17" s="1"/>
  <c r="CY39" i="17"/>
  <c r="CX39" i="17"/>
  <c r="CX48" i="17" s="1"/>
  <c r="CW39" i="17"/>
  <c r="CW50" i="17" s="1"/>
  <c r="CV39" i="17"/>
  <c r="CU39" i="17"/>
  <c r="CT39" i="17"/>
  <c r="CT50" i="17" s="1"/>
  <c r="CS39" i="17"/>
  <c r="CS50" i="17" s="1"/>
  <c r="CR39" i="17"/>
  <c r="CR50" i="17" s="1"/>
  <c r="CR75" i="17" s="1"/>
  <c r="CQ39" i="17"/>
  <c r="CQ50" i="17" s="1"/>
  <c r="CP39" i="17"/>
  <c r="CP50" i="17" s="1"/>
  <c r="CO39" i="17"/>
  <c r="CO50" i="17" s="1"/>
  <c r="CN39" i="17"/>
  <c r="CN47" i="17" s="1"/>
  <c r="CN72" i="17" s="1"/>
  <c r="CN97" i="17" s="1"/>
  <c r="CM39" i="17"/>
  <c r="CM55" i="17" s="1"/>
  <c r="CM80" i="17" s="1"/>
  <c r="CL39" i="17"/>
  <c r="CL48" i="17" s="1"/>
  <c r="CK39" i="17"/>
  <c r="CK50" i="17" s="1"/>
  <c r="CJ39" i="17"/>
  <c r="CJ48" i="17" s="1"/>
  <c r="CI39" i="17"/>
  <c r="CH39" i="17"/>
  <c r="CH56" i="17" s="1"/>
  <c r="CH81" i="17" s="1"/>
  <c r="CG39" i="17"/>
  <c r="CG56" i="17" s="1"/>
  <c r="CF39" i="17"/>
  <c r="CF54" i="17" s="1"/>
  <c r="CF79" i="17" s="1"/>
  <c r="CE39" i="17"/>
  <c r="CE54" i="17" s="1"/>
  <c r="CD39" i="17"/>
  <c r="CD50" i="17" s="1"/>
  <c r="CC39" i="17"/>
  <c r="CC47" i="17" s="1"/>
  <c r="CB39" i="17"/>
  <c r="CB47" i="17" s="1"/>
  <c r="CB72" i="17" s="1"/>
  <c r="CB97" i="17" s="1"/>
  <c r="CA39" i="17"/>
  <c r="CA55" i="17" s="1"/>
  <c r="CA80" i="17" s="1"/>
  <c r="BZ39" i="17"/>
  <c r="BZ48" i="17" s="1"/>
  <c r="BZ73" i="17" s="1"/>
  <c r="BZ98" i="17" s="1"/>
  <c r="BY39" i="17"/>
  <c r="BY50" i="17" s="1"/>
  <c r="BX39" i="17"/>
  <c r="BW39" i="17"/>
  <c r="BV39" i="17"/>
  <c r="BV50" i="17" s="1"/>
  <c r="BU39" i="17"/>
  <c r="BU50" i="17" s="1"/>
  <c r="BT39" i="17"/>
  <c r="BT50" i="17" s="1"/>
  <c r="BT75" i="17" s="1"/>
  <c r="BS39" i="17"/>
  <c r="BS50" i="17" s="1"/>
  <c r="BR39" i="17"/>
  <c r="BR50" i="17" s="1"/>
  <c r="BQ39" i="17"/>
  <c r="BQ57" i="17" s="1"/>
  <c r="BP39" i="17"/>
  <c r="BP47" i="17" s="1"/>
  <c r="BP72" i="17" s="1"/>
  <c r="BP97" i="17" s="1"/>
  <c r="BO39" i="17"/>
  <c r="BN39" i="17"/>
  <c r="BM39" i="17"/>
  <c r="BM50" i="17" s="1"/>
  <c r="BL39" i="17"/>
  <c r="BK39" i="17"/>
  <c r="BJ39" i="17"/>
  <c r="BJ50" i="17" s="1"/>
  <c r="BJ75" i="17" s="1"/>
  <c r="BI39" i="17"/>
  <c r="BI50" i="17" s="1"/>
  <c r="BH39" i="17"/>
  <c r="BH53" i="17" s="1"/>
  <c r="BG39" i="17"/>
  <c r="BG50" i="17" s="1"/>
  <c r="BF39" i="17"/>
  <c r="BF50" i="17" s="1"/>
  <c r="BE39" i="17"/>
  <c r="BE52" i="17" s="1"/>
  <c r="BD39" i="17"/>
  <c r="BD47" i="17" s="1"/>
  <c r="BD72" i="17" s="1"/>
  <c r="BD97" i="17" s="1"/>
  <c r="BC39" i="17"/>
  <c r="BB39" i="17"/>
  <c r="BB50" i="17" s="1"/>
  <c r="BA39" i="17"/>
  <c r="BA50" i="17" s="1"/>
  <c r="AZ39" i="17"/>
  <c r="AY39" i="17"/>
  <c r="AX39" i="17"/>
  <c r="AX56" i="17" s="1"/>
  <c r="AX81" i="17" s="1"/>
  <c r="AW39" i="17"/>
  <c r="AV39" i="17"/>
  <c r="AU39" i="17"/>
  <c r="AU50" i="17" s="1"/>
  <c r="AT39" i="17"/>
  <c r="AT50" i="17" s="1"/>
  <c r="AS39" i="17"/>
  <c r="AS57" i="17" s="1"/>
  <c r="AR39" i="17"/>
  <c r="AR57" i="17" s="1"/>
  <c r="AR82" i="17" s="1"/>
  <c r="AR105" i="17" s="1"/>
  <c r="AQ39" i="17"/>
  <c r="AP39" i="17"/>
  <c r="AP48" i="17" s="1"/>
  <c r="AO39" i="17"/>
  <c r="AO50" i="17" s="1"/>
  <c r="AN39" i="17"/>
  <c r="AN48" i="17" s="1"/>
  <c r="AM39" i="17"/>
  <c r="AL39" i="17"/>
  <c r="AL50" i="17" s="1"/>
  <c r="AL75" i="17" s="1"/>
  <c r="AK39" i="17"/>
  <c r="AK50" i="17" s="1"/>
  <c r="AJ39" i="17"/>
  <c r="AJ54" i="17" s="1"/>
  <c r="AJ79" i="17" s="1"/>
  <c r="AI39" i="17"/>
  <c r="AI54" i="17" s="1"/>
  <c r="AH39" i="17"/>
  <c r="AH50" i="17" s="1"/>
  <c r="AG39" i="17"/>
  <c r="AG52" i="17" s="1"/>
  <c r="AF39" i="17"/>
  <c r="AF57" i="17" s="1"/>
  <c r="AF82" i="17" s="1"/>
  <c r="AF105" i="17" s="1"/>
  <c r="AE39" i="17"/>
  <c r="AD39" i="17"/>
  <c r="AD50" i="17" s="1"/>
  <c r="AC39" i="17"/>
  <c r="AC50" i="17" s="1"/>
  <c r="AB39" i="17"/>
  <c r="AB48" i="17" s="1"/>
  <c r="AA39" i="17"/>
  <c r="Z39" i="17"/>
  <c r="Z50" i="17" s="1"/>
  <c r="Z75" i="17" s="1"/>
  <c r="Y39" i="17"/>
  <c r="Y50" i="17" s="1"/>
  <c r="X39" i="17"/>
  <c r="X50" i="17" s="1"/>
  <c r="X75" i="17" s="1"/>
  <c r="W39" i="17"/>
  <c r="W50" i="17" s="1"/>
  <c r="V39" i="17"/>
  <c r="V50" i="17" s="1"/>
  <c r="U39" i="17"/>
  <c r="U47" i="17" s="1"/>
  <c r="T39" i="17"/>
  <c r="T57" i="17" s="1"/>
  <c r="T82" i="17" s="1"/>
  <c r="T105" i="17" s="1"/>
  <c r="S39" i="17"/>
  <c r="R39" i="17"/>
  <c r="R50" i="17" s="1"/>
  <c r="Q39" i="17"/>
  <c r="Q53" i="17" s="1"/>
  <c r="P39" i="17"/>
  <c r="P48" i="17" s="1"/>
  <c r="O39" i="17"/>
  <c r="N39" i="17"/>
  <c r="M39" i="17"/>
  <c r="M50" i="17" s="1"/>
  <c r="L39" i="17"/>
  <c r="L50" i="17" s="1"/>
  <c r="L75" i="17" s="1"/>
  <c r="K39" i="17"/>
  <c r="K50" i="17" s="1"/>
  <c r="J39" i="17"/>
  <c r="J50" i="17" s="1"/>
  <c r="I39" i="17"/>
  <c r="I52" i="17" s="1"/>
  <c r="H39" i="17"/>
  <c r="H47" i="17" s="1"/>
  <c r="H72" i="17" s="1"/>
  <c r="H97" i="17" s="1"/>
  <c r="G39" i="17"/>
  <c r="F39" i="17"/>
  <c r="E39" i="17"/>
  <c r="E50" i="17" s="1"/>
  <c r="D39" i="17"/>
  <c r="C39" i="17"/>
  <c r="B15" i="17"/>
  <c r="B3" i="17"/>
  <c r="BQ47" i="17" l="1"/>
  <c r="CQ49" i="17"/>
  <c r="AL46" i="17"/>
  <c r="Q46" i="17"/>
  <c r="Q96" i="17" s="1"/>
  <c r="CK46" i="17"/>
  <c r="DA75" i="17"/>
  <c r="U72" i="17"/>
  <c r="U97" i="17" s="1"/>
  <c r="CC72" i="17"/>
  <c r="CC97" i="17" s="1"/>
  <c r="CO75" i="17"/>
  <c r="DA72" i="17"/>
  <c r="DA97" i="17" s="1"/>
  <c r="X47" i="17"/>
  <c r="X72" i="17" s="1"/>
  <c r="X97" i="17" s="1"/>
  <c r="AC46" i="17"/>
  <c r="DF49" i="17"/>
  <c r="J75" i="17"/>
  <c r="V75" i="17"/>
  <c r="AH75" i="17"/>
  <c r="AT75" i="17"/>
  <c r="BF75" i="17"/>
  <c r="BR75" i="17"/>
  <c r="CD75" i="17"/>
  <c r="CP75" i="17"/>
  <c r="AS47" i="17"/>
  <c r="BM46" i="17"/>
  <c r="BM96" i="17" s="1"/>
  <c r="K75" i="17"/>
  <c r="W75" i="17"/>
  <c r="AI79" i="17"/>
  <c r="AU75" i="17"/>
  <c r="BG75" i="17"/>
  <c r="BS75" i="17"/>
  <c r="CE79" i="17"/>
  <c r="CQ75" i="17"/>
  <c r="R48" i="17"/>
  <c r="R73" i="17" s="1"/>
  <c r="R98" i="17" s="1"/>
  <c r="Z49" i="17"/>
  <c r="Z99" i="17" s="1"/>
  <c r="I50" i="17"/>
  <c r="I75" i="17" s="1"/>
  <c r="BV75" i="17"/>
  <c r="CT75" i="17"/>
  <c r="BQ72" i="17"/>
  <c r="BQ97" i="17" s="1"/>
  <c r="DF46" i="17"/>
  <c r="DF71" i="17" s="1"/>
  <c r="J52" i="17"/>
  <c r="J77" i="17" s="1"/>
  <c r="DF75" i="17"/>
  <c r="DB77" i="17"/>
  <c r="P73" i="17"/>
  <c r="P98" i="17" s="1"/>
  <c r="AB73" i="17"/>
  <c r="AB98" i="17" s="1"/>
  <c r="AN73" i="17"/>
  <c r="AN98" i="17" s="1"/>
  <c r="BL46" i="17"/>
  <c r="BL71" i="17" s="1"/>
  <c r="CJ73" i="17"/>
  <c r="CJ98" i="17" s="1"/>
  <c r="Y49" i="17"/>
  <c r="Y74" i="17" s="1"/>
  <c r="AK49" i="17"/>
  <c r="AK74" i="17" s="1"/>
  <c r="AK100" i="17" s="1"/>
  <c r="BI51" i="17"/>
  <c r="BI76" i="17" s="1"/>
  <c r="BU52" i="17"/>
  <c r="BU77" i="17" s="1"/>
  <c r="CG49" i="17"/>
  <c r="CG74" i="17" s="1"/>
  <c r="CS51" i="17"/>
  <c r="CS76" i="17" s="1"/>
  <c r="DE49" i="17"/>
  <c r="BX73" i="17"/>
  <c r="BX98" i="17" s="1"/>
  <c r="BE50" i="17"/>
  <c r="BE75" i="17" s="1"/>
  <c r="DC72" i="17"/>
  <c r="DC97" i="17" s="1"/>
  <c r="BU51" i="17"/>
  <c r="BU76" i="17" s="1"/>
  <c r="AT52" i="17"/>
  <c r="AT77" i="17" s="1"/>
  <c r="CK96" i="17"/>
  <c r="CK71" i="17"/>
  <c r="CC50" i="17"/>
  <c r="CC75" i="17" s="1"/>
  <c r="E75" i="17"/>
  <c r="AC75" i="17"/>
  <c r="AO75" i="17"/>
  <c r="BA75" i="17"/>
  <c r="BM75" i="17"/>
  <c r="BY75" i="17"/>
  <c r="CK75" i="17"/>
  <c r="CW75" i="17"/>
  <c r="DI75" i="17"/>
  <c r="E46" i="17"/>
  <c r="AX46" i="17"/>
  <c r="AX71" i="17" s="1"/>
  <c r="AX104" i="17" s="1"/>
  <c r="CW46" i="17"/>
  <c r="CW96" i="17" s="1"/>
  <c r="BG47" i="17"/>
  <c r="BG72" i="17" s="1"/>
  <c r="BG97" i="17" s="1"/>
  <c r="CQ47" i="17"/>
  <c r="CQ72" i="17" s="1"/>
  <c r="CQ97" i="17" s="1"/>
  <c r="AV75" i="17"/>
  <c r="CN50" i="17"/>
  <c r="CN75" i="17" s="1"/>
  <c r="AH52" i="17"/>
  <c r="AH77" i="17" s="1"/>
  <c r="BR52" i="17"/>
  <c r="BR77" i="17" s="1"/>
  <c r="AB53" i="17"/>
  <c r="AB78" i="17" s="1"/>
  <c r="K54" i="17"/>
  <c r="K79" i="17" s="1"/>
  <c r="DD54" i="17"/>
  <c r="DD79" i="17" s="1"/>
  <c r="CF47" i="17"/>
  <c r="CF72" i="17" s="1"/>
  <c r="CF97" i="17" s="1"/>
  <c r="BG49" i="17"/>
  <c r="BG99" i="17" s="1"/>
  <c r="R75" i="17"/>
  <c r="AD75" i="17"/>
  <c r="AP73" i="17"/>
  <c r="AP98" i="17" s="1"/>
  <c r="BB75" i="17"/>
  <c r="CL73" i="17"/>
  <c r="CL98" i="17" s="1"/>
  <c r="CX73" i="17"/>
  <c r="CX98" i="17" s="1"/>
  <c r="C51" i="17"/>
  <c r="C76" i="17" s="1"/>
  <c r="AA51" i="17"/>
  <c r="AA76" i="17" s="1"/>
  <c r="AM51" i="17"/>
  <c r="AM76" i="17" s="1"/>
  <c r="AY51" i="17"/>
  <c r="AY76" i="17" s="1"/>
  <c r="BK51" i="17"/>
  <c r="BK76" i="17" s="1"/>
  <c r="CI51" i="17"/>
  <c r="CI76" i="17" s="1"/>
  <c r="CU51" i="17"/>
  <c r="CU76" i="17" s="1"/>
  <c r="BA46" i="17"/>
  <c r="BA71" i="17" s="1"/>
  <c r="BH47" i="17"/>
  <c r="BH72" i="17" s="1"/>
  <c r="BH97" i="17" s="1"/>
  <c r="CR47" i="17"/>
  <c r="CR72" i="17" s="1"/>
  <c r="CR97" i="17" s="1"/>
  <c r="BS49" i="17"/>
  <c r="BS74" i="17" s="1"/>
  <c r="BS100" i="17" s="1"/>
  <c r="AI52" i="17"/>
  <c r="AI77" i="17" s="1"/>
  <c r="AO53" i="17"/>
  <c r="BJ46" i="17"/>
  <c r="BJ96" i="17" s="1"/>
  <c r="W47" i="17"/>
  <c r="W72" i="17" s="1"/>
  <c r="W97" i="17" s="1"/>
  <c r="BN73" i="17"/>
  <c r="BN98" i="17" s="1"/>
  <c r="W49" i="17"/>
  <c r="W74" i="17" s="1"/>
  <c r="W100" i="17" s="1"/>
  <c r="BV49" i="17"/>
  <c r="BV74" i="17" s="1"/>
  <c r="H50" i="17"/>
  <c r="H75" i="17" s="1"/>
  <c r="BD50" i="17"/>
  <c r="BD75" i="17" s="1"/>
  <c r="CZ50" i="17"/>
  <c r="CZ75" i="17" s="1"/>
  <c r="AR52" i="17"/>
  <c r="AR77" i="17" s="1"/>
  <c r="BJ56" i="17"/>
  <c r="BJ81" i="17" s="1"/>
  <c r="U52" i="17"/>
  <c r="U77" i="17" s="1"/>
  <c r="AG77" i="17"/>
  <c r="BE77" i="17"/>
  <c r="DA52" i="17"/>
  <c r="DA77" i="17" s="1"/>
  <c r="Z46" i="17"/>
  <c r="Z96" i="17" s="1"/>
  <c r="AI49" i="17"/>
  <c r="AI74" i="17" s="1"/>
  <c r="BN75" i="17"/>
  <c r="AU52" i="17"/>
  <c r="AU77" i="17" s="1"/>
  <c r="U57" i="17"/>
  <c r="U82" i="17" s="1"/>
  <c r="U105" i="17" s="1"/>
  <c r="I77" i="17"/>
  <c r="AS82" i="17"/>
  <c r="AS105" i="17" s="1"/>
  <c r="BQ82" i="17"/>
  <c r="BQ105" i="17" s="1"/>
  <c r="CO52" i="17"/>
  <c r="CO77" i="17" s="1"/>
  <c r="BN71" i="17"/>
  <c r="AG47" i="17"/>
  <c r="AG72" i="17" s="1"/>
  <c r="AG97" i="17" s="1"/>
  <c r="BS47" i="17"/>
  <c r="BS72" i="17" s="1"/>
  <c r="BS97" i="17" s="1"/>
  <c r="AB46" i="17"/>
  <c r="AB96" i="17" s="1"/>
  <c r="BV46" i="17"/>
  <c r="BV96" i="17" s="1"/>
  <c r="DI46" i="17"/>
  <c r="DI96" i="17" s="1"/>
  <c r="AI47" i="17"/>
  <c r="AI72" i="17" s="1"/>
  <c r="AI97" i="17" s="1"/>
  <c r="BT47" i="17"/>
  <c r="BT72" i="17" s="1"/>
  <c r="BT97" i="17" s="1"/>
  <c r="DD47" i="17"/>
  <c r="DD72" i="17" s="1"/>
  <c r="DD97" i="17" s="1"/>
  <c r="AL49" i="17"/>
  <c r="AL99" i="17" s="1"/>
  <c r="CE49" i="17"/>
  <c r="CE74" i="17" s="1"/>
  <c r="BP50" i="17"/>
  <c r="BP75" i="17" s="1"/>
  <c r="K52" i="17"/>
  <c r="K77" i="17" s="1"/>
  <c r="CP52" i="17"/>
  <c r="CP77" i="17" s="1"/>
  <c r="BH54" i="17"/>
  <c r="BH79" i="17" s="1"/>
  <c r="AG57" i="17"/>
  <c r="AG82" i="17" s="1"/>
  <c r="AG105" i="17" s="1"/>
  <c r="H52" i="17"/>
  <c r="H77" i="17" s="1"/>
  <c r="AJ47" i="17"/>
  <c r="AJ72" i="17" s="1"/>
  <c r="AJ97" i="17" s="1"/>
  <c r="AU49" i="17"/>
  <c r="AU74" i="17" s="1"/>
  <c r="AU100" i="17" s="1"/>
  <c r="CH49" i="17"/>
  <c r="CH99" i="17" s="1"/>
  <c r="T50" i="17"/>
  <c r="T75" i="17" s="1"/>
  <c r="BQ50" i="17"/>
  <c r="BQ75" i="17" s="1"/>
  <c r="AS72" i="17"/>
  <c r="AS97" i="17" s="1"/>
  <c r="U50" i="17"/>
  <c r="U75" i="17" s="1"/>
  <c r="BD52" i="17"/>
  <c r="BD77" i="17" s="1"/>
  <c r="CK53" i="17"/>
  <c r="CK78" i="17" s="1"/>
  <c r="BS54" i="17"/>
  <c r="BS79" i="17" s="1"/>
  <c r="Z56" i="17"/>
  <c r="Z81" i="17" s="1"/>
  <c r="M75" i="17"/>
  <c r="Y75" i="17"/>
  <c r="AK75" i="17"/>
  <c r="BI75" i="17"/>
  <c r="BU75" i="17"/>
  <c r="CG81" i="17"/>
  <c r="CS75" i="17"/>
  <c r="DE75" i="17"/>
  <c r="AN46" i="17"/>
  <c r="AN96" i="17" s="1"/>
  <c r="BY46" i="17"/>
  <c r="BY71" i="17" s="1"/>
  <c r="I47" i="17"/>
  <c r="I72" i="17" s="1"/>
  <c r="I97" i="17" s="1"/>
  <c r="AU47" i="17"/>
  <c r="AU72" i="17" s="1"/>
  <c r="AU97" i="17" s="1"/>
  <c r="CT49" i="17"/>
  <c r="CT74" i="17" s="1"/>
  <c r="CT100" i="17" s="1"/>
  <c r="AF50" i="17"/>
  <c r="AF75" i="17" s="1"/>
  <c r="M51" i="17"/>
  <c r="M76" i="17" s="1"/>
  <c r="CG51" i="17"/>
  <c r="CG76" i="17" s="1"/>
  <c r="T52" i="17"/>
  <c r="T77" i="17" s="1"/>
  <c r="BF52" i="17"/>
  <c r="BF77" i="17" s="1"/>
  <c r="AO46" i="17"/>
  <c r="AO96" i="17" s="1"/>
  <c r="CH46" i="17"/>
  <c r="CH96" i="17" s="1"/>
  <c r="K47" i="17"/>
  <c r="K72" i="17" s="1"/>
  <c r="K97" i="17" s="1"/>
  <c r="AV72" i="17"/>
  <c r="AV97" i="17" s="1"/>
  <c r="CE47" i="17"/>
  <c r="CE72" i="17" s="1"/>
  <c r="CE97" i="17" s="1"/>
  <c r="AX49" i="17"/>
  <c r="AX99" i="17" s="1"/>
  <c r="AG50" i="17"/>
  <c r="AG75" i="17" s="1"/>
  <c r="CB50" i="17"/>
  <c r="CB75" i="17" s="1"/>
  <c r="V52" i="17"/>
  <c r="V77" i="17" s="1"/>
  <c r="BG52" i="17"/>
  <c r="BG77" i="17" s="1"/>
  <c r="CT56" i="17"/>
  <c r="CT81" i="17" s="1"/>
  <c r="L47" i="17"/>
  <c r="L72" i="17" s="1"/>
  <c r="L97" i="17" s="1"/>
  <c r="K49" i="17"/>
  <c r="K74" i="17" s="1"/>
  <c r="AR50" i="17"/>
  <c r="AR75" i="17" s="1"/>
  <c r="W52" i="17"/>
  <c r="W77" i="17" s="1"/>
  <c r="CT46" i="17"/>
  <c r="CT96" i="17" s="1"/>
  <c r="BE47" i="17"/>
  <c r="BE72" i="17" s="1"/>
  <c r="BE97" i="17" s="1"/>
  <c r="CO47" i="17"/>
  <c r="CO72" i="17" s="1"/>
  <c r="CO97" i="17" s="1"/>
  <c r="M49" i="17"/>
  <c r="M74" i="17" s="1"/>
  <c r="BJ49" i="17"/>
  <c r="BJ99" i="17" s="1"/>
  <c r="AS50" i="17"/>
  <c r="AS75" i="17" s="1"/>
  <c r="CL50" i="17"/>
  <c r="CL75" i="17" s="1"/>
  <c r="AK51" i="17"/>
  <c r="DE51" i="17"/>
  <c r="DE76" i="17" s="1"/>
  <c r="AF52" i="17"/>
  <c r="AF77" i="17" s="1"/>
  <c r="BP52" i="17"/>
  <c r="BP77" i="17" s="1"/>
  <c r="BP57" i="17"/>
  <c r="BP82" i="17" s="1"/>
  <c r="BP105" i="17" s="1"/>
  <c r="DE99" i="17"/>
  <c r="DE74" i="17"/>
  <c r="DE100" i="17" s="1"/>
  <c r="BL96" i="17"/>
  <c r="CW71" i="17"/>
  <c r="K99" i="17"/>
  <c r="AW99" i="17"/>
  <c r="AW74" i="17"/>
  <c r="AL96" i="17"/>
  <c r="AL71" i="17"/>
  <c r="AD48" i="17"/>
  <c r="AD73" i="17" s="1"/>
  <c r="AD98" i="17" s="1"/>
  <c r="BI49" i="17"/>
  <c r="CS49" i="17"/>
  <c r="O76" i="17"/>
  <c r="BW76" i="17"/>
  <c r="AN53" i="17"/>
  <c r="AN71" i="17"/>
  <c r="DH96" i="17"/>
  <c r="DH71" i="17"/>
  <c r="W99" i="17"/>
  <c r="Y51" i="17"/>
  <c r="Y76" i="17" s="1"/>
  <c r="M99" i="17"/>
  <c r="D57" i="17"/>
  <c r="D82" i="17" s="1"/>
  <c r="D105" i="17" s="1"/>
  <c r="D54" i="17"/>
  <c r="D79" i="17" s="1"/>
  <c r="D56" i="17"/>
  <c r="D81" i="17" s="1"/>
  <c r="D55" i="17"/>
  <c r="D80" i="17" s="1"/>
  <c r="D50" i="17"/>
  <c r="D75" i="17" s="1"/>
  <c r="D51" i="17"/>
  <c r="D76" i="17" s="1"/>
  <c r="D52" i="17"/>
  <c r="D77" i="17" s="1"/>
  <c r="D47" i="17"/>
  <c r="D72" i="17" s="1"/>
  <c r="D97" i="17" s="1"/>
  <c r="D53" i="17"/>
  <c r="D49" i="17"/>
  <c r="P57" i="17"/>
  <c r="P82" i="17" s="1"/>
  <c r="P105" i="17" s="1"/>
  <c r="P54" i="17"/>
  <c r="P79" i="17" s="1"/>
  <c r="P56" i="17"/>
  <c r="P81" i="17" s="1"/>
  <c r="P55" i="17"/>
  <c r="P80" i="17" s="1"/>
  <c r="P53" i="17"/>
  <c r="P50" i="17"/>
  <c r="P75" i="17" s="1"/>
  <c r="P52" i="17"/>
  <c r="P77" i="17" s="1"/>
  <c r="P47" i="17"/>
  <c r="P72" i="17" s="1"/>
  <c r="P97" i="17" s="1"/>
  <c r="P49" i="17"/>
  <c r="P51" i="17"/>
  <c r="P76" i="17" s="1"/>
  <c r="P101" i="17" s="1"/>
  <c r="AB57" i="17"/>
  <c r="AB82" i="17" s="1"/>
  <c r="AB105" i="17" s="1"/>
  <c r="AB54" i="17"/>
  <c r="AB79" i="17" s="1"/>
  <c r="AB56" i="17"/>
  <c r="AB81" i="17" s="1"/>
  <c r="AB55" i="17"/>
  <c r="AB80" i="17" s="1"/>
  <c r="AB50" i="17"/>
  <c r="AB75" i="17" s="1"/>
  <c r="AB51" i="17"/>
  <c r="AB76" i="17" s="1"/>
  <c r="AB52" i="17"/>
  <c r="AB77" i="17" s="1"/>
  <c r="AB47" i="17"/>
  <c r="AB72" i="17" s="1"/>
  <c r="AB97" i="17" s="1"/>
  <c r="AB49" i="17"/>
  <c r="AN57" i="17"/>
  <c r="AN82" i="17" s="1"/>
  <c r="AN105" i="17" s="1"/>
  <c r="AN54" i="17"/>
  <c r="AN79" i="17" s="1"/>
  <c r="AN56" i="17"/>
  <c r="AN81" i="17" s="1"/>
  <c r="AN55" i="17"/>
  <c r="AN80" i="17" s="1"/>
  <c r="AN50" i="17"/>
  <c r="AN75" i="17" s="1"/>
  <c r="AN52" i="17"/>
  <c r="AN77" i="17" s="1"/>
  <c r="AN47" i="17"/>
  <c r="AN72" i="17" s="1"/>
  <c r="AN97" i="17" s="1"/>
  <c r="AN49" i="17"/>
  <c r="AN51" i="17"/>
  <c r="AN76" i="17" s="1"/>
  <c r="AZ57" i="17"/>
  <c r="AZ82" i="17" s="1"/>
  <c r="AZ105" i="17" s="1"/>
  <c r="AZ54" i="17"/>
  <c r="AZ79" i="17" s="1"/>
  <c r="AZ56" i="17"/>
  <c r="AZ81" i="17" s="1"/>
  <c r="AZ55" i="17"/>
  <c r="AZ80" i="17" s="1"/>
  <c r="AZ50" i="17"/>
  <c r="AZ75" i="17" s="1"/>
  <c r="AZ52" i="17"/>
  <c r="AZ77" i="17" s="1"/>
  <c r="AZ47" i="17"/>
  <c r="AZ72" i="17" s="1"/>
  <c r="AZ97" i="17" s="1"/>
  <c r="AZ53" i="17"/>
  <c r="AZ49" i="17"/>
  <c r="AZ51" i="17"/>
  <c r="AZ76" i="17" s="1"/>
  <c r="BL57" i="17"/>
  <c r="BL82" i="17" s="1"/>
  <c r="BL105" i="17" s="1"/>
  <c r="BL54" i="17"/>
  <c r="BL79" i="17" s="1"/>
  <c r="BL55" i="17"/>
  <c r="BL80" i="17" s="1"/>
  <c r="BL50" i="17"/>
  <c r="BL75" i="17" s="1"/>
  <c r="BL53" i="17"/>
  <c r="BL52" i="17"/>
  <c r="BL77" i="17" s="1"/>
  <c r="BL47" i="17"/>
  <c r="BL72" i="17" s="1"/>
  <c r="BL97" i="17" s="1"/>
  <c r="BL49" i="17"/>
  <c r="BL51" i="17"/>
  <c r="BL76" i="17" s="1"/>
  <c r="CJ57" i="17"/>
  <c r="CJ82" i="17" s="1"/>
  <c r="CJ105" i="17" s="1"/>
  <c r="CJ52" i="17"/>
  <c r="CJ77" i="17" s="1"/>
  <c r="CJ54" i="17"/>
  <c r="CJ79" i="17" s="1"/>
  <c r="CJ56" i="17"/>
  <c r="CJ81" i="17" s="1"/>
  <c r="CJ55" i="17"/>
  <c r="CJ80" i="17" s="1"/>
  <c r="CJ50" i="17"/>
  <c r="CJ75" i="17" s="1"/>
  <c r="CJ47" i="17"/>
  <c r="CJ72" i="17" s="1"/>
  <c r="CJ97" i="17" s="1"/>
  <c r="CJ49" i="17"/>
  <c r="CJ51" i="17"/>
  <c r="CJ76" i="17" s="1"/>
  <c r="CV57" i="17"/>
  <c r="CV82" i="17" s="1"/>
  <c r="CV105" i="17" s="1"/>
  <c r="CV52" i="17"/>
  <c r="CV77" i="17" s="1"/>
  <c r="CV54" i="17"/>
  <c r="CV79" i="17" s="1"/>
  <c r="CV56" i="17"/>
  <c r="CV81" i="17" s="1"/>
  <c r="CV55" i="17"/>
  <c r="CV80" i="17" s="1"/>
  <c r="CV50" i="17"/>
  <c r="CV75" i="17" s="1"/>
  <c r="CV51" i="17"/>
  <c r="CV76" i="17" s="1"/>
  <c r="CV47" i="17"/>
  <c r="CV72" i="17" s="1"/>
  <c r="CV97" i="17" s="1"/>
  <c r="CV49" i="17"/>
  <c r="CV53" i="17"/>
  <c r="DH57" i="17"/>
  <c r="DH82" i="17" s="1"/>
  <c r="DH105" i="17" s="1"/>
  <c r="DH52" i="17"/>
  <c r="DH77" i="17" s="1"/>
  <c r="DH54" i="17"/>
  <c r="DH79" i="17" s="1"/>
  <c r="DH56" i="17"/>
  <c r="DH81" i="17" s="1"/>
  <c r="DH55" i="17"/>
  <c r="DH80" i="17" s="1"/>
  <c r="DH50" i="17"/>
  <c r="DH75" i="17" s="1"/>
  <c r="DH51" i="17"/>
  <c r="DH76" i="17" s="1"/>
  <c r="DH53" i="17"/>
  <c r="DH47" i="17"/>
  <c r="DH72" i="17" s="1"/>
  <c r="DH97" i="17" s="1"/>
  <c r="DH49" i="17"/>
  <c r="BX96" i="17"/>
  <c r="BX71" i="17"/>
  <c r="CV48" i="17"/>
  <c r="CV73" i="17" s="1"/>
  <c r="CV98" i="17" s="1"/>
  <c r="CX50" i="17"/>
  <c r="CX75" i="17" s="1"/>
  <c r="AC96" i="17"/>
  <c r="AC71" i="17"/>
  <c r="Q78" i="17"/>
  <c r="Q102" i="17" s="1"/>
  <c r="D46" i="17"/>
  <c r="DC99" i="17"/>
  <c r="DC74" i="17"/>
  <c r="AK76" i="17"/>
  <c r="F54" i="17"/>
  <c r="F79" i="17" s="1"/>
  <c r="F56" i="17"/>
  <c r="F81" i="17" s="1"/>
  <c r="F53" i="17"/>
  <c r="F57" i="17"/>
  <c r="F82" i="17" s="1"/>
  <c r="F105" i="17" s="1"/>
  <c r="F52" i="17"/>
  <c r="F77" i="17" s="1"/>
  <c r="F47" i="17"/>
  <c r="F72" i="17" s="1"/>
  <c r="F97" i="17" s="1"/>
  <c r="F49" i="17"/>
  <c r="F51" i="17"/>
  <c r="F76" i="17" s="1"/>
  <c r="F46" i="17"/>
  <c r="F55" i="17"/>
  <c r="F80" i="17" s="1"/>
  <c r="R54" i="17"/>
  <c r="R79" i="17" s="1"/>
  <c r="R56" i="17"/>
  <c r="R81" i="17" s="1"/>
  <c r="R53" i="17"/>
  <c r="R57" i="17"/>
  <c r="R82" i="17" s="1"/>
  <c r="R105" i="17" s="1"/>
  <c r="R52" i="17"/>
  <c r="R77" i="17" s="1"/>
  <c r="R47" i="17"/>
  <c r="R72" i="17" s="1"/>
  <c r="R97" i="17" s="1"/>
  <c r="R55" i="17"/>
  <c r="R80" i="17" s="1"/>
  <c r="R49" i="17"/>
  <c r="R51" i="17"/>
  <c r="R76" i="17" s="1"/>
  <c r="R46" i="17"/>
  <c r="AP54" i="17"/>
  <c r="AP79" i="17" s="1"/>
  <c r="AP56" i="17"/>
  <c r="AP81" i="17" s="1"/>
  <c r="AP53" i="17"/>
  <c r="AP57" i="17"/>
  <c r="AP82" i="17" s="1"/>
  <c r="AP105" i="17" s="1"/>
  <c r="AP52" i="17"/>
  <c r="AP77" i="17" s="1"/>
  <c r="AP47" i="17"/>
  <c r="AP72" i="17" s="1"/>
  <c r="AP97" i="17" s="1"/>
  <c r="AP49" i="17"/>
  <c r="AP51" i="17"/>
  <c r="AP76" i="17" s="1"/>
  <c r="AP101" i="17" s="1"/>
  <c r="AP46" i="17"/>
  <c r="AP55" i="17"/>
  <c r="AP80" i="17" s="1"/>
  <c r="BZ54" i="17"/>
  <c r="BZ79" i="17" s="1"/>
  <c r="BZ56" i="17"/>
  <c r="BZ81" i="17" s="1"/>
  <c r="BZ53" i="17"/>
  <c r="BZ57" i="17"/>
  <c r="BZ82" i="17" s="1"/>
  <c r="BZ105" i="17" s="1"/>
  <c r="BZ47" i="17"/>
  <c r="BZ72" i="17" s="1"/>
  <c r="BZ97" i="17" s="1"/>
  <c r="BZ49" i="17"/>
  <c r="BZ52" i="17"/>
  <c r="BZ77" i="17" s="1"/>
  <c r="BZ51" i="17"/>
  <c r="BZ76" i="17" s="1"/>
  <c r="BZ46" i="17"/>
  <c r="BZ55" i="17"/>
  <c r="BZ80" i="17" s="1"/>
  <c r="CL54" i="17"/>
  <c r="CL79" i="17" s="1"/>
  <c r="CL56" i="17"/>
  <c r="CL81" i="17" s="1"/>
  <c r="CL53" i="17"/>
  <c r="CL57" i="17"/>
  <c r="CL82" i="17" s="1"/>
  <c r="CL105" i="17" s="1"/>
  <c r="CL52" i="17"/>
  <c r="CL77" i="17" s="1"/>
  <c r="CL47" i="17"/>
  <c r="CL72" i="17" s="1"/>
  <c r="CL97" i="17" s="1"/>
  <c r="CL49" i="17"/>
  <c r="CL51" i="17"/>
  <c r="CL76" i="17" s="1"/>
  <c r="CL46" i="17"/>
  <c r="CL55" i="17"/>
  <c r="CL80" i="17" s="1"/>
  <c r="CX54" i="17"/>
  <c r="CX79" i="17" s="1"/>
  <c r="CX56" i="17"/>
  <c r="CX81" i="17" s="1"/>
  <c r="CX53" i="17"/>
  <c r="CX57" i="17"/>
  <c r="CX82" i="17" s="1"/>
  <c r="CX105" i="17" s="1"/>
  <c r="CX52" i="17"/>
  <c r="CX77" i="17" s="1"/>
  <c r="CX47" i="17"/>
  <c r="CX72" i="17" s="1"/>
  <c r="CX97" i="17" s="1"/>
  <c r="CX49" i="17"/>
  <c r="CX51" i="17"/>
  <c r="CX76" i="17" s="1"/>
  <c r="CX46" i="17"/>
  <c r="CX55" i="17"/>
  <c r="CX80" i="17" s="1"/>
  <c r="E96" i="17"/>
  <c r="E71" i="17"/>
  <c r="AW73" i="17"/>
  <c r="AW98" i="17" s="1"/>
  <c r="AI99" i="17"/>
  <c r="BU49" i="17"/>
  <c r="AD54" i="17"/>
  <c r="AD79" i="17" s="1"/>
  <c r="AD56" i="17"/>
  <c r="AD81" i="17" s="1"/>
  <c r="AD53" i="17"/>
  <c r="AD57" i="17"/>
  <c r="AD82" i="17" s="1"/>
  <c r="AD105" i="17" s="1"/>
  <c r="AD52" i="17"/>
  <c r="AD77" i="17" s="1"/>
  <c r="AD55" i="17"/>
  <c r="AD80" i="17" s="1"/>
  <c r="AD47" i="17"/>
  <c r="AD72" i="17" s="1"/>
  <c r="AD97" i="17" s="1"/>
  <c r="AD49" i="17"/>
  <c r="AD51" i="17"/>
  <c r="AD76" i="17" s="1"/>
  <c r="AD46" i="17"/>
  <c r="BB54" i="17"/>
  <c r="BB79" i="17" s="1"/>
  <c r="BB56" i="17"/>
  <c r="BB81" i="17" s="1"/>
  <c r="BB53" i="17"/>
  <c r="BB57" i="17"/>
  <c r="BB82" i="17" s="1"/>
  <c r="BB105" i="17" s="1"/>
  <c r="BB52" i="17"/>
  <c r="BB77" i="17" s="1"/>
  <c r="BB47" i="17"/>
  <c r="BB72" i="17" s="1"/>
  <c r="BB97" i="17" s="1"/>
  <c r="BB49" i="17"/>
  <c r="BB51" i="17"/>
  <c r="BB76" i="17" s="1"/>
  <c r="BB46" i="17"/>
  <c r="BB55" i="17"/>
  <c r="BB80" i="17" s="1"/>
  <c r="G54" i="17"/>
  <c r="G79" i="17" s="1"/>
  <c r="G56" i="17"/>
  <c r="G81" i="17" s="1"/>
  <c r="G53" i="17"/>
  <c r="G57" i="17"/>
  <c r="G82" i="17" s="1"/>
  <c r="G105" i="17" s="1"/>
  <c r="G47" i="17"/>
  <c r="G72" i="17" s="1"/>
  <c r="G97" i="17" s="1"/>
  <c r="G48" i="17"/>
  <c r="G73" i="17" s="1"/>
  <c r="G98" i="17" s="1"/>
  <c r="G49" i="17"/>
  <c r="G51" i="17"/>
  <c r="G76" i="17" s="1"/>
  <c r="G46" i="17"/>
  <c r="G55" i="17"/>
  <c r="G80" i="17" s="1"/>
  <c r="G50" i="17"/>
  <c r="G75" i="17" s="1"/>
  <c r="G52" i="17"/>
  <c r="G77" i="17" s="1"/>
  <c r="S54" i="17"/>
  <c r="S79" i="17" s="1"/>
  <c r="S56" i="17"/>
  <c r="S81" i="17" s="1"/>
  <c r="S53" i="17"/>
  <c r="S57" i="17"/>
  <c r="S82" i="17" s="1"/>
  <c r="S105" i="17" s="1"/>
  <c r="S47" i="17"/>
  <c r="S72" i="17" s="1"/>
  <c r="S97" i="17" s="1"/>
  <c r="S55" i="17"/>
  <c r="S80" i="17" s="1"/>
  <c r="S49" i="17"/>
  <c r="S48" i="17"/>
  <c r="S73" i="17" s="1"/>
  <c r="S98" i="17" s="1"/>
  <c r="S51" i="17"/>
  <c r="S76" i="17" s="1"/>
  <c r="S46" i="17"/>
  <c r="S50" i="17"/>
  <c r="S75" i="17" s="1"/>
  <c r="S52" i="17"/>
  <c r="S77" i="17" s="1"/>
  <c r="AE54" i="17"/>
  <c r="AE79" i="17" s="1"/>
  <c r="AE56" i="17"/>
  <c r="AE81" i="17" s="1"/>
  <c r="AE53" i="17"/>
  <c r="AE57" i="17"/>
  <c r="AE82" i="17" s="1"/>
  <c r="AE105" i="17" s="1"/>
  <c r="AE55" i="17"/>
  <c r="AE80" i="17" s="1"/>
  <c r="AE47" i="17"/>
  <c r="AE72" i="17" s="1"/>
  <c r="AE97" i="17" s="1"/>
  <c r="AE48" i="17"/>
  <c r="AE73" i="17" s="1"/>
  <c r="AE98" i="17" s="1"/>
  <c r="AE49" i="17"/>
  <c r="AE51" i="17"/>
  <c r="AE76" i="17" s="1"/>
  <c r="AE46" i="17"/>
  <c r="AE50" i="17"/>
  <c r="AE75" i="17" s="1"/>
  <c r="AE52" i="17"/>
  <c r="AE77" i="17" s="1"/>
  <c r="AQ54" i="17"/>
  <c r="AQ79" i="17" s="1"/>
  <c r="AQ56" i="17"/>
  <c r="AQ81" i="17" s="1"/>
  <c r="AQ53" i="17"/>
  <c r="AQ57" i="17"/>
  <c r="AQ82" i="17" s="1"/>
  <c r="AQ105" i="17" s="1"/>
  <c r="AQ47" i="17"/>
  <c r="AQ72" i="17" s="1"/>
  <c r="AQ97" i="17" s="1"/>
  <c r="AQ49" i="17"/>
  <c r="AQ51" i="17"/>
  <c r="AQ76" i="17" s="1"/>
  <c r="AQ48" i="17"/>
  <c r="AQ73" i="17" s="1"/>
  <c r="AQ98" i="17" s="1"/>
  <c r="AQ46" i="17"/>
  <c r="AQ50" i="17"/>
  <c r="AQ75" i="17" s="1"/>
  <c r="AQ52" i="17"/>
  <c r="AQ77" i="17" s="1"/>
  <c r="BC54" i="17"/>
  <c r="BC79" i="17" s="1"/>
  <c r="BC56" i="17"/>
  <c r="BC81" i="17" s="1"/>
  <c r="BC53" i="17"/>
  <c r="BC57" i="17"/>
  <c r="BC82" i="17" s="1"/>
  <c r="BC105" i="17" s="1"/>
  <c r="BC47" i="17"/>
  <c r="BC72" i="17" s="1"/>
  <c r="BC97" i="17" s="1"/>
  <c r="BC49" i="17"/>
  <c r="BC51" i="17"/>
  <c r="BC76" i="17" s="1"/>
  <c r="BC46" i="17"/>
  <c r="BC55" i="17"/>
  <c r="BC80" i="17" s="1"/>
  <c r="BC48" i="17"/>
  <c r="BC73" i="17" s="1"/>
  <c r="BC98" i="17" s="1"/>
  <c r="BC50" i="17"/>
  <c r="BC75" i="17" s="1"/>
  <c r="BC52" i="17"/>
  <c r="BC77" i="17" s="1"/>
  <c r="BO54" i="17"/>
  <c r="BO79" i="17" s="1"/>
  <c r="BO56" i="17"/>
  <c r="BO81" i="17" s="1"/>
  <c r="BO53" i="17"/>
  <c r="BO57" i="17"/>
  <c r="BO82" i="17" s="1"/>
  <c r="BO105" i="17" s="1"/>
  <c r="BO47" i="17"/>
  <c r="BO72" i="17" s="1"/>
  <c r="BO97" i="17" s="1"/>
  <c r="BO55" i="17"/>
  <c r="BO80" i="17" s="1"/>
  <c r="BO49" i="17"/>
  <c r="BO51" i="17"/>
  <c r="BO76" i="17" s="1"/>
  <c r="BO46" i="17"/>
  <c r="BO48" i="17"/>
  <c r="BO73" i="17" s="1"/>
  <c r="BO98" i="17" s="1"/>
  <c r="BO50" i="17"/>
  <c r="BO75" i="17" s="1"/>
  <c r="BO52" i="17"/>
  <c r="BO77" i="17" s="1"/>
  <c r="CA54" i="17"/>
  <c r="CA79" i="17" s="1"/>
  <c r="CA56" i="17"/>
  <c r="CA81" i="17" s="1"/>
  <c r="CA53" i="17"/>
  <c r="CA57" i="17"/>
  <c r="CA82" i="17" s="1"/>
  <c r="CA105" i="17" s="1"/>
  <c r="CA47" i="17"/>
  <c r="CA72" i="17" s="1"/>
  <c r="CA97" i="17" s="1"/>
  <c r="CA49" i="17"/>
  <c r="CA46" i="17"/>
  <c r="CA50" i="17"/>
  <c r="CA75" i="17" s="1"/>
  <c r="CA48" i="17"/>
  <c r="CA73" i="17" s="1"/>
  <c r="CA98" i="17" s="1"/>
  <c r="CM54" i="17"/>
  <c r="CM79" i="17" s="1"/>
  <c r="CM56" i="17"/>
  <c r="CM81" i="17" s="1"/>
  <c r="CM53" i="17"/>
  <c r="CM57" i="17"/>
  <c r="CM82" i="17" s="1"/>
  <c r="CM105" i="17" s="1"/>
  <c r="CM52" i="17"/>
  <c r="CM77" i="17" s="1"/>
  <c r="CM47" i="17"/>
  <c r="CM72" i="17" s="1"/>
  <c r="CM97" i="17" s="1"/>
  <c r="CM49" i="17"/>
  <c r="CM48" i="17"/>
  <c r="CM73" i="17" s="1"/>
  <c r="CM98" i="17" s="1"/>
  <c r="CM51" i="17"/>
  <c r="CM76" i="17" s="1"/>
  <c r="CM46" i="17"/>
  <c r="CM50" i="17"/>
  <c r="CM75" i="17" s="1"/>
  <c r="CY54" i="17"/>
  <c r="CY79" i="17" s="1"/>
  <c r="CY56" i="17"/>
  <c r="CY81" i="17" s="1"/>
  <c r="CY53" i="17"/>
  <c r="CY57" i="17"/>
  <c r="CY82" i="17" s="1"/>
  <c r="CY105" i="17" s="1"/>
  <c r="CY52" i="17"/>
  <c r="CY77" i="17" s="1"/>
  <c r="CY47" i="17"/>
  <c r="CY72" i="17" s="1"/>
  <c r="CY97" i="17" s="1"/>
  <c r="CY48" i="17"/>
  <c r="CY73" i="17" s="1"/>
  <c r="CY98" i="17" s="1"/>
  <c r="CY49" i="17"/>
  <c r="CY51" i="17"/>
  <c r="CY76" i="17" s="1"/>
  <c r="CY46" i="17"/>
  <c r="CY55" i="17"/>
  <c r="CY80" i="17" s="1"/>
  <c r="CY50" i="17"/>
  <c r="CY75" i="17" s="1"/>
  <c r="N96" i="17"/>
  <c r="N71" i="17"/>
  <c r="AX96" i="17"/>
  <c r="CJ46" i="17"/>
  <c r="D48" i="17"/>
  <c r="D73" i="17" s="1"/>
  <c r="D98" i="17" s="1"/>
  <c r="AZ48" i="17"/>
  <c r="AZ73" i="17" s="1"/>
  <c r="AZ98" i="17" s="1"/>
  <c r="CQ99" i="17"/>
  <c r="CQ74" i="17"/>
  <c r="CQ100" i="17" s="1"/>
  <c r="AZ46" i="17"/>
  <c r="F48" i="17"/>
  <c r="F73" i="17" s="1"/>
  <c r="F98" i="17" s="1"/>
  <c r="BB48" i="17"/>
  <c r="BB73" i="17" s="1"/>
  <c r="BB98" i="17" s="1"/>
  <c r="DH48" i="17"/>
  <c r="DH73" i="17" s="1"/>
  <c r="DH98" i="17" s="1"/>
  <c r="AW76" i="17"/>
  <c r="BX78" i="17"/>
  <c r="BX102" i="17" s="1"/>
  <c r="AQ55" i="17"/>
  <c r="AQ80" i="17" s="1"/>
  <c r="P46" i="17"/>
  <c r="AW72" i="17"/>
  <c r="AW97" i="17" s="1"/>
  <c r="BL48" i="17"/>
  <c r="BL73" i="17" s="1"/>
  <c r="BL98" i="17" s="1"/>
  <c r="AP50" i="17"/>
  <c r="AP75" i="17" s="1"/>
  <c r="CJ53" i="17"/>
  <c r="CV46" i="17"/>
  <c r="CE99" i="17"/>
  <c r="F50" i="17"/>
  <c r="F75" i="17" s="1"/>
  <c r="BZ50" i="17"/>
  <c r="BZ75" i="17" s="1"/>
  <c r="AW80" i="17"/>
  <c r="Q71" i="17"/>
  <c r="C57" i="17"/>
  <c r="C82" i="17" s="1"/>
  <c r="C105" i="17" s="1"/>
  <c r="C54" i="17"/>
  <c r="C79" i="17" s="1"/>
  <c r="C56" i="17"/>
  <c r="C81" i="17" s="1"/>
  <c r="C53" i="17"/>
  <c r="C55" i="17"/>
  <c r="C80" i="17" s="1"/>
  <c r="AA57" i="17"/>
  <c r="AA82" i="17" s="1"/>
  <c r="AA105" i="17" s="1"/>
  <c r="AA54" i="17"/>
  <c r="AA79" i="17" s="1"/>
  <c r="AA56" i="17"/>
  <c r="AA81" i="17" s="1"/>
  <c r="AA53" i="17"/>
  <c r="AA55" i="17"/>
  <c r="AA80" i="17" s="1"/>
  <c r="AM57" i="17"/>
  <c r="AM82" i="17" s="1"/>
  <c r="AM105" i="17" s="1"/>
  <c r="AM54" i="17"/>
  <c r="AM79" i="17" s="1"/>
  <c r="AM56" i="17"/>
  <c r="AM81" i="17" s="1"/>
  <c r="AM53" i="17"/>
  <c r="AM55" i="17"/>
  <c r="AM80" i="17" s="1"/>
  <c r="AY57" i="17"/>
  <c r="AY82" i="17" s="1"/>
  <c r="AY105" i="17" s="1"/>
  <c r="AY54" i="17"/>
  <c r="AY79" i="17" s="1"/>
  <c r="AY56" i="17"/>
  <c r="AY81" i="17" s="1"/>
  <c r="AY53" i="17"/>
  <c r="AY55" i="17"/>
  <c r="AY80" i="17" s="1"/>
  <c r="BK57" i="17"/>
  <c r="BK82" i="17" s="1"/>
  <c r="BK105" i="17" s="1"/>
  <c r="BK54" i="17"/>
  <c r="BK79" i="17" s="1"/>
  <c r="BK56" i="17"/>
  <c r="BK81" i="17" s="1"/>
  <c r="BK53" i="17"/>
  <c r="BK55" i="17"/>
  <c r="BK80" i="17" s="1"/>
  <c r="CI57" i="17"/>
  <c r="CI82" i="17" s="1"/>
  <c r="CI105" i="17" s="1"/>
  <c r="CI52" i="17"/>
  <c r="CI77" i="17" s="1"/>
  <c r="CI101" i="17" s="1"/>
  <c r="CI54" i="17"/>
  <c r="CI79" i="17" s="1"/>
  <c r="CI56" i="17"/>
  <c r="CI81" i="17" s="1"/>
  <c r="CI53" i="17"/>
  <c r="CI55" i="17"/>
  <c r="CI80" i="17" s="1"/>
  <c r="CU57" i="17"/>
  <c r="CU82" i="17" s="1"/>
  <c r="CU105" i="17" s="1"/>
  <c r="CU52" i="17"/>
  <c r="CU77" i="17" s="1"/>
  <c r="CU54" i="17"/>
  <c r="CU79" i="17" s="1"/>
  <c r="CU56" i="17"/>
  <c r="CU81" i="17" s="1"/>
  <c r="CU53" i="17"/>
  <c r="CU55" i="17"/>
  <c r="CU80" i="17" s="1"/>
  <c r="DG57" i="17"/>
  <c r="DG82" i="17" s="1"/>
  <c r="DG105" i="17" s="1"/>
  <c r="DG52" i="17"/>
  <c r="DG77" i="17" s="1"/>
  <c r="DG101" i="17" s="1"/>
  <c r="DG54" i="17"/>
  <c r="DG79" i="17" s="1"/>
  <c r="DG56" i="17"/>
  <c r="DG81" i="17" s="1"/>
  <c r="DG53" i="17"/>
  <c r="DG55" i="17"/>
  <c r="DG80" i="17" s="1"/>
  <c r="M46" i="17"/>
  <c r="Y46" i="17"/>
  <c r="AK46" i="17"/>
  <c r="AW96" i="17"/>
  <c r="AW71" i="17"/>
  <c r="BI46" i="17"/>
  <c r="BU46" i="17"/>
  <c r="CG46" i="17"/>
  <c r="CS46" i="17"/>
  <c r="DE46" i="17"/>
  <c r="T47" i="17"/>
  <c r="T72" i="17" s="1"/>
  <c r="T97" i="17" s="1"/>
  <c r="AF47" i="17"/>
  <c r="AF72" i="17" s="1"/>
  <c r="AF97" i="17" s="1"/>
  <c r="AR47" i="17"/>
  <c r="AR72" i="17" s="1"/>
  <c r="AR97" i="17" s="1"/>
  <c r="C48" i="17"/>
  <c r="C73" i="17" s="1"/>
  <c r="C98" i="17" s="1"/>
  <c r="O73" i="17"/>
  <c r="O98" i="17" s="1"/>
  <c r="AA48" i="17"/>
  <c r="AA73" i="17" s="1"/>
  <c r="AA98" i="17" s="1"/>
  <c r="AM48" i="17"/>
  <c r="AM73" i="17" s="1"/>
  <c r="AM98" i="17" s="1"/>
  <c r="AY48" i="17"/>
  <c r="AY73" i="17" s="1"/>
  <c r="AY98" i="17" s="1"/>
  <c r="BK48" i="17"/>
  <c r="BK73" i="17" s="1"/>
  <c r="BK98" i="17" s="1"/>
  <c r="BW73" i="17"/>
  <c r="BW98" i="17" s="1"/>
  <c r="CI48" i="17"/>
  <c r="CI73" i="17" s="1"/>
  <c r="CI98" i="17" s="1"/>
  <c r="CU48" i="17"/>
  <c r="CU73" i="17" s="1"/>
  <c r="CU98" i="17" s="1"/>
  <c r="DG48" i="17"/>
  <c r="DG73" i="17" s="1"/>
  <c r="DG98" i="17" s="1"/>
  <c r="J49" i="17"/>
  <c r="V49" i="17"/>
  <c r="AH49" i="17"/>
  <c r="AT49" i="17"/>
  <c r="BF49" i="17"/>
  <c r="BR49" i="17"/>
  <c r="CD49" i="17"/>
  <c r="CP49" i="17"/>
  <c r="DB99" i="17"/>
  <c r="DB74" i="17"/>
  <c r="Q50" i="17"/>
  <c r="Q75" i="17" s="1"/>
  <c r="L51" i="17"/>
  <c r="L76" i="17" s="1"/>
  <c r="X51" i="17"/>
  <c r="X76" i="17" s="1"/>
  <c r="AJ51" i="17"/>
  <c r="AJ76" i="17" s="1"/>
  <c r="AV76" i="17"/>
  <c r="BH51" i="17"/>
  <c r="BH76" i="17" s="1"/>
  <c r="BT51" i="17"/>
  <c r="BT76" i="17" s="1"/>
  <c r="CF51" i="17"/>
  <c r="CF76" i="17" s="1"/>
  <c r="CR51" i="17"/>
  <c r="CR76" i="17" s="1"/>
  <c r="DD51" i="17"/>
  <c r="DD76" i="17" s="1"/>
  <c r="BG54" i="17"/>
  <c r="BG79" i="17" s="1"/>
  <c r="DC79" i="17"/>
  <c r="N81" i="17"/>
  <c r="BI81" i="17"/>
  <c r="CS56" i="17"/>
  <c r="CS81" i="17" s="1"/>
  <c r="E54" i="17"/>
  <c r="E79" i="17" s="1"/>
  <c r="E55" i="17"/>
  <c r="E80" i="17" s="1"/>
  <c r="E57" i="17"/>
  <c r="E82" i="17" s="1"/>
  <c r="E105" i="17" s="1"/>
  <c r="Q54" i="17"/>
  <c r="Q79" i="17" s="1"/>
  <c r="Q56" i="17"/>
  <c r="Q81" i="17" s="1"/>
  <c r="Q104" i="17" s="1"/>
  <c r="Q55" i="17"/>
  <c r="Q80" i="17" s="1"/>
  <c r="Q103" i="17" s="1"/>
  <c r="Q57" i="17"/>
  <c r="Q82" i="17" s="1"/>
  <c r="Q105" i="17" s="1"/>
  <c r="AC54" i="17"/>
  <c r="AC79" i="17" s="1"/>
  <c r="AC56" i="17"/>
  <c r="AC81" i="17" s="1"/>
  <c r="AC55" i="17"/>
  <c r="AC80" i="17" s="1"/>
  <c r="AC57" i="17"/>
  <c r="AC82" i="17" s="1"/>
  <c r="AC105" i="17" s="1"/>
  <c r="AO54" i="17"/>
  <c r="AO79" i="17" s="1"/>
  <c r="AO56" i="17"/>
  <c r="AO81" i="17" s="1"/>
  <c r="AO55" i="17"/>
  <c r="AO80" i="17" s="1"/>
  <c r="AO57" i="17"/>
  <c r="AO82" i="17" s="1"/>
  <c r="AO105" i="17" s="1"/>
  <c r="BA54" i="17"/>
  <c r="BA79" i="17" s="1"/>
  <c r="BA56" i="17"/>
  <c r="BA81" i="17" s="1"/>
  <c r="BA55" i="17"/>
  <c r="BA80" i="17" s="1"/>
  <c r="BA57" i="17"/>
  <c r="BA82" i="17" s="1"/>
  <c r="BA105" i="17" s="1"/>
  <c r="BM54" i="17"/>
  <c r="BM79" i="17" s="1"/>
  <c r="BM55" i="17"/>
  <c r="BM80" i="17" s="1"/>
  <c r="BM57" i="17"/>
  <c r="BM82" i="17" s="1"/>
  <c r="BM105" i="17" s="1"/>
  <c r="BY52" i="17"/>
  <c r="BY77" i="17" s="1"/>
  <c r="BY54" i="17"/>
  <c r="BY79" i="17" s="1"/>
  <c r="BY56" i="17"/>
  <c r="BY81" i="17" s="1"/>
  <c r="BY55" i="17"/>
  <c r="BY80" i="17" s="1"/>
  <c r="BY57" i="17"/>
  <c r="BY82" i="17" s="1"/>
  <c r="BY105" i="17" s="1"/>
  <c r="CK52" i="17"/>
  <c r="CK77" i="17" s="1"/>
  <c r="CK54" i="17"/>
  <c r="CK79" i="17" s="1"/>
  <c r="CK55" i="17"/>
  <c r="CK80" i="17" s="1"/>
  <c r="CK103" i="17" s="1"/>
  <c r="CK57" i="17"/>
  <c r="CK82" i="17" s="1"/>
  <c r="CK105" i="17" s="1"/>
  <c r="CW52" i="17"/>
  <c r="CW77" i="17" s="1"/>
  <c r="CW54" i="17"/>
  <c r="CW79" i="17" s="1"/>
  <c r="CW56" i="17"/>
  <c r="CW81" i="17" s="1"/>
  <c r="CW55" i="17"/>
  <c r="CW80" i="17" s="1"/>
  <c r="CW57" i="17"/>
  <c r="CW82" i="17" s="1"/>
  <c r="CW105" i="17" s="1"/>
  <c r="DI52" i="17"/>
  <c r="DI77" i="17" s="1"/>
  <c r="DI54" i="17"/>
  <c r="DI79" i="17" s="1"/>
  <c r="DI56" i="17"/>
  <c r="DI81" i="17" s="1"/>
  <c r="DI55" i="17"/>
  <c r="DI80" i="17" s="1"/>
  <c r="DI57" i="17"/>
  <c r="DI82" i="17" s="1"/>
  <c r="DI105" i="17" s="1"/>
  <c r="C46" i="17"/>
  <c r="O96" i="17"/>
  <c r="O71" i="17"/>
  <c r="AA46" i="17"/>
  <c r="AM46" i="17"/>
  <c r="AY46" i="17"/>
  <c r="BK46" i="17"/>
  <c r="BW96" i="17"/>
  <c r="BW71" i="17"/>
  <c r="CI46" i="17"/>
  <c r="CU46" i="17"/>
  <c r="DG46" i="17"/>
  <c r="J47" i="17"/>
  <c r="J72" i="17" s="1"/>
  <c r="J97" i="17" s="1"/>
  <c r="V47" i="17"/>
  <c r="V72" i="17" s="1"/>
  <c r="V97" i="17" s="1"/>
  <c r="AH47" i="17"/>
  <c r="AH72" i="17" s="1"/>
  <c r="AH97" i="17" s="1"/>
  <c r="AT47" i="17"/>
  <c r="AT72" i="17" s="1"/>
  <c r="AT97" i="17" s="1"/>
  <c r="BF47" i="17"/>
  <c r="BF72" i="17" s="1"/>
  <c r="BF97" i="17" s="1"/>
  <c r="BR47" i="17"/>
  <c r="BR72" i="17" s="1"/>
  <c r="BR97" i="17" s="1"/>
  <c r="CD47" i="17"/>
  <c r="CD72" i="17" s="1"/>
  <c r="CD97" i="17" s="1"/>
  <c r="CP47" i="17"/>
  <c r="CP72" i="17" s="1"/>
  <c r="CP97" i="17" s="1"/>
  <c r="DB72" i="17"/>
  <c r="DB97" i="17" s="1"/>
  <c r="E48" i="17"/>
  <c r="E73" i="17" s="1"/>
  <c r="E98" i="17" s="1"/>
  <c r="Q48" i="17"/>
  <c r="Q73" i="17" s="1"/>
  <c r="Q98" i="17" s="1"/>
  <c r="AC48" i="17"/>
  <c r="AC73" i="17" s="1"/>
  <c r="AC98" i="17" s="1"/>
  <c r="AO48" i="17"/>
  <c r="AO73" i="17" s="1"/>
  <c r="AO98" i="17" s="1"/>
  <c r="BA48" i="17"/>
  <c r="BA73" i="17" s="1"/>
  <c r="BA98" i="17" s="1"/>
  <c r="BM48" i="17"/>
  <c r="BM73" i="17" s="1"/>
  <c r="BM98" i="17" s="1"/>
  <c r="BY48" i="17"/>
  <c r="BY73" i="17" s="1"/>
  <c r="BY98" i="17" s="1"/>
  <c r="CK48" i="17"/>
  <c r="CK73" i="17" s="1"/>
  <c r="CK98" i="17" s="1"/>
  <c r="CW48" i="17"/>
  <c r="CW73" i="17" s="1"/>
  <c r="CW98" i="17" s="1"/>
  <c r="DI48" i="17"/>
  <c r="DI73" i="17" s="1"/>
  <c r="DI98" i="17" s="1"/>
  <c r="L49" i="17"/>
  <c r="X49" i="17"/>
  <c r="AJ49" i="17"/>
  <c r="AV99" i="17"/>
  <c r="AV74" i="17"/>
  <c r="BH49" i="17"/>
  <c r="BT49" i="17"/>
  <c r="CF49" i="17"/>
  <c r="CR49" i="17"/>
  <c r="DD49" i="17"/>
  <c r="N76" i="17"/>
  <c r="Z51" i="17"/>
  <c r="Z76" i="17" s="1"/>
  <c r="AL51" i="17"/>
  <c r="AL76" i="17" s="1"/>
  <c r="AX51" i="17"/>
  <c r="AX76" i="17" s="1"/>
  <c r="BJ51" i="17"/>
  <c r="BJ76" i="17" s="1"/>
  <c r="BV51" i="17"/>
  <c r="BV76" i="17" s="1"/>
  <c r="CH51" i="17"/>
  <c r="CH76" i="17" s="1"/>
  <c r="CT51" i="17"/>
  <c r="CT76" i="17" s="1"/>
  <c r="DF51" i="17"/>
  <c r="DF76" i="17" s="1"/>
  <c r="AS52" i="17"/>
  <c r="AS77" i="17" s="1"/>
  <c r="BQ52" i="17"/>
  <c r="BQ77" i="17" s="1"/>
  <c r="AC53" i="17"/>
  <c r="BY53" i="17"/>
  <c r="L54" i="17"/>
  <c r="L79" i="17" s="1"/>
  <c r="BN79" i="17"/>
  <c r="Y56" i="17"/>
  <c r="Y81" i="17" s="1"/>
  <c r="AO78" i="17"/>
  <c r="BT54" i="17"/>
  <c r="BT79" i="17" s="1"/>
  <c r="DE56" i="17"/>
  <c r="DE81" i="17" s="1"/>
  <c r="H56" i="17"/>
  <c r="H81" i="17" s="1"/>
  <c r="H53" i="17"/>
  <c r="H55" i="17"/>
  <c r="H80" i="17" s="1"/>
  <c r="H54" i="17"/>
  <c r="H79" i="17" s="1"/>
  <c r="T56" i="17"/>
  <c r="T81" i="17" s="1"/>
  <c r="T53" i="17"/>
  <c r="T55" i="17"/>
  <c r="T80" i="17" s="1"/>
  <c r="T54" i="17"/>
  <c r="T79" i="17" s="1"/>
  <c r="AF56" i="17"/>
  <c r="AF81" i="17" s="1"/>
  <c r="AF53" i="17"/>
  <c r="AF55" i="17"/>
  <c r="AF80" i="17" s="1"/>
  <c r="AF54" i="17"/>
  <c r="AF79" i="17" s="1"/>
  <c r="AR56" i="17"/>
  <c r="AR81" i="17" s="1"/>
  <c r="AR53" i="17"/>
  <c r="AR55" i="17"/>
  <c r="AR80" i="17" s="1"/>
  <c r="AR54" i="17"/>
  <c r="AR79" i="17" s="1"/>
  <c r="BD56" i="17"/>
  <c r="BD81" i="17" s="1"/>
  <c r="BD53" i="17"/>
  <c r="BD55" i="17"/>
  <c r="BD80" i="17" s="1"/>
  <c r="BD54" i="17"/>
  <c r="BD79" i="17" s="1"/>
  <c r="BP56" i="17"/>
  <c r="BP81" i="17" s="1"/>
  <c r="BP53" i="17"/>
  <c r="BP55" i="17"/>
  <c r="BP80" i="17" s="1"/>
  <c r="BP54" i="17"/>
  <c r="BP79" i="17" s="1"/>
  <c r="CB56" i="17"/>
  <c r="CB81" i="17" s="1"/>
  <c r="CB53" i="17"/>
  <c r="CB55" i="17"/>
  <c r="CB80" i="17" s="1"/>
  <c r="CB54" i="17"/>
  <c r="CB79" i="17" s="1"/>
  <c r="CN56" i="17"/>
  <c r="CN81" i="17" s="1"/>
  <c r="CN53" i="17"/>
  <c r="CN55" i="17"/>
  <c r="CN80" i="17" s="1"/>
  <c r="CN52" i="17"/>
  <c r="CN77" i="17" s="1"/>
  <c r="CN54" i="17"/>
  <c r="CN79" i="17" s="1"/>
  <c r="CZ56" i="17"/>
  <c r="CZ81" i="17" s="1"/>
  <c r="CZ53" i="17"/>
  <c r="CZ55" i="17"/>
  <c r="CZ80" i="17" s="1"/>
  <c r="CZ52" i="17"/>
  <c r="CZ77" i="17" s="1"/>
  <c r="CZ54" i="17"/>
  <c r="CZ79" i="17" s="1"/>
  <c r="BN96" i="17"/>
  <c r="M47" i="17"/>
  <c r="M72" i="17" s="1"/>
  <c r="M97" i="17" s="1"/>
  <c r="Y47" i="17"/>
  <c r="Y72" i="17" s="1"/>
  <c r="Y97" i="17" s="1"/>
  <c r="AK47" i="17"/>
  <c r="AK72" i="17" s="1"/>
  <c r="AK97" i="17" s="1"/>
  <c r="BI47" i="17"/>
  <c r="BI72" i="17" s="1"/>
  <c r="BI97" i="17" s="1"/>
  <c r="BU47" i="17"/>
  <c r="BU72" i="17" s="1"/>
  <c r="BU97" i="17" s="1"/>
  <c r="CG47" i="17"/>
  <c r="CG72" i="17" s="1"/>
  <c r="CG97" i="17" s="1"/>
  <c r="CS47" i="17"/>
  <c r="CS72" i="17" s="1"/>
  <c r="CS97" i="17" s="1"/>
  <c r="DE47" i="17"/>
  <c r="DE72" i="17" s="1"/>
  <c r="DE97" i="17" s="1"/>
  <c r="H48" i="17"/>
  <c r="H73" i="17" s="1"/>
  <c r="H98" i="17" s="1"/>
  <c r="T48" i="17"/>
  <c r="T73" i="17" s="1"/>
  <c r="T98" i="17" s="1"/>
  <c r="AF48" i="17"/>
  <c r="AF73" i="17" s="1"/>
  <c r="AF98" i="17" s="1"/>
  <c r="AR48" i="17"/>
  <c r="AR73" i="17" s="1"/>
  <c r="AR98" i="17" s="1"/>
  <c r="BD48" i="17"/>
  <c r="BD73" i="17" s="1"/>
  <c r="BD98" i="17" s="1"/>
  <c r="BP48" i="17"/>
  <c r="BP73" i="17" s="1"/>
  <c r="BP98" i="17" s="1"/>
  <c r="CB48" i="17"/>
  <c r="CB73" i="17" s="1"/>
  <c r="CB98" i="17" s="1"/>
  <c r="CN48" i="17"/>
  <c r="CN73" i="17" s="1"/>
  <c r="CN98" i="17" s="1"/>
  <c r="CZ48" i="17"/>
  <c r="CZ73" i="17" s="1"/>
  <c r="CZ98" i="17" s="1"/>
  <c r="C49" i="17"/>
  <c r="O99" i="17"/>
  <c r="O74" i="17"/>
  <c r="AA49" i="17"/>
  <c r="AM49" i="17"/>
  <c r="AY49" i="17"/>
  <c r="BK49" i="17"/>
  <c r="BW99" i="17"/>
  <c r="BW74" i="17"/>
  <c r="CI49" i="17"/>
  <c r="CU49" i="17"/>
  <c r="DG49" i="17"/>
  <c r="DB75" i="17"/>
  <c r="E51" i="17"/>
  <c r="E76" i="17" s="1"/>
  <c r="Q51" i="17"/>
  <c r="Q76" i="17" s="1"/>
  <c r="AC51" i="17"/>
  <c r="AC76" i="17" s="1"/>
  <c r="AO51" i="17"/>
  <c r="AO76" i="17" s="1"/>
  <c r="BA51" i="17"/>
  <c r="BA76" i="17" s="1"/>
  <c r="BM51" i="17"/>
  <c r="BM76" i="17" s="1"/>
  <c r="BY51" i="17"/>
  <c r="BY76" i="17" s="1"/>
  <c r="BY101" i="17" s="1"/>
  <c r="CK51" i="17"/>
  <c r="CK76" i="17" s="1"/>
  <c r="CW51" i="17"/>
  <c r="CW76" i="17" s="1"/>
  <c r="DI51" i="17"/>
  <c r="DI76" i="17" s="1"/>
  <c r="DI101" i="17" s="1"/>
  <c r="L52" i="17"/>
  <c r="L77" i="17" s="1"/>
  <c r="X52" i="17"/>
  <c r="X77" i="17" s="1"/>
  <c r="AJ52" i="17"/>
  <c r="AJ77" i="17" s="1"/>
  <c r="AV77" i="17"/>
  <c r="BH52" i="17"/>
  <c r="BH77" i="17" s="1"/>
  <c r="BW77" i="17"/>
  <c r="W54" i="17"/>
  <c r="W79" i="17" s="1"/>
  <c r="BU56" i="17"/>
  <c r="BU81" i="17" s="1"/>
  <c r="DF56" i="17"/>
  <c r="DF81" i="17" s="1"/>
  <c r="CB57" i="17"/>
  <c r="CB82" i="17" s="1"/>
  <c r="CB105" i="17" s="1"/>
  <c r="Z74" i="17"/>
  <c r="Z100" i="17" s="1"/>
  <c r="I56" i="17"/>
  <c r="I81" i="17" s="1"/>
  <c r="I53" i="17"/>
  <c r="I55" i="17"/>
  <c r="I80" i="17" s="1"/>
  <c r="I54" i="17"/>
  <c r="I79" i="17" s="1"/>
  <c r="U56" i="17"/>
  <c r="U81" i="17" s="1"/>
  <c r="U53" i="17"/>
  <c r="U55" i="17"/>
  <c r="U80" i="17" s="1"/>
  <c r="U54" i="17"/>
  <c r="U79" i="17" s="1"/>
  <c r="AG53" i="17"/>
  <c r="AG55" i="17"/>
  <c r="AG80" i="17" s="1"/>
  <c r="AG54" i="17"/>
  <c r="AG79" i="17" s="1"/>
  <c r="AS56" i="17"/>
  <c r="AS81" i="17" s="1"/>
  <c r="AS53" i="17"/>
  <c r="AS55" i="17"/>
  <c r="AS80" i="17" s="1"/>
  <c r="AS54" i="17"/>
  <c r="AS79" i="17" s="1"/>
  <c r="BE56" i="17"/>
  <c r="BE81" i="17" s="1"/>
  <c r="BE53" i="17"/>
  <c r="BE55" i="17"/>
  <c r="BE80" i="17" s="1"/>
  <c r="BE54" i="17"/>
  <c r="BE79" i="17" s="1"/>
  <c r="BQ56" i="17"/>
  <c r="BQ81" i="17" s="1"/>
  <c r="BQ53" i="17"/>
  <c r="BQ55" i="17"/>
  <c r="BQ80" i="17" s="1"/>
  <c r="BQ54" i="17"/>
  <c r="BQ79" i="17" s="1"/>
  <c r="CC56" i="17"/>
  <c r="CC81" i="17" s="1"/>
  <c r="CC53" i="17"/>
  <c r="CC55" i="17"/>
  <c r="CC80" i="17" s="1"/>
  <c r="CC54" i="17"/>
  <c r="CC79" i="17" s="1"/>
  <c r="CO56" i="17"/>
  <c r="CO81" i="17" s="1"/>
  <c r="CO53" i="17"/>
  <c r="CO55" i="17"/>
  <c r="CO80" i="17" s="1"/>
  <c r="CO54" i="17"/>
  <c r="CO79" i="17" s="1"/>
  <c r="DA56" i="17"/>
  <c r="DA81" i="17" s="1"/>
  <c r="DA53" i="17"/>
  <c r="DA55" i="17"/>
  <c r="DA80" i="17" s="1"/>
  <c r="DA54" i="17"/>
  <c r="DA79" i="17" s="1"/>
  <c r="N72" i="17"/>
  <c r="N97" i="17" s="1"/>
  <c r="Z47" i="17"/>
  <c r="Z72" i="17" s="1"/>
  <c r="Z97" i="17" s="1"/>
  <c r="AL47" i="17"/>
  <c r="AL72" i="17" s="1"/>
  <c r="AL97" i="17" s="1"/>
  <c r="AX47" i="17"/>
  <c r="AX72" i="17" s="1"/>
  <c r="AX97" i="17" s="1"/>
  <c r="BJ47" i="17"/>
  <c r="BJ72" i="17" s="1"/>
  <c r="BJ97" i="17" s="1"/>
  <c r="BV47" i="17"/>
  <c r="BV72" i="17" s="1"/>
  <c r="BV97" i="17" s="1"/>
  <c r="CH47" i="17"/>
  <c r="CH72" i="17" s="1"/>
  <c r="CH97" i="17" s="1"/>
  <c r="CT47" i="17"/>
  <c r="CT72" i="17" s="1"/>
  <c r="CT97" i="17" s="1"/>
  <c r="DF47" i="17"/>
  <c r="DF72" i="17" s="1"/>
  <c r="DF97" i="17" s="1"/>
  <c r="I48" i="17"/>
  <c r="I73" i="17" s="1"/>
  <c r="I98" i="17" s="1"/>
  <c r="U48" i="17"/>
  <c r="U73" i="17" s="1"/>
  <c r="U98" i="17" s="1"/>
  <c r="AG48" i="17"/>
  <c r="AG73" i="17" s="1"/>
  <c r="AG98" i="17" s="1"/>
  <c r="AS48" i="17"/>
  <c r="AS73" i="17" s="1"/>
  <c r="AS98" i="17" s="1"/>
  <c r="BE48" i="17"/>
  <c r="BE73" i="17" s="1"/>
  <c r="BE98" i="17" s="1"/>
  <c r="BQ48" i="17"/>
  <c r="BQ73" i="17" s="1"/>
  <c r="BQ98" i="17" s="1"/>
  <c r="CC48" i="17"/>
  <c r="CC73" i="17" s="1"/>
  <c r="CC98" i="17" s="1"/>
  <c r="CO48" i="17"/>
  <c r="CO73" i="17" s="1"/>
  <c r="CO98" i="17" s="1"/>
  <c r="DA48" i="17"/>
  <c r="DA73" i="17" s="1"/>
  <c r="DA98" i="17" s="1"/>
  <c r="BX99" i="17"/>
  <c r="BX74" i="17"/>
  <c r="AI50" i="17"/>
  <c r="AI75" i="17" s="1"/>
  <c r="CE50" i="17"/>
  <c r="CE75" i="17" s="1"/>
  <c r="DC75" i="17"/>
  <c r="BN76" i="17"/>
  <c r="M52" i="17"/>
  <c r="M77" i="17" s="1"/>
  <c r="Y52" i="17"/>
  <c r="Y77" i="17" s="1"/>
  <c r="AK52" i="17"/>
  <c r="AK77" i="17" s="1"/>
  <c r="AW77" i="17"/>
  <c r="BI52" i="17"/>
  <c r="BI77" i="17" s="1"/>
  <c r="BX77" i="17"/>
  <c r="CW53" i="17"/>
  <c r="X54" i="17"/>
  <c r="X79" i="17" s="1"/>
  <c r="AK56" i="17"/>
  <c r="AK81" i="17" s="1"/>
  <c r="BV56" i="17"/>
  <c r="BV81" i="17" s="1"/>
  <c r="CC57" i="17"/>
  <c r="CC82" i="17" s="1"/>
  <c r="CC105" i="17" s="1"/>
  <c r="J53" i="17"/>
  <c r="J55" i="17"/>
  <c r="J80" i="17" s="1"/>
  <c r="J57" i="17"/>
  <c r="J82" i="17" s="1"/>
  <c r="J105" i="17" s="1"/>
  <c r="J54" i="17"/>
  <c r="J79" i="17" s="1"/>
  <c r="J56" i="17"/>
  <c r="J81" i="17" s="1"/>
  <c r="V53" i="17"/>
  <c r="V55" i="17"/>
  <c r="V80" i="17" s="1"/>
  <c r="V57" i="17"/>
  <c r="V82" i="17" s="1"/>
  <c r="V105" i="17" s="1"/>
  <c r="V54" i="17"/>
  <c r="V79" i="17" s="1"/>
  <c r="V56" i="17"/>
  <c r="V81" i="17" s="1"/>
  <c r="AH53" i="17"/>
  <c r="AH55" i="17"/>
  <c r="AH80" i="17" s="1"/>
  <c r="AH57" i="17"/>
  <c r="AH82" i="17" s="1"/>
  <c r="AH105" i="17" s="1"/>
  <c r="AH54" i="17"/>
  <c r="AH79" i="17" s="1"/>
  <c r="AT53" i="17"/>
  <c r="AT55" i="17"/>
  <c r="AT80" i="17" s="1"/>
  <c r="AT57" i="17"/>
  <c r="AT82" i="17" s="1"/>
  <c r="AT105" i="17" s="1"/>
  <c r="AT54" i="17"/>
  <c r="AT79" i="17" s="1"/>
  <c r="AT56" i="17"/>
  <c r="AT81" i="17" s="1"/>
  <c r="BF53" i="17"/>
  <c r="BF55" i="17"/>
  <c r="BF80" i="17" s="1"/>
  <c r="BF57" i="17"/>
  <c r="BF82" i="17" s="1"/>
  <c r="BF105" i="17" s="1"/>
  <c r="BF54" i="17"/>
  <c r="BF79" i="17" s="1"/>
  <c r="BF56" i="17"/>
  <c r="BF81" i="17" s="1"/>
  <c r="BR53" i="17"/>
  <c r="BR55" i="17"/>
  <c r="BR80" i="17" s="1"/>
  <c r="BR57" i="17"/>
  <c r="BR82" i="17" s="1"/>
  <c r="BR105" i="17" s="1"/>
  <c r="BR54" i="17"/>
  <c r="BR79" i="17" s="1"/>
  <c r="BR56" i="17"/>
  <c r="BR81" i="17" s="1"/>
  <c r="CD53" i="17"/>
  <c r="CD55" i="17"/>
  <c r="CD80" i="17" s="1"/>
  <c r="CD57" i="17"/>
  <c r="CD82" i="17" s="1"/>
  <c r="CD105" i="17" s="1"/>
  <c r="CD54" i="17"/>
  <c r="CD79" i="17" s="1"/>
  <c r="CD56" i="17"/>
  <c r="CD81" i="17" s="1"/>
  <c r="CP53" i="17"/>
  <c r="CP55" i="17"/>
  <c r="CP80" i="17" s="1"/>
  <c r="CP57" i="17"/>
  <c r="CP82" i="17" s="1"/>
  <c r="CP105" i="17" s="1"/>
  <c r="CP54" i="17"/>
  <c r="CP79" i="17" s="1"/>
  <c r="CP56" i="17"/>
  <c r="CP81" i="17" s="1"/>
  <c r="H46" i="17"/>
  <c r="T46" i="17"/>
  <c r="AF46" i="17"/>
  <c r="AR46" i="17"/>
  <c r="BD46" i="17"/>
  <c r="BP46" i="17"/>
  <c r="CB46" i="17"/>
  <c r="CN46" i="17"/>
  <c r="CZ46" i="17"/>
  <c r="C47" i="17"/>
  <c r="C72" i="17" s="1"/>
  <c r="C97" i="17" s="1"/>
  <c r="O72" i="17"/>
  <c r="O97" i="17" s="1"/>
  <c r="AA47" i="17"/>
  <c r="AA72" i="17" s="1"/>
  <c r="AA97" i="17" s="1"/>
  <c r="AM47" i="17"/>
  <c r="AM72" i="17" s="1"/>
  <c r="AM97" i="17" s="1"/>
  <c r="AY47" i="17"/>
  <c r="AY72" i="17" s="1"/>
  <c r="AY97" i="17" s="1"/>
  <c r="BK47" i="17"/>
  <c r="BK72" i="17" s="1"/>
  <c r="BK97" i="17" s="1"/>
  <c r="BW72" i="17"/>
  <c r="BW97" i="17" s="1"/>
  <c r="CI47" i="17"/>
  <c r="CI72" i="17" s="1"/>
  <c r="CI97" i="17" s="1"/>
  <c r="CU47" i="17"/>
  <c r="CU72" i="17" s="1"/>
  <c r="CU97" i="17" s="1"/>
  <c r="DG47" i="17"/>
  <c r="DG72" i="17" s="1"/>
  <c r="DG97" i="17" s="1"/>
  <c r="J48" i="17"/>
  <c r="J73" i="17" s="1"/>
  <c r="J98" i="17" s="1"/>
  <c r="V48" i="17"/>
  <c r="V73" i="17" s="1"/>
  <c r="V98" i="17" s="1"/>
  <c r="AH48" i="17"/>
  <c r="AH73" i="17" s="1"/>
  <c r="AH98" i="17" s="1"/>
  <c r="AT48" i="17"/>
  <c r="AT73" i="17" s="1"/>
  <c r="AT98" i="17" s="1"/>
  <c r="BF48" i="17"/>
  <c r="BF73" i="17" s="1"/>
  <c r="BF98" i="17" s="1"/>
  <c r="BR48" i="17"/>
  <c r="BR73" i="17" s="1"/>
  <c r="BR98" i="17" s="1"/>
  <c r="CD48" i="17"/>
  <c r="CD73" i="17" s="1"/>
  <c r="CD98" i="17" s="1"/>
  <c r="CP48" i="17"/>
  <c r="CP73" i="17" s="1"/>
  <c r="CP98" i="17" s="1"/>
  <c r="DB73" i="17"/>
  <c r="DB98" i="17" s="1"/>
  <c r="E49" i="17"/>
  <c r="Q49" i="17"/>
  <c r="AC49" i="17"/>
  <c r="AO49" i="17"/>
  <c r="BA49" i="17"/>
  <c r="BM49" i="17"/>
  <c r="BY49" i="17"/>
  <c r="CK49" i="17"/>
  <c r="CW49" i="17"/>
  <c r="DI49" i="17"/>
  <c r="AJ50" i="17"/>
  <c r="AJ75" i="17" s="1"/>
  <c r="BH50" i="17"/>
  <c r="BH75" i="17" s="1"/>
  <c r="CF50" i="17"/>
  <c r="CF75" i="17" s="1"/>
  <c r="CA76" i="17"/>
  <c r="N77" i="17"/>
  <c r="Z52" i="17"/>
  <c r="Z77" i="17" s="1"/>
  <c r="AL52" i="17"/>
  <c r="AL77" i="17" s="1"/>
  <c r="AX52" i="17"/>
  <c r="AX77" i="17" s="1"/>
  <c r="BJ52" i="17"/>
  <c r="BJ77" i="17" s="1"/>
  <c r="BI80" i="17"/>
  <c r="AL56" i="17"/>
  <c r="AL81" i="17" s="1"/>
  <c r="AL104" i="17" s="1"/>
  <c r="CN57" i="17"/>
  <c r="CN82" i="17" s="1"/>
  <c r="CN105" i="17" s="1"/>
  <c r="AL74" i="17"/>
  <c r="AL100" i="17" s="1"/>
  <c r="K53" i="17"/>
  <c r="K55" i="17"/>
  <c r="K80" i="17" s="1"/>
  <c r="K57" i="17"/>
  <c r="K82" i="17" s="1"/>
  <c r="K105" i="17" s="1"/>
  <c r="K56" i="17"/>
  <c r="K81" i="17" s="1"/>
  <c r="W53" i="17"/>
  <c r="W55" i="17"/>
  <c r="W80" i="17" s="1"/>
  <c r="W57" i="17"/>
  <c r="W82" i="17" s="1"/>
  <c r="W105" i="17" s="1"/>
  <c r="W56" i="17"/>
  <c r="W81" i="17" s="1"/>
  <c r="AI53" i="17"/>
  <c r="AI55" i="17"/>
  <c r="AI80" i="17" s="1"/>
  <c r="AI57" i="17"/>
  <c r="AI82" i="17" s="1"/>
  <c r="AI105" i="17" s="1"/>
  <c r="AI56" i="17"/>
  <c r="AI81" i="17" s="1"/>
  <c r="AU53" i="17"/>
  <c r="AU55" i="17"/>
  <c r="AU80" i="17" s="1"/>
  <c r="AU57" i="17"/>
  <c r="AU82" i="17" s="1"/>
  <c r="AU105" i="17" s="1"/>
  <c r="AU56" i="17"/>
  <c r="AU81" i="17" s="1"/>
  <c r="BG53" i="17"/>
  <c r="BG55" i="17"/>
  <c r="BG80" i="17" s="1"/>
  <c r="BG57" i="17"/>
  <c r="BG82" i="17" s="1"/>
  <c r="BG105" i="17" s="1"/>
  <c r="BG56" i="17"/>
  <c r="BG81" i="17" s="1"/>
  <c r="BS53" i="17"/>
  <c r="BS55" i="17"/>
  <c r="BS80" i="17" s="1"/>
  <c r="BS57" i="17"/>
  <c r="BS82" i="17" s="1"/>
  <c r="BS105" i="17" s="1"/>
  <c r="BS52" i="17"/>
  <c r="BS77" i="17" s="1"/>
  <c r="BS56" i="17"/>
  <c r="BS81" i="17" s="1"/>
  <c r="CE53" i="17"/>
  <c r="CE55" i="17"/>
  <c r="CE80" i="17" s="1"/>
  <c r="CE57" i="17"/>
  <c r="CE82" i="17" s="1"/>
  <c r="CE105" i="17" s="1"/>
  <c r="CE52" i="17"/>
  <c r="CE77" i="17" s="1"/>
  <c r="CE56" i="17"/>
  <c r="CE81" i="17" s="1"/>
  <c r="CQ53" i="17"/>
  <c r="CQ55" i="17"/>
  <c r="CQ80" i="17" s="1"/>
  <c r="CQ57" i="17"/>
  <c r="CQ82" i="17" s="1"/>
  <c r="CQ105" i="17" s="1"/>
  <c r="CQ52" i="17"/>
  <c r="CQ77" i="17" s="1"/>
  <c r="CQ56" i="17"/>
  <c r="CQ81" i="17" s="1"/>
  <c r="I46" i="17"/>
  <c r="U46" i="17"/>
  <c r="AG46" i="17"/>
  <c r="AS46" i="17"/>
  <c r="BE46" i="17"/>
  <c r="BQ46" i="17"/>
  <c r="CC46" i="17"/>
  <c r="CO46" i="17"/>
  <c r="DA46" i="17"/>
  <c r="BX72" i="17"/>
  <c r="BX97" i="17" s="1"/>
  <c r="K48" i="17"/>
  <c r="K73" i="17" s="1"/>
  <c r="K98" i="17" s="1"/>
  <c r="W48" i="17"/>
  <c r="W73" i="17" s="1"/>
  <c r="W98" i="17" s="1"/>
  <c r="AI48" i="17"/>
  <c r="AI73" i="17" s="1"/>
  <c r="AI98" i="17" s="1"/>
  <c r="AU48" i="17"/>
  <c r="AU73" i="17" s="1"/>
  <c r="AU98" i="17" s="1"/>
  <c r="BG48" i="17"/>
  <c r="BG73" i="17" s="1"/>
  <c r="BG98" i="17" s="1"/>
  <c r="BS48" i="17"/>
  <c r="BS73" i="17" s="1"/>
  <c r="BS98" i="17" s="1"/>
  <c r="CE48" i="17"/>
  <c r="CE73" i="17" s="1"/>
  <c r="CE98" i="17" s="1"/>
  <c r="CQ48" i="17"/>
  <c r="CQ73" i="17" s="1"/>
  <c r="CQ98" i="17" s="1"/>
  <c r="DC73" i="17"/>
  <c r="DC98" i="17" s="1"/>
  <c r="BN99" i="17"/>
  <c r="BN74" i="17"/>
  <c r="BN100" i="17" s="1"/>
  <c r="AW75" i="17"/>
  <c r="AW100" i="17" s="1"/>
  <c r="CG50" i="17"/>
  <c r="CG75" i="17" s="1"/>
  <c r="H51" i="17"/>
  <c r="H76" i="17" s="1"/>
  <c r="T51" i="17"/>
  <c r="T76" i="17" s="1"/>
  <c r="T101" i="17" s="1"/>
  <c r="AF51" i="17"/>
  <c r="AF76" i="17" s="1"/>
  <c r="AR51" i="17"/>
  <c r="AR76" i="17" s="1"/>
  <c r="AR101" i="17" s="1"/>
  <c r="BD51" i="17"/>
  <c r="BD76" i="17" s="1"/>
  <c r="BD101" i="17" s="1"/>
  <c r="BP51" i="17"/>
  <c r="BP76" i="17" s="1"/>
  <c r="CB76" i="17"/>
  <c r="CN51" i="17"/>
  <c r="CN76" i="17" s="1"/>
  <c r="CZ51" i="17"/>
  <c r="CZ76" i="17" s="1"/>
  <c r="C52" i="17"/>
  <c r="C77" i="17" s="1"/>
  <c r="C101" i="17" s="1"/>
  <c r="O77" i="17"/>
  <c r="AA52" i="17"/>
  <c r="AA77" i="17" s="1"/>
  <c r="AM52" i="17"/>
  <c r="AM77" i="17" s="1"/>
  <c r="AY52" i="17"/>
  <c r="AY77" i="17" s="1"/>
  <c r="BK52" i="17"/>
  <c r="BK77" i="17" s="1"/>
  <c r="CA77" i="17"/>
  <c r="E53" i="17"/>
  <c r="BA53" i="17"/>
  <c r="DC78" i="17"/>
  <c r="DC102" i="17" s="1"/>
  <c r="BN80" i="17"/>
  <c r="BN103" i="17" s="1"/>
  <c r="H57" i="17"/>
  <c r="H82" i="17" s="1"/>
  <c r="H105" i="17" s="1"/>
  <c r="BD57" i="17"/>
  <c r="BD82" i="17" s="1"/>
  <c r="BD105" i="17" s="1"/>
  <c r="CO57" i="17"/>
  <c r="CO82" i="17" s="1"/>
  <c r="CO105" i="17" s="1"/>
  <c r="L53" i="17"/>
  <c r="L55" i="17"/>
  <c r="L80" i="17" s="1"/>
  <c r="L57" i="17"/>
  <c r="L82" i="17" s="1"/>
  <c r="L105" i="17" s="1"/>
  <c r="L56" i="17"/>
  <c r="L81" i="17" s="1"/>
  <c r="X53" i="17"/>
  <c r="X55" i="17"/>
  <c r="X80" i="17" s="1"/>
  <c r="X57" i="17"/>
  <c r="X82" i="17" s="1"/>
  <c r="X105" i="17" s="1"/>
  <c r="X56" i="17"/>
  <c r="X81" i="17" s="1"/>
  <c r="AJ53" i="17"/>
  <c r="AJ55" i="17"/>
  <c r="AJ80" i="17" s="1"/>
  <c r="AJ57" i="17"/>
  <c r="AJ82" i="17" s="1"/>
  <c r="AJ105" i="17" s="1"/>
  <c r="AJ56" i="17"/>
  <c r="AJ81" i="17" s="1"/>
  <c r="BH78" i="17"/>
  <c r="BT53" i="17"/>
  <c r="BT55" i="17"/>
  <c r="BT80" i="17" s="1"/>
  <c r="BT57" i="17"/>
  <c r="BT82" i="17" s="1"/>
  <c r="BT105" i="17" s="1"/>
  <c r="BT52" i="17"/>
  <c r="BT77" i="17" s="1"/>
  <c r="BT56" i="17"/>
  <c r="BT81" i="17" s="1"/>
  <c r="CF53" i="17"/>
  <c r="CF55" i="17"/>
  <c r="CF80" i="17" s="1"/>
  <c r="CF57" i="17"/>
  <c r="CF82" i="17" s="1"/>
  <c r="CF105" i="17" s="1"/>
  <c r="CF52" i="17"/>
  <c r="CF77" i="17" s="1"/>
  <c r="CF56" i="17"/>
  <c r="CF81" i="17" s="1"/>
  <c r="CR53" i="17"/>
  <c r="CR55" i="17"/>
  <c r="CR80" i="17" s="1"/>
  <c r="CR57" i="17"/>
  <c r="CR82" i="17" s="1"/>
  <c r="CR105" i="17" s="1"/>
  <c r="CR52" i="17"/>
  <c r="CR77" i="17" s="1"/>
  <c r="CR56" i="17"/>
  <c r="CR81" i="17" s="1"/>
  <c r="DD53" i="17"/>
  <c r="DD55" i="17"/>
  <c r="DD80" i="17" s="1"/>
  <c r="DD57" i="17"/>
  <c r="DD82" i="17" s="1"/>
  <c r="DD105" i="17" s="1"/>
  <c r="DD52" i="17"/>
  <c r="DD77" i="17" s="1"/>
  <c r="DD56" i="17"/>
  <c r="DD81" i="17" s="1"/>
  <c r="J46" i="17"/>
  <c r="V46" i="17"/>
  <c r="AH46" i="17"/>
  <c r="AT46" i="17"/>
  <c r="BF46" i="17"/>
  <c r="BR46" i="17"/>
  <c r="CD46" i="17"/>
  <c r="CP46" i="17"/>
  <c r="DB96" i="17"/>
  <c r="DB71" i="17"/>
  <c r="E47" i="17"/>
  <c r="E72" i="17" s="1"/>
  <c r="E97" i="17" s="1"/>
  <c r="Q47" i="17"/>
  <c r="Q72" i="17" s="1"/>
  <c r="Q97" i="17" s="1"/>
  <c r="AC47" i="17"/>
  <c r="AC72" i="17" s="1"/>
  <c r="AC97" i="17" s="1"/>
  <c r="AO47" i="17"/>
  <c r="AO72" i="17" s="1"/>
  <c r="AO97" i="17" s="1"/>
  <c r="BA47" i="17"/>
  <c r="BA72" i="17" s="1"/>
  <c r="BA97" i="17" s="1"/>
  <c r="BM47" i="17"/>
  <c r="BM72" i="17" s="1"/>
  <c r="BM97" i="17" s="1"/>
  <c r="BY47" i="17"/>
  <c r="BY72" i="17" s="1"/>
  <c r="BY97" i="17" s="1"/>
  <c r="CK47" i="17"/>
  <c r="CK72" i="17" s="1"/>
  <c r="CK97" i="17" s="1"/>
  <c r="CW47" i="17"/>
  <c r="CW72" i="17" s="1"/>
  <c r="CW97" i="17" s="1"/>
  <c r="DI47" i="17"/>
  <c r="DI72" i="17" s="1"/>
  <c r="DI97" i="17" s="1"/>
  <c r="L48" i="17"/>
  <c r="L73" i="17" s="1"/>
  <c r="L98" i="17" s="1"/>
  <c r="X48" i="17"/>
  <c r="X73" i="17" s="1"/>
  <c r="X98" i="17" s="1"/>
  <c r="AJ48" i="17"/>
  <c r="AJ73" i="17" s="1"/>
  <c r="AJ98" i="17" s="1"/>
  <c r="AV73" i="17"/>
  <c r="AV98" i="17" s="1"/>
  <c r="BH48" i="17"/>
  <c r="BH73" i="17" s="1"/>
  <c r="BH98" i="17" s="1"/>
  <c r="BT48" i="17"/>
  <c r="BT73" i="17" s="1"/>
  <c r="BT98" i="17" s="1"/>
  <c r="CF48" i="17"/>
  <c r="CF73" i="17" s="1"/>
  <c r="CF98" i="17" s="1"/>
  <c r="CR48" i="17"/>
  <c r="CR73" i="17" s="1"/>
  <c r="CR98" i="17" s="1"/>
  <c r="DD48" i="17"/>
  <c r="DD73" i="17" s="1"/>
  <c r="DD98" i="17" s="1"/>
  <c r="N75" i="17"/>
  <c r="AX50" i="17"/>
  <c r="AX75" i="17" s="1"/>
  <c r="CH50" i="17"/>
  <c r="CH75" i="17" s="1"/>
  <c r="I51" i="17"/>
  <c r="I76" i="17" s="1"/>
  <c r="I101" i="17" s="1"/>
  <c r="U51" i="17"/>
  <c r="U76" i="17" s="1"/>
  <c r="AG51" i="17"/>
  <c r="AG76" i="17" s="1"/>
  <c r="AG101" i="17" s="1"/>
  <c r="AS51" i="17"/>
  <c r="AS76" i="17" s="1"/>
  <c r="BE51" i="17"/>
  <c r="BE76" i="17" s="1"/>
  <c r="BQ51" i="17"/>
  <c r="BQ76" i="17" s="1"/>
  <c r="CC51" i="17"/>
  <c r="CC76" i="17" s="1"/>
  <c r="CO51" i="17"/>
  <c r="CO76" i="17" s="1"/>
  <c r="CO101" i="17" s="1"/>
  <c r="DA51" i="17"/>
  <c r="DA76" i="17" s="1"/>
  <c r="AU54" i="17"/>
  <c r="AU79" i="17" s="1"/>
  <c r="CQ54" i="17"/>
  <c r="CQ79" i="17" s="1"/>
  <c r="AW81" i="17"/>
  <c r="I57" i="17"/>
  <c r="I82" i="17" s="1"/>
  <c r="I105" i="17" s="1"/>
  <c r="BE57" i="17"/>
  <c r="BE82" i="17" s="1"/>
  <c r="BE105" i="17" s="1"/>
  <c r="CZ57" i="17"/>
  <c r="CZ82" i="17" s="1"/>
  <c r="CZ105" i="17" s="1"/>
  <c r="N99" i="17"/>
  <c r="N74" i="17"/>
  <c r="CT99" i="17"/>
  <c r="M55" i="17"/>
  <c r="M80" i="17" s="1"/>
  <c r="M57" i="17"/>
  <c r="M82" i="17" s="1"/>
  <c r="M105" i="17" s="1"/>
  <c r="M54" i="17"/>
  <c r="M79" i="17" s="1"/>
  <c r="M53" i="17"/>
  <c r="Y55" i="17"/>
  <c r="Y80" i="17" s="1"/>
  <c r="Y57" i="17"/>
  <c r="Y82" i="17" s="1"/>
  <c r="Y105" i="17" s="1"/>
  <c r="Y54" i="17"/>
  <c r="Y79" i="17" s="1"/>
  <c r="Y53" i="17"/>
  <c r="AK55" i="17"/>
  <c r="AK80" i="17" s="1"/>
  <c r="AK57" i="17"/>
  <c r="AK82" i="17" s="1"/>
  <c r="AK105" i="17" s="1"/>
  <c r="AK54" i="17"/>
  <c r="AK79" i="17" s="1"/>
  <c r="AK53" i="17"/>
  <c r="BI54" i="17"/>
  <c r="BI79" i="17" s="1"/>
  <c r="BI53" i="17"/>
  <c r="BU55" i="17"/>
  <c r="BU80" i="17" s="1"/>
  <c r="BU57" i="17"/>
  <c r="BU82" i="17" s="1"/>
  <c r="BU105" i="17" s="1"/>
  <c r="BU54" i="17"/>
  <c r="BU79" i="17" s="1"/>
  <c r="BU53" i="17"/>
  <c r="CG55" i="17"/>
  <c r="CG80" i="17" s="1"/>
  <c r="CG57" i="17"/>
  <c r="CG82" i="17" s="1"/>
  <c r="CG105" i="17" s="1"/>
  <c r="CG52" i="17"/>
  <c r="CG77" i="17" s="1"/>
  <c r="CG54" i="17"/>
  <c r="CG79" i="17" s="1"/>
  <c r="CG53" i="17"/>
  <c r="CS55" i="17"/>
  <c r="CS80" i="17" s="1"/>
  <c r="CS57" i="17"/>
  <c r="CS82" i="17" s="1"/>
  <c r="CS105" i="17" s="1"/>
  <c r="CS52" i="17"/>
  <c r="CS77" i="17" s="1"/>
  <c r="CS101" i="17" s="1"/>
  <c r="CS54" i="17"/>
  <c r="CS79" i="17" s="1"/>
  <c r="CS53" i="17"/>
  <c r="DE55" i="17"/>
  <c r="DE80" i="17" s="1"/>
  <c r="DE57" i="17"/>
  <c r="DE82" i="17" s="1"/>
  <c r="DE105" i="17" s="1"/>
  <c r="DE52" i="17"/>
  <c r="DE77" i="17" s="1"/>
  <c r="DE54" i="17"/>
  <c r="DE79" i="17" s="1"/>
  <c r="DE53" i="17"/>
  <c r="K46" i="17"/>
  <c r="W46" i="17"/>
  <c r="AI46" i="17"/>
  <c r="AU46" i="17"/>
  <c r="BG46" i="17"/>
  <c r="BS46" i="17"/>
  <c r="CE46" i="17"/>
  <c r="CQ46" i="17"/>
  <c r="DC96" i="17"/>
  <c r="DC71" i="17"/>
  <c r="BN72" i="17"/>
  <c r="BN97" i="17" s="1"/>
  <c r="M48" i="17"/>
  <c r="M73" i="17" s="1"/>
  <c r="M98" i="17" s="1"/>
  <c r="Y48" i="17"/>
  <c r="Y73" i="17" s="1"/>
  <c r="Y98" i="17" s="1"/>
  <c r="AK48" i="17"/>
  <c r="AK73" i="17" s="1"/>
  <c r="AK98" i="17" s="1"/>
  <c r="BI48" i="17"/>
  <c r="BI73" i="17" s="1"/>
  <c r="BI98" i="17" s="1"/>
  <c r="BU48" i="17"/>
  <c r="BU73" i="17" s="1"/>
  <c r="BU98" i="17" s="1"/>
  <c r="CG48" i="17"/>
  <c r="CG73" i="17" s="1"/>
  <c r="CG98" i="17" s="1"/>
  <c r="CS48" i="17"/>
  <c r="CS73" i="17" s="1"/>
  <c r="CS98" i="17" s="1"/>
  <c r="DE48" i="17"/>
  <c r="DE73" i="17" s="1"/>
  <c r="DE98" i="17" s="1"/>
  <c r="H49" i="17"/>
  <c r="T49" i="17"/>
  <c r="AF49" i="17"/>
  <c r="AR49" i="17"/>
  <c r="BD49" i="17"/>
  <c r="BP49" i="17"/>
  <c r="CB49" i="17"/>
  <c r="CN49" i="17"/>
  <c r="CZ49" i="17"/>
  <c r="C50" i="17"/>
  <c r="C75" i="17" s="1"/>
  <c r="O75" i="17"/>
  <c r="AA50" i="17"/>
  <c r="AA75" i="17" s="1"/>
  <c r="AM50" i="17"/>
  <c r="AM75" i="17" s="1"/>
  <c r="AY50" i="17"/>
  <c r="AY75" i="17" s="1"/>
  <c r="BK50" i="17"/>
  <c r="BK75" i="17" s="1"/>
  <c r="BW75" i="17"/>
  <c r="CI50" i="17"/>
  <c r="CI75" i="17" s="1"/>
  <c r="CU50" i="17"/>
  <c r="CU75" i="17" s="1"/>
  <c r="DG50" i="17"/>
  <c r="DG75" i="17" s="1"/>
  <c r="J51" i="17"/>
  <c r="J76" i="17" s="1"/>
  <c r="V51" i="17"/>
  <c r="V76" i="17" s="1"/>
  <c r="AH51" i="17"/>
  <c r="AH76" i="17" s="1"/>
  <c r="AT51" i="17"/>
  <c r="AT76" i="17" s="1"/>
  <c r="AT101" i="17" s="1"/>
  <c r="BF51" i="17"/>
  <c r="BF76" i="17" s="1"/>
  <c r="BR51" i="17"/>
  <c r="BR76" i="17" s="1"/>
  <c r="BR101" i="17" s="1"/>
  <c r="CD51" i="17"/>
  <c r="CD76" i="17" s="1"/>
  <c r="CP51" i="17"/>
  <c r="CP76" i="17" s="1"/>
  <c r="DB76" i="17"/>
  <c r="DB101" i="17" s="1"/>
  <c r="E52" i="17"/>
  <c r="E77" i="17" s="1"/>
  <c r="Q52" i="17"/>
  <c r="Q77" i="17" s="1"/>
  <c r="AC52" i="17"/>
  <c r="AC77" i="17" s="1"/>
  <c r="AO52" i="17"/>
  <c r="AO77" i="17" s="1"/>
  <c r="BA52" i="17"/>
  <c r="BA77" i="17" s="1"/>
  <c r="BM52" i="17"/>
  <c r="BM77" i="17" s="1"/>
  <c r="CC52" i="17"/>
  <c r="CC77" i="17" s="1"/>
  <c r="BM53" i="17"/>
  <c r="DI53" i="17"/>
  <c r="AV79" i="17"/>
  <c r="CR54" i="17"/>
  <c r="CR79" i="17" s="1"/>
  <c r="DA57" i="17"/>
  <c r="DA82" i="17" s="1"/>
  <c r="DA105" i="17" s="1"/>
  <c r="DF99" i="17"/>
  <c r="DF74" i="17"/>
  <c r="DF100" i="17" s="1"/>
  <c r="BX76" i="17"/>
  <c r="BX101" i="17" s="1"/>
  <c r="Z55" i="17"/>
  <c r="Z80" i="17" s="1"/>
  <c r="Z57" i="17"/>
  <c r="Z82" i="17" s="1"/>
  <c r="Z105" i="17" s="1"/>
  <c r="Z54" i="17"/>
  <c r="Z79" i="17" s="1"/>
  <c r="Z53" i="17"/>
  <c r="AL55" i="17"/>
  <c r="AL80" i="17" s="1"/>
  <c r="AL103" i="17" s="1"/>
  <c r="AL57" i="17"/>
  <c r="AL82" i="17" s="1"/>
  <c r="AL105" i="17" s="1"/>
  <c r="AL54" i="17"/>
  <c r="AL79" i="17" s="1"/>
  <c r="AL53" i="17"/>
  <c r="AX55" i="17"/>
  <c r="AX80" i="17" s="1"/>
  <c r="AX57" i="17"/>
  <c r="AX82" i="17" s="1"/>
  <c r="AX105" i="17" s="1"/>
  <c r="AX54" i="17"/>
  <c r="AX79" i="17" s="1"/>
  <c r="AX53" i="17"/>
  <c r="BJ55" i="17"/>
  <c r="BJ80" i="17" s="1"/>
  <c r="BJ57" i="17"/>
  <c r="BJ82" i="17" s="1"/>
  <c r="BJ105" i="17" s="1"/>
  <c r="BJ54" i="17"/>
  <c r="BJ79" i="17" s="1"/>
  <c r="BJ53" i="17"/>
  <c r="BV55" i="17"/>
  <c r="BV80" i="17" s="1"/>
  <c r="BV57" i="17"/>
  <c r="BV82" i="17" s="1"/>
  <c r="BV105" i="17" s="1"/>
  <c r="BV52" i="17"/>
  <c r="BV77" i="17" s="1"/>
  <c r="BV54" i="17"/>
  <c r="BV79" i="17" s="1"/>
  <c r="BV53" i="17"/>
  <c r="CH55" i="17"/>
  <c r="CH80" i="17" s="1"/>
  <c r="CH57" i="17"/>
  <c r="CH82" i="17" s="1"/>
  <c r="CH105" i="17" s="1"/>
  <c r="CH52" i="17"/>
  <c r="CH77" i="17" s="1"/>
  <c r="CH54" i="17"/>
  <c r="CH79" i="17" s="1"/>
  <c r="CH53" i="17"/>
  <c r="CT55" i="17"/>
  <c r="CT80" i="17" s="1"/>
  <c r="CT57" i="17"/>
  <c r="CT82" i="17" s="1"/>
  <c r="CT105" i="17" s="1"/>
  <c r="CT52" i="17"/>
  <c r="CT77" i="17" s="1"/>
  <c r="CT54" i="17"/>
  <c r="CT79" i="17" s="1"/>
  <c r="CT53" i="17"/>
  <c r="DF55" i="17"/>
  <c r="DF80" i="17" s="1"/>
  <c r="DF57" i="17"/>
  <c r="DF82" i="17" s="1"/>
  <c r="DF105" i="17" s="1"/>
  <c r="DF52" i="17"/>
  <c r="DF77" i="17" s="1"/>
  <c r="DF54" i="17"/>
  <c r="DF79" i="17" s="1"/>
  <c r="DF53" i="17"/>
  <c r="L46" i="17"/>
  <c r="X46" i="17"/>
  <c r="AJ46" i="17"/>
  <c r="AV96" i="17"/>
  <c r="AV71" i="17"/>
  <c r="BH46" i="17"/>
  <c r="BT46" i="17"/>
  <c r="CF46" i="17"/>
  <c r="CR46" i="17"/>
  <c r="DD46" i="17"/>
  <c r="N73" i="17"/>
  <c r="N98" i="17" s="1"/>
  <c r="Z48" i="17"/>
  <c r="Z73" i="17" s="1"/>
  <c r="Z98" i="17" s="1"/>
  <c r="AL48" i="17"/>
  <c r="AL73" i="17" s="1"/>
  <c r="AL98" i="17" s="1"/>
  <c r="AX48" i="17"/>
  <c r="AX73" i="17" s="1"/>
  <c r="AX98" i="17" s="1"/>
  <c r="BJ48" i="17"/>
  <c r="BJ73" i="17" s="1"/>
  <c r="BJ98" i="17" s="1"/>
  <c r="BV48" i="17"/>
  <c r="BV73" i="17" s="1"/>
  <c r="BV98" i="17" s="1"/>
  <c r="CH48" i="17"/>
  <c r="CH73" i="17" s="1"/>
  <c r="CH98" i="17" s="1"/>
  <c r="CT48" i="17"/>
  <c r="CT73" i="17" s="1"/>
  <c r="CT98" i="17" s="1"/>
  <c r="DF48" i="17"/>
  <c r="DF73" i="17" s="1"/>
  <c r="DF98" i="17" s="1"/>
  <c r="I49" i="17"/>
  <c r="U49" i="17"/>
  <c r="AG49" i="17"/>
  <c r="AS49" i="17"/>
  <c r="BE49" i="17"/>
  <c r="BQ49" i="17"/>
  <c r="CC49" i="17"/>
  <c r="CO49" i="17"/>
  <c r="DA49" i="17"/>
  <c r="BX75" i="17"/>
  <c r="BX100" i="17" s="1"/>
  <c r="K51" i="17"/>
  <c r="K76" i="17" s="1"/>
  <c r="K101" i="17" s="1"/>
  <c r="W51" i="17"/>
  <c r="W76" i="17" s="1"/>
  <c r="W101" i="17" s="1"/>
  <c r="AI51" i="17"/>
  <c r="AI76" i="17" s="1"/>
  <c r="AU51" i="17"/>
  <c r="AU76" i="17" s="1"/>
  <c r="BG51" i="17"/>
  <c r="BG76" i="17" s="1"/>
  <c r="BS51" i="17"/>
  <c r="BS76" i="17" s="1"/>
  <c r="CE51" i="17"/>
  <c r="CE76" i="17" s="1"/>
  <c r="CE101" i="17" s="1"/>
  <c r="CQ51" i="17"/>
  <c r="CQ76" i="17" s="1"/>
  <c r="DC76" i="17"/>
  <c r="BN77" i="17"/>
  <c r="CD52" i="17"/>
  <c r="CD77" i="17" s="1"/>
  <c r="M56" i="17"/>
  <c r="M81" i="17" s="1"/>
  <c r="AW78" i="17"/>
  <c r="AW102" i="17" s="1"/>
  <c r="O80" i="17"/>
  <c r="BW80" i="17"/>
  <c r="AH81" i="17"/>
  <c r="DB81" i="17"/>
  <c r="DB104" i="17" s="1"/>
  <c r="N78" i="17"/>
  <c r="N102" i="17" s="1"/>
  <c r="BX80" i="17"/>
  <c r="DC81" i="17"/>
  <c r="DC104" i="17" s="1"/>
  <c r="BN82" i="17"/>
  <c r="BN105" i="17" s="1"/>
  <c r="CB77" i="17"/>
  <c r="O78" i="17"/>
  <c r="O102" i="17" s="1"/>
  <c r="BW78" i="17"/>
  <c r="BW102" i="17" s="1"/>
  <c r="DB79" i="17"/>
  <c r="AV81" i="17"/>
  <c r="AV104" i="17" s="1"/>
  <c r="BH81" i="17"/>
  <c r="DC77" i="17"/>
  <c r="BN78" i="17"/>
  <c r="BN102" i="17" s="1"/>
  <c r="AW79" i="17"/>
  <c r="O81" i="17"/>
  <c r="O104" i="17" s="1"/>
  <c r="BW81" i="17"/>
  <c r="DB82" i="17"/>
  <c r="DB105" i="17" s="1"/>
  <c r="N79" i="17"/>
  <c r="BL81" i="17"/>
  <c r="BX81" i="17"/>
  <c r="BX104" i="17" s="1"/>
  <c r="DC82" i="17"/>
  <c r="DC105" i="17" s="1"/>
  <c r="O79" i="17"/>
  <c r="BW79" i="17"/>
  <c r="DB80" i="17"/>
  <c r="DB103" i="17" s="1"/>
  <c r="E81" i="17"/>
  <c r="BM81" i="17"/>
  <c r="CK81" i="17"/>
  <c r="CK104" i="17" s="1"/>
  <c r="AV82" i="17"/>
  <c r="AV105" i="17" s="1"/>
  <c r="BH82" i="17"/>
  <c r="BH105" i="17" s="1"/>
  <c r="BX79" i="17"/>
  <c r="DC80" i="17"/>
  <c r="BN81" i="17"/>
  <c r="BN104" i="17" s="1"/>
  <c r="AW82" i="17"/>
  <c r="AW105" i="17" s="1"/>
  <c r="BI82" i="17"/>
  <c r="BI105" i="17" s="1"/>
  <c r="DB78" i="17"/>
  <c r="DB102" i="17" s="1"/>
  <c r="AV80" i="17"/>
  <c r="AV103" i="17" s="1"/>
  <c r="BH80" i="17"/>
  <c r="N82" i="17"/>
  <c r="N105" i="17" s="1"/>
  <c r="O82" i="17"/>
  <c r="O105" i="17" s="1"/>
  <c r="BW82" i="17"/>
  <c r="BW105" i="17" s="1"/>
  <c r="AV78" i="17"/>
  <c r="AV102" i="17" s="1"/>
  <c r="N80" i="17"/>
  <c r="AG81" i="17"/>
  <c r="BX82" i="17"/>
  <c r="BX105" i="17" s="1"/>
  <c r="BS99" i="17" l="1"/>
  <c r="Y99" i="17"/>
  <c r="K100" i="17"/>
  <c r="Z104" i="17"/>
  <c r="AX74" i="17"/>
  <c r="CE100" i="17"/>
  <c r="AB71" i="17"/>
  <c r="AB103" i="17" s="1"/>
  <c r="AF101" i="17"/>
  <c r="AY101" i="17"/>
  <c r="Z71" i="17"/>
  <c r="AO71" i="17"/>
  <c r="AO102" i="17"/>
  <c r="BB101" i="17"/>
  <c r="BM71" i="17"/>
  <c r="BM104" i="17" s="1"/>
  <c r="CX101" i="17"/>
  <c r="Y100" i="17"/>
  <c r="BV100" i="17"/>
  <c r="M100" i="17"/>
  <c r="M101" i="17"/>
  <c r="CW101" i="17"/>
  <c r="CH74" i="17"/>
  <c r="CH100" i="17" s="1"/>
  <c r="BV99" i="17"/>
  <c r="BV106" i="17" s="1"/>
  <c r="DF96" i="17"/>
  <c r="CG99" i="17"/>
  <c r="O103" i="17"/>
  <c r="DC100" i="17"/>
  <c r="BV71" i="17"/>
  <c r="BV104" i="17" s="1"/>
  <c r="AK99" i="17"/>
  <c r="AM101" i="17"/>
  <c r="BG74" i="17"/>
  <c r="BG100" i="17" s="1"/>
  <c r="BA96" i="17"/>
  <c r="AU101" i="17"/>
  <c r="AU99" i="17"/>
  <c r="CU101" i="17"/>
  <c r="AB102" i="17"/>
  <c r="BU101" i="17"/>
  <c r="N103" i="17"/>
  <c r="BV103" i="17"/>
  <c r="BK101" i="17"/>
  <c r="AI100" i="17"/>
  <c r="DC103" i="17"/>
  <c r="BL104" i="17"/>
  <c r="O100" i="17"/>
  <c r="N100" i="17"/>
  <c r="BL103" i="17"/>
  <c r="AS101" i="17"/>
  <c r="H101" i="17"/>
  <c r="DI71" i="17"/>
  <c r="AD101" i="17"/>
  <c r="BA103" i="17"/>
  <c r="V101" i="17"/>
  <c r="AA101" i="17"/>
  <c r="BJ74" i="17"/>
  <c r="BJ100" i="17" s="1"/>
  <c r="AC103" i="17"/>
  <c r="BY96" i="17"/>
  <c r="BG101" i="17"/>
  <c r="BA104" i="17"/>
  <c r="Z103" i="17"/>
  <c r="J101" i="17"/>
  <c r="BI101" i="17"/>
  <c r="AC104" i="17"/>
  <c r="CK102" i="17"/>
  <c r="BY103" i="17"/>
  <c r="AO103" i="17"/>
  <c r="AW104" i="17"/>
  <c r="AV100" i="17"/>
  <c r="BW104" i="17"/>
  <c r="CK101" i="17"/>
  <c r="BH102" i="17"/>
  <c r="BF101" i="17"/>
  <c r="DF104" i="17"/>
  <c r="F101" i="17"/>
  <c r="CT103" i="17"/>
  <c r="AH101" i="17"/>
  <c r="DA101" i="17"/>
  <c r="BY104" i="17"/>
  <c r="AO104" i="17"/>
  <c r="CQ101" i="17"/>
  <c r="CW103" i="17"/>
  <c r="CT71" i="17"/>
  <c r="CT104" i="17" s="1"/>
  <c r="CH71" i="17"/>
  <c r="CH104" i="17" s="1"/>
  <c r="CV101" i="17"/>
  <c r="BX103" i="17"/>
  <c r="CW104" i="17"/>
  <c r="N104" i="17"/>
  <c r="BO101" i="17"/>
  <c r="AZ101" i="17"/>
  <c r="BE101" i="17"/>
  <c r="CZ101" i="17"/>
  <c r="BZ101" i="17"/>
  <c r="DH101" i="17"/>
  <c r="BS101" i="17"/>
  <c r="AX103" i="17"/>
  <c r="BW100" i="17"/>
  <c r="BJ71" i="17"/>
  <c r="BJ104" i="17" s="1"/>
  <c r="CL101" i="17"/>
  <c r="BL101" i="17"/>
  <c r="AN103" i="17"/>
  <c r="BW103" i="17"/>
  <c r="AI101" i="17"/>
  <c r="DF103" i="17"/>
  <c r="CP101" i="17"/>
  <c r="DE101" i="17"/>
  <c r="U101" i="17"/>
  <c r="BP101" i="17"/>
  <c r="AN104" i="17"/>
  <c r="E78" i="17"/>
  <c r="E102" i="17" s="1"/>
  <c r="BZ96" i="17"/>
  <c r="BZ71" i="17"/>
  <c r="DC101" i="17"/>
  <c r="CC99" i="17"/>
  <c r="CC74" i="17"/>
  <c r="CC100" i="17" s="1"/>
  <c r="X96" i="17"/>
  <c r="X71" i="17"/>
  <c r="X103" i="17" s="1"/>
  <c r="CH78" i="17"/>
  <c r="CH102" i="17" s="1"/>
  <c r="BG96" i="17"/>
  <c r="BG71" i="17"/>
  <c r="BI102" i="17"/>
  <c r="BI78" i="17"/>
  <c r="BR96" i="17"/>
  <c r="BR71" i="17"/>
  <c r="BA78" i="17"/>
  <c r="BA102" i="17" s="1"/>
  <c r="BE96" i="17"/>
  <c r="BE71" i="17"/>
  <c r="BM99" i="17"/>
  <c r="BM74" i="17"/>
  <c r="BM100" i="17" s="1"/>
  <c r="BR78" i="17"/>
  <c r="BR102" i="17" s="1"/>
  <c r="J78" i="17"/>
  <c r="J102" i="17" s="1"/>
  <c r="I78" i="17"/>
  <c r="I102" i="17" s="1"/>
  <c r="DB100" i="17"/>
  <c r="C99" i="17"/>
  <c r="C74" i="17"/>
  <c r="C100" i="17" s="1"/>
  <c r="BY78" i="17"/>
  <c r="BY102" i="17" s="1"/>
  <c r="N101" i="17"/>
  <c r="AY96" i="17"/>
  <c r="AY71" i="17"/>
  <c r="AY104" i="17" s="1"/>
  <c r="L101" i="17"/>
  <c r="DG78" i="17"/>
  <c r="DG102" i="17" s="1"/>
  <c r="CI78" i="17"/>
  <c r="CI102" i="17" s="1"/>
  <c r="CA78" i="17"/>
  <c r="CA102" i="17" s="1"/>
  <c r="BO78" i="17"/>
  <c r="BO102" i="17" s="1"/>
  <c r="BC78" i="17"/>
  <c r="BC102" i="17" s="1"/>
  <c r="AD96" i="17"/>
  <c r="AD71" i="17"/>
  <c r="AN99" i="17"/>
  <c r="AN74" i="17"/>
  <c r="AN100" i="17" s="1"/>
  <c r="K106" i="17"/>
  <c r="K107" i="17"/>
  <c r="BQ99" i="17"/>
  <c r="BQ74" i="17"/>
  <c r="BQ100" i="17" s="1"/>
  <c r="BT78" i="17"/>
  <c r="BT102" i="17" s="1"/>
  <c r="AC78" i="17"/>
  <c r="AC102" i="17" s="1"/>
  <c r="AU106" i="17"/>
  <c r="AU107" i="17"/>
  <c r="CN99" i="17"/>
  <c r="CN74" i="17"/>
  <c r="CN100" i="17" s="1"/>
  <c r="AH78" i="17"/>
  <c r="AH102" i="17" s="1"/>
  <c r="AS99" i="17"/>
  <c r="AS74" i="17"/>
  <c r="AS100" i="17" s="1"/>
  <c r="CB99" i="17"/>
  <c r="CB74" i="17"/>
  <c r="CB100" i="17" s="1"/>
  <c r="W96" i="17"/>
  <c r="W71" i="17"/>
  <c r="CG78" i="17"/>
  <c r="CG102" i="17" s="1"/>
  <c r="CC101" i="17"/>
  <c r="AH96" i="17"/>
  <c r="AH71" i="17"/>
  <c r="CR78" i="17"/>
  <c r="CR102" i="17" s="1"/>
  <c r="L78" i="17"/>
  <c r="L102" i="17" s="1"/>
  <c r="U96" i="17"/>
  <c r="U71" i="17"/>
  <c r="U103" i="17" s="1"/>
  <c r="AU78" i="17"/>
  <c r="AU102" i="17" s="1"/>
  <c r="K78" i="17"/>
  <c r="K102" i="17" s="1"/>
  <c r="AC99" i="17"/>
  <c r="AC74" i="17"/>
  <c r="AC100" i="17" s="1"/>
  <c r="CB96" i="17"/>
  <c r="CB71" i="17"/>
  <c r="AX107" i="17"/>
  <c r="AX106" i="17"/>
  <c r="BN101" i="17"/>
  <c r="Z107" i="17"/>
  <c r="Z106" i="17"/>
  <c r="CI99" i="17"/>
  <c r="CI74" i="17"/>
  <c r="CI100" i="17" s="1"/>
  <c r="CN78" i="17"/>
  <c r="CN102" i="17" s="1"/>
  <c r="BD78" i="17"/>
  <c r="BD102" i="17" s="1"/>
  <c r="T78" i="17"/>
  <c r="T102" i="17" s="1"/>
  <c r="CF99" i="17"/>
  <c r="CF74" i="17"/>
  <c r="CF100" i="17" s="1"/>
  <c r="DB106" i="17"/>
  <c r="DB107" i="17"/>
  <c r="CG96" i="17"/>
  <c r="CG71" i="17"/>
  <c r="CG104" i="17" s="1"/>
  <c r="CQ106" i="17"/>
  <c r="CQ107" i="17"/>
  <c r="CM78" i="17"/>
  <c r="CM102" i="17" s="1"/>
  <c r="BB96" i="17"/>
  <c r="BB71" i="17"/>
  <c r="BB103" i="17" s="1"/>
  <c r="CL96" i="17"/>
  <c r="CL71" i="17"/>
  <c r="CL104" i="17" s="1"/>
  <c r="R78" i="17"/>
  <c r="R102" i="17" s="1"/>
  <c r="BS106" i="17"/>
  <c r="BS107" i="17"/>
  <c r="AZ78" i="17"/>
  <c r="AZ102" i="17" s="1"/>
  <c r="D99" i="17"/>
  <c r="D74" i="17"/>
  <c r="CG107" i="17"/>
  <c r="CG106" i="17"/>
  <c r="AS96" i="17"/>
  <c r="AS71" i="17"/>
  <c r="AS104" i="17" s="1"/>
  <c r="CZ96" i="17"/>
  <c r="CZ71" i="17"/>
  <c r="CZ104" i="17" s="1"/>
  <c r="DD99" i="17"/>
  <c r="DD74" i="17"/>
  <c r="DD100" i="17" s="1"/>
  <c r="DE96" i="17"/>
  <c r="DE71" i="17"/>
  <c r="DE104" i="17" s="1"/>
  <c r="DH78" i="17"/>
  <c r="DH102" i="17" s="1"/>
  <c r="CE78" i="17"/>
  <c r="CE102" i="17" s="1"/>
  <c r="AA96" i="17"/>
  <c r="AA71" i="17"/>
  <c r="AA103" i="17" s="1"/>
  <c r="CJ96" i="17"/>
  <c r="CJ71" i="17"/>
  <c r="CJ103" i="17" s="1"/>
  <c r="AH104" i="17"/>
  <c r="AG99" i="17"/>
  <c r="AG74" i="17"/>
  <c r="AG100" i="17" s="1"/>
  <c r="DD96" i="17"/>
  <c r="DD71" i="17"/>
  <c r="BP99" i="17"/>
  <c r="BP74" i="17"/>
  <c r="BP100" i="17" s="1"/>
  <c r="K96" i="17"/>
  <c r="K71" i="17"/>
  <c r="K103" i="17" s="1"/>
  <c r="CT107" i="17"/>
  <c r="CT106" i="17"/>
  <c r="BQ101" i="17"/>
  <c r="V96" i="17"/>
  <c r="V71" i="17"/>
  <c r="I96" i="17"/>
  <c r="I71" i="17"/>
  <c r="CA101" i="17"/>
  <c r="Q99" i="17"/>
  <c r="Q74" i="17"/>
  <c r="Q100" i="17" s="1"/>
  <c r="BP96" i="17"/>
  <c r="BP71" i="17"/>
  <c r="DF101" i="17"/>
  <c r="BT99" i="17"/>
  <c r="BT74" i="17"/>
  <c r="BT100" i="17" s="1"/>
  <c r="DD101" i="17"/>
  <c r="CP99" i="17"/>
  <c r="CP74" i="17"/>
  <c r="CP100" i="17" s="1"/>
  <c r="BU96" i="17"/>
  <c r="BU71" i="17"/>
  <c r="AM78" i="17"/>
  <c r="AM102" i="17" s="1"/>
  <c r="CE106" i="17"/>
  <c r="CE107" i="17"/>
  <c r="CY78" i="17"/>
  <c r="CY102" i="17" s="1"/>
  <c r="AE96" i="17"/>
  <c r="AE71" i="17"/>
  <c r="AE104" i="17" s="1"/>
  <c r="S96" i="17"/>
  <c r="S71" i="17"/>
  <c r="S104" i="17" s="1"/>
  <c r="BZ99" i="17"/>
  <c r="BZ74" i="17"/>
  <c r="BZ100" i="17" s="1"/>
  <c r="DH103" i="17"/>
  <c r="D78" i="17"/>
  <c r="D102" i="17" s="1"/>
  <c r="M107" i="17"/>
  <c r="M106" i="17"/>
  <c r="DG99" i="17"/>
  <c r="DG74" i="17"/>
  <c r="DG100" i="17" s="1"/>
  <c r="AO99" i="17"/>
  <c r="AO74" i="17"/>
  <c r="AO100" i="17" s="1"/>
  <c r="CR99" i="17"/>
  <c r="CR74" i="17"/>
  <c r="CR100" i="17" s="1"/>
  <c r="CS96" i="17"/>
  <c r="CS71" i="17"/>
  <c r="CS104" i="17" s="1"/>
  <c r="AZ99" i="17"/>
  <c r="AZ74" i="17"/>
  <c r="U99" i="17"/>
  <c r="U74" i="17"/>
  <c r="U100" i="17" s="1"/>
  <c r="CR96" i="17"/>
  <c r="CR71" i="17"/>
  <c r="BV78" i="17"/>
  <c r="BV102" i="17" s="1"/>
  <c r="DF107" i="17"/>
  <c r="DF106" i="17"/>
  <c r="BD99" i="17"/>
  <c r="BD74" i="17"/>
  <c r="BD100" i="17" s="1"/>
  <c r="DE78" i="17"/>
  <c r="DE102" i="17" s="1"/>
  <c r="J96" i="17"/>
  <c r="J71" i="17"/>
  <c r="E99" i="17"/>
  <c r="E74" i="17"/>
  <c r="E100" i="17" s="1"/>
  <c r="BD96" i="17"/>
  <c r="BD71" i="17"/>
  <c r="BF78" i="17"/>
  <c r="BF102" i="17" s="1"/>
  <c r="DA102" i="17"/>
  <c r="DA78" i="17"/>
  <c r="BQ78" i="17"/>
  <c r="BQ102" i="17" s="1"/>
  <c r="AG78" i="17"/>
  <c r="AG102" i="17" s="1"/>
  <c r="BW107" i="17"/>
  <c r="BW106" i="17"/>
  <c r="CT101" i="17"/>
  <c r="BH99" i="17"/>
  <c r="BH74" i="17"/>
  <c r="C96" i="17"/>
  <c r="C71" i="17"/>
  <c r="C104" i="17" s="1"/>
  <c r="CR101" i="17"/>
  <c r="CD99" i="17"/>
  <c r="CD74" i="17"/>
  <c r="CD100" i="17" s="1"/>
  <c r="BI96" i="17"/>
  <c r="BI71" i="17"/>
  <c r="BI104" i="17" s="1"/>
  <c r="AZ96" i="17"/>
  <c r="AZ71" i="17"/>
  <c r="AQ96" i="17"/>
  <c r="AQ71" i="17"/>
  <c r="AE101" i="17"/>
  <c r="S101" i="17"/>
  <c r="G96" i="17"/>
  <c r="G71" i="17"/>
  <c r="G103" i="17" s="1"/>
  <c r="BB99" i="17"/>
  <c r="BB74" i="17"/>
  <c r="BB100" i="17" s="1"/>
  <c r="CG101" i="17"/>
  <c r="CX96" i="17"/>
  <c r="CX71" i="17"/>
  <c r="CL99" i="17"/>
  <c r="CL74" i="17"/>
  <c r="CL100" i="17" s="1"/>
  <c r="AP78" i="17"/>
  <c r="AP102" i="17" s="1"/>
  <c r="DH104" i="17"/>
  <c r="BL99" i="17"/>
  <c r="BL74" i="17"/>
  <c r="AK107" i="17"/>
  <c r="AK106" i="17"/>
  <c r="AH103" i="17"/>
  <c r="DC106" i="17"/>
  <c r="DC107" i="17"/>
  <c r="AX78" i="17"/>
  <c r="AX102" i="17" s="1"/>
  <c r="AD99" i="17"/>
  <c r="AD74" i="17"/>
  <c r="AD100" i="17" s="1"/>
  <c r="I99" i="17"/>
  <c r="I74" i="17"/>
  <c r="I100" i="17" s="1"/>
  <c r="CF96" i="17"/>
  <c r="CF71" i="17"/>
  <c r="AL78" i="17"/>
  <c r="AL102" i="17" s="1"/>
  <c r="AR99" i="17"/>
  <c r="AR74" i="17"/>
  <c r="AR100" i="17" s="1"/>
  <c r="Y78" i="17"/>
  <c r="Y102" i="17" s="1"/>
  <c r="N107" i="17"/>
  <c r="N106" i="17"/>
  <c r="DD104" i="17"/>
  <c r="CG100" i="17"/>
  <c r="AL107" i="17"/>
  <c r="AL106" i="17"/>
  <c r="BH100" i="17"/>
  <c r="AR96" i="17"/>
  <c r="AR71" i="17"/>
  <c r="V103" i="17"/>
  <c r="BM101" i="17"/>
  <c r="BK99" i="17"/>
  <c r="BK74" i="17"/>
  <c r="BK100" i="17" s="1"/>
  <c r="CB103" i="17"/>
  <c r="CH101" i="17"/>
  <c r="DG96" i="17"/>
  <c r="DG71" i="17"/>
  <c r="CF101" i="17"/>
  <c r="BR99" i="17"/>
  <c r="BR74" i="17"/>
  <c r="BR100" i="17" s="1"/>
  <c r="CU78" i="17"/>
  <c r="CU102" i="17" s="1"/>
  <c r="BK78" i="17"/>
  <c r="BK102" i="17" s="1"/>
  <c r="BO96" i="17"/>
  <c r="BO71" i="17"/>
  <c r="AE99" i="17"/>
  <c r="AE74" i="17"/>
  <c r="AE100" i="17" s="1"/>
  <c r="G101" i="17"/>
  <c r="AZ100" i="17"/>
  <c r="P99" i="17"/>
  <c r="P74" i="17"/>
  <c r="Y101" i="17"/>
  <c r="L96" i="17"/>
  <c r="L71" i="17"/>
  <c r="AM96" i="17"/>
  <c r="AM71" i="17"/>
  <c r="F78" i="17"/>
  <c r="F102" i="17" s="1"/>
  <c r="BE99" i="17"/>
  <c r="BE74" i="17"/>
  <c r="BE100" i="17" s="1"/>
  <c r="AG96" i="17"/>
  <c r="AG71" i="17"/>
  <c r="CN96" i="17"/>
  <c r="CN71" i="17"/>
  <c r="CN103" i="17" s="1"/>
  <c r="C78" i="17"/>
  <c r="C102" i="17" s="1"/>
  <c r="BT96" i="17"/>
  <c r="BT71" i="17"/>
  <c r="CT78" i="17"/>
  <c r="CT102" i="17" s="1"/>
  <c r="AF99" i="17"/>
  <c r="AF74" i="17"/>
  <c r="AF100" i="17" s="1"/>
  <c r="AJ78" i="17"/>
  <c r="AJ102" i="17" s="1"/>
  <c r="BS78" i="17"/>
  <c r="BS102" i="17" s="1"/>
  <c r="AI78" i="17"/>
  <c r="AI102" i="17" s="1"/>
  <c r="AF96" i="17"/>
  <c r="AF71" i="17"/>
  <c r="CD78" i="17"/>
  <c r="CD102" i="17" s="1"/>
  <c r="V78" i="17"/>
  <c r="V102" i="17" s="1"/>
  <c r="BA101" i="17"/>
  <c r="AY99" i="17"/>
  <c r="AY74" i="17"/>
  <c r="CB78" i="17"/>
  <c r="CB102" i="17" s="1"/>
  <c r="AR78" i="17"/>
  <c r="AR102" i="17" s="1"/>
  <c r="H78" i="17"/>
  <c r="H102" i="17" s="1"/>
  <c r="BV101" i="17"/>
  <c r="AV106" i="17"/>
  <c r="AV107" i="17"/>
  <c r="CU96" i="17"/>
  <c r="CU71" i="17"/>
  <c r="CU103" i="17" s="1"/>
  <c r="DI103" i="17"/>
  <c r="BT101" i="17"/>
  <c r="BF99" i="17"/>
  <c r="BF74" i="17"/>
  <c r="BF100" i="17" s="1"/>
  <c r="BC96" i="17"/>
  <c r="BC71" i="17"/>
  <c r="BC104" i="17" s="1"/>
  <c r="AQ101" i="17"/>
  <c r="S99" i="17"/>
  <c r="S74" i="17"/>
  <c r="S100" i="17" s="1"/>
  <c r="G99" i="17"/>
  <c r="G74" i="17"/>
  <c r="G100" i="17" s="1"/>
  <c r="AD78" i="17"/>
  <c r="AD102" i="17" s="1"/>
  <c r="BU99" i="17"/>
  <c r="BU74" i="17"/>
  <c r="BU100" i="17" s="1"/>
  <c r="CX99" i="17"/>
  <c r="CX74" i="17"/>
  <c r="CX100" i="17" s="1"/>
  <c r="BZ78" i="17"/>
  <c r="BZ102" i="17" s="1"/>
  <c r="F96" i="17"/>
  <c r="F71" i="17"/>
  <c r="F104" i="17" s="1"/>
  <c r="D96" i="17"/>
  <c r="D71" i="17"/>
  <c r="CJ101" i="17"/>
  <c r="D101" i="17"/>
  <c r="CZ99" i="17"/>
  <c r="CZ74" i="17"/>
  <c r="CZ100" i="17" s="1"/>
  <c r="BF96" i="17"/>
  <c r="BF71" i="17"/>
  <c r="DE107" i="17"/>
  <c r="DE106" i="17"/>
  <c r="AT96" i="17"/>
  <c r="AT71" i="17"/>
  <c r="AT104" i="17" s="1"/>
  <c r="CP78" i="17"/>
  <c r="CP102" i="17" s="1"/>
  <c r="BI99" i="17"/>
  <c r="BI74" i="17"/>
  <c r="BI100" i="17" s="1"/>
  <c r="BH96" i="17"/>
  <c r="BH71" i="17"/>
  <c r="CD101" i="17"/>
  <c r="AY100" i="17"/>
  <c r="T99" i="17"/>
  <c r="T74" i="17"/>
  <c r="T100" i="17" s="1"/>
  <c r="BU78" i="17"/>
  <c r="BU102" i="17" s="1"/>
  <c r="CF78" i="17"/>
  <c r="CF102" i="17" s="1"/>
  <c r="DA96" i="17"/>
  <c r="DA71" i="17"/>
  <c r="DA104" i="17" s="1"/>
  <c r="DI99" i="17"/>
  <c r="DI74" i="17"/>
  <c r="DI100" i="17" s="1"/>
  <c r="T96" i="17"/>
  <c r="T71" i="17"/>
  <c r="BR104" i="17"/>
  <c r="CW78" i="17"/>
  <c r="CW102" i="17" s="1"/>
  <c r="BX107" i="17"/>
  <c r="BX106" i="17"/>
  <c r="U78" i="17"/>
  <c r="U102" i="17" s="1"/>
  <c r="AO101" i="17"/>
  <c r="AM99" i="17"/>
  <c r="AM74" i="17"/>
  <c r="AM100" i="17" s="1"/>
  <c r="CB104" i="17"/>
  <c r="CH107" i="17"/>
  <c r="CH106" i="17"/>
  <c r="BJ101" i="17"/>
  <c r="AJ99" i="17"/>
  <c r="AJ74" i="17"/>
  <c r="AJ100" i="17" s="1"/>
  <c r="CI96" i="17"/>
  <c r="CI71" i="17"/>
  <c r="CI104" i="17" s="1"/>
  <c r="DI104" i="17"/>
  <c r="BH101" i="17"/>
  <c r="AT99" i="17"/>
  <c r="AT74" i="17"/>
  <c r="AT100" i="17" s="1"/>
  <c r="AK96" i="17"/>
  <c r="AK71" i="17"/>
  <c r="BV107" i="17"/>
  <c r="CV96" i="17"/>
  <c r="CV71" i="17"/>
  <c r="CM96" i="17"/>
  <c r="CM71" i="17"/>
  <c r="CM103" i="17" s="1"/>
  <c r="CA96" i="17"/>
  <c r="CA71" i="17"/>
  <c r="CA103" i="17" s="1"/>
  <c r="BO99" i="17"/>
  <c r="BO74" i="17"/>
  <c r="BO100" i="17" s="1"/>
  <c r="BC101" i="17"/>
  <c r="AQ99" i="17"/>
  <c r="AQ74" i="17"/>
  <c r="AQ100" i="17" s="1"/>
  <c r="S103" i="17"/>
  <c r="AD104" i="17"/>
  <c r="BZ104" i="17"/>
  <c r="R96" i="17"/>
  <c r="R71" i="17"/>
  <c r="R103" i="17" s="1"/>
  <c r="CJ99" i="17"/>
  <c r="CJ74" i="17"/>
  <c r="CJ100" i="17" s="1"/>
  <c r="BL78" i="17"/>
  <c r="BL102" i="17" s="1"/>
  <c r="AB99" i="17"/>
  <c r="AB74" i="17"/>
  <c r="AB100" i="17" s="1"/>
  <c r="D100" i="17"/>
  <c r="Y107" i="17"/>
  <c r="Y106" i="17"/>
  <c r="CC78" i="17"/>
  <c r="CC102" i="17" s="1"/>
  <c r="BG106" i="17"/>
  <c r="BG107" i="17"/>
  <c r="CS99" i="17"/>
  <c r="CS74" i="17"/>
  <c r="CS100" i="17" s="1"/>
  <c r="DF78" i="17"/>
  <c r="DF102" i="17" s="1"/>
  <c r="AK78" i="17"/>
  <c r="AK102" i="17" s="1"/>
  <c r="DI78" i="17"/>
  <c r="DI102" i="17" s="1"/>
  <c r="H99" i="17"/>
  <c r="H74" i="17"/>
  <c r="H100" i="17" s="1"/>
  <c r="CQ96" i="17"/>
  <c r="CQ71" i="17"/>
  <c r="DE103" i="17"/>
  <c r="DD103" i="17"/>
  <c r="BN106" i="17"/>
  <c r="BN107" i="17"/>
  <c r="CO96" i="17"/>
  <c r="CO71" i="17"/>
  <c r="CQ78" i="17"/>
  <c r="CQ102" i="17" s="1"/>
  <c r="CW99" i="17"/>
  <c r="CW74" i="17"/>
  <c r="CW100" i="17" s="1"/>
  <c r="H96" i="17"/>
  <c r="H71" i="17"/>
  <c r="CO78" i="17"/>
  <c r="CO102" i="17" s="1"/>
  <c r="BE78" i="17"/>
  <c r="BE102" i="17" s="1"/>
  <c r="AC101" i="17"/>
  <c r="AA99" i="17"/>
  <c r="AA74" i="17"/>
  <c r="AX101" i="17"/>
  <c r="X99" i="17"/>
  <c r="X74" i="17"/>
  <c r="X100" i="17" s="1"/>
  <c r="E103" i="17"/>
  <c r="AV101" i="17"/>
  <c r="AH99" i="17"/>
  <c r="AH74" i="17"/>
  <c r="AH100" i="17" s="1"/>
  <c r="Y96" i="17"/>
  <c r="Y71" i="17"/>
  <c r="Y104" i="17" s="1"/>
  <c r="AA102" i="17"/>
  <c r="AA78" i="17"/>
  <c r="CY96" i="17"/>
  <c r="CY71" i="17"/>
  <c r="CM101" i="17"/>
  <c r="CA99" i="17"/>
  <c r="CA74" i="17"/>
  <c r="CA100" i="17" s="1"/>
  <c r="BC99" i="17"/>
  <c r="BC74" i="17"/>
  <c r="BC100" i="17" s="1"/>
  <c r="BB78" i="17"/>
  <c r="BB102" i="17" s="1"/>
  <c r="AI106" i="17"/>
  <c r="AI107" i="17"/>
  <c r="CL78" i="17"/>
  <c r="CL102" i="17" s="1"/>
  <c r="R101" i="17"/>
  <c r="F99" i="17"/>
  <c r="F74" i="17"/>
  <c r="AK101" i="17"/>
  <c r="CV78" i="17"/>
  <c r="CV102" i="17" s="1"/>
  <c r="BL100" i="17"/>
  <c r="P100" i="17"/>
  <c r="D103" i="17"/>
  <c r="W106" i="17"/>
  <c r="W107" i="17"/>
  <c r="AN102" i="17"/>
  <c r="AN78" i="17"/>
  <c r="AI96" i="17"/>
  <c r="AI71" i="17"/>
  <c r="L103" i="17"/>
  <c r="F100" i="17"/>
  <c r="DA99" i="17"/>
  <c r="DA74" i="17"/>
  <c r="DA100" i="17" s="1"/>
  <c r="BJ78" i="17"/>
  <c r="BJ102" i="17" s="1"/>
  <c r="Z78" i="17"/>
  <c r="Z102" i="17" s="1"/>
  <c r="BM78" i="17"/>
  <c r="BM102" i="17" s="1"/>
  <c r="AA100" i="17"/>
  <c r="CE96" i="17"/>
  <c r="CE71" i="17"/>
  <c r="CS78" i="17"/>
  <c r="CS102" i="17" s="1"/>
  <c r="M78" i="17"/>
  <c r="M102" i="17" s="1"/>
  <c r="CP96" i="17"/>
  <c r="CP71" i="17"/>
  <c r="CP104" i="17" s="1"/>
  <c r="DD78" i="17"/>
  <c r="DD102" i="17" s="1"/>
  <c r="CN101" i="17"/>
  <c r="CC96" i="17"/>
  <c r="CC71" i="17"/>
  <c r="CE104" i="17"/>
  <c r="CK99" i="17"/>
  <c r="CK74" i="17"/>
  <c r="CK100" i="17" s="1"/>
  <c r="AT78" i="17"/>
  <c r="AT102" i="17" s="1"/>
  <c r="CO104" i="17"/>
  <c r="Q101" i="17"/>
  <c r="CZ78" i="17"/>
  <c r="CZ102" i="17" s="1"/>
  <c r="AL101" i="17"/>
  <c r="L99" i="17"/>
  <c r="L74" i="17"/>
  <c r="L100" i="17" s="1"/>
  <c r="AJ101" i="17"/>
  <c r="V99" i="17"/>
  <c r="V74" i="17"/>
  <c r="V100" i="17" s="1"/>
  <c r="M96" i="17"/>
  <c r="M71" i="17"/>
  <c r="M103" i="17" s="1"/>
  <c r="CJ78" i="17"/>
  <c r="CJ102" i="17" s="1"/>
  <c r="P96" i="17"/>
  <c r="P71" i="17"/>
  <c r="AW101" i="17"/>
  <c r="CY101" i="17"/>
  <c r="BB104" i="17"/>
  <c r="R99" i="17"/>
  <c r="R74" i="17"/>
  <c r="R100" i="17" s="1"/>
  <c r="CV99" i="17"/>
  <c r="CV74" i="17"/>
  <c r="CV100" i="17" s="1"/>
  <c r="P78" i="17"/>
  <c r="P102" i="17" s="1"/>
  <c r="D104" i="17"/>
  <c r="BW101" i="17"/>
  <c r="AW107" i="17"/>
  <c r="AW106" i="17"/>
  <c r="AU96" i="17"/>
  <c r="AU71" i="17"/>
  <c r="BA99" i="17"/>
  <c r="BA74" i="17"/>
  <c r="BA100" i="17" s="1"/>
  <c r="AS78" i="17"/>
  <c r="AS102" i="17" s="1"/>
  <c r="AP99" i="17"/>
  <c r="AP74" i="17"/>
  <c r="AP100" i="17" s="1"/>
  <c r="CS103" i="17"/>
  <c r="CU99" i="17"/>
  <c r="CU74" i="17"/>
  <c r="CU100" i="17" s="1"/>
  <c r="E104" i="17"/>
  <c r="CO99" i="17"/>
  <c r="CO74" i="17"/>
  <c r="CO100" i="17" s="1"/>
  <c r="AJ96" i="17"/>
  <c r="AJ71" i="17"/>
  <c r="BS96" i="17"/>
  <c r="BS71" i="17"/>
  <c r="BU103" i="17"/>
  <c r="AX100" i="17"/>
  <c r="CD96" i="17"/>
  <c r="CD71" i="17"/>
  <c r="CD104" i="17" s="1"/>
  <c r="X78" i="17"/>
  <c r="X102" i="17" s="1"/>
  <c r="CB101" i="17"/>
  <c r="BQ96" i="17"/>
  <c r="BQ71" i="17"/>
  <c r="BQ103" i="17" s="1"/>
  <c r="BG102" i="17"/>
  <c r="BG78" i="17"/>
  <c r="W78" i="17"/>
  <c r="W102" i="17" s="1"/>
  <c r="BY99" i="17"/>
  <c r="BY74" i="17"/>
  <c r="BY100" i="17" s="1"/>
  <c r="BR103" i="17"/>
  <c r="I103" i="17"/>
  <c r="E101" i="17"/>
  <c r="O107" i="17"/>
  <c r="O106" i="17"/>
  <c r="BP78" i="17"/>
  <c r="BP102" i="17" s="1"/>
  <c r="AF78" i="17"/>
  <c r="AF102" i="17" s="1"/>
  <c r="BJ107" i="17"/>
  <c r="BJ106" i="17"/>
  <c r="Z101" i="17"/>
  <c r="BK96" i="17"/>
  <c r="BK71" i="17"/>
  <c r="BK104" i="17" s="1"/>
  <c r="X101" i="17"/>
  <c r="J99" i="17"/>
  <c r="J74" i="17"/>
  <c r="J100" i="17" s="1"/>
  <c r="AY78" i="17"/>
  <c r="AY102" i="17" s="1"/>
  <c r="AW103" i="17"/>
  <c r="CY99" i="17"/>
  <c r="CY74" i="17"/>
  <c r="CY100" i="17" s="1"/>
  <c r="CM99" i="17"/>
  <c r="CM74" i="17"/>
  <c r="CM100" i="17" s="1"/>
  <c r="AQ78" i="17"/>
  <c r="AQ102" i="17" s="1"/>
  <c r="AE78" i="17"/>
  <c r="AE102" i="17" s="1"/>
  <c r="S78" i="17"/>
  <c r="S102" i="17" s="1"/>
  <c r="G78" i="17"/>
  <c r="G102" i="17" s="1"/>
  <c r="CX78" i="17"/>
  <c r="CX102" i="17" s="1"/>
  <c r="AP96" i="17"/>
  <c r="AP71" i="17"/>
  <c r="DH99" i="17"/>
  <c r="DH74" i="17"/>
  <c r="DH100" i="17" s="1"/>
  <c r="AN101" i="17"/>
  <c r="AB101" i="17"/>
  <c r="O101" i="17"/>
  <c r="U104" i="17" l="1"/>
  <c r="AB104" i="17"/>
  <c r="AE103" i="17"/>
  <c r="BM103" i="17"/>
  <c r="D31" i="18" a="1"/>
  <c r="G87" i="18" s="1"/>
  <c r="CU104" i="17"/>
  <c r="CH103" i="17"/>
  <c r="F103" i="17"/>
  <c r="D25" i="18" a="1"/>
  <c r="E81" i="18" s="1"/>
  <c r="D19" i="18" a="1"/>
  <c r="M75" i="18" s="1"/>
  <c r="AA104" i="17"/>
  <c r="CZ103" i="17"/>
  <c r="C103" i="17"/>
  <c r="BJ103" i="17"/>
  <c r="AT103" i="17"/>
  <c r="CI103" i="17"/>
  <c r="L81" i="18"/>
  <c r="M87" i="18"/>
  <c r="L87" i="18"/>
  <c r="O87" i="18"/>
  <c r="E87" i="18"/>
  <c r="F75" i="18"/>
  <c r="O75" i="18"/>
  <c r="E75" i="18"/>
  <c r="I75" i="18"/>
  <c r="AR104" i="17"/>
  <c r="X104" i="17"/>
  <c r="BU104" i="17"/>
  <c r="Y103" i="17"/>
  <c r="AZ104" i="17"/>
  <c r="AD103" i="17"/>
  <c r="AZ103" i="17"/>
  <c r="BD103" i="17"/>
  <c r="H104" i="17"/>
  <c r="AF104" i="17"/>
  <c r="D53" i="18" a="1"/>
  <c r="CF103" i="17"/>
  <c r="BZ103" i="17"/>
  <c r="AF103" i="17"/>
  <c r="W104" i="17"/>
  <c r="D54" i="18" a="1"/>
  <c r="M104" i="17"/>
  <c r="AY103" i="17"/>
  <c r="BI103" i="17"/>
  <c r="CQ103" i="17"/>
  <c r="AJ104" i="17"/>
  <c r="P103" i="17"/>
  <c r="CL103" i="17"/>
  <c r="W103" i="17"/>
  <c r="BH103" i="17"/>
  <c r="CG103" i="17"/>
  <c r="D48" i="18" s="1" a="1"/>
  <c r="BS103" i="17"/>
  <c r="T104" i="17"/>
  <c r="CC104" i="17"/>
  <c r="BF106" i="17"/>
  <c r="BF107" i="17"/>
  <c r="CB106" i="17"/>
  <c r="CB107" i="17"/>
  <c r="R106" i="17"/>
  <c r="R107" i="17"/>
  <c r="BO103" i="17"/>
  <c r="AB107" i="17"/>
  <c r="AB106" i="17"/>
  <c r="D20" i="18" s="1" a="1"/>
  <c r="AT106" i="17"/>
  <c r="AT107" i="17"/>
  <c r="BI107" i="17"/>
  <c r="BI106" i="17"/>
  <c r="BC103" i="17"/>
  <c r="BQ104" i="17"/>
  <c r="AI103" i="17"/>
  <c r="D24" i="18" s="1" a="1"/>
  <c r="AD106" i="17"/>
  <c r="AD107" i="17"/>
  <c r="CR106" i="17"/>
  <c r="CR107" i="17"/>
  <c r="CV104" i="17"/>
  <c r="DG103" i="17"/>
  <c r="J103" i="17"/>
  <c r="AP106" i="17"/>
  <c r="AP107" i="17"/>
  <c r="CA106" i="17"/>
  <c r="CA107" i="17"/>
  <c r="AH106" i="17"/>
  <c r="D23" i="18" s="1" a="1"/>
  <c r="AH107" i="17"/>
  <c r="BT104" i="17"/>
  <c r="CY103" i="17"/>
  <c r="BG104" i="17"/>
  <c r="D35" i="18" s="1" a="1"/>
  <c r="AP104" i="17"/>
  <c r="AK104" i="17"/>
  <c r="AR106" i="17"/>
  <c r="AR107" i="17"/>
  <c r="CL106" i="17"/>
  <c r="CL107" i="17"/>
  <c r="AO107" i="17"/>
  <c r="AO106" i="17"/>
  <c r="BF103" i="17"/>
  <c r="CF104" i="17"/>
  <c r="BP106" i="17"/>
  <c r="BP107" i="17"/>
  <c r="CI107" i="17"/>
  <c r="CI106" i="17"/>
  <c r="AG104" i="17"/>
  <c r="BQ106" i="17"/>
  <c r="BQ107" i="17"/>
  <c r="BP104" i="17"/>
  <c r="AU103" i="17"/>
  <c r="AP103" i="17"/>
  <c r="D27" i="18" s="1" a="1"/>
  <c r="V106" i="17"/>
  <c r="D17" i="18" s="1" a="1"/>
  <c r="V107" i="17"/>
  <c r="BE104" i="17"/>
  <c r="BO104" i="17"/>
  <c r="CZ106" i="17"/>
  <c r="CZ107" i="17"/>
  <c r="H103" i="17"/>
  <c r="AJ103" i="17"/>
  <c r="CY104" i="17"/>
  <c r="AK103" i="17"/>
  <c r="BH104" i="17"/>
  <c r="BD104" i="17"/>
  <c r="CF106" i="17"/>
  <c r="CF107" i="17"/>
  <c r="AC107" i="17"/>
  <c r="AC106" i="17"/>
  <c r="CM106" i="17"/>
  <c r="CM107" i="17"/>
  <c r="J106" i="17"/>
  <c r="J107" i="17"/>
  <c r="CO106" i="17"/>
  <c r="CO107" i="17"/>
  <c r="DG104" i="17"/>
  <c r="CJ107" i="17"/>
  <c r="CJ106" i="17"/>
  <c r="AM107" i="17"/>
  <c r="AM106" i="17"/>
  <c r="CX106" i="17"/>
  <c r="CX107" i="17"/>
  <c r="CE103" i="17"/>
  <c r="D47" i="18" s="1" a="1"/>
  <c r="AR103" i="17"/>
  <c r="CD103" i="17"/>
  <c r="R104" i="17"/>
  <c r="CN104" i="17"/>
  <c r="C107" i="17"/>
  <c r="C106" i="17"/>
  <c r="AA107" i="17"/>
  <c r="AA106" i="17"/>
  <c r="BT106" i="17"/>
  <c r="BT107" i="17"/>
  <c r="BY107" i="17"/>
  <c r="BY106" i="17"/>
  <c r="CR104" i="17"/>
  <c r="BG103" i="17"/>
  <c r="AQ106" i="17"/>
  <c r="AQ107" i="17"/>
  <c r="T106" i="17"/>
  <c r="T107" i="17"/>
  <c r="E107" i="17"/>
  <c r="E106" i="17"/>
  <c r="U106" i="17"/>
  <c r="U107" i="17"/>
  <c r="DG107" i="17"/>
  <c r="DG106" i="17"/>
  <c r="D18" i="18" a="1"/>
  <c r="AS106" i="17"/>
  <c r="AS107" i="17"/>
  <c r="P104" i="17"/>
  <c r="G104" i="17"/>
  <c r="L104" i="17"/>
  <c r="CY106" i="17"/>
  <c r="CY107" i="17"/>
  <c r="X106" i="17"/>
  <c r="X107" i="17"/>
  <c r="BU107" i="17"/>
  <c r="BU106" i="17"/>
  <c r="D43" i="18" s="1" a="1"/>
  <c r="AY107" i="17"/>
  <c r="AY106" i="17"/>
  <c r="BB106" i="17"/>
  <c r="BB107" i="17"/>
  <c r="D8" i="18" a="1"/>
  <c r="BF104" i="17"/>
  <c r="CM104" i="17"/>
  <c r="Q107" i="17"/>
  <c r="Q106" i="17"/>
  <c r="AG106" i="17"/>
  <c r="AG107" i="17"/>
  <c r="D107" i="17"/>
  <c r="D106" i="17"/>
  <c r="CV103" i="17"/>
  <c r="BT103" i="17"/>
  <c r="CK107" i="17"/>
  <c r="CK106" i="17"/>
  <c r="CW107" i="17"/>
  <c r="CW106" i="17"/>
  <c r="D55" i="18" s="1" a="1"/>
  <c r="J104" i="17"/>
  <c r="CD106" i="17"/>
  <c r="CD107" i="17"/>
  <c r="CX104" i="17"/>
  <c r="BA107" i="17"/>
  <c r="BA106" i="17"/>
  <c r="L106" i="17"/>
  <c r="L107" i="17"/>
  <c r="AJ106" i="17"/>
  <c r="AJ107" i="17"/>
  <c r="BL107" i="17"/>
  <c r="BL106" i="17"/>
  <c r="AM104" i="17"/>
  <c r="AZ107" i="17"/>
  <c r="AZ106" i="17"/>
  <c r="BZ106" i="17"/>
  <c r="BZ107" i="17"/>
  <c r="AM103" i="17"/>
  <c r="I104" i="17"/>
  <c r="CP103" i="17"/>
  <c r="S106" i="17"/>
  <c r="S107" i="17"/>
  <c r="CN106" i="17"/>
  <c r="CN107" i="17"/>
  <c r="CR103" i="17"/>
  <c r="CV107" i="17"/>
  <c r="CV106" i="17"/>
  <c r="DA106" i="17"/>
  <c r="DA107" i="17"/>
  <c r="BO106" i="17"/>
  <c r="BO107" i="17"/>
  <c r="BE103" i="17"/>
  <c r="CA104" i="17"/>
  <c r="AQ103" i="17"/>
  <c r="AF106" i="17"/>
  <c r="AF107" i="17"/>
  <c r="BK107" i="17"/>
  <c r="BK106" i="17"/>
  <c r="I106" i="17"/>
  <c r="I107" i="17"/>
  <c r="BK103" i="17"/>
  <c r="BH106" i="17"/>
  <c r="BH107" i="17"/>
  <c r="BD106" i="17"/>
  <c r="BD107" i="17"/>
  <c r="CX103" i="17"/>
  <c r="D56" i="18" s="1" a="1"/>
  <c r="CP106" i="17"/>
  <c r="CP107" i="17"/>
  <c r="AG103" i="17"/>
  <c r="AI104" i="17"/>
  <c r="DD106" i="17"/>
  <c r="D58" i="18" s="1" a="1"/>
  <c r="DD107" i="17"/>
  <c r="V104" i="17"/>
  <c r="BS104" i="17"/>
  <c r="T103" i="17"/>
  <c r="AN107" i="17"/>
  <c r="AN106" i="17"/>
  <c r="AQ104" i="17"/>
  <c r="AS103" i="17"/>
  <c r="D29" i="18" s="1" a="1"/>
  <c r="BM107" i="17"/>
  <c r="BM106" i="17"/>
  <c r="CS107" i="17"/>
  <c r="CS106" i="17"/>
  <c r="CU107" i="17"/>
  <c r="CU106" i="17"/>
  <c r="F106" i="17"/>
  <c r="D10" i="18" s="1" a="1"/>
  <c r="F107" i="17"/>
  <c r="CO103" i="17"/>
  <c r="D52" i="18" s="1" a="1"/>
  <c r="P107" i="17"/>
  <c r="P106" i="17"/>
  <c r="AE106" i="17"/>
  <c r="AE107" i="17"/>
  <c r="BR106" i="17"/>
  <c r="BR107" i="17"/>
  <c r="CQ104" i="17"/>
  <c r="CJ104" i="17"/>
  <c r="CC103" i="17"/>
  <c r="K104" i="17"/>
  <c r="D12" i="18" s="1" a="1"/>
  <c r="CC106" i="17"/>
  <c r="CC107" i="17"/>
  <c r="DH107" i="17"/>
  <c r="DH106" i="17"/>
  <c r="D40" i="18" a="1"/>
  <c r="BP103" i="17"/>
  <c r="D39" i="18" s="1" a="1"/>
  <c r="BC106" i="17"/>
  <c r="BC107" i="17"/>
  <c r="H106" i="17"/>
  <c r="H107" i="17"/>
  <c r="DI107" i="17"/>
  <c r="DI106" i="17"/>
  <c r="G106" i="17"/>
  <c r="G107" i="17"/>
  <c r="BE106" i="17"/>
  <c r="BE107" i="17"/>
  <c r="D13" i="18" a="1"/>
  <c r="DA103" i="17"/>
  <c r="AU104" i="17"/>
  <c r="D41" i="18" l="1" a="1"/>
  <c r="D9" i="18" a="1"/>
  <c r="G75" i="18"/>
  <c r="F87" i="18"/>
  <c r="N81" i="18"/>
  <c r="D14" i="18" a="1"/>
  <c r="K81" i="18"/>
  <c r="D26" i="18" a="1"/>
  <c r="D34" i="18" a="1"/>
  <c r="D33" i="18" a="1"/>
  <c r="L75" i="18"/>
  <c r="K87" i="18"/>
  <c r="G81" i="18"/>
  <c r="D42" i="18" a="1"/>
  <c r="D15" i="18" a="1"/>
  <c r="D36" i="18" a="1"/>
  <c r="J75" i="18"/>
  <c r="J87" i="18"/>
  <c r="F81" i="18"/>
  <c r="I81" i="18"/>
  <c r="D60" i="18" a="1"/>
  <c r="D16" i="18" a="1"/>
  <c r="D21" i="18" a="1"/>
  <c r="D21" i="18" s="1"/>
  <c r="D77" i="18" s="1"/>
  <c r="K75" i="18"/>
  <c r="H87" i="18"/>
  <c r="M81" i="18"/>
  <c r="D25" i="18"/>
  <c r="D81" i="18" s="1"/>
  <c r="N75" i="18"/>
  <c r="N87" i="18"/>
  <c r="D57" i="18" a="1"/>
  <c r="D59" i="18" a="1"/>
  <c r="D30" i="18" a="1"/>
  <c r="F86" i="18" s="1"/>
  <c r="D19" i="18"/>
  <c r="D75" i="18" s="1"/>
  <c r="D31" i="18"/>
  <c r="D87" i="18" s="1"/>
  <c r="I87" i="18"/>
  <c r="J81" i="18"/>
  <c r="D28" i="18" a="1"/>
  <c r="O81" i="18"/>
  <c r="D46" i="18" a="1"/>
  <c r="D45" i="18" a="1"/>
  <c r="D49" i="18" a="1"/>
  <c r="D51" i="18" a="1"/>
  <c r="H75" i="18"/>
  <c r="H81" i="18"/>
  <c r="D50" i="18" a="1"/>
  <c r="D11" i="18" a="1"/>
  <c r="D22" i="18" a="1"/>
  <c r="G78" i="18" s="1"/>
  <c r="D32" i="18" a="1"/>
  <c r="L88" i="18" s="1"/>
  <c r="D38" i="18" a="1"/>
  <c r="L94" i="18" s="1"/>
  <c r="D44" i="18" a="1"/>
  <c r="L100" i="18" s="1"/>
  <c r="D23" i="18"/>
  <c r="D79" i="18" s="1"/>
  <c r="E79" i="18"/>
  <c r="F79" i="18"/>
  <c r="I79" i="18"/>
  <c r="H79" i="18"/>
  <c r="K79" i="18"/>
  <c r="M79" i="18"/>
  <c r="J79" i="18"/>
  <c r="N79" i="18"/>
  <c r="L79" i="18"/>
  <c r="O79" i="18"/>
  <c r="G79" i="18"/>
  <c r="D35" i="18"/>
  <c r="D91" i="18" s="1"/>
  <c r="F91" i="18"/>
  <c r="E91" i="18"/>
  <c r="H91" i="18"/>
  <c r="I91" i="18"/>
  <c r="J91" i="18"/>
  <c r="K91" i="18"/>
  <c r="L91" i="18"/>
  <c r="M91" i="18"/>
  <c r="N91" i="18"/>
  <c r="O91" i="18"/>
  <c r="G91" i="18"/>
  <c r="M86" i="18"/>
  <c r="E86" i="18"/>
  <c r="I86" i="18"/>
  <c r="K86" i="18"/>
  <c r="H86" i="18"/>
  <c r="J86" i="18"/>
  <c r="G86" i="18"/>
  <c r="D46" i="18"/>
  <c r="D102" i="18" s="1"/>
  <c r="H102" i="18"/>
  <c r="G102" i="18"/>
  <c r="K102" i="18"/>
  <c r="N102" i="18"/>
  <c r="M102" i="18"/>
  <c r="O102" i="18"/>
  <c r="F102" i="18"/>
  <c r="E102" i="18"/>
  <c r="J102" i="18"/>
  <c r="I102" i="18"/>
  <c r="L102" i="18"/>
  <c r="D53" i="18"/>
  <c r="D109" i="18" s="1"/>
  <c r="E109" i="18"/>
  <c r="F109" i="18"/>
  <c r="L109" i="18"/>
  <c r="G109" i="18"/>
  <c r="H109" i="18"/>
  <c r="J109" i="18"/>
  <c r="I109" i="18"/>
  <c r="N109" i="18"/>
  <c r="K109" i="18"/>
  <c r="M109" i="18"/>
  <c r="O109" i="18"/>
  <c r="D45" i="18"/>
  <c r="D101" i="18" s="1"/>
  <c r="J101" i="18"/>
  <c r="I101" i="18"/>
  <c r="O101" i="18"/>
  <c r="E101" i="18"/>
  <c r="F101" i="18"/>
  <c r="H101" i="18"/>
  <c r="G101" i="18"/>
  <c r="K101" i="18"/>
  <c r="N101" i="18"/>
  <c r="M101" i="18"/>
  <c r="L101" i="18"/>
  <c r="D20" i="18"/>
  <c r="D76" i="18" s="1"/>
  <c r="L76" i="18"/>
  <c r="K76" i="18"/>
  <c r="E76" i="18"/>
  <c r="G76" i="18"/>
  <c r="I76" i="18"/>
  <c r="F76" i="18"/>
  <c r="H76" i="18"/>
  <c r="J76" i="18"/>
  <c r="M76" i="18"/>
  <c r="O76" i="18"/>
  <c r="N76" i="18"/>
  <c r="D33" i="18"/>
  <c r="D89" i="18" s="1"/>
  <c r="J89" i="18"/>
  <c r="I89" i="18"/>
  <c r="N89" i="18"/>
  <c r="O89" i="18"/>
  <c r="E89" i="18"/>
  <c r="F89" i="18"/>
  <c r="G89" i="18"/>
  <c r="H89" i="18"/>
  <c r="K89" i="18"/>
  <c r="L89" i="18"/>
  <c r="M89" i="18"/>
  <c r="D16" i="18"/>
  <c r="D72" i="18" s="1"/>
  <c r="G72" i="18"/>
  <c r="H72" i="18"/>
  <c r="K72" i="18"/>
  <c r="I72" i="18"/>
  <c r="F72" i="18"/>
  <c r="L72" i="18"/>
  <c r="E72" i="18"/>
  <c r="M72" i="18"/>
  <c r="O72" i="18"/>
  <c r="N72" i="18"/>
  <c r="J72" i="18"/>
  <c r="D24" i="18"/>
  <c r="D80" i="18" s="1"/>
  <c r="O80" i="18"/>
  <c r="G80" i="18"/>
  <c r="J80" i="18"/>
  <c r="M80" i="18"/>
  <c r="F80" i="18"/>
  <c r="I80" i="18"/>
  <c r="K80" i="18"/>
  <c r="H80" i="18"/>
  <c r="L80" i="18"/>
  <c r="E80" i="18"/>
  <c r="N80" i="18"/>
  <c r="D54" i="18"/>
  <c r="D110" i="18" s="1"/>
  <c r="O110" i="18"/>
  <c r="M110" i="18"/>
  <c r="E110" i="18"/>
  <c r="F110" i="18"/>
  <c r="H110" i="18"/>
  <c r="J110" i="18"/>
  <c r="N110" i="18"/>
  <c r="K110" i="18"/>
  <c r="I110" i="18"/>
  <c r="G110" i="18"/>
  <c r="L110" i="18"/>
  <c r="D59" i="18"/>
  <c r="D115" i="18" s="1"/>
  <c r="E115" i="18"/>
  <c r="F115" i="18"/>
  <c r="N115" i="18"/>
  <c r="I115" i="18"/>
  <c r="K115" i="18"/>
  <c r="M115" i="18"/>
  <c r="O115" i="18"/>
  <c r="G115" i="18"/>
  <c r="J115" i="18"/>
  <c r="H115" i="18"/>
  <c r="L115" i="18"/>
  <c r="D15" i="18"/>
  <c r="D71" i="18" s="1"/>
  <c r="J71" i="18"/>
  <c r="I71" i="18"/>
  <c r="F71" i="18"/>
  <c r="K71" i="18"/>
  <c r="H71" i="18"/>
  <c r="M71" i="18"/>
  <c r="L71" i="18"/>
  <c r="O71" i="18"/>
  <c r="E71" i="18"/>
  <c r="N71" i="18"/>
  <c r="G71" i="18"/>
  <c r="D13" i="18"/>
  <c r="D69" i="18" s="1"/>
  <c r="M69" i="18"/>
  <c r="E69" i="18"/>
  <c r="G69" i="18"/>
  <c r="I69" i="18"/>
  <c r="K69" i="18"/>
  <c r="H69" i="18"/>
  <c r="J69" i="18"/>
  <c r="O69" i="18"/>
  <c r="F69" i="18"/>
  <c r="N69" i="18"/>
  <c r="L69" i="18"/>
  <c r="D11" i="18"/>
  <c r="D67" i="18" s="1"/>
  <c r="E67" i="18"/>
  <c r="F67" i="18"/>
  <c r="I67" i="18"/>
  <c r="K67" i="18"/>
  <c r="M67" i="18"/>
  <c r="H67" i="18"/>
  <c r="O67" i="18"/>
  <c r="J67" i="18"/>
  <c r="L67" i="18"/>
  <c r="G67" i="18"/>
  <c r="N67" i="18"/>
  <c r="D29" i="18"/>
  <c r="D85" i="18" s="1"/>
  <c r="E85" i="18"/>
  <c r="F85" i="18"/>
  <c r="G85" i="18"/>
  <c r="H85" i="18"/>
  <c r="I85" i="18"/>
  <c r="J85" i="18"/>
  <c r="K85" i="18"/>
  <c r="M85" i="18"/>
  <c r="L85" i="18"/>
  <c r="O85" i="18"/>
  <c r="N85" i="18"/>
  <c r="D36" i="18"/>
  <c r="D92" i="18" s="1"/>
  <c r="O92" i="18"/>
  <c r="N92" i="18"/>
  <c r="F92" i="18"/>
  <c r="M92" i="18"/>
  <c r="G92" i="18"/>
  <c r="H92" i="18"/>
  <c r="I92" i="18"/>
  <c r="J92" i="18"/>
  <c r="K92" i="18"/>
  <c r="L92" i="18"/>
  <c r="E92" i="18"/>
  <c r="D43" i="18"/>
  <c r="D99" i="18" s="1"/>
  <c r="N99" i="18"/>
  <c r="M99" i="18"/>
  <c r="L99" i="18"/>
  <c r="K99" i="18"/>
  <c r="O99" i="18"/>
  <c r="E99" i="18"/>
  <c r="F99" i="18"/>
  <c r="H99" i="18"/>
  <c r="G99" i="18"/>
  <c r="I99" i="18"/>
  <c r="J99" i="18"/>
  <c r="D51" i="18"/>
  <c r="D107" i="18" s="1"/>
  <c r="I107" i="18"/>
  <c r="J107" i="18"/>
  <c r="K107" i="18"/>
  <c r="L107" i="18"/>
  <c r="N107" i="18"/>
  <c r="M107" i="18"/>
  <c r="F107" i="18"/>
  <c r="O107" i="18"/>
  <c r="E107" i="18"/>
  <c r="H107" i="18"/>
  <c r="G107" i="18"/>
  <c r="D9" i="18"/>
  <c r="D65" i="18" s="1"/>
  <c r="H65" i="18"/>
  <c r="I65" i="18"/>
  <c r="O65" i="18"/>
  <c r="K65" i="18"/>
  <c r="F65" i="18"/>
  <c r="N65" i="18"/>
  <c r="J65" i="18"/>
  <c r="E65" i="18"/>
  <c r="M65" i="18"/>
  <c r="G65" i="18"/>
  <c r="D38" i="18"/>
  <c r="D94" i="18" s="1"/>
  <c r="J94" i="18"/>
  <c r="D12" i="18"/>
  <c r="D68" i="18" s="1"/>
  <c r="O68" i="18"/>
  <c r="G68" i="18"/>
  <c r="I68" i="18"/>
  <c r="K68" i="18"/>
  <c r="M68" i="18"/>
  <c r="F68" i="18"/>
  <c r="H68" i="18"/>
  <c r="L68" i="18"/>
  <c r="E68" i="18"/>
  <c r="N68" i="18"/>
  <c r="J68" i="18"/>
  <c r="D48" i="18"/>
  <c r="D104" i="18" s="1"/>
  <c r="O104" i="18"/>
  <c r="H104" i="18"/>
  <c r="G104" i="18"/>
  <c r="J104" i="18"/>
  <c r="L104" i="18"/>
  <c r="M104" i="18"/>
  <c r="I104" i="18"/>
  <c r="K104" i="18"/>
  <c r="N104" i="18"/>
  <c r="E104" i="18"/>
  <c r="F104" i="18"/>
  <c r="D60" i="18"/>
  <c r="D116" i="18" s="1"/>
  <c r="O116" i="18"/>
  <c r="J116" i="18"/>
  <c r="L116" i="18"/>
  <c r="G116" i="18"/>
  <c r="N116" i="18"/>
  <c r="I116" i="18"/>
  <c r="K116" i="18"/>
  <c r="M116" i="18"/>
  <c r="F116" i="18"/>
  <c r="E116" i="18"/>
  <c r="H116" i="18"/>
  <c r="D56" i="18"/>
  <c r="D112" i="18" s="1"/>
  <c r="L112" i="18"/>
  <c r="K112" i="18"/>
  <c r="E112" i="18"/>
  <c r="G112" i="18"/>
  <c r="M112" i="18"/>
  <c r="I112" i="18"/>
  <c r="N112" i="18"/>
  <c r="F112" i="18"/>
  <c r="O112" i="18"/>
  <c r="H112" i="18"/>
  <c r="J112" i="18"/>
  <c r="D39" i="18"/>
  <c r="D95" i="18" s="1"/>
  <c r="J95" i="18"/>
  <c r="I95" i="18"/>
  <c r="K95" i="18"/>
  <c r="L95" i="18"/>
  <c r="M95" i="18"/>
  <c r="N95" i="18"/>
  <c r="O95" i="18"/>
  <c r="E95" i="18"/>
  <c r="G95" i="18"/>
  <c r="H95" i="18"/>
  <c r="F95" i="18"/>
  <c r="D27" i="18"/>
  <c r="D83" i="18" s="1"/>
  <c r="J83" i="18"/>
  <c r="I83" i="18"/>
  <c r="K83" i="18"/>
  <c r="L83" i="18"/>
  <c r="M83" i="18"/>
  <c r="N83" i="18"/>
  <c r="O83" i="18"/>
  <c r="E83" i="18"/>
  <c r="G83" i="18"/>
  <c r="F83" i="18"/>
  <c r="H83" i="18"/>
  <c r="D26" i="18"/>
  <c r="D82" i="18" s="1"/>
  <c r="L82" i="18"/>
  <c r="K82" i="18"/>
  <c r="M82" i="18"/>
  <c r="N82" i="18"/>
  <c r="O82" i="18"/>
  <c r="G82" i="18"/>
  <c r="E82" i="18"/>
  <c r="H82" i="18"/>
  <c r="J82" i="18"/>
  <c r="I82" i="18"/>
  <c r="F82" i="18"/>
  <c r="D18" i="18"/>
  <c r="D74" i="18" s="1"/>
  <c r="O74" i="18"/>
  <c r="H74" i="18"/>
  <c r="M74" i="18"/>
  <c r="J74" i="18"/>
  <c r="L74" i="18"/>
  <c r="N74" i="18"/>
  <c r="E74" i="18"/>
  <c r="F74" i="18"/>
  <c r="K74" i="18"/>
  <c r="I74" i="18"/>
  <c r="G74" i="18"/>
  <c r="D57" i="18"/>
  <c r="D113" i="18" s="1"/>
  <c r="I113" i="18"/>
  <c r="J113" i="18"/>
  <c r="H113" i="18"/>
  <c r="O113" i="18"/>
  <c r="E113" i="18"/>
  <c r="G113" i="18"/>
  <c r="L113" i="18"/>
  <c r="K113" i="18"/>
  <c r="M113" i="18"/>
  <c r="F113" i="18"/>
  <c r="N113" i="18"/>
  <c r="D28" i="18"/>
  <c r="D84" i="18" s="1"/>
  <c r="H84" i="18"/>
  <c r="G84" i="18"/>
  <c r="F84" i="18"/>
  <c r="K84" i="18"/>
  <c r="J84" i="18"/>
  <c r="I84" i="18"/>
  <c r="N84" i="18"/>
  <c r="E84" i="18"/>
  <c r="M84" i="18"/>
  <c r="L84" i="18"/>
  <c r="O84" i="18"/>
  <c r="D41" i="18"/>
  <c r="D97" i="18" s="1"/>
  <c r="F97" i="18"/>
  <c r="E97" i="18"/>
  <c r="G97" i="18"/>
  <c r="H97" i="18"/>
  <c r="I97" i="18"/>
  <c r="J97" i="18"/>
  <c r="K97" i="18"/>
  <c r="M97" i="18"/>
  <c r="N97" i="18"/>
  <c r="L97" i="18"/>
  <c r="O97" i="18"/>
  <c r="D14" i="18"/>
  <c r="D70" i="18" s="1"/>
  <c r="L70" i="18"/>
  <c r="K70" i="18"/>
  <c r="M70" i="18"/>
  <c r="J70" i="18"/>
  <c r="O70" i="18"/>
  <c r="E70" i="18"/>
  <c r="N70" i="18"/>
  <c r="G70" i="18"/>
  <c r="F70" i="18"/>
  <c r="I70" i="18"/>
  <c r="H70" i="18"/>
  <c r="D50" i="18"/>
  <c r="D106" i="18" s="1"/>
  <c r="K106" i="18"/>
  <c r="L106" i="18"/>
  <c r="M106" i="18"/>
  <c r="N106" i="18"/>
  <c r="G106" i="18"/>
  <c r="O106" i="18"/>
  <c r="F106" i="18"/>
  <c r="H106" i="18"/>
  <c r="E106" i="18"/>
  <c r="J106" i="18"/>
  <c r="I106" i="18"/>
  <c r="D49" i="18"/>
  <c r="D105" i="18" s="1"/>
  <c r="F105" i="18"/>
  <c r="M105" i="18"/>
  <c r="E105" i="18"/>
  <c r="H105" i="18"/>
  <c r="N105" i="18"/>
  <c r="J105" i="18"/>
  <c r="G105" i="18"/>
  <c r="I105" i="18"/>
  <c r="L105" i="18"/>
  <c r="K105" i="18"/>
  <c r="O105" i="18"/>
  <c r="D52" i="18"/>
  <c r="D108" i="18" s="1"/>
  <c r="G108" i="18"/>
  <c r="H108" i="18"/>
  <c r="K108" i="18"/>
  <c r="I108" i="18"/>
  <c r="J108" i="18"/>
  <c r="L108" i="18"/>
  <c r="N108" i="18"/>
  <c r="E108" i="18"/>
  <c r="F108" i="18"/>
  <c r="O108" i="18"/>
  <c r="M108" i="18"/>
  <c r="D44" i="18"/>
  <c r="D100" i="18" s="1"/>
  <c r="D10" i="18"/>
  <c r="D66" i="18" s="1"/>
  <c r="G66" i="18"/>
  <c r="H66" i="18"/>
  <c r="K66" i="18"/>
  <c r="M66" i="18"/>
  <c r="O66" i="18"/>
  <c r="J66" i="18"/>
  <c r="E66" i="18"/>
  <c r="N66" i="18"/>
  <c r="L66" i="18"/>
  <c r="F66" i="18"/>
  <c r="I66" i="18"/>
  <c r="D40" i="18"/>
  <c r="D96" i="18" s="1"/>
  <c r="H96" i="18"/>
  <c r="G96" i="18"/>
  <c r="I96" i="18"/>
  <c r="L96" i="18"/>
  <c r="J96" i="18"/>
  <c r="K96" i="18"/>
  <c r="N96" i="18"/>
  <c r="E96" i="18"/>
  <c r="F96" i="18"/>
  <c r="M96" i="18"/>
  <c r="O96" i="18"/>
  <c r="D17" i="18"/>
  <c r="D73" i="18" s="1"/>
  <c r="E73" i="18"/>
  <c r="F73" i="18"/>
  <c r="L73" i="18"/>
  <c r="N73" i="18"/>
  <c r="G73" i="18"/>
  <c r="I73" i="18"/>
  <c r="H73" i="18"/>
  <c r="K73" i="18"/>
  <c r="M73" i="18"/>
  <c r="O73" i="18"/>
  <c r="J73" i="18"/>
  <c r="D34" i="18"/>
  <c r="D90" i="18" s="1"/>
  <c r="H90" i="18"/>
  <c r="G90" i="18"/>
  <c r="K90" i="18"/>
  <c r="L90" i="18"/>
  <c r="M90" i="18"/>
  <c r="N90" i="18"/>
  <c r="O90" i="18"/>
  <c r="E90" i="18"/>
  <c r="F90" i="18"/>
  <c r="J90" i="18"/>
  <c r="I90" i="18"/>
  <c r="D32" i="18"/>
  <c r="D88" i="18" s="1"/>
  <c r="N88" i="18"/>
  <c r="O88" i="18"/>
  <c r="D8" i="18"/>
  <c r="D64" i="18" s="1"/>
  <c r="K64" i="18"/>
  <c r="J64" i="18"/>
  <c r="M64" i="18"/>
  <c r="F64" i="18"/>
  <c r="L64" i="18"/>
  <c r="H64" i="18"/>
  <c r="O64" i="18"/>
  <c r="G64" i="18"/>
  <c r="E64" i="18"/>
  <c r="I64" i="18"/>
  <c r="N64" i="18"/>
  <c r="D42" i="18"/>
  <c r="D98" i="18" s="1"/>
  <c r="O98" i="18"/>
  <c r="M98" i="18"/>
  <c r="F98" i="18"/>
  <c r="E98" i="18"/>
  <c r="J98" i="18"/>
  <c r="I98" i="18"/>
  <c r="L98" i="18"/>
  <c r="K98" i="18"/>
  <c r="N98" i="18"/>
  <c r="G98" i="18"/>
  <c r="H98" i="18"/>
  <c r="D58" i="18"/>
  <c r="D114" i="18" s="1"/>
  <c r="G114" i="18"/>
  <c r="H114" i="18"/>
  <c r="K114" i="18"/>
  <c r="F114" i="18"/>
  <c r="M114" i="18"/>
  <c r="O114" i="18"/>
  <c r="E114" i="18"/>
  <c r="J114" i="18"/>
  <c r="L114" i="18"/>
  <c r="N114" i="18"/>
  <c r="I114" i="18"/>
  <c r="K77" i="18"/>
  <c r="D37" i="18" a="1"/>
  <c r="D47" i="18"/>
  <c r="D103" i="18" s="1"/>
  <c r="F103" i="18"/>
  <c r="E103" i="18"/>
  <c r="J103" i="18"/>
  <c r="I103" i="18"/>
  <c r="L103" i="18"/>
  <c r="N103" i="18"/>
  <c r="K103" i="18"/>
  <c r="M103" i="18"/>
  <c r="O103" i="18"/>
  <c r="G103" i="18"/>
  <c r="H103" i="18"/>
  <c r="D55" i="18"/>
  <c r="D111" i="18" s="1"/>
  <c r="M111" i="18"/>
  <c r="N111" i="18"/>
  <c r="K111" i="18"/>
  <c r="O111" i="18"/>
  <c r="F111" i="18"/>
  <c r="E111" i="18"/>
  <c r="J111" i="18"/>
  <c r="I111" i="18"/>
  <c r="L111" i="18"/>
  <c r="H111" i="18"/>
  <c r="G111" i="18"/>
  <c r="B5"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I77" i="18" l="1"/>
  <c r="M77" i="18"/>
  <c r="F77" i="18"/>
  <c r="H77" i="18"/>
  <c r="G77" i="18"/>
  <c r="I78" i="18"/>
  <c r="F78" i="18"/>
  <c r="N86" i="18"/>
  <c r="E77" i="18"/>
  <c r="E78" i="18"/>
  <c r="N77" i="18"/>
  <c r="O77" i="18"/>
  <c r="O78" i="18"/>
  <c r="L86" i="18"/>
  <c r="L77" i="18"/>
  <c r="D22" i="18"/>
  <c r="D78" i="18" s="1"/>
  <c r="O86" i="18"/>
  <c r="D30" i="18"/>
  <c r="D86" i="18" s="1"/>
  <c r="J77" i="18"/>
  <c r="J88" i="18"/>
  <c r="M100" i="18"/>
  <c r="N78" i="18"/>
  <c r="O94" i="18"/>
  <c r="I88" i="18"/>
  <c r="I100" i="18"/>
  <c r="L78" i="18"/>
  <c r="F94" i="18"/>
  <c r="F88" i="18"/>
  <c r="H100" i="18"/>
  <c r="M78" i="18"/>
  <c r="G94" i="18"/>
  <c r="I94" i="18"/>
  <c r="H94" i="18"/>
  <c r="G88" i="18"/>
  <c r="G100" i="18"/>
  <c r="J78" i="18"/>
  <c r="E94" i="18"/>
  <c r="N100" i="18"/>
  <c r="E88" i="18"/>
  <c r="E100" i="18"/>
  <c r="K78" i="18"/>
  <c r="M94" i="18"/>
  <c r="O100" i="18"/>
  <c r="H88" i="18"/>
  <c r="J100" i="18"/>
  <c r="N94" i="18"/>
  <c r="K88" i="18"/>
  <c r="K100" i="18"/>
  <c r="H78" i="18"/>
  <c r="K94" i="18"/>
  <c r="F100" i="18"/>
  <c r="M88" i="18"/>
  <c r="D37" i="18"/>
  <c r="D93" i="18" s="1"/>
  <c r="J93" i="18"/>
  <c r="M93" i="18"/>
  <c r="E93" i="18"/>
  <c r="F93" i="18"/>
  <c r="N93" i="18"/>
  <c r="G93" i="18"/>
  <c r="H93" i="18"/>
  <c r="I93" i="18"/>
  <c r="K93" i="18"/>
  <c r="L93" i="18"/>
  <c r="O93" i="18"/>
  <c r="D69" i="1"/>
  <c r="E69" i="1"/>
  <c r="F69" i="1"/>
  <c r="G69" i="1"/>
  <c r="H69" i="1"/>
  <c r="I69" i="1"/>
  <c r="J69" i="1"/>
  <c r="K69" i="1"/>
  <c r="L69" i="1"/>
  <c r="M69" i="1"/>
  <c r="N69" i="1"/>
  <c r="O69" i="1"/>
  <c r="P69" i="1"/>
  <c r="Q69" i="1"/>
  <c r="R69" i="1"/>
  <c r="S69" i="1"/>
  <c r="T69" i="1"/>
  <c r="U69" i="1"/>
  <c r="V69" i="1"/>
  <c r="W69" i="1"/>
  <c r="X69" i="1"/>
  <c r="Y69" i="1"/>
  <c r="Z69" i="1"/>
  <c r="AA69" i="1"/>
  <c r="AB69" i="1"/>
  <c r="AC69" i="1"/>
  <c r="AD69" i="1"/>
  <c r="AE69" i="1"/>
  <c r="AF69" i="1"/>
  <c r="AG69" i="1"/>
  <c r="AH69" i="1"/>
  <c r="AI69" i="1"/>
  <c r="AJ69" i="1"/>
  <c r="AK69" i="1"/>
  <c r="AL69" i="1"/>
  <c r="AM69" i="1"/>
  <c r="AN69" i="1"/>
  <c r="AO69" i="1"/>
  <c r="AP69" i="1"/>
  <c r="AQ69" i="1"/>
  <c r="AR69" i="1"/>
  <c r="AS69" i="1"/>
  <c r="AT69" i="1"/>
  <c r="AU69" i="1"/>
  <c r="AV69" i="1"/>
  <c r="AW69" i="1"/>
  <c r="AX69" i="1"/>
  <c r="AY69" i="1"/>
  <c r="AZ69" i="1"/>
  <c r="BA69" i="1"/>
  <c r="BB69" i="1"/>
  <c r="BC69" i="1"/>
  <c r="BD69" i="1"/>
  <c r="BE69" i="1"/>
  <c r="BF69" i="1"/>
  <c r="BG69" i="1"/>
  <c r="BH69" i="1"/>
  <c r="BI69" i="1"/>
  <c r="BJ69" i="1"/>
  <c r="BK69" i="1"/>
  <c r="BL69" i="1"/>
  <c r="BM69" i="1"/>
  <c r="BN69" i="1"/>
  <c r="BO69" i="1"/>
  <c r="BP69" i="1"/>
  <c r="BQ69" i="1"/>
  <c r="BR69" i="1"/>
  <c r="BS69" i="1"/>
  <c r="BT69" i="1"/>
  <c r="BU69" i="1"/>
  <c r="BV69" i="1"/>
  <c r="BW69" i="1"/>
  <c r="BX69" i="1"/>
  <c r="BY69" i="1"/>
  <c r="BZ69" i="1"/>
  <c r="CA69" i="1"/>
  <c r="CB69" i="1"/>
  <c r="CC69" i="1"/>
  <c r="CD69" i="1"/>
  <c r="CE69" i="1"/>
  <c r="CF69" i="1"/>
  <c r="CG69" i="1"/>
  <c r="CH69" i="1"/>
  <c r="CI69" i="1"/>
  <c r="CJ69" i="1"/>
  <c r="CK69" i="1"/>
  <c r="CL69" i="1"/>
  <c r="CM69" i="1"/>
  <c r="CN69" i="1"/>
  <c r="CO69" i="1"/>
  <c r="CP69" i="1"/>
  <c r="CQ69" i="1"/>
  <c r="CR69" i="1"/>
  <c r="CS69" i="1"/>
  <c r="CT69" i="1"/>
  <c r="CU69" i="1"/>
  <c r="CV69" i="1"/>
  <c r="CW69" i="1"/>
  <c r="CX69" i="1"/>
  <c r="CY69" i="1"/>
  <c r="CZ69" i="1"/>
  <c r="DA69" i="1"/>
  <c r="DB69" i="1"/>
  <c r="DC69" i="1"/>
  <c r="DD69" i="1"/>
  <c r="DE69" i="1"/>
  <c r="DF69" i="1"/>
  <c r="DG69" i="1"/>
  <c r="DH69" i="1"/>
  <c r="DI69" i="1"/>
  <c r="D70" i="1"/>
  <c r="E70" i="1"/>
  <c r="F70" i="1"/>
  <c r="G70" i="1"/>
  <c r="H70" i="1"/>
  <c r="I70" i="1"/>
  <c r="J70" i="1"/>
  <c r="K70" i="1"/>
  <c r="L70" i="1"/>
  <c r="M70" i="1"/>
  <c r="N70" i="1"/>
  <c r="O70" i="1"/>
  <c r="P70" i="1"/>
  <c r="Q70" i="1"/>
  <c r="R70" i="1"/>
  <c r="S70" i="1"/>
  <c r="T70" i="1"/>
  <c r="U70" i="1"/>
  <c r="V70" i="1"/>
  <c r="W70" i="1"/>
  <c r="X70" i="1"/>
  <c r="Y70" i="1"/>
  <c r="Z70" i="1"/>
  <c r="AA70" i="1"/>
  <c r="AB70" i="1"/>
  <c r="AC70" i="1"/>
  <c r="AD70" i="1"/>
  <c r="AE70" i="1"/>
  <c r="AF70" i="1"/>
  <c r="AG70" i="1"/>
  <c r="AH70" i="1"/>
  <c r="AI70" i="1"/>
  <c r="AJ70" i="1"/>
  <c r="AK70" i="1"/>
  <c r="AL70" i="1"/>
  <c r="AM70" i="1"/>
  <c r="AN70" i="1"/>
  <c r="AO70" i="1"/>
  <c r="AP70" i="1"/>
  <c r="AQ70" i="1"/>
  <c r="AR70" i="1"/>
  <c r="AS70" i="1"/>
  <c r="AT70" i="1"/>
  <c r="AU70" i="1"/>
  <c r="AV70" i="1"/>
  <c r="AW70" i="1"/>
  <c r="AX70" i="1"/>
  <c r="AY70" i="1"/>
  <c r="AZ70" i="1"/>
  <c r="BA70" i="1"/>
  <c r="BB70" i="1"/>
  <c r="BC70" i="1"/>
  <c r="BD70" i="1"/>
  <c r="BE70" i="1"/>
  <c r="BF70" i="1"/>
  <c r="BG70" i="1"/>
  <c r="BH70" i="1"/>
  <c r="BI70" i="1"/>
  <c r="BJ70" i="1"/>
  <c r="BK70" i="1"/>
  <c r="BL70" i="1"/>
  <c r="BM70" i="1"/>
  <c r="BN70" i="1"/>
  <c r="BO70" i="1"/>
  <c r="BP70" i="1"/>
  <c r="BQ70" i="1"/>
  <c r="BR70" i="1"/>
  <c r="BS70" i="1"/>
  <c r="BT70" i="1"/>
  <c r="BU70" i="1"/>
  <c r="BV70" i="1"/>
  <c r="BW70" i="1"/>
  <c r="BX70" i="1"/>
  <c r="BY70" i="1"/>
  <c r="BZ70" i="1"/>
  <c r="CA70" i="1"/>
  <c r="CB70" i="1"/>
  <c r="CC70" i="1"/>
  <c r="CD70" i="1"/>
  <c r="CE70" i="1"/>
  <c r="CF70" i="1"/>
  <c r="CG70" i="1"/>
  <c r="CH70" i="1"/>
  <c r="CI70" i="1"/>
  <c r="CJ70" i="1"/>
  <c r="CK70" i="1"/>
  <c r="CL70" i="1"/>
  <c r="CM70" i="1"/>
  <c r="CN70" i="1"/>
  <c r="CO70" i="1"/>
  <c r="CP70" i="1"/>
  <c r="CQ70" i="1"/>
  <c r="CR70" i="1"/>
  <c r="CS70" i="1"/>
  <c r="CT70" i="1"/>
  <c r="CU70" i="1"/>
  <c r="CV70" i="1"/>
  <c r="CW70" i="1"/>
  <c r="CX70" i="1"/>
  <c r="CY70" i="1"/>
  <c r="CZ70" i="1"/>
  <c r="DA70" i="1"/>
  <c r="DB70" i="1"/>
  <c r="DC70" i="1"/>
  <c r="DD70" i="1"/>
  <c r="DE70" i="1"/>
  <c r="DF70" i="1"/>
  <c r="DG70" i="1"/>
  <c r="DH70" i="1"/>
  <c r="DI70" i="1"/>
  <c r="C70" i="1"/>
  <c r="C69" i="1"/>
  <c r="B71" i="1"/>
  <c r="B72" i="1"/>
  <c r="B73" i="1"/>
  <c r="B74" i="1"/>
  <c r="B75" i="1"/>
  <c r="B76" i="1"/>
  <c r="B77" i="1"/>
  <c r="B78" i="1"/>
  <c r="B79" i="1"/>
  <c r="B80" i="1"/>
  <c r="B81" i="1"/>
  <c r="B82" i="1"/>
  <c r="B83" i="1"/>
  <c r="B84" i="1"/>
  <c r="B85" i="1"/>
  <c r="B86" i="1"/>
  <c r="B87" i="1"/>
  <c r="B88" i="1"/>
  <c r="B89" i="1"/>
  <c r="B90" i="1"/>
  <c r="A72" i="1"/>
  <c r="A73" i="1"/>
  <c r="A74" i="1"/>
  <c r="A75" i="1"/>
  <c r="A76" i="1"/>
  <c r="A77" i="1"/>
  <c r="A78" i="1"/>
  <c r="A79" i="1"/>
  <c r="A80" i="1"/>
  <c r="A81" i="1"/>
  <c r="A82" i="1"/>
  <c r="A83" i="1"/>
  <c r="A84" i="1"/>
  <c r="A85" i="1"/>
  <c r="A86" i="1"/>
  <c r="A87" i="1"/>
  <c r="A88" i="1"/>
  <c r="A89" i="1"/>
  <c r="A90" i="1"/>
  <c r="A71" i="1"/>
  <c r="A97" i="1"/>
  <c r="B97" i="1"/>
  <c r="A98" i="1"/>
  <c r="B98" i="1"/>
  <c r="A99" i="1"/>
  <c r="B99" i="1"/>
  <c r="A100" i="1"/>
  <c r="B100" i="1"/>
  <c r="A101" i="1"/>
  <c r="B101" i="1"/>
  <c r="A102" i="1"/>
  <c r="B102" i="1"/>
  <c r="A103" i="1"/>
  <c r="B103" i="1"/>
  <c r="A104" i="1"/>
  <c r="B104" i="1"/>
  <c r="A105" i="1"/>
  <c r="B105" i="1"/>
  <c r="A106" i="1"/>
  <c r="B106" i="1"/>
  <c r="A107" i="1"/>
  <c r="B107" i="1"/>
  <c r="A108" i="1"/>
  <c r="B108" i="1"/>
  <c r="A109" i="1"/>
  <c r="B109" i="1"/>
  <c r="A110" i="1"/>
  <c r="B110" i="1"/>
  <c r="A111" i="1"/>
  <c r="B111" i="1"/>
  <c r="A112" i="1"/>
  <c r="B112" i="1"/>
  <c r="A113" i="1"/>
  <c r="B113" i="1"/>
  <c r="B96" i="1"/>
  <c r="A96" i="1"/>
  <c r="D7" i="11" s="1" a="1"/>
  <c r="D94" i="1"/>
  <c r="E94" i="1"/>
  <c r="F94" i="1"/>
  <c r="G94" i="1"/>
  <c r="H94" i="1"/>
  <c r="I94" i="1"/>
  <c r="J94" i="1"/>
  <c r="K94" i="1"/>
  <c r="L94" i="1"/>
  <c r="M94" i="1"/>
  <c r="N94" i="1"/>
  <c r="O94" i="1"/>
  <c r="P94" i="1"/>
  <c r="Q94" i="1"/>
  <c r="R94" i="1"/>
  <c r="S94" i="1"/>
  <c r="T94" i="1"/>
  <c r="U94" i="1"/>
  <c r="V94" i="1"/>
  <c r="W94" i="1"/>
  <c r="X94" i="1"/>
  <c r="Y94" i="1"/>
  <c r="Z94" i="1"/>
  <c r="AA94" i="1"/>
  <c r="AB94" i="1"/>
  <c r="AC94" i="1"/>
  <c r="AD94" i="1"/>
  <c r="AE94" i="1"/>
  <c r="AF94" i="1"/>
  <c r="AG94" i="1"/>
  <c r="AH94" i="1"/>
  <c r="AI94" i="1"/>
  <c r="AJ94" i="1"/>
  <c r="AK94" i="1"/>
  <c r="AL94" i="1"/>
  <c r="AM94" i="1"/>
  <c r="AN94" i="1"/>
  <c r="AO94" i="1"/>
  <c r="AP94" i="1"/>
  <c r="AQ94" i="1"/>
  <c r="AR94" i="1"/>
  <c r="AS94" i="1"/>
  <c r="AT94" i="1"/>
  <c r="AU94" i="1"/>
  <c r="AV94" i="1"/>
  <c r="AW94" i="1"/>
  <c r="AX94" i="1"/>
  <c r="AY94" i="1"/>
  <c r="AZ94" i="1"/>
  <c r="BA94" i="1"/>
  <c r="BB94" i="1"/>
  <c r="BC94" i="1"/>
  <c r="BD94" i="1"/>
  <c r="BE94" i="1"/>
  <c r="BF94" i="1"/>
  <c r="BG94" i="1"/>
  <c r="BH94" i="1"/>
  <c r="BI94" i="1"/>
  <c r="BJ94" i="1"/>
  <c r="BK94" i="1"/>
  <c r="BL94" i="1"/>
  <c r="BM94" i="1"/>
  <c r="BN94" i="1"/>
  <c r="BO94" i="1"/>
  <c r="BP94" i="1"/>
  <c r="BQ94" i="1"/>
  <c r="BR94" i="1"/>
  <c r="BS94" i="1"/>
  <c r="BT94" i="1"/>
  <c r="BU94" i="1"/>
  <c r="BV94" i="1"/>
  <c r="BW94" i="1"/>
  <c r="BX94" i="1"/>
  <c r="BY94" i="1"/>
  <c r="BZ94" i="1"/>
  <c r="CA94" i="1"/>
  <c r="CB94" i="1"/>
  <c r="CC94" i="1"/>
  <c r="CD94" i="1"/>
  <c r="CE94" i="1"/>
  <c r="CF94" i="1"/>
  <c r="CG94" i="1"/>
  <c r="CH94" i="1"/>
  <c r="CI94" i="1"/>
  <c r="CJ94" i="1"/>
  <c r="CK94" i="1"/>
  <c r="CL94" i="1"/>
  <c r="CM94" i="1"/>
  <c r="CN94" i="1"/>
  <c r="CO94" i="1"/>
  <c r="CP94" i="1"/>
  <c r="CQ94" i="1"/>
  <c r="CR94" i="1"/>
  <c r="CS94" i="1"/>
  <c r="CT94" i="1"/>
  <c r="CU94" i="1"/>
  <c r="CV94" i="1"/>
  <c r="CW94" i="1"/>
  <c r="CX94" i="1"/>
  <c r="CY94" i="1"/>
  <c r="CZ94" i="1"/>
  <c r="DA94" i="1"/>
  <c r="DB94" i="1"/>
  <c r="DC94" i="1"/>
  <c r="DD94" i="1"/>
  <c r="DE94" i="1"/>
  <c r="DF94" i="1"/>
  <c r="DG94" i="1"/>
  <c r="DH94" i="1"/>
  <c r="DI94" i="1"/>
  <c r="D95" i="1"/>
  <c r="E95" i="1"/>
  <c r="F95" i="1"/>
  <c r="G95" i="1"/>
  <c r="H95" i="1"/>
  <c r="I95" i="1"/>
  <c r="J95" i="1"/>
  <c r="K95" i="1"/>
  <c r="L95" i="1"/>
  <c r="M95" i="1"/>
  <c r="N95" i="1"/>
  <c r="O95" i="1"/>
  <c r="P95" i="1"/>
  <c r="Q95" i="1"/>
  <c r="R95" i="1"/>
  <c r="S95" i="1"/>
  <c r="T95" i="1"/>
  <c r="U95" i="1"/>
  <c r="V95" i="1"/>
  <c r="W95" i="1"/>
  <c r="X95" i="1"/>
  <c r="Y95" i="1"/>
  <c r="Z95" i="1"/>
  <c r="AA95" i="1"/>
  <c r="AB95" i="1"/>
  <c r="AC95" i="1"/>
  <c r="AD95" i="1"/>
  <c r="AE95" i="1"/>
  <c r="AF95" i="1"/>
  <c r="AG95" i="1"/>
  <c r="AH95" i="1"/>
  <c r="AI95" i="1"/>
  <c r="AJ95" i="1"/>
  <c r="AK95" i="1"/>
  <c r="AL95" i="1"/>
  <c r="AM95" i="1"/>
  <c r="AN95" i="1"/>
  <c r="AO95" i="1"/>
  <c r="AP95" i="1"/>
  <c r="AQ95" i="1"/>
  <c r="AR95" i="1"/>
  <c r="AS95" i="1"/>
  <c r="AT95" i="1"/>
  <c r="AU95" i="1"/>
  <c r="AV95" i="1"/>
  <c r="AW95" i="1"/>
  <c r="AX95" i="1"/>
  <c r="AY95" i="1"/>
  <c r="AZ95" i="1"/>
  <c r="BA95" i="1"/>
  <c r="BB95" i="1"/>
  <c r="BC95" i="1"/>
  <c r="BD95" i="1"/>
  <c r="BE95" i="1"/>
  <c r="BF95" i="1"/>
  <c r="BG95" i="1"/>
  <c r="BH95" i="1"/>
  <c r="BI95" i="1"/>
  <c r="BJ95" i="1"/>
  <c r="BK95" i="1"/>
  <c r="BL95" i="1"/>
  <c r="BM95" i="1"/>
  <c r="BN95" i="1"/>
  <c r="BO95" i="1"/>
  <c r="BP95" i="1"/>
  <c r="BQ95" i="1"/>
  <c r="BR95" i="1"/>
  <c r="BS95" i="1"/>
  <c r="BT95" i="1"/>
  <c r="BU95" i="1"/>
  <c r="BV95" i="1"/>
  <c r="BW95" i="1"/>
  <c r="BX95" i="1"/>
  <c r="BY95" i="1"/>
  <c r="BZ95" i="1"/>
  <c r="CA95" i="1"/>
  <c r="CB95" i="1"/>
  <c r="CC95" i="1"/>
  <c r="CD95" i="1"/>
  <c r="CE95" i="1"/>
  <c r="CF95" i="1"/>
  <c r="CG95" i="1"/>
  <c r="CH95" i="1"/>
  <c r="CI95" i="1"/>
  <c r="CJ95" i="1"/>
  <c r="CK95" i="1"/>
  <c r="CL95" i="1"/>
  <c r="CM95" i="1"/>
  <c r="CN95" i="1"/>
  <c r="CO95" i="1"/>
  <c r="CP95" i="1"/>
  <c r="CQ95" i="1"/>
  <c r="CR95" i="1"/>
  <c r="CS95" i="1"/>
  <c r="CT95" i="1"/>
  <c r="CU95" i="1"/>
  <c r="CV95" i="1"/>
  <c r="CW95" i="1"/>
  <c r="CX95" i="1"/>
  <c r="CY95" i="1"/>
  <c r="CZ95" i="1"/>
  <c r="DA95" i="1"/>
  <c r="DB95" i="1"/>
  <c r="DC95" i="1"/>
  <c r="DD95" i="1"/>
  <c r="DE95" i="1"/>
  <c r="DF95" i="1"/>
  <c r="DG95" i="1"/>
  <c r="DH95" i="1"/>
  <c r="DI95" i="1"/>
  <c r="C95" i="1"/>
  <c r="C94" i="1"/>
  <c r="D40" i="1"/>
  <c r="E40" i="1"/>
  <c r="F40" i="1"/>
  <c r="G40" i="1"/>
  <c r="H40" i="1"/>
  <c r="I40" i="1"/>
  <c r="J40" i="1"/>
  <c r="K40" i="1"/>
  <c r="L40" i="1"/>
  <c r="M40" i="1"/>
  <c r="N40" i="1"/>
  <c r="O40" i="1"/>
  <c r="P40" i="1"/>
  <c r="Q40" i="1"/>
  <c r="R40" i="1"/>
  <c r="S40" i="1"/>
  <c r="T40" i="1"/>
  <c r="U40" i="1"/>
  <c r="V40" i="1"/>
  <c r="W40" i="1"/>
  <c r="X40" i="1"/>
  <c r="Y40" i="1"/>
  <c r="Z40" i="1"/>
  <c r="AA40" i="1"/>
  <c r="AB40" i="1"/>
  <c r="AC40" i="1"/>
  <c r="AD40" i="1"/>
  <c r="AE40" i="1"/>
  <c r="AF40" i="1"/>
  <c r="AG40" i="1"/>
  <c r="AH40" i="1"/>
  <c r="AI40" i="1"/>
  <c r="AJ40" i="1"/>
  <c r="AK40" i="1"/>
  <c r="AL40" i="1"/>
  <c r="AM40" i="1"/>
  <c r="AN40" i="1"/>
  <c r="AO40" i="1"/>
  <c r="AP40" i="1"/>
  <c r="AQ40" i="1"/>
  <c r="AR40" i="1"/>
  <c r="AS40" i="1"/>
  <c r="AT40" i="1"/>
  <c r="AU40" i="1"/>
  <c r="AV40" i="1"/>
  <c r="AW40" i="1"/>
  <c r="AX40" i="1"/>
  <c r="AY40" i="1"/>
  <c r="AZ40" i="1"/>
  <c r="BA40" i="1"/>
  <c r="BB40" i="1"/>
  <c r="BC40" i="1"/>
  <c r="BD40" i="1"/>
  <c r="BE40" i="1"/>
  <c r="BF40" i="1"/>
  <c r="BG40" i="1"/>
  <c r="BH40" i="1"/>
  <c r="BI40" i="1"/>
  <c r="BJ40" i="1"/>
  <c r="BK40" i="1"/>
  <c r="BL40" i="1"/>
  <c r="BM40" i="1"/>
  <c r="BN40" i="1"/>
  <c r="BO40" i="1"/>
  <c r="BP40" i="1"/>
  <c r="BQ40" i="1"/>
  <c r="BR40" i="1"/>
  <c r="BS40" i="1"/>
  <c r="BT40" i="1"/>
  <c r="BU40" i="1"/>
  <c r="BV40" i="1"/>
  <c r="BW40" i="1"/>
  <c r="BX40" i="1"/>
  <c r="BY40" i="1"/>
  <c r="BZ40" i="1"/>
  <c r="CA40" i="1"/>
  <c r="CB40" i="1"/>
  <c r="CC40" i="1"/>
  <c r="CD40" i="1"/>
  <c r="CE40" i="1"/>
  <c r="CF40" i="1"/>
  <c r="CG40" i="1"/>
  <c r="CH40" i="1"/>
  <c r="CI40" i="1"/>
  <c r="CJ40" i="1"/>
  <c r="CK40" i="1"/>
  <c r="CL40" i="1"/>
  <c r="CM40" i="1"/>
  <c r="CN40" i="1"/>
  <c r="CO40" i="1"/>
  <c r="CP40" i="1"/>
  <c r="CQ40" i="1"/>
  <c r="CR40" i="1"/>
  <c r="CS40" i="1"/>
  <c r="CT40" i="1"/>
  <c r="CU40" i="1"/>
  <c r="CV40" i="1"/>
  <c r="CW40" i="1"/>
  <c r="CX40" i="1"/>
  <c r="CY40" i="1"/>
  <c r="CZ40" i="1"/>
  <c r="DA40" i="1"/>
  <c r="DB40" i="1"/>
  <c r="DC40" i="1"/>
  <c r="DD40" i="1"/>
  <c r="DE40" i="1"/>
  <c r="DF40" i="1"/>
  <c r="DG40" i="1"/>
  <c r="DH40" i="1"/>
  <c r="DI40" i="1"/>
  <c r="D39" i="1"/>
  <c r="E39" i="1"/>
  <c r="F39" i="1"/>
  <c r="G39" i="1"/>
  <c r="H39" i="1"/>
  <c r="I39" i="1"/>
  <c r="J39" i="1"/>
  <c r="K39" i="1"/>
  <c r="L39" i="1"/>
  <c r="M39" i="1"/>
  <c r="N39" i="1"/>
  <c r="O39" i="1"/>
  <c r="P39" i="1"/>
  <c r="Q39" i="1"/>
  <c r="R39" i="1"/>
  <c r="S39" i="1"/>
  <c r="T39" i="1"/>
  <c r="U39" i="1"/>
  <c r="V39" i="1"/>
  <c r="W39" i="1"/>
  <c r="X39" i="1"/>
  <c r="Y39" i="1"/>
  <c r="Z39" i="1"/>
  <c r="AA39" i="1"/>
  <c r="AB39" i="1"/>
  <c r="AC39" i="1"/>
  <c r="AD39" i="1"/>
  <c r="AE39" i="1"/>
  <c r="AF39" i="1"/>
  <c r="AG39" i="1"/>
  <c r="AH39" i="1"/>
  <c r="AI39" i="1"/>
  <c r="AJ39" i="1"/>
  <c r="AK39" i="1"/>
  <c r="AL39" i="1"/>
  <c r="AM39" i="1"/>
  <c r="AN39" i="1"/>
  <c r="AO39" i="1"/>
  <c r="AP39" i="1"/>
  <c r="AQ39" i="1"/>
  <c r="AR39" i="1"/>
  <c r="AS39" i="1"/>
  <c r="AT39" i="1"/>
  <c r="AU39" i="1"/>
  <c r="AV39" i="1"/>
  <c r="AW39" i="1"/>
  <c r="AX39" i="1"/>
  <c r="AY39" i="1"/>
  <c r="AZ39" i="1"/>
  <c r="BA39" i="1"/>
  <c r="BB39" i="1"/>
  <c r="BC39" i="1"/>
  <c r="BD39" i="1"/>
  <c r="BE39" i="1"/>
  <c r="BF39" i="1"/>
  <c r="BG39" i="1"/>
  <c r="BH39" i="1"/>
  <c r="BI39" i="1"/>
  <c r="BJ39" i="1"/>
  <c r="BK39" i="1"/>
  <c r="BL39" i="1"/>
  <c r="BM39" i="1"/>
  <c r="BN39" i="1"/>
  <c r="BO39" i="1"/>
  <c r="BP39" i="1"/>
  <c r="BQ39" i="1"/>
  <c r="BR39" i="1"/>
  <c r="BS39" i="1"/>
  <c r="BT39" i="1"/>
  <c r="BU39" i="1"/>
  <c r="BV39" i="1"/>
  <c r="BW39" i="1"/>
  <c r="BX39" i="1"/>
  <c r="BY39" i="1"/>
  <c r="BZ39" i="1"/>
  <c r="CA39" i="1"/>
  <c r="CB39" i="1"/>
  <c r="CC39" i="1"/>
  <c r="CD39" i="1"/>
  <c r="CE39" i="1"/>
  <c r="CF39" i="1"/>
  <c r="CG39" i="1"/>
  <c r="CH39" i="1"/>
  <c r="CI39" i="1"/>
  <c r="CJ39" i="1"/>
  <c r="CK39" i="1"/>
  <c r="CL39" i="1"/>
  <c r="CM39" i="1"/>
  <c r="CN39" i="1"/>
  <c r="CO39" i="1"/>
  <c r="CP39" i="1"/>
  <c r="CQ39" i="1"/>
  <c r="CR39" i="1"/>
  <c r="CS39" i="1"/>
  <c r="CT39" i="1"/>
  <c r="CU39" i="1"/>
  <c r="CV39" i="1"/>
  <c r="CW39" i="1"/>
  <c r="CX39" i="1"/>
  <c r="CY39" i="1"/>
  <c r="CZ39" i="1"/>
  <c r="DA39" i="1"/>
  <c r="DB39" i="1"/>
  <c r="DC39" i="1"/>
  <c r="DD39" i="1"/>
  <c r="DE39" i="1"/>
  <c r="DF39" i="1"/>
  <c r="DG39" i="1"/>
  <c r="DH39" i="1"/>
  <c r="DI39" i="1"/>
  <c r="C40" i="1"/>
  <c r="C39" i="1"/>
  <c r="D7" i="11" l="1"/>
  <c r="A2" i="13"/>
  <c r="A3" i="11"/>
  <c r="C27" i="11"/>
  <c r="C83" i="11" s="1"/>
  <c r="C28" i="11"/>
  <c r="C84" i="11" s="1"/>
  <c r="C29" i="11"/>
  <c r="C85" i="11" s="1"/>
  <c r="C30" i="11"/>
  <c r="C86" i="11" s="1"/>
  <c r="C31" i="11"/>
  <c r="C87" i="11" s="1"/>
  <c r="C32" i="11"/>
  <c r="C88" i="11" s="1"/>
  <c r="C33" i="11"/>
  <c r="C89" i="11" s="1"/>
  <c r="C34" i="11"/>
  <c r="C90" i="11" s="1"/>
  <c r="C35" i="11"/>
  <c r="C91" i="11" s="1"/>
  <c r="C36" i="11"/>
  <c r="C92" i="11" s="1"/>
  <c r="C37" i="11"/>
  <c r="C93" i="11" s="1"/>
  <c r="C38" i="11"/>
  <c r="C94" i="11" s="1"/>
  <c r="C39" i="11"/>
  <c r="C95" i="11" s="1"/>
  <c r="C40" i="11"/>
  <c r="C96" i="11" s="1"/>
  <c r="C41" i="11"/>
  <c r="C97" i="11" s="1"/>
  <c r="C42" i="11"/>
  <c r="C98" i="11" s="1"/>
  <c r="C43" i="11"/>
  <c r="C99" i="11" s="1"/>
  <c r="C44" i="11"/>
  <c r="C100" i="11" s="1"/>
  <c r="C45" i="11"/>
  <c r="C101" i="11" s="1"/>
  <c r="C46" i="11"/>
  <c r="C102" i="11" s="1"/>
  <c r="C47" i="11"/>
  <c r="C103" i="11" s="1"/>
  <c r="C48" i="11"/>
  <c r="C104" i="11" s="1"/>
  <c r="C49" i="11"/>
  <c r="C105" i="11" s="1"/>
  <c r="C50" i="11"/>
  <c r="C106" i="11" s="1"/>
  <c r="C51" i="11"/>
  <c r="C107" i="11" s="1"/>
  <c r="C52" i="11"/>
  <c r="C108" i="11" s="1"/>
  <c r="C53" i="11"/>
  <c r="C109" i="11" s="1"/>
  <c r="C54" i="11"/>
  <c r="C110" i="11" s="1"/>
  <c r="C55" i="11"/>
  <c r="C111" i="11" s="1"/>
  <c r="C56" i="11"/>
  <c r="C112" i="11" s="1"/>
  <c r="C57" i="11"/>
  <c r="C113" i="11" s="1"/>
  <c r="C58" i="11"/>
  <c r="C114" i="11" s="1"/>
  <c r="C59" i="11"/>
  <c r="C115" i="11" s="1"/>
  <c r="C60" i="11"/>
  <c r="C116" i="11" s="1"/>
  <c r="C9" i="11"/>
  <c r="C65" i="11" s="1"/>
  <c r="C10" i="11"/>
  <c r="C66" i="11" s="1"/>
  <c r="C11" i="11"/>
  <c r="C67" i="11" s="1"/>
  <c r="C12" i="11"/>
  <c r="C68" i="11" s="1"/>
  <c r="C13" i="11"/>
  <c r="C69" i="11" s="1"/>
  <c r="C14" i="11"/>
  <c r="C70" i="11" s="1"/>
  <c r="C15" i="11"/>
  <c r="C71" i="11" s="1"/>
  <c r="C16" i="11"/>
  <c r="C72" i="11" s="1"/>
  <c r="C17" i="11"/>
  <c r="C73" i="11" s="1"/>
  <c r="C18" i="11"/>
  <c r="C74" i="11" s="1"/>
  <c r="C19" i="11"/>
  <c r="C75" i="11" s="1"/>
  <c r="C20" i="11"/>
  <c r="C76" i="11" s="1"/>
  <c r="C21" i="11"/>
  <c r="C77" i="11" s="1"/>
  <c r="C22" i="11"/>
  <c r="C78" i="11" s="1"/>
  <c r="C23" i="11"/>
  <c r="C79" i="11" s="1"/>
  <c r="C24" i="11"/>
  <c r="C80" i="11" s="1"/>
  <c r="C25" i="11"/>
  <c r="C81" i="11" s="1"/>
  <c r="C26" i="11"/>
  <c r="C82" i="11" s="1"/>
  <c r="C8" i="11"/>
  <c r="C64" i="11" s="1"/>
  <c r="B15" i="1"/>
  <c r="D46" i="1"/>
  <c r="D71" i="1" s="1"/>
  <c r="E46" i="1"/>
  <c r="E71" i="1" s="1"/>
  <c r="F46" i="1"/>
  <c r="F71" i="1" s="1"/>
  <c r="G46" i="1"/>
  <c r="G71" i="1" s="1"/>
  <c r="H46" i="1"/>
  <c r="H71" i="1" s="1"/>
  <c r="I46" i="1"/>
  <c r="I71" i="1" s="1"/>
  <c r="J46" i="1"/>
  <c r="J71" i="1" s="1"/>
  <c r="K46" i="1"/>
  <c r="K71" i="1" s="1"/>
  <c r="L46" i="1"/>
  <c r="L71" i="1" s="1"/>
  <c r="M46" i="1"/>
  <c r="M71" i="1" s="1"/>
  <c r="N46" i="1"/>
  <c r="N71" i="1" s="1"/>
  <c r="O46" i="1"/>
  <c r="O71" i="1" s="1"/>
  <c r="P46" i="1"/>
  <c r="P71" i="1" s="1"/>
  <c r="Q46" i="1"/>
  <c r="Q71" i="1" s="1"/>
  <c r="R46" i="1"/>
  <c r="R71" i="1" s="1"/>
  <c r="S46" i="1"/>
  <c r="S71" i="1" s="1"/>
  <c r="T46" i="1"/>
  <c r="T71" i="1" s="1"/>
  <c r="U46" i="1"/>
  <c r="U71" i="1" s="1"/>
  <c r="V46" i="1"/>
  <c r="V71" i="1" s="1"/>
  <c r="W46" i="1"/>
  <c r="W71" i="1" s="1"/>
  <c r="X46" i="1"/>
  <c r="X71" i="1" s="1"/>
  <c r="Y46" i="1"/>
  <c r="Y71" i="1" s="1"/>
  <c r="Z46" i="1"/>
  <c r="Z71" i="1" s="1"/>
  <c r="AA46" i="1"/>
  <c r="AA71" i="1" s="1"/>
  <c r="AB46" i="1"/>
  <c r="AB71" i="1" s="1"/>
  <c r="AC46" i="1"/>
  <c r="AC71" i="1" s="1"/>
  <c r="AD46" i="1"/>
  <c r="AD71" i="1" s="1"/>
  <c r="AE46" i="1"/>
  <c r="AE71" i="1" s="1"/>
  <c r="AF46" i="1"/>
  <c r="AF71" i="1" s="1"/>
  <c r="AG46" i="1"/>
  <c r="AG71" i="1" s="1"/>
  <c r="AH46" i="1"/>
  <c r="AH71" i="1" s="1"/>
  <c r="AI46" i="1"/>
  <c r="AI71" i="1" s="1"/>
  <c r="AJ46" i="1"/>
  <c r="AJ71" i="1" s="1"/>
  <c r="AK46" i="1"/>
  <c r="AK71" i="1" s="1"/>
  <c r="AL46" i="1"/>
  <c r="AL71" i="1" s="1"/>
  <c r="AM46" i="1"/>
  <c r="AM71" i="1" s="1"/>
  <c r="AN46" i="1"/>
  <c r="AN71" i="1" s="1"/>
  <c r="AO46" i="1"/>
  <c r="AO71" i="1" s="1"/>
  <c r="AP46" i="1"/>
  <c r="AP71" i="1" s="1"/>
  <c r="AQ46" i="1"/>
  <c r="AQ71" i="1" s="1"/>
  <c r="AR46" i="1"/>
  <c r="AR71" i="1" s="1"/>
  <c r="AS46" i="1"/>
  <c r="AS71" i="1" s="1"/>
  <c r="AT46" i="1"/>
  <c r="AT71" i="1" s="1"/>
  <c r="AU46" i="1"/>
  <c r="AU71" i="1" s="1"/>
  <c r="AV46" i="1"/>
  <c r="AV71" i="1" s="1"/>
  <c r="AW46" i="1"/>
  <c r="AW71" i="1" s="1"/>
  <c r="AX46" i="1"/>
  <c r="AX71" i="1" s="1"/>
  <c r="AY46" i="1"/>
  <c r="AY71" i="1" s="1"/>
  <c r="AZ46" i="1"/>
  <c r="AZ71" i="1" s="1"/>
  <c r="BA46" i="1"/>
  <c r="BA71" i="1" s="1"/>
  <c r="BB46" i="1"/>
  <c r="BB71" i="1" s="1"/>
  <c r="BC46" i="1"/>
  <c r="BC71" i="1" s="1"/>
  <c r="BD46" i="1"/>
  <c r="BD71" i="1" s="1"/>
  <c r="BE46" i="1"/>
  <c r="BE71" i="1" s="1"/>
  <c r="BF46" i="1"/>
  <c r="BF71" i="1" s="1"/>
  <c r="BG46" i="1"/>
  <c r="BG71" i="1" s="1"/>
  <c r="BH46" i="1"/>
  <c r="BH71" i="1" s="1"/>
  <c r="BI46" i="1"/>
  <c r="BI71" i="1" s="1"/>
  <c r="BJ46" i="1"/>
  <c r="BJ71" i="1" s="1"/>
  <c r="BK46" i="1"/>
  <c r="BK71" i="1" s="1"/>
  <c r="BL46" i="1"/>
  <c r="BL71" i="1" s="1"/>
  <c r="BM46" i="1"/>
  <c r="BM71" i="1" s="1"/>
  <c r="BN46" i="1"/>
  <c r="BN71" i="1" s="1"/>
  <c r="BO46" i="1"/>
  <c r="BO71" i="1" s="1"/>
  <c r="BP46" i="1"/>
  <c r="BP71" i="1" s="1"/>
  <c r="BQ46" i="1"/>
  <c r="BQ71" i="1" s="1"/>
  <c r="BR46" i="1"/>
  <c r="BR71" i="1" s="1"/>
  <c r="BS46" i="1"/>
  <c r="BS71" i="1" s="1"/>
  <c r="BT46" i="1"/>
  <c r="BT71" i="1" s="1"/>
  <c r="BU46" i="1"/>
  <c r="BU71" i="1" s="1"/>
  <c r="BV46" i="1"/>
  <c r="BV71" i="1" s="1"/>
  <c r="BW46" i="1"/>
  <c r="BW71" i="1" s="1"/>
  <c r="BX46" i="1"/>
  <c r="BX71" i="1" s="1"/>
  <c r="BY46" i="1"/>
  <c r="BY71" i="1" s="1"/>
  <c r="BZ46" i="1"/>
  <c r="BZ71" i="1" s="1"/>
  <c r="CA46" i="1"/>
  <c r="CA71" i="1" s="1"/>
  <c r="CB46" i="1"/>
  <c r="CB71" i="1" s="1"/>
  <c r="CC46" i="1"/>
  <c r="CC71" i="1" s="1"/>
  <c r="CD46" i="1"/>
  <c r="CD71" i="1" s="1"/>
  <c r="CE46" i="1"/>
  <c r="CE71" i="1" s="1"/>
  <c r="CF46" i="1"/>
  <c r="CF71" i="1" s="1"/>
  <c r="CG46" i="1"/>
  <c r="CG71" i="1" s="1"/>
  <c r="CH46" i="1"/>
  <c r="CH71" i="1" s="1"/>
  <c r="CI46" i="1"/>
  <c r="CI71" i="1" s="1"/>
  <c r="CJ46" i="1"/>
  <c r="CJ71" i="1" s="1"/>
  <c r="CK46" i="1"/>
  <c r="CK71" i="1" s="1"/>
  <c r="CL46" i="1"/>
  <c r="CL71" i="1" s="1"/>
  <c r="CM46" i="1"/>
  <c r="CM71" i="1" s="1"/>
  <c r="CN46" i="1"/>
  <c r="CN71" i="1" s="1"/>
  <c r="CO46" i="1"/>
  <c r="CO71" i="1" s="1"/>
  <c r="CP46" i="1"/>
  <c r="CP71" i="1" s="1"/>
  <c r="CQ46" i="1"/>
  <c r="CQ71" i="1" s="1"/>
  <c r="CR46" i="1"/>
  <c r="CR71" i="1" s="1"/>
  <c r="CS46" i="1"/>
  <c r="CS71" i="1" s="1"/>
  <c r="CT46" i="1"/>
  <c r="CT71" i="1" s="1"/>
  <c r="CU46" i="1"/>
  <c r="CU71" i="1" s="1"/>
  <c r="CV46" i="1"/>
  <c r="CV71" i="1" s="1"/>
  <c r="CW46" i="1"/>
  <c r="CW71" i="1" s="1"/>
  <c r="CX46" i="1"/>
  <c r="CX71" i="1" s="1"/>
  <c r="CY46" i="1"/>
  <c r="CY71" i="1" s="1"/>
  <c r="CZ46" i="1"/>
  <c r="CZ71" i="1" s="1"/>
  <c r="DA46" i="1"/>
  <c r="DA71" i="1" s="1"/>
  <c r="DB46" i="1"/>
  <c r="DB71" i="1" s="1"/>
  <c r="DC46" i="1"/>
  <c r="DC71" i="1" s="1"/>
  <c r="DD46" i="1"/>
  <c r="DD71" i="1" s="1"/>
  <c r="DE46" i="1"/>
  <c r="DE71" i="1" s="1"/>
  <c r="DF46" i="1"/>
  <c r="DF71" i="1" s="1"/>
  <c r="DG46" i="1"/>
  <c r="DG71" i="1" s="1"/>
  <c r="DH46" i="1"/>
  <c r="DH71" i="1" s="1"/>
  <c r="DI46" i="1"/>
  <c r="DI71" i="1" s="1"/>
  <c r="D47" i="1"/>
  <c r="D72" i="1" s="1"/>
  <c r="D97" i="1" s="1"/>
  <c r="E47" i="1"/>
  <c r="E72" i="1" s="1"/>
  <c r="E97" i="1" s="1"/>
  <c r="F47" i="1"/>
  <c r="F72" i="1" s="1"/>
  <c r="F97" i="1" s="1"/>
  <c r="G47" i="1"/>
  <c r="G72" i="1" s="1"/>
  <c r="G97" i="1" s="1"/>
  <c r="H47" i="1"/>
  <c r="H72" i="1" s="1"/>
  <c r="H97" i="1" s="1"/>
  <c r="I47" i="1"/>
  <c r="I72" i="1" s="1"/>
  <c r="I97" i="1" s="1"/>
  <c r="J47" i="1"/>
  <c r="J72" i="1" s="1"/>
  <c r="J97" i="1" s="1"/>
  <c r="K47" i="1"/>
  <c r="K72" i="1" s="1"/>
  <c r="K97" i="1" s="1"/>
  <c r="L47" i="1"/>
  <c r="L72" i="1" s="1"/>
  <c r="L97" i="1" s="1"/>
  <c r="M47" i="1"/>
  <c r="M72" i="1" s="1"/>
  <c r="M97" i="1" s="1"/>
  <c r="N47" i="1"/>
  <c r="N72" i="1" s="1"/>
  <c r="N97" i="1" s="1"/>
  <c r="O47" i="1"/>
  <c r="O72" i="1" s="1"/>
  <c r="O97" i="1" s="1"/>
  <c r="P47" i="1"/>
  <c r="P72" i="1" s="1"/>
  <c r="P97" i="1" s="1"/>
  <c r="Q47" i="1"/>
  <c r="Q72" i="1" s="1"/>
  <c r="Q97" i="1" s="1"/>
  <c r="R47" i="1"/>
  <c r="R72" i="1" s="1"/>
  <c r="R97" i="1" s="1"/>
  <c r="S47" i="1"/>
  <c r="S72" i="1" s="1"/>
  <c r="S97" i="1" s="1"/>
  <c r="T47" i="1"/>
  <c r="T72" i="1" s="1"/>
  <c r="T97" i="1" s="1"/>
  <c r="U47" i="1"/>
  <c r="U72" i="1" s="1"/>
  <c r="U97" i="1" s="1"/>
  <c r="V47" i="1"/>
  <c r="V72" i="1" s="1"/>
  <c r="V97" i="1" s="1"/>
  <c r="W47" i="1"/>
  <c r="W72" i="1" s="1"/>
  <c r="W97" i="1" s="1"/>
  <c r="X47" i="1"/>
  <c r="X72" i="1" s="1"/>
  <c r="X97" i="1" s="1"/>
  <c r="Y47" i="1"/>
  <c r="Y72" i="1" s="1"/>
  <c r="Y97" i="1" s="1"/>
  <c r="Z47" i="1"/>
  <c r="Z72" i="1" s="1"/>
  <c r="Z97" i="1" s="1"/>
  <c r="AA47" i="1"/>
  <c r="AA72" i="1" s="1"/>
  <c r="AA97" i="1" s="1"/>
  <c r="AB47" i="1"/>
  <c r="AB72" i="1" s="1"/>
  <c r="AB97" i="1" s="1"/>
  <c r="AC47" i="1"/>
  <c r="AC72" i="1" s="1"/>
  <c r="AC97" i="1" s="1"/>
  <c r="AD47" i="1"/>
  <c r="AD72" i="1" s="1"/>
  <c r="AD97" i="1" s="1"/>
  <c r="AE47" i="1"/>
  <c r="AE72" i="1" s="1"/>
  <c r="AE97" i="1" s="1"/>
  <c r="AF47" i="1"/>
  <c r="AF72" i="1" s="1"/>
  <c r="AF97" i="1" s="1"/>
  <c r="AG47" i="1"/>
  <c r="AG72" i="1" s="1"/>
  <c r="AG97" i="1" s="1"/>
  <c r="AH47" i="1"/>
  <c r="AH72" i="1" s="1"/>
  <c r="AH97" i="1" s="1"/>
  <c r="AI47" i="1"/>
  <c r="AI72" i="1" s="1"/>
  <c r="AI97" i="1" s="1"/>
  <c r="AJ47" i="1"/>
  <c r="AJ72" i="1" s="1"/>
  <c r="AJ97" i="1" s="1"/>
  <c r="AK47" i="1"/>
  <c r="AK72" i="1" s="1"/>
  <c r="AK97" i="1" s="1"/>
  <c r="AL47" i="1"/>
  <c r="AL72" i="1" s="1"/>
  <c r="AL97" i="1" s="1"/>
  <c r="AM47" i="1"/>
  <c r="AM72" i="1" s="1"/>
  <c r="AM97" i="1" s="1"/>
  <c r="AN47" i="1"/>
  <c r="AN72" i="1" s="1"/>
  <c r="AN97" i="1" s="1"/>
  <c r="AO47" i="1"/>
  <c r="AO72" i="1" s="1"/>
  <c r="AO97" i="1" s="1"/>
  <c r="AP47" i="1"/>
  <c r="AP72" i="1" s="1"/>
  <c r="AP97" i="1" s="1"/>
  <c r="AQ47" i="1"/>
  <c r="AQ72" i="1" s="1"/>
  <c r="AQ97" i="1" s="1"/>
  <c r="AR47" i="1"/>
  <c r="AR72" i="1" s="1"/>
  <c r="AR97" i="1" s="1"/>
  <c r="AS47" i="1"/>
  <c r="AS72" i="1" s="1"/>
  <c r="AS97" i="1" s="1"/>
  <c r="AT47" i="1"/>
  <c r="AT72" i="1" s="1"/>
  <c r="AT97" i="1" s="1"/>
  <c r="AU47" i="1"/>
  <c r="AU72" i="1" s="1"/>
  <c r="AU97" i="1" s="1"/>
  <c r="AV47" i="1"/>
  <c r="AV72" i="1" s="1"/>
  <c r="AV97" i="1" s="1"/>
  <c r="AW47" i="1"/>
  <c r="AW72" i="1" s="1"/>
  <c r="AW97" i="1" s="1"/>
  <c r="AX47" i="1"/>
  <c r="AX72" i="1" s="1"/>
  <c r="AX97" i="1" s="1"/>
  <c r="AY47" i="1"/>
  <c r="AY72" i="1" s="1"/>
  <c r="AY97" i="1" s="1"/>
  <c r="AZ47" i="1"/>
  <c r="AZ72" i="1" s="1"/>
  <c r="AZ97" i="1" s="1"/>
  <c r="BA47" i="1"/>
  <c r="BA72" i="1" s="1"/>
  <c r="BA97" i="1" s="1"/>
  <c r="BB47" i="1"/>
  <c r="BB72" i="1" s="1"/>
  <c r="BB97" i="1" s="1"/>
  <c r="BC47" i="1"/>
  <c r="BC72" i="1" s="1"/>
  <c r="BC97" i="1" s="1"/>
  <c r="BD47" i="1"/>
  <c r="BD72" i="1" s="1"/>
  <c r="BD97" i="1" s="1"/>
  <c r="BE47" i="1"/>
  <c r="BE72" i="1" s="1"/>
  <c r="BE97" i="1" s="1"/>
  <c r="BF47" i="1"/>
  <c r="BF72" i="1" s="1"/>
  <c r="BF97" i="1" s="1"/>
  <c r="BG47" i="1"/>
  <c r="BG72" i="1" s="1"/>
  <c r="BG97" i="1" s="1"/>
  <c r="BH47" i="1"/>
  <c r="BH72" i="1" s="1"/>
  <c r="BH97" i="1" s="1"/>
  <c r="BI47" i="1"/>
  <c r="BI72" i="1" s="1"/>
  <c r="BI97" i="1" s="1"/>
  <c r="BJ47" i="1"/>
  <c r="BJ72" i="1" s="1"/>
  <c r="BJ97" i="1" s="1"/>
  <c r="BK47" i="1"/>
  <c r="BK72" i="1" s="1"/>
  <c r="BK97" i="1" s="1"/>
  <c r="BL47" i="1"/>
  <c r="BL72" i="1" s="1"/>
  <c r="BL97" i="1" s="1"/>
  <c r="BM47" i="1"/>
  <c r="BM72" i="1" s="1"/>
  <c r="BM97" i="1" s="1"/>
  <c r="BN47" i="1"/>
  <c r="BN72" i="1" s="1"/>
  <c r="BN97" i="1" s="1"/>
  <c r="BO47" i="1"/>
  <c r="BO72" i="1" s="1"/>
  <c r="BO97" i="1" s="1"/>
  <c r="BP47" i="1"/>
  <c r="BP72" i="1" s="1"/>
  <c r="BP97" i="1" s="1"/>
  <c r="BQ47" i="1"/>
  <c r="BQ72" i="1" s="1"/>
  <c r="BQ97" i="1" s="1"/>
  <c r="BR47" i="1"/>
  <c r="BR72" i="1" s="1"/>
  <c r="BR97" i="1" s="1"/>
  <c r="BS47" i="1"/>
  <c r="BS72" i="1" s="1"/>
  <c r="BS97" i="1" s="1"/>
  <c r="BT47" i="1"/>
  <c r="BT72" i="1" s="1"/>
  <c r="BT97" i="1" s="1"/>
  <c r="BU47" i="1"/>
  <c r="BU72" i="1" s="1"/>
  <c r="BU97" i="1" s="1"/>
  <c r="BV47" i="1"/>
  <c r="BV72" i="1" s="1"/>
  <c r="BV97" i="1" s="1"/>
  <c r="BW47" i="1"/>
  <c r="BW72" i="1" s="1"/>
  <c r="BW97" i="1" s="1"/>
  <c r="BX47" i="1"/>
  <c r="BX72" i="1" s="1"/>
  <c r="BX97" i="1" s="1"/>
  <c r="BY47" i="1"/>
  <c r="BY72" i="1" s="1"/>
  <c r="BY97" i="1" s="1"/>
  <c r="BZ47" i="1"/>
  <c r="BZ72" i="1" s="1"/>
  <c r="BZ97" i="1" s="1"/>
  <c r="CA47" i="1"/>
  <c r="CA72" i="1" s="1"/>
  <c r="CA97" i="1" s="1"/>
  <c r="CB47" i="1"/>
  <c r="CB72" i="1" s="1"/>
  <c r="CB97" i="1" s="1"/>
  <c r="CC47" i="1"/>
  <c r="CC72" i="1" s="1"/>
  <c r="CC97" i="1" s="1"/>
  <c r="CD47" i="1"/>
  <c r="CD72" i="1" s="1"/>
  <c r="CD97" i="1" s="1"/>
  <c r="CE47" i="1"/>
  <c r="CE72" i="1" s="1"/>
  <c r="CE97" i="1" s="1"/>
  <c r="CF47" i="1"/>
  <c r="CF72" i="1" s="1"/>
  <c r="CF97" i="1" s="1"/>
  <c r="CG47" i="1"/>
  <c r="CG72" i="1" s="1"/>
  <c r="CG97" i="1" s="1"/>
  <c r="CH47" i="1"/>
  <c r="CH72" i="1" s="1"/>
  <c r="CH97" i="1" s="1"/>
  <c r="CI47" i="1"/>
  <c r="CI72" i="1" s="1"/>
  <c r="CI97" i="1" s="1"/>
  <c r="CJ47" i="1"/>
  <c r="CJ72" i="1" s="1"/>
  <c r="CJ97" i="1" s="1"/>
  <c r="CK47" i="1"/>
  <c r="CK72" i="1" s="1"/>
  <c r="CK97" i="1" s="1"/>
  <c r="CL47" i="1"/>
  <c r="CL72" i="1" s="1"/>
  <c r="CL97" i="1" s="1"/>
  <c r="CM47" i="1"/>
  <c r="CM72" i="1" s="1"/>
  <c r="CM97" i="1" s="1"/>
  <c r="CN47" i="1"/>
  <c r="CN72" i="1" s="1"/>
  <c r="CN97" i="1" s="1"/>
  <c r="CO47" i="1"/>
  <c r="CO72" i="1" s="1"/>
  <c r="CO97" i="1" s="1"/>
  <c r="CP47" i="1"/>
  <c r="CP72" i="1" s="1"/>
  <c r="CP97" i="1" s="1"/>
  <c r="CQ47" i="1"/>
  <c r="CQ72" i="1" s="1"/>
  <c r="CQ97" i="1" s="1"/>
  <c r="CR47" i="1"/>
  <c r="CR72" i="1" s="1"/>
  <c r="CR97" i="1" s="1"/>
  <c r="CS47" i="1"/>
  <c r="CS72" i="1" s="1"/>
  <c r="CS97" i="1" s="1"/>
  <c r="CT47" i="1"/>
  <c r="CT72" i="1" s="1"/>
  <c r="CT97" i="1" s="1"/>
  <c r="CU47" i="1"/>
  <c r="CU72" i="1" s="1"/>
  <c r="CU97" i="1" s="1"/>
  <c r="CV47" i="1"/>
  <c r="CV72" i="1" s="1"/>
  <c r="CV97" i="1" s="1"/>
  <c r="CW47" i="1"/>
  <c r="CW72" i="1" s="1"/>
  <c r="CW97" i="1" s="1"/>
  <c r="CX47" i="1"/>
  <c r="CX72" i="1" s="1"/>
  <c r="CX97" i="1" s="1"/>
  <c r="CY47" i="1"/>
  <c r="CY72" i="1" s="1"/>
  <c r="CY97" i="1" s="1"/>
  <c r="CZ47" i="1"/>
  <c r="CZ72" i="1" s="1"/>
  <c r="CZ97" i="1" s="1"/>
  <c r="DA47" i="1"/>
  <c r="DA72" i="1" s="1"/>
  <c r="DA97" i="1" s="1"/>
  <c r="DB47" i="1"/>
  <c r="DB72" i="1" s="1"/>
  <c r="DB97" i="1" s="1"/>
  <c r="DC47" i="1"/>
  <c r="DC72" i="1" s="1"/>
  <c r="DC97" i="1" s="1"/>
  <c r="DD47" i="1"/>
  <c r="DD72" i="1" s="1"/>
  <c r="DD97" i="1" s="1"/>
  <c r="DE47" i="1"/>
  <c r="DE72" i="1" s="1"/>
  <c r="DE97" i="1" s="1"/>
  <c r="DF47" i="1"/>
  <c r="DF72" i="1" s="1"/>
  <c r="DF97" i="1" s="1"/>
  <c r="DG47" i="1"/>
  <c r="DG72" i="1" s="1"/>
  <c r="DG97" i="1" s="1"/>
  <c r="DH47" i="1"/>
  <c r="DH72" i="1" s="1"/>
  <c r="DH97" i="1" s="1"/>
  <c r="DI47" i="1"/>
  <c r="DI72" i="1" s="1"/>
  <c r="DI97" i="1" s="1"/>
  <c r="D48" i="1"/>
  <c r="D73" i="1" s="1"/>
  <c r="D98" i="1" s="1"/>
  <c r="E48" i="1"/>
  <c r="E73" i="1" s="1"/>
  <c r="E98" i="1" s="1"/>
  <c r="F48" i="1"/>
  <c r="F73" i="1" s="1"/>
  <c r="F98" i="1" s="1"/>
  <c r="G48" i="1"/>
  <c r="G73" i="1" s="1"/>
  <c r="G98" i="1" s="1"/>
  <c r="H48" i="1"/>
  <c r="H73" i="1" s="1"/>
  <c r="H98" i="1" s="1"/>
  <c r="I48" i="1"/>
  <c r="I73" i="1" s="1"/>
  <c r="I98" i="1" s="1"/>
  <c r="J48" i="1"/>
  <c r="J73" i="1" s="1"/>
  <c r="J98" i="1" s="1"/>
  <c r="K48" i="1"/>
  <c r="K73" i="1" s="1"/>
  <c r="K98" i="1" s="1"/>
  <c r="L48" i="1"/>
  <c r="L73" i="1" s="1"/>
  <c r="L98" i="1" s="1"/>
  <c r="M48" i="1"/>
  <c r="M73" i="1" s="1"/>
  <c r="M98" i="1" s="1"/>
  <c r="N48" i="1"/>
  <c r="N73" i="1" s="1"/>
  <c r="N98" i="1" s="1"/>
  <c r="O48" i="1"/>
  <c r="O73" i="1" s="1"/>
  <c r="O98" i="1" s="1"/>
  <c r="P48" i="1"/>
  <c r="P73" i="1" s="1"/>
  <c r="P98" i="1" s="1"/>
  <c r="Q48" i="1"/>
  <c r="Q73" i="1" s="1"/>
  <c r="Q98" i="1" s="1"/>
  <c r="R48" i="1"/>
  <c r="R73" i="1" s="1"/>
  <c r="R98" i="1" s="1"/>
  <c r="S48" i="1"/>
  <c r="S73" i="1" s="1"/>
  <c r="S98" i="1" s="1"/>
  <c r="T48" i="1"/>
  <c r="T73" i="1" s="1"/>
  <c r="T98" i="1" s="1"/>
  <c r="U48" i="1"/>
  <c r="U73" i="1" s="1"/>
  <c r="U98" i="1" s="1"/>
  <c r="V48" i="1"/>
  <c r="V73" i="1" s="1"/>
  <c r="V98" i="1" s="1"/>
  <c r="W48" i="1"/>
  <c r="W73" i="1" s="1"/>
  <c r="W98" i="1" s="1"/>
  <c r="X48" i="1"/>
  <c r="X73" i="1" s="1"/>
  <c r="X98" i="1" s="1"/>
  <c r="Y48" i="1"/>
  <c r="Y73" i="1" s="1"/>
  <c r="Y98" i="1" s="1"/>
  <c r="Z48" i="1"/>
  <c r="Z73" i="1" s="1"/>
  <c r="Z98" i="1" s="1"/>
  <c r="AA48" i="1"/>
  <c r="AA73" i="1" s="1"/>
  <c r="AA98" i="1" s="1"/>
  <c r="AB48" i="1"/>
  <c r="AB73" i="1" s="1"/>
  <c r="AB98" i="1" s="1"/>
  <c r="AC48" i="1"/>
  <c r="AC73" i="1" s="1"/>
  <c r="AC98" i="1" s="1"/>
  <c r="AD48" i="1"/>
  <c r="AD73" i="1" s="1"/>
  <c r="AD98" i="1" s="1"/>
  <c r="AE48" i="1"/>
  <c r="AE73" i="1" s="1"/>
  <c r="AE98" i="1" s="1"/>
  <c r="AF48" i="1"/>
  <c r="AF73" i="1" s="1"/>
  <c r="AF98" i="1" s="1"/>
  <c r="AG48" i="1"/>
  <c r="AG73" i="1" s="1"/>
  <c r="AG98" i="1" s="1"/>
  <c r="AH48" i="1"/>
  <c r="AH73" i="1" s="1"/>
  <c r="AH98" i="1" s="1"/>
  <c r="AI48" i="1"/>
  <c r="AI73" i="1" s="1"/>
  <c r="AI98" i="1" s="1"/>
  <c r="AJ48" i="1"/>
  <c r="AJ73" i="1" s="1"/>
  <c r="AJ98" i="1" s="1"/>
  <c r="AK48" i="1"/>
  <c r="AK73" i="1" s="1"/>
  <c r="AK98" i="1" s="1"/>
  <c r="AL48" i="1"/>
  <c r="AL73" i="1" s="1"/>
  <c r="AL98" i="1" s="1"/>
  <c r="AM48" i="1"/>
  <c r="AM73" i="1" s="1"/>
  <c r="AM98" i="1" s="1"/>
  <c r="AN48" i="1"/>
  <c r="AN73" i="1" s="1"/>
  <c r="AN98" i="1" s="1"/>
  <c r="AO48" i="1"/>
  <c r="AO73" i="1" s="1"/>
  <c r="AO98" i="1" s="1"/>
  <c r="AP48" i="1"/>
  <c r="AP73" i="1" s="1"/>
  <c r="AP98" i="1" s="1"/>
  <c r="AQ48" i="1"/>
  <c r="AQ73" i="1" s="1"/>
  <c r="AQ98" i="1" s="1"/>
  <c r="AR48" i="1"/>
  <c r="AR73" i="1" s="1"/>
  <c r="AR98" i="1" s="1"/>
  <c r="AS48" i="1"/>
  <c r="AS73" i="1" s="1"/>
  <c r="AS98" i="1" s="1"/>
  <c r="AT48" i="1"/>
  <c r="AT73" i="1" s="1"/>
  <c r="AT98" i="1" s="1"/>
  <c r="AU48" i="1"/>
  <c r="AU73" i="1" s="1"/>
  <c r="AU98" i="1" s="1"/>
  <c r="AV48" i="1"/>
  <c r="AV73" i="1" s="1"/>
  <c r="AV98" i="1" s="1"/>
  <c r="AW48" i="1"/>
  <c r="AW73" i="1" s="1"/>
  <c r="AW98" i="1" s="1"/>
  <c r="AX48" i="1"/>
  <c r="AX73" i="1" s="1"/>
  <c r="AX98" i="1" s="1"/>
  <c r="AY48" i="1"/>
  <c r="AY73" i="1" s="1"/>
  <c r="AY98" i="1" s="1"/>
  <c r="AZ48" i="1"/>
  <c r="AZ73" i="1" s="1"/>
  <c r="AZ98" i="1" s="1"/>
  <c r="BA48" i="1"/>
  <c r="BA73" i="1" s="1"/>
  <c r="BA98" i="1" s="1"/>
  <c r="BB48" i="1"/>
  <c r="BB73" i="1" s="1"/>
  <c r="BB98" i="1" s="1"/>
  <c r="BC48" i="1"/>
  <c r="BC73" i="1" s="1"/>
  <c r="BC98" i="1" s="1"/>
  <c r="BD48" i="1"/>
  <c r="BD73" i="1" s="1"/>
  <c r="BD98" i="1" s="1"/>
  <c r="BE48" i="1"/>
  <c r="BE73" i="1" s="1"/>
  <c r="BE98" i="1" s="1"/>
  <c r="BF48" i="1"/>
  <c r="BF73" i="1" s="1"/>
  <c r="BF98" i="1" s="1"/>
  <c r="BG48" i="1"/>
  <c r="BG73" i="1" s="1"/>
  <c r="BG98" i="1" s="1"/>
  <c r="BH48" i="1"/>
  <c r="BH73" i="1" s="1"/>
  <c r="BH98" i="1" s="1"/>
  <c r="BI48" i="1"/>
  <c r="BI73" i="1" s="1"/>
  <c r="BI98" i="1" s="1"/>
  <c r="BJ48" i="1"/>
  <c r="BJ73" i="1" s="1"/>
  <c r="BJ98" i="1" s="1"/>
  <c r="BK48" i="1"/>
  <c r="BK73" i="1" s="1"/>
  <c r="BK98" i="1" s="1"/>
  <c r="BL48" i="1"/>
  <c r="BL73" i="1" s="1"/>
  <c r="BL98" i="1" s="1"/>
  <c r="BM48" i="1"/>
  <c r="BM73" i="1" s="1"/>
  <c r="BM98" i="1" s="1"/>
  <c r="BN48" i="1"/>
  <c r="BN73" i="1" s="1"/>
  <c r="BN98" i="1" s="1"/>
  <c r="BO48" i="1"/>
  <c r="BO73" i="1" s="1"/>
  <c r="BO98" i="1" s="1"/>
  <c r="BP48" i="1"/>
  <c r="BP73" i="1" s="1"/>
  <c r="BP98" i="1" s="1"/>
  <c r="BQ48" i="1"/>
  <c r="BQ73" i="1" s="1"/>
  <c r="BQ98" i="1" s="1"/>
  <c r="BR48" i="1"/>
  <c r="BR73" i="1" s="1"/>
  <c r="BR98" i="1" s="1"/>
  <c r="BS48" i="1"/>
  <c r="BS73" i="1" s="1"/>
  <c r="BS98" i="1" s="1"/>
  <c r="BT48" i="1"/>
  <c r="BT73" i="1" s="1"/>
  <c r="BT98" i="1" s="1"/>
  <c r="BU48" i="1"/>
  <c r="BU73" i="1" s="1"/>
  <c r="BU98" i="1" s="1"/>
  <c r="BV48" i="1"/>
  <c r="BV73" i="1" s="1"/>
  <c r="BV98" i="1" s="1"/>
  <c r="BW48" i="1"/>
  <c r="BW73" i="1" s="1"/>
  <c r="BW98" i="1" s="1"/>
  <c r="BX48" i="1"/>
  <c r="BX73" i="1" s="1"/>
  <c r="BX98" i="1" s="1"/>
  <c r="BY48" i="1"/>
  <c r="BY73" i="1" s="1"/>
  <c r="BY98" i="1" s="1"/>
  <c r="BZ48" i="1"/>
  <c r="BZ73" i="1" s="1"/>
  <c r="BZ98" i="1" s="1"/>
  <c r="CA48" i="1"/>
  <c r="CA73" i="1" s="1"/>
  <c r="CA98" i="1" s="1"/>
  <c r="CB48" i="1"/>
  <c r="CB73" i="1" s="1"/>
  <c r="CB98" i="1" s="1"/>
  <c r="CC48" i="1"/>
  <c r="CC73" i="1" s="1"/>
  <c r="CC98" i="1" s="1"/>
  <c r="CD48" i="1"/>
  <c r="CD73" i="1" s="1"/>
  <c r="CD98" i="1" s="1"/>
  <c r="CE48" i="1"/>
  <c r="CE73" i="1" s="1"/>
  <c r="CE98" i="1" s="1"/>
  <c r="CF48" i="1"/>
  <c r="CF73" i="1" s="1"/>
  <c r="CF98" i="1" s="1"/>
  <c r="CG48" i="1"/>
  <c r="CG73" i="1" s="1"/>
  <c r="CG98" i="1" s="1"/>
  <c r="CH48" i="1"/>
  <c r="CH73" i="1" s="1"/>
  <c r="CH98" i="1" s="1"/>
  <c r="CI48" i="1"/>
  <c r="CI73" i="1" s="1"/>
  <c r="CI98" i="1" s="1"/>
  <c r="CJ48" i="1"/>
  <c r="CJ73" i="1" s="1"/>
  <c r="CJ98" i="1" s="1"/>
  <c r="CK48" i="1"/>
  <c r="CK73" i="1" s="1"/>
  <c r="CK98" i="1" s="1"/>
  <c r="CL48" i="1"/>
  <c r="CL73" i="1" s="1"/>
  <c r="CL98" i="1" s="1"/>
  <c r="CM48" i="1"/>
  <c r="CM73" i="1" s="1"/>
  <c r="CM98" i="1" s="1"/>
  <c r="CN48" i="1"/>
  <c r="CN73" i="1" s="1"/>
  <c r="CN98" i="1" s="1"/>
  <c r="CO48" i="1"/>
  <c r="CO73" i="1" s="1"/>
  <c r="CO98" i="1" s="1"/>
  <c r="CP48" i="1"/>
  <c r="CP73" i="1" s="1"/>
  <c r="CP98" i="1" s="1"/>
  <c r="CQ48" i="1"/>
  <c r="CQ73" i="1" s="1"/>
  <c r="CQ98" i="1" s="1"/>
  <c r="CR48" i="1"/>
  <c r="CR73" i="1" s="1"/>
  <c r="CR98" i="1" s="1"/>
  <c r="CS48" i="1"/>
  <c r="CS73" i="1" s="1"/>
  <c r="CS98" i="1" s="1"/>
  <c r="CT48" i="1"/>
  <c r="CT73" i="1" s="1"/>
  <c r="CT98" i="1" s="1"/>
  <c r="CU48" i="1"/>
  <c r="CU73" i="1" s="1"/>
  <c r="CU98" i="1" s="1"/>
  <c r="CV48" i="1"/>
  <c r="CV73" i="1" s="1"/>
  <c r="CV98" i="1" s="1"/>
  <c r="CW48" i="1"/>
  <c r="CW73" i="1" s="1"/>
  <c r="CW98" i="1" s="1"/>
  <c r="CX48" i="1"/>
  <c r="CX73" i="1" s="1"/>
  <c r="CX98" i="1" s="1"/>
  <c r="CY48" i="1"/>
  <c r="CY73" i="1" s="1"/>
  <c r="CY98" i="1" s="1"/>
  <c r="CZ48" i="1"/>
  <c r="CZ73" i="1" s="1"/>
  <c r="CZ98" i="1" s="1"/>
  <c r="DA48" i="1"/>
  <c r="DA73" i="1" s="1"/>
  <c r="DA98" i="1" s="1"/>
  <c r="DB48" i="1"/>
  <c r="DB73" i="1" s="1"/>
  <c r="DB98" i="1" s="1"/>
  <c r="DC48" i="1"/>
  <c r="DC73" i="1" s="1"/>
  <c r="DC98" i="1" s="1"/>
  <c r="DD48" i="1"/>
  <c r="DD73" i="1" s="1"/>
  <c r="DD98" i="1" s="1"/>
  <c r="DE48" i="1"/>
  <c r="DE73" i="1" s="1"/>
  <c r="DE98" i="1" s="1"/>
  <c r="DF48" i="1"/>
  <c r="DF73" i="1" s="1"/>
  <c r="DF98" i="1" s="1"/>
  <c r="DG48" i="1"/>
  <c r="DG73" i="1" s="1"/>
  <c r="DG98" i="1" s="1"/>
  <c r="DH48" i="1"/>
  <c r="DH73" i="1" s="1"/>
  <c r="DH98" i="1" s="1"/>
  <c r="DI48" i="1"/>
  <c r="DI73" i="1" s="1"/>
  <c r="DI98" i="1" s="1"/>
  <c r="D49" i="1"/>
  <c r="D74" i="1" s="1"/>
  <c r="E49" i="1"/>
  <c r="E74" i="1" s="1"/>
  <c r="F49" i="1"/>
  <c r="F74" i="1" s="1"/>
  <c r="G49" i="1"/>
  <c r="G74" i="1" s="1"/>
  <c r="H49" i="1"/>
  <c r="H74" i="1" s="1"/>
  <c r="I49" i="1"/>
  <c r="I74" i="1" s="1"/>
  <c r="J49" i="1"/>
  <c r="J74" i="1" s="1"/>
  <c r="K49" i="1"/>
  <c r="K74" i="1" s="1"/>
  <c r="L49" i="1"/>
  <c r="L74" i="1" s="1"/>
  <c r="M49" i="1"/>
  <c r="M74" i="1" s="1"/>
  <c r="N49" i="1"/>
  <c r="N74" i="1" s="1"/>
  <c r="O49" i="1"/>
  <c r="O74" i="1" s="1"/>
  <c r="P49" i="1"/>
  <c r="P74" i="1" s="1"/>
  <c r="Q49" i="1"/>
  <c r="Q74" i="1" s="1"/>
  <c r="R49" i="1"/>
  <c r="R74" i="1" s="1"/>
  <c r="S49" i="1"/>
  <c r="S74" i="1" s="1"/>
  <c r="T49" i="1"/>
  <c r="T74" i="1" s="1"/>
  <c r="U49" i="1"/>
  <c r="U74" i="1" s="1"/>
  <c r="V49" i="1"/>
  <c r="V74" i="1" s="1"/>
  <c r="W49" i="1"/>
  <c r="W74" i="1" s="1"/>
  <c r="X49" i="1"/>
  <c r="X74" i="1" s="1"/>
  <c r="Y49" i="1"/>
  <c r="Y74" i="1" s="1"/>
  <c r="Z49" i="1"/>
  <c r="Z74" i="1" s="1"/>
  <c r="AA49" i="1"/>
  <c r="AA74" i="1" s="1"/>
  <c r="AB49" i="1"/>
  <c r="AB74" i="1" s="1"/>
  <c r="AC49" i="1"/>
  <c r="AC74" i="1" s="1"/>
  <c r="AD49" i="1"/>
  <c r="AD74" i="1" s="1"/>
  <c r="AE49" i="1"/>
  <c r="AE74" i="1" s="1"/>
  <c r="AF49" i="1"/>
  <c r="AF74" i="1" s="1"/>
  <c r="AG49" i="1"/>
  <c r="AG74" i="1" s="1"/>
  <c r="AH49" i="1"/>
  <c r="AH74" i="1" s="1"/>
  <c r="AI49" i="1"/>
  <c r="AI74" i="1" s="1"/>
  <c r="AJ49" i="1"/>
  <c r="AJ74" i="1" s="1"/>
  <c r="AK49" i="1"/>
  <c r="AK74" i="1" s="1"/>
  <c r="AL49" i="1"/>
  <c r="AL74" i="1" s="1"/>
  <c r="AM49" i="1"/>
  <c r="AM74" i="1" s="1"/>
  <c r="AN49" i="1"/>
  <c r="AN74" i="1" s="1"/>
  <c r="AO49" i="1"/>
  <c r="AO74" i="1" s="1"/>
  <c r="AP49" i="1"/>
  <c r="AP74" i="1" s="1"/>
  <c r="AQ49" i="1"/>
  <c r="AQ74" i="1" s="1"/>
  <c r="AR49" i="1"/>
  <c r="AR74" i="1" s="1"/>
  <c r="AS49" i="1"/>
  <c r="AS74" i="1" s="1"/>
  <c r="AT49" i="1"/>
  <c r="AT74" i="1" s="1"/>
  <c r="AU49" i="1"/>
  <c r="AU74" i="1" s="1"/>
  <c r="AV49" i="1"/>
  <c r="AV74" i="1" s="1"/>
  <c r="AW49" i="1"/>
  <c r="AW74" i="1" s="1"/>
  <c r="AX49" i="1"/>
  <c r="AX74" i="1" s="1"/>
  <c r="AY49" i="1"/>
  <c r="AY74" i="1" s="1"/>
  <c r="AZ49" i="1"/>
  <c r="AZ74" i="1" s="1"/>
  <c r="BA49" i="1"/>
  <c r="BA74" i="1" s="1"/>
  <c r="BB49" i="1"/>
  <c r="BB74" i="1" s="1"/>
  <c r="BC49" i="1"/>
  <c r="BC74" i="1" s="1"/>
  <c r="BD49" i="1"/>
  <c r="BD74" i="1" s="1"/>
  <c r="BE49" i="1"/>
  <c r="BE74" i="1" s="1"/>
  <c r="BF49" i="1"/>
  <c r="BF74" i="1" s="1"/>
  <c r="BG49" i="1"/>
  <c r="BG74" i="1" s="1"/>
  <c r="BH49" i="1"/>
  <c r="BH74" i="1" s="1"/>
  <c r="BI49" i="1"/>
  <c r="BI74" i="1" s="1"/>
  <c r="BJ49" i="1"/>
  <c r="BJ74" i="1" s="1"/>
  <c r="BK49" i="1"/>
  <c r="BK74" i="1" s="1"/>
  <c r="BL49" i="1"/>
  <c r="BL74" i="1" s="1"/>
  <c r="BM49" i="1"/>
  <c r="BM74" i="1" s="1"/>
  <c r="BN49" i="1"/>
  <c r="BN74" i="1" s="1"/>
  <c r="BO49" i="1"/>
  <c r="BO74" i="1" s="1"/>
  <c r="BP49" i="1"/>
  <c r="BP74" i="1" s="1"/>
  <c r="BQ49" i="1"/>
  <c r="BQ74" i="1" s="1"/>
  <c r="BR49" i="1"/>
  <c r="BR74" i="1" s="1"/>
  <c r="BS49" i="1"/>
  <c r="BS74" i="1" s="1"/>
  <c r="BT49" i="1"/>
  <c r="BT74" i="1" s="1"/>
  <c r="BU49" i="1"/>
  <c r="BU74" i="1" s="1"/>
  <c r="BV49" i="1"/>
  <c r="BV74" i="1" s="1"/>
  <c r="BW49" i="1"/>
  <c r="BW74" i="1" s="1"/>
  <c r="BX49" i="1"/>
  <c r="BX74" i="1" s="1"/>
  <c r="BY49" i="1"/>
  <c r="BY74" i="1" s="1"/>
  <c r="BZ49" i="1"/>
  <c r="BZ74" i="1" s="1"/>
  <c r="CA49" i="1"/>
  <c r="CA74" i="1" s="1"/>
  <c r="CB49" i="1"/>
  <c r="CB74" i="1" s="1"/>
  <c r="CC49" i="1"/>
  <c r="CC74" i="1" s="1"/>
  <c r="CD49" i="1"/>
  <c r="CD74" i="1" s="1"/>
  <c r="CE49" i="1"/>
  <c r="CE74" i="1" s="1"/>
  <c r="CF49" i="1"/>
  <c r="CF74" i="1" s="1"/>
  <c r="CG49" i="1"/>
  <c r="CG74" i="1" s="1"/>
  <c r="CH49" i="1"/>
  <c r="CH74" i="1" s="1"/>
  <c r="CI49" i="1"/>
  <c r="CI74" i="1" s="1"/>
  <c r="CJ49" i="1"/>
  <c r="CJ74" i="1" s="1"/>
  <c r="CK49" i="1"/>
  <c r="CK74" i="1" s="1"/>
  <c r="CL49" i="1"/>
  <c r="CL74" i="1" s="1"/>
  <c r="CM49" i="1"/>
  <c r="CM74" i="1" s="1"/>
  <c r="CN49" i="1"/>
  <c r="CN74" i="1" s="1"/>
  <c r="CO49" i="1"/>
  <c r="CO74" i="1" s="1"/>
  <c r="CP49" i="1"/>
  <c r="CP74" i="1" s="1"/>
  <c r="CQ49" i="1"/>
  <c r="CQ74" i="1" s="1"/>
  <c r="CR49" i="1"/>
  <c r="CR74" i="1" s="1"/>
  <c r="CS49" i="1"/>
  <c r="CS74" i="1" s="1"/>
  <c r="CT49" i="1"/>
  <c r="CT74" i="1" s="1"/>
  <c r="CU49" i="1"/>
  <c r="CU74" i="1" s="1"/>
  <c r="CV49" i="1"/>
  <c r="CV74" i="1" s="1"/>
  <c r="CW49" i="1"/>
  <c r="CW74" i="1" s="1"/>
  <c r="CX49" i="1"/>
  <c r="CX74" i="1" s="1"/>
  <c r="CY49" i="1"/>
  <c r="CY74" i="1" s="1"/>
  <c r="CZ49" i="1"/>
  <c r="CZ74" i="1" s="1"/>
  <c r="DA49" i="1"/>
  <c r="DA74" i="1" s="1"/>
  <c r="DB49" i="1"/>
  <c r="DB74" i="1" s="1"/>
  <c r="DC49" i="1"/>
  <c r="DC74" i="1" s="1"/>
  <c r="DD49" i="1"/>
  <c r="DD74" i="1" s="1"/>
  <c r="DE49" i="1"/>
  <c r="DE74" i="1" s="1"/>
  <c r="DF49" i="1"/>
  <c r="DF74" i="1" s="1"/>
  <c r="DG49" i="1"/>
  <c r="DG74" i="1" s="1"/>
  <c r="DH49" i="1"/>
  <c r="DH74" i="1" s="1"/>
  <c r="DI49" i="1"/>
  <c r="DI74" i="1" s="1"/>
  <c r="D50" i="1"/>
  <c r="D75" i="1" s="1"/>
  <c r="E50" i="1"/>
  <c r="E75" i="1" s="1"/>
  <c r="F50" i="1"/>
  <c r="F75" i="1" s="1"/>
  <c r="G50" i="1"/>
  <c r="G75" i="1" s="1"/>
  <c r="H50" i="1"/>
  <c r="H75" i="1" s="1"/>
  <c r="I50" i="1"/>
  <c r="I75" i="1" s="1"/>
  <c r="J50" i="1"/>
  <c r="J75" i="1" s="1"/>
  <c r="K50" i="1"/>
  <c r="K75" i="1" s="1"/>
  <c r="L50" i="1"/>
  <c r="L75" i="1" s="1"/>
  <c r="M50" i="1"/>
  <c r="M75" i="1" s="1"/>
  <c r="N50" i="1"/>
  <c r="N75" i="1" s="1"/>
  <c r="O50" i="1"/>
  <c r="O75" i="1" s="1"/>
  <c r="P50" i="1"/>
  <c r="P75" i="1" s="1"/>
  <c r="Q50" i="1"/>
  <c r="Q75" i="1" s="1"/>
  <c r="R50" i="1"/>
  <c r="R75" i="1" s="1"/>
  <c r="S50" i="1"/>
  <c r="S75" i="1" s="1"/>
  <c r="T50" i="1"/>
  <c r="T75" i="1" s="1"/>
  <c r="U50" i="1"/>
  <c r="U75" i="1" s="1"/>
  <c r="V50" i="1"/>
  <c r="V75" i="1" s="1"/>
  <c r="W50" i="1"/>
  <c r="W75" i="1" s="1"/>
  <c r="X50" i="1"/>
  <c r="X75" i="1" s="1"/>
  <c r="Y50" i="1"/>
  <c r="Y75" i="1" s="1"/>
  <c r="Z50" i="1"/>
  <c r="Z75" i="1" s="1"/>
  <c r="AA50" i="1"/>
  <c r="AA75" i="1" s="1"/>
  <c r="AB50" i="1"/>
  <c r="AB75" i="1" s="1"/>
  <c r="AC50" i="1"/>
  <c r="AC75" i="1" s="1"/>
  <c r="AD50" i="1"/>
  <c r="AD75" i="1" s="1"/>
  <c r="AE50" i="1"/>
  <c r="AE75" i="1" s="1"/>
  <c r="AF50" i="1"/>
  <c r="AF75" i="1" s="1"/>
  <c r="AG50" i="1"/>
  <c r="AG75" i="1" s="1"/>
  <c r="AH50" i="1"/>
  <c r="AH75" i="1" s="1"/>
  <c r="AI50" i="1"/>
  <c r="AI75" i="1" s="1"/>
  <c r="AJ50" i="1"/>
  <c r="AJ75" i="1" s="1"/>
  <c r="AK50" i="1"/>
  <c r="AK75" i="1" s="1"/>
  <c r="AL50" i="1"/>
  <c r="AL75" i="1" s="1"/>
  <c r="AM50" i="1"/>
  <c r="AM75" i="1" s="1"/>
  <c r="AN50" i="1"/>
  <c r="AN75" i="1" s="1"/>
  <c r="AO50" i="1"/>
  <c r="AO75" i="1" s="1"/>
  <c r="AP50" i="1"/>
  <c r="AP75" i="1" s="1"/>
  <c r="AQ50" i="1"/>
  <c r="AQ75" i="1" s="1"/>
  <c r="AR50" i="1"/>
  <c r="AR75" i="1" s="1"/>
  <c r="AS50" i="1"/>
  <c r="AS75" i="1" s="1"/>
  <c r="AT50" i="1"/>
  <c r="AT75" i="1" s="1"/>
  <c r="AU50" i="1"/>
  <c r="AU75" i="1" s="1"/>
  <c r="AV50" i="1"/>
  <c r="AV75" i="1" s="1"/>
  <c r="AW50" i="1"/>
  <c r="AW75" i="1" s="1"/>
  <c r="AX50" i="1"/>
  <c r="AX75" i="1" s="1"/>
  <c r="AY50" i="1"/>
  <c r="AY75" i="1" s="1"/>
  <c r="AZ50" i="1"/>
  <c r="AZ75" i="1" s="1"/>
  <c r="BA50" i="1"/>
  <c r="BA75" i="1" s="1"/>
  <c r="BB50" i="1"/>
  <c r="BB75" i="1" s="1"/>
  <c r="BC50" i="1"/>
  <c r="BC75" i="1" s="1"/>
  <c r="BD50" i="1"/>
  <c r="BD75" i="1" s="1"/>
  <c r="BE50" i="1"/>
  <c r="BE75" i="1" s="1"/>
  <c r="BF50" i="1"/>
  <c r="BF75" i="1" s="1"/>
  <c r="BG50" i="1"/>
  <c r="BG75" i="1" s="1"/>
  <c r="BH50" i="1"/>
  <c r="BH75" i="1" s="1"/>
  <c r="BI50" i="1"/>
  <c r="BI75" i="1" s="1"/>
  <c r="BJ50" i="1"/>
  <c r="BJ75" i="1" s="1"/>
  <c r="BK50" i="1"/>
  <c r="BK75" i="1" s="1"/>
  <c r="BL50" i="1"/>
  <c r="BL75" i="1" s="1"/>
  <c r="BM50" i="1"/>
  <c r="BM75" i="1" s="1"/>
  <c r="BN50" i="1"/>
  <c r="BN75" i="1" s="1"/>
  <c r="BO50" i="1"/>
  <c r="BO75" i="1" s="1"/>
  <c r="BP50" i="1"/>
  <c r="BP75" i="1" s="1"/>
  <c r="BQ50" i="1"/>
  <c r="BQ75" i="1" s="1"/>
  <c r="BR50" i="1"/>
  <c r="BR75" i="1" s="1"/>
  <c r="BS50" i="1"/>
  <c r="BS75" i="1" s="1"/>
  <c r="BT50" i="1"/>
  <c r="BT75" i="1" s="1"/>
  <c r="BU50" i="1"/>
  <c r="BU75" i="1" s="1"/>
  <c r="BV50" i="1"/>
  <c r="BV75" i="1" s="1"/>
  <c r="BW50" i="1"/>
  <c r="BW75" i="1" s="1"/>
  <c r="BX50" i="1"/>
  <c r="BX75" i="1" s="1"/>
  <c r="BY50" i="1"/>
  <c r="BY75" i="1" s="1"/>
  <c r="BZ50" i="1"/>
  <c r="BZ75" i="1" s="1"/>
  <c r="CA50" i="1"/>
  <c r="CA75" i="1" s="1"/>
  <c r="CB50" i="1"/>
  <c r="CB75" i="1" s="1"/>
  <c r="CC50" i="1"/>
  <c r="CC75" i="1" s="1"/>
  <c r="CD50" i="1"/>
  <c r="CD75" i="1" s="1"/>
  <c r="CE50" i="1"/>
  <c r="CE75" i="1" s="1"/>
  <c r="CF50" i="1"/>
  <c r="CF75" i="1" s="1"/>
  <c r="CG50" i="1"/>
  <c r="CG75" i="1" s="1"/>
  <c r="CH50" i="1"/>
  <c r="CH75" i="1" s="1"/>
  <c r="CI50" i="1"/>
  <c r="CI75" i="1" s="1"/>
  <c r="CJ50" i="1"/>
  <c r="CJ75" i="1" s="1"/>
  <c r="CK50" i="1"/>
  <c r="CK75" i="1" s="1"/>
  <c r="CL50" i="1"/>
  <c r="CL75" i="1" s="1"/>
  <c r="CM50" i="1"/>
  <c r="CM75" i="1" s="1"/>
  <c r="CN50" i="1"/>
  <c r="CN75" i="1" s="1"/>
  <c r="CO50" i="1"/>
  <c r="CO75" i="1" s="1"/>
  <c r="CP50" i="1"/>
  <c r="CP75" i="1" s="1"/>
  <c r="CQ50" i="1"/>
  <c r="CQ75" i="1" s="1"/>
  <c r="CR50" i="1"/>
  <c r="CR75" i="1" s="1"/>
  <c r="CS50" i="1"/>
  <c r="CS75" i="1" s="1"/>
  <c r="CT50" i="1"/>
  <c r="CT75" i="1" s="1"/>
  <c r="CU50" i="1"/>
  <c r="CU75" i="1" s="1"/>
  <c r="CV50" i="1"/>
  <c r="CV75" i="1" s="1"/>
  <c r="CW50" i="1"/>
  <c r="CW75" i="1" s="1"/>
  <c r="CX50" i="1"/>
  <c r="CX75" i="1" s="1"/>
  <c r="CY50" i="1"/>
  <c r="CY75" i="1" s="1"/>
  <c r="CZ50" i="1"/>
  <c r="CZ75" i="1" s="1"/>
  <c r="DA50" i="1"/>
  <c r="DA75" i="1" s="1"/>
  <c r="DB50" i="1"/>
  <c r="DB75" i="1" s="1"/>
  <c r="DC50" i="1"/>
  <c r="DC75" i="1" s="1"/>
  <c r="DD50" i="1"/>
  <c r="DD75" i="1" s="1"/>
  <c r="DE50" i="1"/>
  <c r="DE75" i="1" s="1"/>
  <c r="DF50" i="1"/>
  <c r="DF75" i="1" s="1"/>
  <c r="DG50" i="1"/>
  <c r="DG75" i="1" s="1"/>
  <c r="DH50" i="1"/>
  <c r="DH75" i="1" s="1"/>
  <c r="DI50" i="1"/>
  <c r="DI75" i="1" s="1"/>
  <c r="D51" i="1"/>
  <c r="D76" i="1" s="1"/>
  <c r="E51" i="1"/>
  <c r="E76" i="1" s="1"/>
  <c r="F51" i="1"/>
  <c r="F76" i="1" s="1"/>
  <c r="G51" i="1"/>
  <c r="G76" i="1" s="1"/>
  <c r="H51" i="1"/>
  <c r="H76" i="1" s="1"/>
  <c r="I51" i="1"/>
  <c r="I76" i="1" s="1"/>
  <c r="J51" i="1"/>
  <c r="J76" i="1" s="1"/>
  <c r="K51" i="1"/>
  <c r="K76" i="1" s="1"/>
  <c r="L51" i="1"/>
  <c r="L76" i="1" s="1"/>
  <c r="M51" i="1"/>
  <c r="M76" i="1" s="1"/>
  <c r="N51" i="1"/>
  <c r="N76" i="1" s="1"/>
  <c r="O51" i="1"/>
  <c r="O76" i="1" s="1"/>
  <c r="P51" i="1"/>
  <c r="P76" i="1" s="1"/>
  <c r="Q51" i="1"/>
  <c r="Q76" i="1" s="1"/>
  <c r="R51" i="1"/>
  <c r="R76" i="1" s="1"/>
  <c r="S51" i="1"/>
  <c r="S76" i="1" s="1"/>
  <c r="T51" i="1"/>
  <c r="T76" i="1" s="1"/>
  <c r="U51" i="1"/>
  <c r="U76" i="1" s="1"/>
  <c r="V51" i="1"/>
  <c r="V76" i="1" s="1"/>
  <c r="W51" i="1"/>
  <c r="W76" i="1" s="1"/>
  <c r="X51" i="1"/>
  <c r="X76" i="1" s="1"/>
  <c r="Y51" i="1"/>
  <c r="Y76" i="1" s="1"/>
  <c r="Z51" i="1"/>
  <c r="Z76" i="1" s="1"/>
  <c r="AA51" i="1"/>
  <c r="AA76" i="1" s="1"/>
  <c r="AB51" i="1"/>
  <c r="AB76" i="1" s="1"/>
  <c r="AC51" i="1"/>
  <c r="AC76" i="1" s="1"/>
  <c r="AD51" i="1"/>
  <c r="AD76" i="1" s="1"/>
  <c r="AE51" i="1"/>
  <c r="AE76" i="1" s="1"/>
  <c r="AF51" i="1"/>
  <c r="AF76" i="1" s="1"/>
  <c r="AG51" i="1"/>
  <c r="AG76" i="1" s="1"/>
  <c r="AH51" i="1"/>
  <c r="AH76" i="1" s="1"/>
  <c r="AI51" i="1"/>
  <c r="AI76" i="1" s="1"/>
  <c r="AJ51" i="1"/>
  <c r="AJ76" i="1" s="1"/>
  <c r="AK51" i="1"/>
  <c r="AK76" i="1" s="1"/>
  <c r="AL51" i="1"/>
  <c r="AL76" i="1" s="1"/>
  <c r="AM51" i="1"/>
  <c r="AM76" i="1" s="1"/>
  <c r="AN51" i="1"/>
  <c r="AN76" i="1" s="1"/>
  <c r="AO51" i="1"/>
  <c r="AO76" i="1" s="1"/>
  <c r="AP51" i="1"/>
  <c r="AP76" i="1" s="1"/>
  <c r="AQ51" i="1"/>
  <c r="AQ76" i="1" s="1"/>
  <c r="AR51" i="1"/>
  <c r="AR76" i="1" s="1"/>
  <c r="AS51" i="1"/>
  <c r="AS76" i="1" s="1"/>
  <c r="AT51" i="1"/>
  <c r="AT76" i="1" s="1"/>
  <c r="AU51" i="1"/>
  <c r="AU76" i="1" s="1"/>
  <c r="AV51" i="1"/>
  <c r="AV76" i="1" s="1"/>
  <c r="AW51" i="1"/>
  <c r="AW76" i="1" s="1"/>
  <c r="AX51" i="1"/>
  <c r="AX76" i="1" s="1"/>
  <c r="AY51" i="1"/>
  <c r="AY76" i="1" s="1"/>
  <c r="AZ51" i="1"/>
  <c r="AZ76" i="1" s="1"/>
  <c r="BA51" i="1"/>
  <c r="BA76" i="1" s="1"/>
  <c r="BB51" i="1"/>
  <c r="BB76" i="1" s="1"/>
  <c r="BC51" i="1"/>
  <c r="BC76" i="1" s="1"/>
  <c r="BD51" i="1"/>
  <c r="BD76" i="1" s="1"/>
  <c r="BE51" i="1"/>
  <c r="BE76" i="1" s="1"/>
  <c r="BF51" i="1"/>
  <c r="BF76" i="1" s="1"/>
  <c r="BG51" i="1"/>
  <c r="BG76" i="1" s="1"/>
  <c r="BH51" i="1"/>
  <c r="BH76" i="1" s="1"/>
  <c r="BI51" i="1"/>
  <c r="BI76" i="1" s="1"/>
  <c r="BJ51" i="1"/>
  <c r="BJ76" i="1" s="1"/>
  <c r="BK51" i="1"/>
  <c r="BK76" i="1" s="1"/>
  <c r="BL51" i="1"/>
  <c r="BL76" i="1" s="1"/>
  <c r="BM51" i="1"/>
  <c r="BM76" i="1" s="1"/>
  <c r="BN51" i="1"/>
  <c r="BN76" i="1" s="1"/>
  <c r="BO51" i="1"/>
  <c r="BO76" i="1" s="1"/>
  <c r="BP51" i="1"/>
  <c r="BP76" i="1" s="1"/>
  <c r="BQ51" i="1"/>
  <c r="BQ76" i="1" s="1"/>
  <c r="BR51" i="1"/>
  <c r="BR76" i="1" s="1"/>
  <c r="BS51" i="1"/>
  <c r="BS76" i="1" s="1"/>
  <c r="BT51" i="1"/>
  <c r="BT76" i="1" s="1"/>
  <c r="BU51" i="1"/>
  <c r="BU76" i="1" s="1"/>
  <c r="BV51" i="1"/>
  <c r="BV76" i="1" s="1"/>
  <c r="BW51" i="1"/>
  <c r="BW76" i="1" s="1"/>
  <c r="BX51" i="1"/>
  <c r="BX76" i="1" s="1"/>
  <c r="BY51" i="1"/>
  <c r="BY76" i="1" s="1"/>
  <c r="BZ51" i="1"/>
  <c r="BZ76" i="1" s="1"/>
  <c r="CA51" i="1"/>
  <c r="CA76" i="1" s="1"/>
  <c r="CB51" i="1"/>
  <c r="CB76" i="1" s="1"/>
  <c r="CC51" i="1"/>
  <c r="CC76" i="1" s="1"/>
  <c r="CD51" i="1"/>
  <c r="CD76" i="1" s="1"/>
  <c r="CE51" i="1"/>
  <c r="CE76" i="1" s="1"/>
  <c r="CF51" i="1"/>
  <c r="CF76" i="1" s="1"/>
  <c r="CG51" i="1"/>
  <c r="CG76" i="1" s="1"/>
  <c r="CH51" i="1"/>
  <c r="CH76" i="1" s="1"/>
  <c r="CI51" i="1"/>
  <c r="CI76" i="1" s="1"/>
  <c r="CJ51" i="1"/>
  <c r="CJ76" i="1" s="1"/>
  <c r="CK51" i="1"/>
  <c r="CK76" i="1" s="1"/>
  <c r="CL51" i="1"/>
  <c r="CL76" i="1" s="1"/>
  <c r="CM51" i="1"/>
  <c r="CM76" i="1" s="1"/>
  <c r="CN51" i="1"/>
  <c r="CN76" i="1" s="1"/>
  <c r="CO51" i="1"/>
  <c r="CO76" i="1" s="1"/>
  <c r="CP51" i="1"/>
  <c r="CP76" i="1" s="1"/>
  <c r="CQ51" i="1"/>
  <c r="CQ76" i="1" s="1"/>
  <c r="CR51" i="1"/>
  <c r="CR76" i="1" s="1"/>
  <c r="CS51" i="1"/>
  <c r="CS76" i="1" s="1"/>
  <c r="CT51" i="1"/>
  <c r="CT76" i="1" s="1"/>
  <c r="CU51" i="1"/>
  <c r="CU76" i="1" s="1"/>
  <c r="CV51" i="1"/>
  <c r="CV76" i="1" s="1"/>
  <c r="CW51" i="1"/>
  <c r="CW76" i="1" s="1"/>
  <c r="CX51" i="1"/>
  <c r="CX76" i="1" s="1"/>
  <c r="CY51" i="1"/>
  <c r="CY76" i="1" s="1"/>
  <c r="CZ51" i="1"/>
  <c r="CZ76" i="1" s="1"/>
  <c r="DA51" i="1"/>
  <c r="DA76" i="1" s="1"/>
  <c r="DB51" i="1"/>
  <c r="DB76" i="1" s="1"/>
  <c r="DC51" i="1"/>
  <c r="DC76" i="1" s="1"/>
  <c r="DD51" i="1"/>
  <c r="DD76" i="1" s="1"/>
  <c r="DE51" i="1"/>
  <c r="DE76" i="1" s="1"/>
  <c r="DF51" i="1"/>
  <c r="DF76" i="1" s="1"/>
  <c r="DG51" i="1"/>
  <c r="DG76" i="1" s="1"/>
  <c r="DH51" i="1"/>
  <c r="DH76" i="1" s="1"/>
  <c r="DI51" i="1"/>
  <c r="DI76" i="1" s="1"/>
  <c r="D52" i="1"/>
  <c r="D77" i="1" s="1"/>
  <c r="E52" i="1"/>
  <c r="E77" i="1" s="1"/>
  <c r="F52" i="1"/>
  <c r="F77" i="1" s="1"/>
  <c r="G52" i="1"/>
  <c r="G77" i="1" s="1"/>
  <c r="H52" i="1"/>
  <c r="H77" i="1" s="1"/>
  <c r="I52" i="1"/>
  <c r="I77" i="1" s="1"/>
  <c r="J52" i="1"/>
  <c r="J77" i="1" s="1"/>
  <c r="K52" i="1"/>
  <c r="K77" i="1" s="1"/>
  <c r="L52" i="1"/>
  <c r="L77" i="1" s="1"/>
  <c r="M52" i="1"/>
  <c r="M77" i="1" s="1"/>
  <c r="N52" i="1"/>
  <c r="N77" i="1" s="1"/>
  <c r="O52" i="1"/>
  <c r="O77" i="1" s="1"/>
  <c r="P52" i="1"/>
  <c r="P77" i="1" s="1"/>
  <c r="Q52" i="1"/>
  <c r="Q77" i="1" s="1"/>
  <c r="R52" i="1"/>
  <c r="R77" i="1" s="1"/>
  <c r="S52" i="1"/>
  <c r="S77" i="1" s="1"/>
  <c r="T52" i="1"/>
  <c r="T77" i="1" s="1"/>
  <c r="U52" i="1"/>
  <c r="U77" i="1" s="1"/>
  <c r="V52" i="1"/>
  <c r="V77" i="1" s="1"/>
  <c r="W52" i="1"/>
  <c r="W77" i="1" s="1"/>
  <c r="X52" i="1"/>
  <c r="X77" i="1" s="1"/>
  <c r="Y52" i="1"/>
  <c r="Y77" i="1" s="1"/>
  <c r="Z52" i="1"/>
  <c r="Z77" i="1" s="1"/>
  <c r="AA52" i="1"/>
  <c r="AA77" i="1" s="1"/>
  <c r="AB52" i="1"/>
  <c r="AB77" i="1" s="1"/>
  <c r="AC52" i="1"/>
  <c r="AC77" i="1" s="1"/>
  <c r="AD52" i="1"/>
  <c r="AD77" i="1" s="1"/>
  <c r="AE52" i="1"/>
  <c r="AE77" i="1" s="1"/>
  <c r="AF52" i="1"/>
  <c r="AF77" i="1" s="1"/>
  <c r="AG52" i="1"/>
  <c r="AG77" i="1" s="1"/>
  <c r="AH52" i="1"/>
  <c r="AH77" i="1" s="1"/>
  <c r="AI52" i="1"/>
  <c r="AI77" i="1" s="1"/>
  <c r="AJ52" i="1"/>
  <c r="AJ77" i="1" s="1"/>
  <c r="AK52" i="1"/>
  <c r="AK77" i="1" s="1"/>
  <c r="AL52" i="1"/>
  <c r="AL77" i="1" s="1"/>
  <c r="AM52" i="1"/>
  <c r="AM77" i="1" s="1"/>
  <c r="AN52" i="1"/>
  <c r="AN77" i="1" s="1"/>
  <c r="AO52" i="1"/>
  <c r="AO77" i="1" s="1"/>
  <c r="AP52" i="1"/>
  <c r="AP77" i="1" s="1"/>
  <c r="AQ52" i="1"/>
  <c r="AQ77" i="1" s="1"/>
  <c r="AR52" i="1"/>
  <c r="AR77" i="1" s="1"/>
  <c r="AS52" i="1"/>
  <c r="AS77" i="1" s="1"/>
  <c r="AT52" i="1"/>
  <c r="AT77" i="1" s="1"/>
  <c r="AU52" i="1"/>
  <c r="AU77" i="1" s="1"/>
  <c r="AV52" i="1"/>
  <c r="AV77" i="1" s="1"/>
  <c r="AW52" i="1"/>
  <c r="AW77" i="1" s="1"/>
  <c r="AX52" i="1"/>
  <c r="AX77" i="1" s="1"/>
  <c r="AY52" i="1"/>
  <c r="AY77" i="1" s="1"/>
  <c r="AZ52" i="1"/>
  <c r="AZ77" i="1" s="1"/>
  <c r="BA52" i="1"/>
  <c r="BA77" i="1" s="1"/>
  <c r="BB52" i="1"/>
  <c r="BB77" i="1" s="1"/>
  <c r="BC52" i="1"/>
  <c r="BC77" i="1" s="1"/>
  <c r="BD52" i="1"/>
  <c r="BD77" i="1" s="1"/>
  <c r="BE52" i="1"/>
  <c r="BE77" i="1" s="1"/>
  <c r="BF52" i="1"/>
  <c r="BF77" i="1" s="1"/>
  <c r="BG52" i="1"/>
  <c r="BG77" i="1" s="1"/>
  <c r="BH52" i="1"/>
  <c r="BH77" i="1" s="1"/>
  <c r="BI52" i="1"/>
  <c r="BI77" i="1" s="1"/>
  <c r="BJ52" i="1"/>
  <c r="BJ77" i="1" s="1"/>
  <c r="BK52" i="1"/>
  <c r="BK77" i="1" s="1"/>
  <c r="BL52" i="1"/>
  <c r="BL77" i="1" s="1"/>
  <c r="BM52" i="1"/>
  <c r="BM77" i="1" s="1"/>
  <c r="BN52" i="1"/>
  <c r="BN77" i="1" s="1"/>
  <c r="BO52" i="1"/>
  <c r="BO77" i="1" s="1"/>
  <c r="BP52" i="1"/>
  <c r="BP77" i="1" s="1"/>
  <c r="BQ52" i="1"/>
  <c r="BQ77" i="1" s="1"/>
  <c r="BR52" i="1"/>
  <c r="BR77" i="1" s="1"/>
  <c r="BS52" i="1"/>
  <c r="BS77" i="1" s="1"/>
  <c r="BT52" i="1"/>
  <c r="BT77" i="1" s="1"/>
  <c r="BU52" i="1"/>
  <c r="BU77" i="1" s="1"/>
  <c r="BV52" i="1"/>
  <c r="BV77" i="1" s="1"/>
  <c r="BW52" i="1"/>
  <c r="BW77" i="1" s="1"/>
  <c r="BX52" i="1"/>
  <c r="BX77" i="1" s="1"/>
  <c r="BY52" i="1"/>
  <c r="BY77" i="1" s="1"/>
  <c r="BZ52" i="1"/>
  <c r="BZ77" i="1" s="1"/>
  <c r="CA52" i="1"/>
  <c r="CA77" i="1" s="1"/>
  <c r="CB52" i="1"/>
  <c r="CB77" i="1" s="1"/>
  <c r="CC52" i="1"/>
  <c r="CC77" i="1" s="1"/>
  <c r="CD52" i="1"/>
  <c r="CD77" i="1" s="1"/>
  <c r="CE52" i="1"/>
  <c r="CE77" i="1" s="1"/>
  <c r="CF52" i="1"/>
  <c r="CF77" i="1" s="1"/>
  <c r="CG52" i="1"/>
  <c r="CG77" i="1" s="1"/>
  <c r="CH52" i="1"/>
  <c r="CH77" i="1" s="1"/>
  <c r="CI52" i="1"/>
  <c r="CI77" i="1" s="1"/>
  <c r="CJ52" i="1"/>
  <c r="CJ77" i="1" s="1"/>
  <c r="CK52" i="1"/>
  <c r="CK77" i="1" s="1"/>
  <c r="CL52" i="1"/>
  <c r="CL77" i="1" s="1"/>
  <c r="CM52" i="1"/>
  <c r="CM77" i="1" s="1"/>
  <c r="CN52" i="1"/>
  <c r="CN77" i="1" s="1"/>
  <c r="CO52" i="1"/>
  <c r="CO77" i="1" s="1"/>
  <c r="CP52" i="1"/>
  <c r="CP77" i="1" s="1"/>
  <c r="CQ52" i="1"/>
  <c r="CQ77" i="1" s="1"/>
  <c r="CR52" i="1"/>
  <c r="CR77" i="1" s="1"/>
  <c r="CS52" i="1"/>
  <c r="CS77" i="1" s="1"/>
  <c r="CT52" i="1"/>
  <c r="CT77" i="1" s="1"/>
  <c r="CU52" i="1"/>
  <c r="CU77" i="1" s="1"/>
  <c r="CV52" i="1"/>
  <c r="CV77" i="1" s="1"/>
  <c r="CW52" i="1"/>
  <c r="CW77" i="1" s="1"/>
  <c r="CX52" i="1"/>
  <c r="CX77" i="1" s="1"/>
  <c r="CY52" i="1"/>
  <c r="CY77" i="1" s="1"/>
  <c r="CZ52" i="1"/>
  <c r="CZ77" i="1" s="1"/>
  <c r="DA52" i="1"/>
  <c r="DA77" i="1" s="1"/>
  <c r="DB52" i="1"/>
  <c r="DB77" i="1" s="1"/>
  <c r="DC52" i="1"/>
  <c r="DC77" i="1" s="1"/>
  <c r="DD52" i="1"/>
  <c r="DD77" i="1" s="1"/>
  <c r="DE52" i="1"/>
  <c r="DE77" i="1" s="1"/>
  <c r="DF52" i="1"/>
  <c r="DF77" i="1" s="1"/>
  <c r="DG52" i="1"/>
  <c r="DG77" i="1" s="1"/>
  <c r="DH52" i="1"/>
  <c r="DH77" i="1" s="1"/>
  <c r="DI52" i="1"/>
  <c r="DI77" i="1" s="1"/>
  <c r="D53" i="1"/>
  <c r="E53" i="1"/>
  <c r="F53" i="1"/>
  <c r="G53" i="1"/>
  <c r="H53" i="1"/>
  <c r="I53" i="1"/>
  <c r="J53" i="1"/>
  <c r="K53" i="1"/>
  <c r="L53" i="1"/>
  <c r="M53" i="1"/>
  <c r="N53" i="1"/>
  <c r="O53" i="1"/>
  <c r="P53" i="1"/>
  <c r="Q53" i="1"/>
  <c r="R53" i="1"/>
  <c r="S53" i="1"/>
  <c r="T53" i="1"/>
  <c r="U53" i="1"/>
  <c r="V53" i="1"/>
  <c r="W53" i="1"/>
  <c r="X53" i="1"/>
  <c r="Y53" i="1"/>
  <c r="Z53" i="1"/>
  <c r="AA53" i="1"/>
  <c r="AB53" i="1"/>
  <c r="AC53" i="1"/>
  <c r="AD53" i="1"/>
  <c r="AE53" i="1"/>
  <c r="AF53" i="1"/>
  <c r="AG53" i="1"/>
  <c r="AH53" i="1"/>
  <c r="AI53" i="1"/>
  <c r="AJ53" i="1"/>
  <c r="AK53" i="1"/>
  <c r="AL53" i="1"/>
  <c r="AM53" i="1"/>
  <c r="AN53" i="1"/>
  <c r="AO53" i="1"/>
  <c r="AP53" i="1"/>
  <c r="AQ53" i="1"/>
  <c r="AR53" i="1"/>
  <c r="AS53" i="1"/>
  <c r="AT53" i="1"/>
  <c r="AU53" i="1"/>
  <c r="AV53" i="1"/>
  <c r="AW53" i="1"/>
  <c r="AX53" i="1"/>
  <c r="AY53" i="1"/>
  <c r="AZ53" i="1"/>
  <c r="BA53" i="1"/>
  <c r="BB53" i="1"/>
  <c r="BC53" i="1"/>
  <c r="BD53" i="1"/>
  <c r="BE53" i="1"/>
  <c r="BF53" i="1"/>
  <c r="BG53" i="1"/>
  <c r="BH53" i="1"/>
  <c r="BI53" i="1"/>
  <c r="BJ53" i="1"/>
  <c r="BK53" i="1"/>
  <c r="BL53" i="1"/>
  <c r="BM53" i="1"/>
  <c r="BN53" i="1"/>
  <c r="BO53" i="1"/>
  <c r="BP53" i="1"/>
  <c r="BQ53" i="1"/>
  <c r="BR53" i="1"/>
  <c r="BS53" i="1"/>
  <c r="BT53" i="1"/>
  <c r="BU53" i="1"/>
  <c r="BV53" i="1"/>
  <c r="BW53" i="1"/>
  <c r="BX53" i="1"/>
  <c r="BY53" i="1"/>
  <c r="BZ53" i="1"/>
  <c r="CA53" i="1"/>
  <c r="CB53" i="1"/>
  <c r="CC53" i="1"/>
  <c r="CD53" i="1"/>
  <c r="CE53" i="1"/>
  <c r="CF53" i="1"/>
  <c r="CG53" i="1"/>
  <c r="CH53" i="1"/>
  <c r="CI53" i="1"/>
  <c r="CJ53" i="1"/>
  <c r="CK53" i="1"/>
  <c r="CL53" i="1"/>
  <c r="CM53" i="1"/>
  <c r="CN53" i="1"/>
  <c r="CO53" i="1"/>
  <c r="CP53" i="1"/>
  <c r="CQ53" i="1"/>
  <c r="CR53" i="1"/>
  <c r="CS53" i="1"/>
  <c r="CT53" i="1"/>
  <c r="CU53" i="1"/>
  <c r="CV53" i="1"/>
  <c r="CW53" i="1"/>
  <c r="CX53" i="1"/>
  <c r="CY53" i="1"/>
  <c r="CZ53" i="1"/>
  <c r="DA53" i="1"/>
  <c r="DB53" i="1"/>
  <c r="DC53" i="1"/>
  <c r="DD53" i="1"/>
  <c r="DE53" i="1"/>
  <c r="DF53" i="1"/>
  <c r="DG53" i="1"/>
  <c r="DH53" i="1"/>
  <c r="DI53" i="1"/>
  <c r="D54" i="1"/>
  <c r="D79" i="1" s="1"/>
  <c r="E54" i="1"/>
  <c r="E79" i="1" s="1"/>
  <c r="F54" i="1"/>
  <c r="F79" i="1" s="1"/>
  <c r="G54" i="1"/>
  <c r="G79" i="1" s="1"/>
  <c r="H54" i="1"/>
  <c r="H79" i="1" s="1"/>
  <c r="I54" i="1"/>
  <c r="I79" i="1" s="1"/>
  <c r="J54" i="1"/>
  <c r="J79" i="1" s="1"/>
  <c r="K54" i="1"/>
  <c r="K79" i="1" s="1"/>
  <c r="L54" i="1"/>
  <c r="L79" i="1" s="1"/>
  <c r="M54" i="1"/>
  <c r="M79" i="1" s="1"/>
  <c r="N54" i="1"/>
  <c r="N79" i="1" s="1"/>
  <c r="O54" i="1"/>
  <c r="O79" i="1" s="1"/>
  <c r="P54" i="1"/>
  <c r="P79" i="1" s="1"/>
  <c r="Q54" i="1"/>
  <c r="Q79" i="1" s="1"/>
  <c r="R54" i="1"/>
  <c r="R79" i="1" s="1"/>
  <c r="S54" i="1"/>
  <c r="S79" i="1" s="1"/>
  <c r="T54" i="1"/>
  <c r="T79" i="1" s="1"/>
  <c r="U54" i="1"/>
  <c r="U79" i="1" s="1"/>
  <c r="V54" i="1"/>
  <c r="V79" i="1" s="1"/>
  <c r="W54" i="1"/>
  <c r="W79" i="1" s="1"/>
  <c r="X54" i="1"/>
  <c r="X79" i="1" s="1"/>
  <c r="Y54" i="1"/>
  <c r="Y79" i="1" s="1"/>
  <c r="Z54" i="1"/>
  <c r="Z79" i="1" s="1"/>
  <c r="AA54" i="1"/>
  <c r="AA79" i="1" s="1"/>
  <c r="AB54" i="1"/>
  <c r="AB79" i="1" s="1"/>
  <c r="AC54" i="1"/>
  <c r="AC79" i="1" s="1"/>
  <c r="AD54" i="1"/>
  <c r="AD79" i="1" s="1"/>
  <c r="AE54" i="1"/>
  <c r="AE79" i="1" s="1"/>
  <c r="AF54" i="1"/>
  <c r="AF79" i="1" s="1"/>
  <c r="AG54" i="1"/>
  <c r="AG79" i="1" s="1"/>
  <c r="AH54" i="1"/>
  <c r="AH79" i="1" s="1"/>
  <c r="AI54" i="1"/>
  <c r="AI79" i="1" s="1"/>
  <c r="AJ54" i="1"/>
  <c r="AJ79" i="1" s="1"/>
  <c r="AK54" i="1"/>
  <c r="AK79" i="1" s="1"/>
  <c r="AL54" i="1"/>
  <c r="AL79" i="1" s="1"/>
  <c r="AM54" i="1"/>
  <c r="AM79" i="1" s="1"/>
  <c r="AN54" i="1"/>
  <c r="AN79" i="1" s="1"/>
  <c r="AO54" i="1"/>
  <c r="AO79" i="1" s="1"/>
  <c r="AP54" i="1"/>
  <c r="AP79" i="1" s="1"/>
  <c r="AQ54" i="1"/>
  <c r="AQ79" i="1" s="1"/>
  <c r="AR54" i="1"/>
  <c r="AR79" i="1" s="1"/>
  <c r="AS54" i="1"/>
  <c r="AS79" i="1" s="1"/>
  <c r="AT54" i="1"/>
  <c r="AT79" i="1" s="1"/>
  <c r="AU54" i="1"/>
  <c r="AU79" i="1" s="1"/>
  <c r="AV54" i="1"/>
  <c r="AV79" i="1" s="1"/>
  <c r="AW54" i="1"/>
  <c r="AW79" i="1" s="1"/>
  <c r="AX54" i="1"/>
  <c r="AX79" i="1" s="1"/>
  <c r="AY54" i="1"/>
  <c r="AY79" i="1" s="1"/>
  <c r="AZ54" i="1"/>
  <c r="AZ79" i="1" s="1"/>
  <c r="BA54" i="1"/>
  <c r="BA79" i="1" s="1"/>
  <c r="BB54" i="1"/>
  <c r="BB79" i="1" s="1"/>
  <c r="BC54" i="1"/>
  <c r="BC79" i="1" s="1"/>
  <c r="BD54" i="1"/>
  <c r="BD79" i="1" s="1"/>
  <c r="BE54" i="1"/>
  <c r="BE79" i="1" s="1"/>
  <c r="BF54" i="1"/>
  <c r="BF79" i="1" s="1"/>
  <c r="BG54" i="1"/>
  <c r="BG79" i="1" s="1"/>
  <c r="BH54" i="1"/>
  <c r="BH79" i="1" s="1"/>
  <c r="BI54" i="1"/>
  <c r="BI79" i="1" s="1"/>
  <c r="BJ54" i="1"/>
  <c r="BJ79" i="1" s="1"/>
  <c r="BK54" i="1"/>
  <c r="BK79" i="1" s="1"/>
  <c r="BL54" i="1"/>
  <c r="BL79" i="1" s="1"/>
  <c r="BM54" i="1"/>
  <c r="BM79" i="1" s="1"/>
  <c r="BN54" i="1"/>
  <c r="BN79" i="1" s="1"/>
  <c r="BO54" i="1"/>
  <c r="BO79" i="1" s="1"/>
  <c r="BP54" i="1"/>
  <c r="BP79" i="1" s="1"/>
  <c r="BQ54" i="1"/>
  <c r="BQ79" i="1" s="1"/>
  <c r="BR54" i="1"/>
  <c r="BR79" i="1" s="1"/>
  <c r="BS54" i="1"/>
  <c r="BS79" i="1" s="1"/>
  <c r="BT54" i="1"/>
  <c r="BT79" i="1" s="1"/>
  <c r="BU54" i="1"/>
  <c r="BU79" i="1" s="1"/>
  <c r="BV54" i="1"/>
  <c r="BV79" i="1" s="1"/>
  <c r="BW54" i="1"/>
  <c r="BW79" i="1" s="1"/>
  <c r="BX54" i="1"/>
  <c r="BX79" i="1" s="1"/>
  <c r="BY54" i="1"/>
  <c r="BY79" i="1" s="1"/>
  <c r="BZ54" i="1"/>
  <c r="BZ79" i="1" s="1"/>
  <c r="CA54" i="1"/>
  <c r="CA79" i="1" s="1"/>
  <c r="CB54" i="1"/>
  <c r="CB79" i="1" s="1"/>
  <c r="CC54" i="1"/>
  <c r="CC79" i="1" s="1"/>
  <c r="CD54" i="1"/>
  <c r="CD79" i="1" s="1"/>
  <c r="CE54" i="1"/>
  <c r="CE79" i="1" s="1"/>
  <c r="CF54" i="1"/>
  <c r="CF79" i="1" s="1"/>
  <c r="CG54" i="1"/>
  <c r="CG79" i="1" s="1"/>
  <c r="CH54" i="1"/>
  <c r="CH79" i="1" s="1"/>
  <c r="CI54" i="1"/>
  <c r="CI79" i="1" s="1"/>
  <c r="CJ54" i="1"/>
  <c r="CJ79" i="1" s="1"/>
  <c r="CK54" i="1"/>
  <c r="CK79" i="1" s="1"/>
  <c r="CL54" i="1"/>
  <c r="CL79" i="1" s="1"/>
  <c r="CM54" i="1"/>
  <c r="CM79" i="1" s="1"/>
  <c r="CN54" i="1"/>
  <c r="CN79" i="1" s="1"/>
  <c r="CO54" i="1"/>
  <c r="CO79" i="1" s="1"/>
  <c r="CP54" i="1"/>
  <c r="CP79" i="1" s="1"/>
  <c r="CQ54" i="1"/>
  <c r="CQ79" i="1" s="1"/>
  <c r="CR54" i="1"/>
  <c r="CR79" i="1" s="1"/>
  <c r="CS54" i="1"/>
  <c r="CS79" i="1" s="1"/>
  <c r="CT54" i="1"/>
  <c r="CT79" i="1" s="1"/>
  <c r="CU54" i="1"/>
  <c r="CU79" i="1" s="1"/>
  <c r="CV54" i="1"/>
  <c r="CV79" i="1" s="1"/>
  <c r="CW54" i="1"/>
  <c r="CW79" i="1" s="1"/>
  <c r="CX54" i="1"/>
  <c r="CX79" i="1" s="1"/>
  <c r="CY54" i="1"/>
  <c r="CY79" i="1" s="1"/>
  <c r="CZ54" i="1"/>
  <c r="CZ79" i="1" s="1"/>
  <c r="DA54" i="1"/>
  <c r="DA79" i="1" s="1"/>
  <c r="DB54" i="1"/>
  <c r="DB79" i="1" s="1"/>
  <c r="DC54" i="1"/>
  <c r="DC79" i="1" s="1"/>
  <c r="DD54" i="1"/>
  <c r="DD79" i="1" s="1"/>
  <c r="DE54" i="1"/>
  <c r="DE79" i="1" s="1"/>
  <c r="DF54" i="1"/>
  <c r="DF79" i="1" s="1"/>
  <c r="DG54" i="1"/>
  <c r="DG79" i="1" s="1"/>
  <c r="DH54" i="1"/>
  <c r="DH79" i="1" s="1"/>
  <c r="DI54" i="1"/>
  <c r="DI79" i="1" s="1"/>
  <c r="D55" i="1"/>
  <c r="D80" i="1" s="1"/>
  <c r="E55" i="1"/>
  <c r="E80" i="1" s="1"/>
  <c r="F55" i="1"/>
  <c r="F80" i="1" s="1"/>
  <c r="G55" i="1"/>
  <c r="G80" i="1" s="1"/>
  <c r="H55" i="1"/>
  <c r="H80" i="1" s="1"/>
  <c r="I55" i="1"/>
  <c r="I80" i="1" s="1"/>
  <c r="J55" i="1"/>
  <c r="J80" i="1" s="1"/>
  <c r="K55" i="1"/>
  <c r="K80" i="1" s="1"/>
  <c r="L55" i="1"/>
  <c r="L80" i="1" s="1"/>
  <c r="M55" i="1"/>
  <c r="M80" i="1" s="1"/>
  <c r="N55" i="1"/>
  <c r="N80" i="1" s="1"/>
  <c r="O55" i="1"/>
  <c r="O80" i="1" s="1"/>
  <c r="P55" i="1"/>
  <c r="P80" i="1" s="1"/>
  <c r="Q55" i="1"/>
  <c r="Q80" i="1" s="1"/>
  <c r="R55" i="1"/>
  <c r="R80" i="1" s="1"/>
  <c r="S55" i="1"/>
  <c r="S80" i="1" s="1"/>
  <c r="T55" i="1"/>
  <c r="T80" i="1" s="1"/>
  <c r="U55" i="1"/>
  <c r="U80" i="1" s="1"/>
  <c r="V55" i="1"/>
  <c r="V80" i="1" s="1"/>
  <c r="W55" i="1"/>
  <c r="W80" i="1" s="1"/>
  <c r="X55" i="1"/>
  <c r="X80" i="1" s="1"/>
  <c r="Y55" i="1"/>
  <c r="Y80" i="1" s="1"/>
  <c r="Z55" i="1"/>
  <c r="Z80" i="1" s="1"/>
  <c r="AA55" i="1"/>
  <c r="AA80" i="1" s="1"/>
  <c r="AB55" i="1"/>
  <c r="AB80" i="1" s="1"/>
  <c r="AC55" i="1"/>
  <c r="AC80" i="1" s="1"/>
  <c r="AD55" i="1"/>
  <c r="AD80" i="1" s="1"/>
  <c r="AE55" i="1"/>
  <c r="AE80" i="1" s="1"/>
  <c r="AF55" i="1"/>
  <c r="AF80" i="1" s="1"/>
  <c r="AG55" i="1"/>
  <c r="AG80" i="1" s="1"/>
  <c r="AH55" i="1"/>
  <c r="AH80" i="1" s="1"/>
  <c r="AI55" i="1"/>
  <c r="AI80" i="1" s="1"/>
  <c r="AJ55" i="1"/>
  <c r="AJ80" i="1" s="1"/>
  <c r="AK55" i="1"/>
  <c r="AK80" i="1" s="1"/>
  <c r="AL55" i="1"/>
  <c r="AL80" i="1" s="1"/>
  <c r="AM55" i="1"/>
  <c r="AM80" i="1" s="1"/>
  <c r="AN55" i="1"/>
  <c r="AN80" i="1" s="1"/>
  <c r="AO55" i="1"/>
  <c r="AO80" i="1" s="1"/>
  <c r="AP55" i="1"/>
  <c r="AP80" i="1" s="1"/>
  <c r="AQ55" i="1"/>
  <c r="AQ80" i="1" s="1"/>
  <c r="AR55" i="1"/>
  <c r="AR80" i="1" s="1"/>
  <c r="AS55" i="1"/>
  <c r="AS80" i="1" s="1"/>
  <c r="AT55" i="1"/>
  <c r="AT80" i="1" s="1"/>
  <c r="AU55" i="1"/>
  <c r="AU80" i="1" s="1"/>
  <c r="AV55" i="1"/>
  <c r="AV80" i="1" s="1"/>
  <c r="AW55" i="1"/>
  <c r="AW80" i="1" s="1"/>
  <c r="AX55" i="1"/>
  <c r="AX80" i="1" s="1"/>
  <c r="AY55" i="1"/>
  <c r="AY80" i="1" s="1"/>
  <c r="AZ55" i="1"/>
  <c r="AZ80" i="1" s="1"/>
  <c r="BA55" i="1"/>
  <c r="BA80" i="1" s="1"/>
  <c r="BB55" i="1"/>
  <c r="BB80" i="1" s="1"/>
  <c r="BC55" i="1"/>
  <c r="BC80" i="1" s="1"/>
  <c r="BD55" i="1"/>
  <c r="BD80" i="1" s="1"/>
  <c r="BE55" i="1"/>
  <c r="BE80" i="1" s="1"/>
  <c r="BF55" i="1"/>
  <c r="BF80" i="1" s="1"/>
  <c r="BG55" i="1"/>
  <c r="BG80" i="1" s="1"/>
  <c r="BH55" i="1"/>
  <c r="BH80" i="1" s="1"/>
  <c r="BI55" i="1"/>
  <c r="BI80" i="1" s="1"/>
  <c r="BJ55" i="1"/>
  <c r="BJ80" i="1" s="1"/>
  <c r="BK55" i="1"/>
  <c r="BK80" i="1" s="1"/>
  <c r="BL55" i="1"/>
  <c r="BL80" i="1" s="1"/>
  <c r="BM55" i="1"/>
  <c r="BM80" i="1" s="1"/>
  <c r="BN55" i="1"/>
  <c r="BN80" i="1" s="1"/>
  <c r="BO55" i="1"/>
  <c r="BO80" i="1" s="1"/>
  <c r="BP55" i="1"/>
  <c r="BP80" i="1" s="1"/>
  <c r="BQ55" i="1"/>
  <c r="BQ80" i="1" s="1"/>
  <c r="BR55" i="1"/>
  <c r="BR80" i="1" s="1"/>
  <c r="BS55" i="1"/>
  <c r="BS80" i="1" s="1"/>
  <c r="BT55" i="1"/>
  <c r="BT80" i="1" s="1"/>
  <c r="BU55" i="1"/>
  <c r="BU80" i="1" s="1"/>
  <c r="BV55" i="1"/>
  <c r="BV80" i="1" s="1"/>
  <c r="BW55" i="1"/>
  <c r="BW80" i="1" s="1"/>
  <c r="BX55" i="1"/>
  <c r="BX80" i="1" s="1"/>
  <c r="BY55" i="1"/>
  <c r="BY80" i="1" s="1"/>
  <c r="BZ55" i="1"/>
  <c r="BZ80" i="1" s="1"/>
  <c r="CA55" i="1"/>
  <c r="CA80" i="1" s="1"/>
  <c r="CB55" i="1"/>
  <c r="CB80" i="1" s="1"/>
  <c r="CC55" i="1"/>
  <c r="CC80" i="1" s="1"/>
  <c r="CD55" i="1"/>
  <c r="CD80" i="1" s="1"/>
  <c r="CE55" i="1"/>
  <c r="CE80" i="1" s="1"/>
  <c r="CF55" i="1"/>
  <c r="CF80" i="1" s="1"/>
  <c r="CG55" i="1"/>
  <c r="CG80" i="1" s="1"/>
  <c r="CH55" i="1"/>
  <c r="CH80" i="1" s="1"/>
  <c r="CI55" i="1"/>
  <c r="CI80" i="1" s="1"/>
  <c r="CJ55" i="1"/>
  <c r="CJ80" i="1" s="1"/>
  <c r="CK55" i="1"/>
  <c r="CK80" i="1" s="1"/>
  <c r="CL55" i="1"/>
  <c r="CL80" i="1" s="1"/>
  <c r="CM55" i="1"/>
  <c r="CM80" i="1" s="1"/>
  <c r="CN55" i="1"/>
  <c r="CN80" i="1" s="1"/>
  <c r="CO55" i="1"/>
  <c r="CO80" i="1" s="1"/>
  <c r="CP55" i="1"/>
  <c r="CP80" i="1" s="1"/>
  <c r="CQ55" i="1"/>
  <c r="CQ80" i="1" s="1"/>
  <c r="CR55" i="1"/>
  <c r="CR80" i="1" s="1"/>
  <c r="CS55" i="1"/>
  <c r="CS80" i="1" s="1"/>
  <c r="CT55" i="1"/>
  <c r="CT80" i="1" s="1"/>
  <c r="CU55" i="1"/>
  <c r="CU80" i="1" s="1"/>
  <c r="CV55" i="1"/>
  <c r="CV80" i="1" s="1"/>
  <c r="CW55" i="1"/>
  <c r="CW80" i="1" s="1"/>
  <c r="CX55" i="1"/>
  <c r="CX80" i="1" s="1"/>
  <c r="CY55" i="1"/>
  <c r="CY80" i="1" s="1"/>
  <c r="CZ55" i="1"/>
  <c r="CZ80" i="1" s="1"/>
  <c r="DA55" i="1"/>
  <c r="DA80" i="1" s="1"/>
  <c r="DB55" i="1"/>
  <c r="DB80" i="1" s="1"/>
  <c r="DC55" i="1"/>
  <c r="DC80" i="1" s="1"/>
  <c r="DD55" i="1"/>
  <c r="DD80" i="1" s="1"/>
  <c r="DE55" i="1"/>
  <c r="DE80" i="1" s="1"/>
  <c r="DF55" i="1"/>
  <c r="DF80" i="1" s="1"/>
  <c r="DG55" i="1"/>
  <c r="DG80" i="1" s="1"/>
  <c r="DH55" i="1"/>
  <c r="DH80" i="1" s="1"/>
  <c r="DI55" i="1"/>
  <c r="DI80" i="1" s="1"/>
  <c r="D56" i="1"/>
  <c r="D81" i="1" s="1"/>
  <c r="E56" i="1"/>
  <c r="E81" i="1" s="1"/>
  <c r="F56" i="1"/>
  <c r="F81" i="1" s="1"/>
  <c r="G56" i="1"/>
  <c r="G81" i="1" s="1"/>
  <c r="H56" i="1"/>
  <c r="H81" i="1" s="1"/>
  <c r="I56" i="1"/>
  <c r="I81" i="1" s="1"/>
  <c r="J56" i="1"/>
  <c r="J81" i="1" s="1"/>
  <c r="K56" i="1"/>
  <c r="K81" i="1" s="1"/>
  <c r="L56" i="1"/>
  <c r="L81" i="1" s="1"/>
  <c r="M56" i="1"/>
  <c r="M81" i="1" s="1"/>
  <c r="N56" i="1"/>
  <c r="N81" i="1" s="1"/>
  <c r="O56" i="1"/>
  <c r="O81" i="1" s="1"/>
  <c r="P56" i="1"/>
  <c r="P81" i="1" s="1"/>
  <c r="Q56" i="1"/>
  <c r="Q81" i="1" s="1"/>
  <c r="R56" i="1"/>
  <c r="R81" i="1" s="1"/>
  <c r="S56" i="1"/>
  <c r="S81" i="1" s="1"/>
  <c r="T56" i="1"/>
  <c r="T81" i="1" s="1"/>
  <c r="U56" i="1"/>
  <c r="U81" i="1" s="1"/>
  <c r="V56" i="1"/>
  <c r="V81" i="1" s="1"/>
  <c r="W56" i="1"/>
  <c r="W81" i="1" s="1"/>
  <c r="X56" i="1"/>
  <c r="X81" i="1" s="1"/>
  <c r="Y56" i="1"/>
  <c r="Y81" i="1" s="1"/>
  <c r="Z56" i="1"/>
  <c r="Z81" i="1" s="1"/>
  <c r="AA56" i="1"/>
  <c r="AA81" i="1" s="1"/>
  <c r="AB56" i="1"/>
  <c r="AB81" i="1" s="1"/>
  <c r="AC56" i="1"/>
  <c r="AC81" i="1" s="1"/>
  <c r="AD56" i="1"/>
  <c r="AD81" i="1" s="1"/>
  <c r="AE56" i="1"/>
  <c r="AE81" i="1" s="1"/>
  <c r="AF56" i="1"/>
  <c r="AF81" i="1" s="1"/>
  <c r="AG56" i="1"/>
  <c r="AG81" i="1" s="1"/>
  <c r="AH56" i="1"/>
  <c r="AH81" i="1" s="1"/>
  <c r="AI56" i="1"/>
  <c r="AI81" i="1" s="1"/>
  <c r="AJ56" i="1"/>
  <c r="AJ81" i="1" s="1"/>
  <c r="AK56" i="1"/>
  <c r="AK81" i="1" s="1"/>
  <c r="AL56" i="1"/>
  <c r="AL81" i="1" s="1"/>
  <c r="AM56" i="1"/>
  <c r="AM81" i="1" s="1"/>
  <c r="AN56" i="1"/>
  <c r="AN81" i="1" s="1"/>
  <c r="AO56" i="1"/>
  <c r="AO81" i="1" s="1"/>
  <c r="AP56" i="1"/>
  <c r="AP81" i="1" s="1"/>
  <c r="AQ56" i="1"/>
  <c r="AQ81" i="1" s="1"/>
  <c r="AR56" i="1"/>
  <c r="AR81" i="1" s="1"/>
  <c r="AS56" i="1"/>
  <c r="AS81" i="1" s="1"/>
  <c r="AT56" i="1"/>
  <c r="AT81" i="1" s="1"/>
  <c r="AU56" i="1"/>
  <c r="AU81" i="1" s="1"/>
  <c r="AV56" i="1"/>
  <c r="AV81" i="1" s="1"/>
  <c r="AW56" i="1"/>
  <c r="AW81" i="1" s="1"/>
  <c r="AX56" i="1"/>
  <c r="AX81" i="1" s="1"/>
  <c r="AY56" i="1"/>
  <c r="AY81" i="1" s="1"/>
  <c r="AZ56" i="1"/>
  <c r="AZ81" i="1" s="1"/>
  <c r="BA56" i="1"/>
  <c r="BA81" i="1" s="1"/>
  <c r="BB56" i="1"/>
  <c r="BB81" i="1" s="1"/>
  <c r="BC56" i="1"/>
  <c r="BC81" i="1" s="1"/>
  <c r="BD56" i="1"/>
  <c r="BD81" i="1" s="1"/>
  <c r="BE56" i="1"/>
  <c r="BE81" i="1" s="1"/>
  <c r="BF56" i="1"/>
  <c r="BF81" i="1" s="1"/>
  <c r="BG56" i="1"/>
  <c r="BG81" i="1" s="1"/>
  <c r="BH56" i="1"/>
  <c r="BH81" i="1" s="1"/>
  <c r="BI56" i="1"/>
  <c r="BI81" i="1" s="1"/>
  <c r="BJ56" i="1"/>
  <c r="BJ81" i="1" s="1"/>
  <c r="BK56" i="1"/>
  <c r="BK81" i="1" s="1"/>
  <c r="BL56" i="1"/>
  <c r="BL81" i="1" s="1"/>
  <c r="BM56" i="1"/>
  <c r="BM81" i="1" s="1"/>
  <c r="BN56" i="1"/>
  <c r="BN81" i="1" s="1"/>
  <c r="BO56" i="1"/>
  <c r="BO81" i="1" s="1"/>
  <c r="BP56" i="1"/>
  <c r="BP81" i="1" s="1"/>
  <c r="BQ56" i="1"/>
  <c r="BQ81" i="1" s="1"/>
  <c r="BR56" i="1"/>
  <c r="BR81" i="1" s="1"/>
  <c r="BS56" i="1"/>
  <c r="BS81" i="1" s="1"/>
  <c r="BT56" i="1"/>
  <c r="BT81" i="1" s="1"/>
  <c r="BU56" i="1"/>
  <c r="BU81" i="1" s="1"/>
  <c r="BV56" i="1"/>
  <c r="BV81" i="1" s="1"/>
  <c r="BW56" i="1"/>
  <c r="BW81" i="1" s="1"/>
  <c r="BX56" i="1"/>
  <c r="BX81" i="1" s="1"/>
  <c r="BY56" i="1"/>
  <c r="BY81" i="1" s="1"/>
  <c r="BZ56" i="1"/>
  <c r="BZ81" i="1" s="1"/>
  <c r="CA56" i="1"/>
  <c r="CA81" i="1" s="1"/>
  <c r="CB56" i="1"/>
  <c r="CB81" i="1" s="1"/>
  <c r="CC56" i="1"/>
  <c r="CC81" i="1" s="1"/>
  <c r="CD56" i="1"/>
  <c r="CD81" i="1" s="1"/>
  <c r="CE56" i="1"/>
  <c r="CE81" i="1" s="1"/>
  <c r="CF56" i="1"/>
  <c r="CF81" i="1" s="1"/>
  <c r="CG56" i="1"/>
  <c r="CG81" i="1" s="1"/>
  <c r="CH56" i="1"/>
  <c r="CH81" i="1" s="1"/>
  <c r="CI56" i="1"/>
  <c r="CI81" i="1" s="1"/>
  <c r="CJ56" i="1"/>
  <c r="CJ81" i="1" s="1"/>
  <c r="CK56" i="1"/>
  <c r="CK81" i="1" s="1"/>
  <c r="CL56" i="1"/>
  <c r="CL81" i="1" s="1"/>
  <c r="CM56" i="1"/>
  <c r="CM81" i="1" s="1"/>
  <c r="CN56" i="1"/>
  <c r="CN81" i="1" s="1"/>
  <c r="CO56" i="1"/>
  <c r="CO81" i="1" s="1"/>
  <c r="CP56" i="1"/>
  <c r="CP81" i="1" s="1"/>
  <c r="CQ56" i="1"/>
  <c r="CQ81" i="1" s="1"/>
  <c r="CR56" i="1"/>
  <c r="CR81" i="1" s="1"/>
  <c r="CS56" i="1"/>
  <c r="CS81" i="1" s="1"/>
  <c r="CT56" i="1"/>
  <c r="CT81" i="1" s="1"/>
  <c r="CU56" i="1"/>
  <c r="CU81" i="1" s="1"/>
  <c r="CV56" i="1"/>
  <c r="CV81" i="1" s="1"/>
  <c r="CW56" i="1"/>
  <c r="CW81" i="1" s="1"/>
  <c r="CX56" i="1"/>
  <c r="CX81" i="1" s="1"/>
  <c r="CY56" i="1"/>
  <c r="CY81" i="1" s="1"/>
  <c r="CZ56" i="1"/>
  <c r="CZ81" i="1" s="1"/>
  <c r="DA56" i="1"/>
  <c r="DA81" i="1" s="1"/>
  <c r="DB56" i="1"/>
  <c r="DB81" i="1" s="1"/>
  <c r="DC56" i="1"/>
  <c r="DC81" i="1" s="1"/>
  <c r="DD56" i="1"/>
  <c r="DD81" i="1" s="1"/>
  <c r="DE56" i="1"/>
  <c r="DE81" i="1" s="1"/>
  <c r="DF56" i="1"/>
  <c r="DF81" i="1" s="1"/>
  <c r="DG56" i="1"/>
  <c r="DG81" i="1" s="1"/>
  <c r="DH56" i="1"/>
  <c r="DH81" i="1" s="1"/>
  <c r="DI56" i="1"/>
  <c r="DI81" i="1" s="1"/>
  <c r="D57" i="1"/>
  <c r="D82" i="1" s="1"/>
  <c r="D105" i="1" s="1"/>
  <c r="E57" i="1"/>
  <c r="E82" i="1" s="1"/>
  <c r="E105" i="1" s="1"/>
  <c r="F57" i="1"/>
  <c r="F82" i="1" s="1"/>
  <c r="F105" i="1" s="1"/>
  <c r="G57" i="1"/>
  <c r="G82" i="1" s="1"/>
  <c r="G105" i="1" s="1"/>
  <c r="H57" i="1"/>
  <c r="H82" i="1" s="1"/>
  <c r="H105" i="1" s="1"/>
  <c r="I57" i="1"/>
  <c r="I82" i="1" s="1"/>
  <c r="I105" i="1" s="1"/>
  <c r="J57" i="1"/>
  <c r="J82" i="1" s="1"/>
  <c r="J105" i="1" s="1"/>
  <c r="K57" i="1"/>
  <c r="K82" i="1" s="1"/>
  <c r="K105" i="1" s="1"/>
  <c r="L57" i="1"/>
  <c r="L82" i="1" s="1"/>
  <c r="L105" i="1" s="1"/>
  <c r="M57" i="1"/>
  <c r="M82" i="1" s="1"/>
  <c r="M105" i="1" s="1"/>
  <c r="N57" i="1"/>
  <c r="N82" i="1" s="1"/>
  <c r="N105" i="1" s="1"/>
  <c r="O57" i="1"/>
  <c r="O82" i="1" s="1"/>
  <c r="O105" i="1" s="1"/>
  <c r="P57" i="1"/>
  <c r="P82" i="1" s="1"/>
  <c r="P105" i="1" s="1"/>
  <c r="Q57" i="1"/>
  <c r="Q82" i="1" s="1"/>
  <c r="Q105" i="1" s="1"/>
  <c r="R57" i="1"/>
  <c r="R82" i="1" s="1"/>
  <c r="R105" i="1" s="1"/>
  <c r="S57" i="1"/>
  <c r="S82" i="1" s="1"/>
  <c r="S105" i="1" s="1"/>
  <c r="T57" i="1"/>
  <c r="T82" i="1" s="1"/>
  <c r="T105" i="1" s="1"/>
  <c r="U57" i="1"/>
  <c r="U82" i="1" s="1"/>
  <c r="U105" i="1" s="1"/>
  <c r="V57" i="1"/>
  <c r="V82" i="1" s="1"/>
  <c r="V105" i="1" s="1"/>
  <c r="W57" i="1"/>
  <c r="W82" i="1" s="1"/>
  <c r="W105" i="1" s="1"/>
  <c r="X57" i="1"/>
  <c r="X82" i="1" s="1"/>
  <c r="X105" i="1" s="1"/>
  <c r="Y57" i="1"/>
  <c r="Y82" i="1" s="1"/>
  <c r="Y105" i="1" s="1"/>
  <c r="Z57" i="1"/>
  <c r="Z82" i="1" s="1"/>
  <c r="Z105" i="1" s="1"/>
  <c r="AA57" i="1"/>
  <c r="AA82" i="1" s="1"/>
  <c r="AA105" i="1" s="1"/>
  <c r="AB57" i="1"/>
  <c r="AB82" i="1" s="1"/>
  <c r="AB105" i="1" s="1"/>
  <c r="AC57" i="1"/>
  <c r="AC82" i="1" s="1"/>
  <c r="AC105" i="1" s="1"/>
  <c r="AD57" i="1"/>
  <c r="AD82" i="1" s="1"/>
  <c r="AD105" i="1" s="1"/>
  <c r="AE57" i="1"/>
  <c r="AE82" i="1" s="1"/>
  <c r="AE105" i="1" s="1"/>
  <c r="AF57" i="1"/>
  <c r="AF82" i="1" s="1"/>
  <c r="AF105" i="1" s="1"/>
  <c r="AG57" i="1"/>
  <c r="AG82" i="1" s="1"/>
  <c r="AG105" i="1" s="1"/>
  <c r="AH57" i="1"/>
  <c r="AH82" i="1" s="1"/>
  <c r="AH105" i="1" s="1"/>
  <c r="AI57" i="1"/>
  <c r="AI82" i="1" s="1"/>
  <c r="AI105" i="1" s="1"/>
  <c r="AJ57" i="1"/>
  <c r="AJ82" i="1" s="1"/>
  <c r="AJ105" i="1" s="1"/>
  <c r="AK57" i="1"/>
  <c r="AK82" i="1" s="1"/>
  <c r="AK105" i="1" s="1"/>
  <c r="AL57" i="1"/>
  <c r="AL82" i="1" s="1"/>
  <c r="AL105" i="1" s="1"/>
  <c r="AM57" i="1"/>
  <c r="AM82" i="1" s="1"/>
  <c r="AM105" i="1" s="1"/>
  <c r="AN57" i="1"/>
  <c r="AN82" i="1" s="1"/>
  <c r="AN105" i="1" s="1"/>
  <c r="AO57" i="1"/>
  <c r="AO82" i="1" s="1"/>
  <c r="AO105" i="1" s="1"/>
  <c r="AP57" i="1"/>
  <c r="AP82" i="1" s="1"/>
  <c r="AP105" i="1" s="1"/>
  <c r="AQ57" i="1"/>
  <c r="AQ82" i="1" s="1"/>
  <c r="AQ105" i="1" s="1"/>
  <c r="AR57" i="1"/>
  <c r="AR82" i="1" s="1"/>
  <c r="AR105" i="1" s="1"/>
  <c r="AS57" i="1"/>
  <c r="AS82" i="1" s="1"/>
  <c r="AS105" i="1" s="1"/>
  <c r="AT57" i="1"/>
  <c r="AT82" i="1" s="1"/>
  <c r="AT105" i="1" s="1"/>
  <c r="AU57" i="1"/>
  <c r="AU82" i="1" s="1"/>
  <c r="AU105" i="1" s="1"/>
  <c r="AV57" i="1"/>
  <c r="AV82" i="1" s="1"/>
  <c r="AV105" i="1" s="1"/>
  <c r="AW57" i="1"/>
  <c r="AW82" i="1" s="1"/>
  <c r="AW105" i="1" s="1"/>
  <c r="AX57" i="1"/>
  <c r="AX82" i="1" s="1"/>
  <c r="AX105" i="1" s="1"/>
  <c r="AY57" i="1"/>
  <c r="AY82" i="1" s="1"/>
  <c r="AY105" i="1" s="1"/>
  <c r="AZ57" i="1"/>
  <c r="AZ82" i="1" s="1"/>
  <c r="AZ105" i="1" s="1"/>
  <c r="BA57" i="1"/>
  <c r="BA82" i="1" s="1"/>
  <c r="BA105" i="1" s="1"/>
  <c r="BB57" i="1"/>
  <c r="BB82" i="1" s="1"/>
  <c r="BB105" i="1" s="1"/>
  <c r="BC57" i="1"/>
  <c r="BC82" i="1" s="1"/>
  <c r="BC105" i="1" s="1"/>
  <c r="BD57" i="1"/>
  <c r="BD82" i="1" s="1"/>
  <c r="BD105" i="1" s="1"/>
  <c r="BE57" i="1"/>
  <c r="BE82" i="1" s="1"/>
  <c r="BE105" i="1" s="1"/>
  <c r="BF57" i="1"/>
  <c r="BF82" i="1" s="1"/>
  <c r="BF105" i="1" s="1"/>
  <c r="BG57" i="1"/>
  <c r="BG82" i="1" s="1"/>
  <c r="BG105" i="1" s="1"/>
  <c r="BH57" i="1"/>
  <c r="BH82" i="1" s="1"/>
  <c r="BH105" i="1" s="1"/>
  <c r="BI57" i="1"/>
  <c r="BI82" i="1" s="1"/>
  <c r="BI105" i="1" s="1"/>
  <c r="BJ57" i="1"/>
  <c r="BJ82" i="1" s="1"/>
  <c r="BJ105" i="1" s="1"/>
  <c r="BK57" i="1"/>
  <c r="BK82" i="1" s="1"/>
  <c r="BK105" i="1" s="1"/>
  <c r="BL57" i="1"/>
  <c r="BL82" i="1" s="1"/>
  <c r="BL105" i="1" s="1"/>
  <c r="BM57" i="1"/>
  <c r="BM82" i="1" s="1"/>
  <c r="BM105" i="1" s="1"/>
  <c r="BN57" i="1"/>
  <c r="BN82" i="1" s="1"/>
  <c r="BN105" i="1" s="1"/>
  <c r="BO57" i="1"/>
  <c r="BO82" i="1" s="1"/>
  <c r="BO105" i="1" s="1"/>
  <c r="BP57" i="1"/>
  <c r="BP82" i="1" s="1"/>
  <c r="BP105" i="1" s="1"/>
  <c r="BQ57" i="1"/>
  <c r="BQ82" i="1" s="1"/>
  <c r="BQ105" i="1" s="1"/>
  <c r="BR57" i="1"/>
  <c r="BR82" i="1" s="1"/>
  <c r="BR105" i="1" s="1"/>
  <c r="BS57" i="1"/>
  <c r="BS82" i="1" s="1"/>
  <c r="BS105" i="1" s="1"/>
  <c r="BT57" i="1"/>
  <c r="BT82" i="1" s="1"/>
  <c r="BT105" i="1" s="1"/>
  <c r="BU57" i="1"/>
  <c r="BU82" i="1" s="1"/>
  <c r="BU105" i="1" s="1"/>
  <c r="BV57" i="1"/>
  <c r="BV82" i="1" s="1"/>
  <c r="BV105" i="1" s="1"/>
  <c r="BW57" i="1"/>
  <c r="BW82" i="1" s="1"/>
  <c r="BW105" i="1" s="1"/>
  <c r="BX57" i="1"/>
  <c r="BX82" i="1" s="1"/>
  <c r="BX105" i="1" s="1"/>
  <c r="BY57" i="1"/>
  <c r="BY82" i="1" s="1"/>
  <c r="BY105" i="1" s="1"/>
  <c r="BZ57" i="1"/>
  <c r="BZ82" i="1" s="1"/>
  <c r="BZ105" i="1" s="1"/>
  <c r="CA57" i="1"/>
  <c r="CA82" i="1" s="1"/>
  <c r="CA105" i="1" s="1"/>
  <c r="CB57" i="1"/>
  <c r="CB82" i="1" s="1"/>
  <c r="CB105" i="1" s="1"/>
  <c r="CC57" i="1"/>
  <c r="CC82" i="1" s="1"/>
  <c r="CC105" i="1" s="1"/>
  <c r="CD57" i="1"/>
  <c r="CD82" i="1" s="1"/>
  <c r="CD105" i="1" s="1"/>
  <c r="CE57" i="1"/>
  <c r="CE82" i="1" s="1"/>
  <c r="CE105" i="1" s="1"/>
  <c r="CF57" i="1"/>
  <c r="CF82" i="1" s="1"/>
  <c r="CF105" i="1" s="1"/>
  <c r="CG57" i="1"/>
  <c r="CG82" i="1" s="1"/>
  <c r="CG105" i="1" s="1"/>
  <c r="CH57" i="1"/>
  <c r="CH82" i="1" s="1"/>
  <c r="CH105" i="1" s="1"/>
  <c r="CI57" i="1"/>
  <c r="CI82" i="1" s="1"/>
  <c r="CI105" i="1" s="1"/>
  <c r="CJ57" i="1"/>
  <c r="CJ82" i="1" s="1"/>
  <c r="CJ105" i="1" s="1"/>
  <c r="CK57" i="1"/>
  <c r="CK82" i="1" s="1"/>
  <c r="CK105" i="1" s="1"/>
  <c r="CL57" i="1"/>
  <c r="CL82" i="1" s="1"/>
  <c r="CL105" i="1" s="1"/>
  <c r="CM57" i="1"/>
  <c r="CM82" i="1" s="1"/>
  <c r="CM105" i="1" s="1"/>
  <c r="CN57" i="1"/>
  <c r="CN82" i="1" s="1"/>
  <c r="CN105" i="1" s="1"/>
  <c r="CO57" i="1"/>
  <c r="CO82" i="1" s="1"/>
  <c r="CO105" i="1" s="1"/>
  <c r="CP57" i="1"/>
  <c r="CP82" i="1" s="1"/>
  <c r="CP105" i="1" s="1"/>
  <c r="CQ57" i="1"/>
  <c r="CQ82" i="1" s="1"/>
  <c r="CQ105" i="1" s="1"/>
  <c r="CR57" i="1"/>
  <c r="CR82" i="1" s="1"/>
  <c r="CR105" i="1" s="1"/>
  <c r="CS57" i="1"/>
  <c r="CS82" i="1" s="1"/>
  <c r="CS105" i="1" s="1"/>
  <c r="CT57" i="1"/>
  <c r="CT82" i="1" s="1"/>
  <c r="CT105" i="1" s="1"/>
  <c r="CU57" i="1"/>
  <c r="CU82" i="1" s="1"/>
  <c r="CU105" i="1" s="1"/>
  <c r="CV57" i="1"/>
  <c r="CV82" i="1" s="1"/>
  <c r="CV105" i="1" s="1"/>
  <c r="CW57" i="1"/>
  <c r="CW82" i="1" s="1"/>
  <c r="CW105" i="1" s="1"/>
  <c r="CX57" i="1"/>
  <c r="CX82" i="1" s="1"/>
  <c r="CX105" i="1" s="1"/>
  <c r="CY57" i="1"/>
  <c r="CY82" i="1" s="1"/>
  <c r="CY105" i="1" s="1"/>
  <c r="CZ57" i="1"/>
  <c r="CZ82" i="1" s="1"/>
  <c r="CZ105" i="1" s="1"/>
  <c r="DA57" i="1"/>
  <c r="DA82" i="1" s="1"/>
  <c r="DA105" i="1" s="1"/>
  <c r="DB57" i="1"/>
  <c r="DB82" i="1" s="1"/>
  <c r="DB105" i="1" s="1"/>
  <c r="DC57" i="1"/>
  <c r="DC82" i="1" s="1"/>
  <c r="DC105" i="1" s="1"/>
  <c r="DD57" i="1"/>
  <c r="DD82" i="1" s="1"/>
  <c r="DD105" i="1" s="1"/>
  <c r="DE57" i="1"/>
  <c r="DE82" i="1" s="1"/>
  <c r="DE105" i="1" s="1"/>
  <c r="DF57" i="1"/>
  <c r="DF82" i="1" s="1"/>
  <c r="DF105" i="1" s="1"/>
  <c r="DG57" i="1"/>
  <c r="DG82" i="1" s="1"/>
  <c r="DG105" i="1" s="1"/>
  <c r="DH57" i="1"/>
  <c r="DH82" i="1" s="1"/>
  <c r="DH105" i="1" s="1"/>
  <c r="DI57" i="1"/>
  <c r="DI82" i="1" s="1"/>
  <c r="DI105" i="1" s="1"/>
  <c r="D58" i="1"/>
  <c r="E58" i="1"/>
  <c r="F58" i="1"/>
  <c r="G58" i="1"/>
  <c r="H58" i="1"/>
  <c r="I58" i="1"/>
  <c r="J58" i="1"/>
  <c r="K58" i="1"/>
  <c r="L58" i="1"/>
  <c r="M58" i="1"/>
  <c r="N58" i="1"/>
  <c r="O58" i="1"/>
  <c r="P58" i="1"/>
  <c r="Q58" i="1"/>
  <c r="R58" i="1"/>
  <c r="S58" i="1"/>
  <c r="T58" i="1"/>
  <c r="U58" i="1"/>
  <c r="V58" i="1"/>
  <c r="W58" i="1"/>
  <c r="X58" i="1"/>
  <c r="Y58" i="1"/>
  <c r="Z58" i="1"/>
  <c r="AA58" i="1"/>
  <c r="AB58" i="1"/>
  <c r="AC58" i="1"/>
  <c r="AD58" i="1"/>
  <c r="AE58" i="1"/>
  <c r="AF58" i="1"/>
  <c r="AG58" i="1"/>
  <c r="AH58" i="1"/>
  <c r="AI58" i="1"/>
  <c r="AJ58" i="1"/>
  <c r="AK58" i="1"/>
  <c r="AL58" i="1"/>
  <c r="AM58" i="1"/>
  <c r="AN58" i="1"/>
  <c r="AO58" i="1"/>
  <c r="AP58" i="1"/>
  <c r="AQ58" i="1"/>
  <c r="AR58" i="1"/>
  <c r="AS58" i="1"/>
  <c r="AT58" i="1"/>
  <c r="AU58" i="1"/>
  <c r="AV58" i="1"/>
  <c r="AW58" i="1"/>
  <c r="AX58" i="1"/>
  <c r="AY58" i="1"/>
  <c r="AZ58" i="1"/>
  <c r="BA58" i="1"/>
  <c r="BB58" i="1"/>
  <c r="BC58" i="1"/>
  <c r="BD58" i="1"/>
  <c r="BE58" i="1"/>
  <c r="BF58" i="1"/>
  <c r="BG58" i="1"/>
  <c r="BH58" i="1"/>
  <c r="BI58" i="1"/>
  <c r="BJ58" i="1"/>
  <c r="BK58" i="1"/>
  <c r="BL58" i="1"/>
  <c r="BM58" i="1"/>
  <c r="BN58" i="1"/>
  <c r="BO58" i="1"/>
  <c r="BP58" i="1"/>
  <c r="BQ58" i="1"/>
  <c r="BR58" i="1"/>
  <c r="BS58" i="1"/>
  <c r="BT58" i="1"/>
  <c r="BU58" i="1"/>
  <c r="BV58" i="1"/>
  <c r="BW58" i="1"/>
  <c r="BX58" i="1"/>
  <c r="BY58" i="1"/>
  <c r="BZ58" i="1"/>
  <c r="CA58" i="1"/>
  <c r="CB58" i="1"/>
  <c r="CC58" i="1"/>
  <c r="CD58" i="1"/>
  <c r="CE58" i="1"/>
  <c r="CF58" i="1"/>
  <c r="CG58" i="1"/>
  <c r="CH58" i="1"/>
  <c r="CI58" i="1"/>
  <c r="CJ58" i="1"/>
  <c r="CK58" i="1"/>
  <c r="CL58" i="1"/>
  <c r="CM58" i="1"/>
  <c r="CN58" i="1"/>
  <c r="CO58" i="1"/>
  <c r="CP58" i="1"/>
  <c r="CQ58" i="1"/>
  <c r="CR58" i="1"/>
  <c r="CS58" i="1"/>
  <c r="CT58" i="1"/>
  <c r="CU58" i="1"/>
  <c r="CV58" i="1"/>
  <c r="CW58" i="1"/>
  <c r="CX58" i="1"/>
  <c r="CY58" i="1"/>
  <c r="CZ58" i="1"/>
  <c r="DA58" i="1"/>
  <c r="DB58" i="1"/>
  <c r="DC58" i="1"/>
  <c r="DD58" i="1"/>
  <c r="DE58" i="1"/>
  <c r="DF58" i="1"/>
  <c r="DG58" i="1"/>
  <c r="DH58" i="1"/>
  <c r="DI58" i="1"/>
  <c r="D59" i="1"/>
  <c r="E59" i="1"/>
  <c r="F59" i="1"/>
  <c r="G59" i="1"/>
  <c r="H59" i="1"/>
  <c r="I59" i="1"/>
  <c r="J59" i="1"/>
  <c r="K59" i="1"/>
  <c r="L59" i="1"/>
  <c r="M59" i="1"/>
  <c r="N59" i="1"/>
  <c r="O59" i="1"/>
  <c r="P59" i="1"/>
  <c r="Q59" i="1"/>
  <c r="R59" i="1"/>
  <c r="S59" i="1"/>
  <c r="T59" i="1"/>
  <c r="U59" i="1"/>
  <c r="V59" i="1"/>
  <c r="W59" i="1"/>
  <c r="X59" i="1"/>
  <c r="Y59" i="1"/>
  <c r="Z59" i="1"/>
  <c r="AA59" i="1"/>
  <c r="AB59" i="1"/>
  <c r="AC59" i="1"/>
  <c r="AD59" i="1"/>
  <c r="AE59" i="1"/>
  <c r="AF59" i="1"/>
  <c r="AG59" i="1"/>
  <c r="AH59" i="1"/>
  <c r="AI59" i="1"/>
  <c r="AJ59" i="1"/>
  <c r="AK59" i="1"/>
  <c r="AL59" i="1"/>
  <c r="AM59" i="1"/>
  <c r="AN59" i="1"/>
  <c r="AO59" i="1"/>
  <c r="AP59" i="1"/>
  <c r="AQ59" i="1"/>
  <c r="AR59" i="1"/>
  <c r="AS59" i="1"/>
  <c r="AT59" i="1"/>
  <c r="AU59" i="1"/>
  <c r="AV59" i="1"/>
  <c r="AW59" i="1"/>
  <c r="AX59" i="1"/>
  <c r="AY59" i="1"/>
  <c r="AZ59" i="1"/>
  <c r="BA59" i="1"/>
  <c r="BB59" i="1"/>
  <c r="BC59" i="1"/>
  <c r="BD59" i="1"/>
  <c r="BE59" i="1"/>
  <c r="BF59" i="1"/>
  <c r="BG59" i="1"/>
  <c r="BH59" i="1"/>
  <c r="BI59" i="1"/>
  <c r="BJ59" i="1"/>
  <c r="BK59" i="1"/>
  <c r="BL59" i="1"/>
  <c r="BM59" i="1"/>
  <c r="BN59" i="1"/>
  <c r="BO59" i="1"/>
  <c r="BP59" i="1"/>
  <c r="BQ59" i="1"/>
  <c r="BR59" i="1"/>
  <c r="BS59" i="1"/>
  <c r="BT59" i="1"/>
  <c r="BU59" i="1"/>
  <c r="BV59" i="1"/>
  <c r="BW59" i="1"/>
  <c r="BX59" i="1"/>
  <c r="BY59" i="1"/>
  <c r="BZ59" i="1"/>
  <c r="CA59" i="1"/>
  <c r="CB59" i="1"/>
  <c r="CC59" i="1"/>
  <c r="CD59" i="1"/>
  <c r="CE59" i="1"/>
  <c r="CF59" i="1"/>
  <c r="CG59" i="1"/>
  <c r="CH59" i="1"/>
  <c r="CI59" i="1"/>
  <c r="CJ59" i="1"/>
  <c r="CK59" i="1"/>
  <c r="CL59" i="1"/>
  <c r="CM59" i="1"/>
  <c r="CN59" i="1"/>
  <c r="CO59" i="1"/>
  <c r="CP59" i="1"/>
  <c r="CQ59" i="1"/>
  <c r="CR59" i="1"/>
  <c r="CS59" i="1"/>
  <c r="CT59" i="1"/>
  <c r="CU59" i="1"/>
  <c r="CV59" i="1"/>
  <c r="CW59" i="1"/>
  <c r="CX59" i="1"/>
  <c r="CY59" i="1"/>
  <c r="CZ59" i="1"/>
  <c r="DA59" i="1"/>
  <c r="DB59" i="1"/>
  <c r="DC59" i="1"/>
  <c r="DD59" i="1"/>
  <c r="DE59" i="1"/>
  <c r="DF59" i="1"/>
  <c r="DG59" i="1"/>
  <c r="DH59" i="1"/>
  <c r="DI59" i="1"/>
  <c r="D60" i="1"/>
  <c r="E60" i="1"/>
  <c r="F60" i="1"/>
  <c r="G60" i="1"/>
  <c r="H60" i="1"/>
  <c r="I60" i="1"/>
  <c r="J60" i="1"/>
  <c r="K60" i="1"/>
  <c r="L60" i="1"/>
  <c r="M60" i="1"/>
  <c r="N60" i="1"/>
  <c r="O60" i="1"/>
  <c r="P60" i="1"/>
  <c r="Q60" i="1"/>
  <c r="R60" i="1"/>
  <c r="S60" i="1"/>
  <c r="T60" i="1"/>
  <c r="U60" i="1"/>
  <c r="V60" i="1"/>
  <c r="W60" i="1"/>
  <c r="X60" i="1"/>
  <c r="Y60" i="1"/>
  <c r="Z60" i="1"/>
  <c r="AA60" i="1"/>
  <c r="AB60" i="1"/>
  <c r="AC60" i="1"/>
  <c r="AD60" i="1"/>
  <c r="AE60" i="1"/>
  <c r="AF60" i="1"/>
  <c r="AG60" i="1"/>
  <c r="AH60" i="1"/>
  <c r="AI60" i="1"/>
  <c r="AJ60" i="1"/>
  <c r="AK60" i="1"/>
  <c r="AL60" i="1"/>
  <c r="AM60" i="1"/>
  <c r="AN60" i="1"/>
  <c r="AO60" i="1"/>
  <c r="AP60" i="1"/>
  <c r="AQ60" i="1"/>
  <c r="AR60" i="1"/>
  <c r="AS60" i="1"/>
  <c r="AT60" i="1"/>
  <c r="AU60" i="1"/>
  <c r="AV60" i="1"/>
  <c r="AW60" i="1"/>
  <c r="AX60" i="1"/>
  <c r="AY60" i="1"/>
  <c r="AZ60" i="1"/>
  <c r="BA60" i="1"/>
  <c r="BB60" i="1"/>
  <c r="BC60" i="1"/>
  <c r="BD60" i="1"/>
  <c r="BE60" i="1"/>
  <c r="BF60" i="1"/>
  <c r="BG60" i="1"/>
  <c r="BH60" i="1"/>
  <c r="BI60" i="1"/>
  <c r="BJ60" i="1"/>
  <c r="BK60" i="1"/>
  <c r="BL60" i="1"/>
  <c r="BM60" i="1"/>
  <c r="BN60" i="1"/>
  <c r="BO60" i="1"/>
  <c r="BP60" i="1"/>
  <c r="BQ60" i="1"/>
  <c r="BR60" i="1"/>
  <c r="BS60" i="1"/>
  <c r="BT60" i="1"/>
  <c r="BU60" i="1"/>
  <c r="BV60" i="1"/>
  <c r="BW60" i="1"/>
  <c r="BX60" i="1"/>
  <c r="BY60" i="1"/>
  <c r="BZ60" i="1"/>
  <c r="CA60" i="1"/>
  <c r="CB60" i="1"/>
  <c r="CC60" i="1"/>
  <c r="CD60" i="1"/>
  <c r="CE60" i="1"/>
  <c r="CF60" i="1"/>
  <c r="CG60" i="1"/>
  <c r="CH60" i="1"/>
  <c r="CI60" i="1"/>
  <c r="CJ60" i="1"/>
  <c r="CK60" i="1"/>
  <c r="CL60" i="1"/>
  <c r="CM60" i="1"/>
  <c r="CN60" i="1"/>
  <c r="CO60" i="1"/>
  <c r="CP60" i="1"/>
  <c r="CQ60" i="1"/>
  <c r="CR60" i="1"/>
  <c r="CS60" i="1"/>
  <c r="CT60" i="1"/>
  <c r="CU60" i="1"/>
  <c r="CV60" i="1"/>
  <c r="CW60" i="1"/>
  <c r="CX60" i="1"/>
  <c r="CY60" i="1"/>
  <c r="CZ60" i="1"/>
  <c r="DA60" i="1"/>
  <c r="DB60" i="1"/>
  <c r="DC60" i="1"/>
  <c r="DD60" i="1"/>
  <c r="DE60" i="1"/>
  <c r="DF60" i="1"/>
  <c r="DG60" i="1"/>
  <c r="DH60" i="1"/>
  <c r="DI60" i="1"/>
  <c r="D61" i="1"/>
  <c r="E61" i="1"/>
  <c r="F61" i="1"/>
  <c r="G61" i="1"/>
  <c r="H61" i="1"/>
  <c r="I61" i="1"/>
  <c r="J61" i="1"/>
  <c r="K61" i="1"/>
  <c r="L61" i="1"/>
  <c r="M61" i="1"/>
  <c r="N61" i="1"/>
  <c r="O61" i="1"/>
  <c r="P61" i="1"/>
  <c r="Q61" i="1"/>
  <c r="R61" i="1"/>
  <c r="S61" i="1"/>
  <c r="T61" i="1"/>
  <c r="U61" i="1"/>
  <c r="V61" i="1"/>
  <c r="W61" i="1"/>
  <c r="X61" i="1"/>
  <c r="Y61" i="1"/>
  <c r="Z61" i="1"/>
  <c r="AA61" i="1"/>
  <c r="AB61" i="1"/>
  <c r="AC61" i="1"/>
  <c r="AD61" i="1"/>
  <c r="AE61" i="1"/>
  <c r="AF61" i="1"/>
  <c r="AG61" i="1"/>
  <c r="AH61" i="1"/>
  <c r="AI61" i="1"/>
  <c r="AJ61" i="1"/>
  <c r="AK61" i="1"/>
  <c r="AL61" i="1"/>
  <c r="AM61" i="1"/>
  <c r="AN61" i="1"/>
  <c r="AO61" i="1"/>
  <c r="AP61" i="1"/>
  <c r="AQ61" i="1"/>
  <c r="AR61" i="1"/>
  <c r="AS61" i="1"/>
  <c r="AT61" i="1"/>
  <c r="AU61" i="1"/>
  <c r="AV61" i="1"/>
  <c r="AW61" i="1"/>
  <c r="AX61" i="1"/>
  <c r="AY61" i="1"/>
  <c r="AZ61" i="1"/>
  <c r="BA61" i="1"/>
  <c r="BB61" i="1"/>
  <c r="BC61" i="1"/>
  <c r="BD61" i="1"/>
  <c r="BE61" i="1"/>
  <c r="BF61" i="1"/>
  <c r="BG61" i="1"/>
  <c r="BH61" i="1"/>
  <c r="BI61" i="1"/>
  <c r="BJ61" i="1"/>
  <c r="BK61" i="1"/>
  <c r="BL61" i="1"/>
  <c r="BM61" i="1"/>
  <c r="BN61" i="1"/>
  <c r="BO61" i="1"/>
  <c r="BP61" i="1"/>
  <c r="BQ61" i="1"/>
  <c r="BR61" i="1"/>
  <c r="BS61" i="1"/>
  <c r="BT61" i="1"/>
  <c r="BU61" i="1"/>
  <c r="BV61" i="1"/>
  <c r="BW61" i="1"/>
  <c r="BX61" i="1"/>
  <c r="BY61" i="1"/>
  <c r="BZ61" i="1"/>
  <c r="CA61" i="1"/>
  <c r="CB61" i="1"/>
  <c r="CC61" i="1"/>
  <c r="CD61" i="1"/>
  <c r="CE61" i="1"/>
  <c r="CF61" i="1"/>
  <c r="CG61" i="1"/>
  <c r="CH61" i="1"/>
  <c r="CI61" i="1"/>
  <c r="CJ61" i="1"/>
  <c r="CK61" i="1"/>
  <c r="CL61" i="1"/>
  <c r="CM61" i="1"/>
  <c r="CN61" i="1"/>
  <c r="CO61" i="1"/>
  <c r="CP61" i="1"/>
  <c r="CQ61" i="1"/>
  <c r="CR61" i="1"/>
  <c r="CS61" i="1"/>
  <c r="CT61" i="1"/>
  <c r="CU61" i="1"/>
  <c r="CV61" i="1"/>
  <c r="CW61" i="1"/>
  <c r="CX61" i="1"/>
  <c r="CY61" i="1"/>
  <c r="CZ61" i="1"/>
  <c r="DA61" i="1"/>
  <c r="DB61" i="1"/>
  <c r="DC61" i="1"/>
  <c r="DD61" i="1"/>
  <c r="DE61" i="1"/>
  <c r="DF61" i="1"/>
  <c r="DG61" i="1"/>
  <c r="DH61" i="1"/>
  <c r="DI61" i="1"/>
  <c r="D62" i="1"/>
  <c r="E62" i="1"/>
  <c r="F62" i="1"/>
  <c r="G62" i="1"/>
  <c r="H62" i="1"/>
  <c r="I62" i="1"/>
  <c r="J62" i="1"/>
  <c r="K62" i="1"/>
  <c r="L62" i="1"/>
  <c r="M62" i="1"/>
  <c r="N62" i="1"/>
  <c r="O62" i="1"/>
  <c r="P62" i="1"/>
  <c r="Q62" i="1"/>
  <c r="R62" i="1"/>
  <c r="S62" i="1"/>
  <c r="T62" i="1"/>
  <c r="U62" i="1"/>
  <c r="V62" i="1"/>
  <c r="W62" i="1"/>
  <c r="X62" i="1"/>
  <c r="Y62" i="1"/>
  <c r="Z62" i="1"/>
  <c r="AA62" i="1"/>
  <c r="AB62" i="1"/>
  <c r="AC62" i="1"/>
  <c r="AD62" i="1"/>
  <c r="AE62" i="1"/>
  <c r="AF62" i="1"/>
  <c r="AG62" i="1"/>
  <c r="AH62" i="1"/>
  <c r="AI62" i="1"/>
  <c r="AJ62" i="1"/>
  <c r="AK62" i="1"/>
  <c r="AL62" i="1"/>
  <c r="AM62" i="1"/>
  <c r="AN62" i="1"/>
  <c r="AO62" i="1"/>
  <c r="AP62" i="1"/>
  <c r="AQ62" i="1"/>
  <c r="AR62" i="1"/>
  <c r="AS62" i="1"/>
  <c r="AT62" i="1"/>
  <c r="AU62" i="1"/>
  <c r="AV62" i="1"/>
  <c r="AW62" i="1"/>
  <c r="AX62" i="1"/>
  <c r="AY62" i="1"/>
  <c r="AZ62" i="1"/>
  <c r="BA62" i="1"/>
  <c r="BB62" i="1"/>
  <c r="BC62" i="1"/>
  <c r="BD62" i="1"/>
  <c r="BE62" i="1"/>
  <c r="BF62" i="1"/>
  <c r="BG62" i="1"/>
  <c r="BH62" i="1"/>
  <c r="BI62" i="1"/>
  <c r="BJ62" i="1"/>
  <c r="BK62" i="1"/>
  <c r="BL62" i="1"/>
  <c r="BM62" i="1"/>
  <c r="BN62" i="1"/>
  <c r="BO62" i="1"/>
  <c r="BP62" i="1"/>
  <c r="BQ62" i="1"/>
  <c r="BR62" i="1"/>
  <c r="BS62" i="1"/>
  <c r="BT62" i="1"/>
  <c r="BU62" i="1"/>
  <c r="BV62" i="1"/>
  <c r="BW62" i="1"/>
  <c r="BX62" i="1"/>
  <c r="BY62" i="1"/>
  <c r="BZ62" i="1"/>
  <c r="CA62" i="1"/>
  <c r="CB62" i="1"/>
  <c r="CC62" i="1"/>
  <c r="CD62" i="1"/>
  <c r="CE62" i="1"/>
  <c r="CF62" i="1"/>
  <c r="CG62" i="1"/>
  <c r="CH62" i="1"/>
  <c r="CI62" i="1"/>
  <c r="CJ62" i="1"/>
  <c r="CK62" i="1"/>
  <c r="CL62" i="1"/>
  <c r="CM62" i="1"/>
  <c r="CN62" i="1"/>
  <c r="CO62" i="1"/>
  <c r="CP62" i="1"/>
  <c r="CQ62" i="1"/>
  <c r="CR62" i="1"/>
  <c r="CS62" i="1"/>
  <c r="CT62" i="1"/>
  <c r="CU62" i="1"/>
  <c r="CV62" i="1"/>
  <c r="CW62" i="1"/>
  <c r="CX62" i="1"/>
  <c r="CY62" i="1"/>
  <c r="CZ62" i="1"/>
  <c r="DA62" i="1"/>
  <c r="DB62" i="1"/>
  <c r="DC62" i="1"/>
  <c r="DD62" i="1"/>
  <c r="DE62" i="1"/>
  <c r="DF62" i="1"/>
  <c r="DG62" i="1"/>
  <c r="DH62" i="1"/>
  <c r="DI62" i="1"/>
  <c r="D63" i="1"/>
  <c r="E63" i="1"/>
  <c r="F63" i="1"/>
  <c r="G63" i="1"/>
  <c r="H63" i="1"/>
  <c r="I63" i="1"/>
  <c r="J63" i="1"/>
  <c r="K63" i="1"/>
  <c r="L63" i="1"/>
  <c r="M63" i="1"/>
  <c r="N63" i="1"/>
  <c r="O63" i="1"/>
  <c r="P63" i="1"/>
  <c r="Q63" i="1"/>
  <c r="R63" i="1"/>
  <c r="S63" i="1"/>
  <c r="T63" i="1"/>
  <c r="U63" i="1"/>
  <c r="V63" i="1"/>
  <c r="W63" i="1"/>
  <c r="X63" i="1"/>
  <c r="Y63" i="1"/>
  <c r="Z63" i="1"/>
  <c r="AA63" i="1"/>
  <c r="AB63" i="1"/>
  <c r="AC63" i="1"/>
  <c r="AD63" i="1"/>
  <c r="AE63" i="1"/>
  <c r="AF63" i="1"/>
  <c r="AG63" i="1"/>
  <c r="AH63" i="1"/>
  <c r="AI63" i="1"/>
  <c r="AJ63" i="1"/>
  <c r="AK63" i="1"/>
  <c r="AL63" i="1"/>
  <c r="AM63" i="1"/>
  <c r="AN63" i="1"/>
  <c r="AO63" i="1"/>
  <c r="AP63" i="1"/>
  <c r="AQ63" i="1"/>
  <c r="AR63" i="1"/>
  <c r="AS63" i="1"/>
  <c r="AT63" i="1"/>
  <c r="AU63" i="1"/>
  <c r="AV63" i="1"/>
  <c r="AW63" i="1"/>
  <c r="AX63" i="1"/>
  <c r="AY63" i="1"/>
  <c r="AZ63" i="1"/>
  <c r="BA63" i="1"/>
  <c r="BB63" i="1"/>
  <c r="BC63" i="1"/>
  <c r="BD63" i="1"/>
  <c r="BE63" i="1"/>
  <c r="BF63" i="1"/>
  <c r="BG63" i="1"/>
  <c r="BH63" i="1"/>
  <c r="BI63" i="1"/>
  <c r="BJ63" i="1"/>
  <c r="BK63" i="1"/>
  <c r="BL63" i="1"/>
  <c r="BM63" i="1"/>
  <c r="BN63" i="1"/>
  <c r="BO63" i="1"/>
  <c r="BP63" i="1"/>
  <c r="BQ63" i="1"/>
  <c r="BR63" i="1"/>
  <c r="BS63" i="1"/>
  <c r="BT63" i="1"/>
  <c r="BU63" i="1"/>
  <c r="BV63" i="1"/>
  <c r="BW63" i="1"/>
  <c r="BX63" i="1"/>
  <c r="BY63" i="1"/>
  <c r="BZ63" i="1"/>
  <c r="CA63" i="1"/>
  <c r="CB63" i="1"/>
  <c r="CC63" i="1"/>
  <c r="CD63" i="1"/>
  <c r="CE63" i="1"/>
  <c r="CF63" i="1"/>
  <c r="CG63" i="1"/>
  <c r="CH63" i="1"/>
  <c r="CI63" i="1"/>
  <c r="CJ63" i="1"/>
  <c r="CK63" i="1"/>
  <c r="CL63" i="1"/>
  <c r="CM63" i="1"/>
  <c r="CN63" i="1"/>
  <c r="CO63" i="1"/>
  <c r="CP63" i="1"/>
  <c r="CQ63" i="1"/>
  <c r="CR63" i="1"/>
  <c r="CS63" i="1"/>
  <c r="CT63" i="1"/>
  <c r="CU63" i="1"/>
  <c r="CV63" i="1"/>
  <c r="CW63" i="1"/>
  <c r="CX63" i="1"/>
  <c r="CY63" i="1"/>
  <c r="CZ63" i="1"/>
  <c r="DA63" i="1"/>
  <c r="DB63" i="1"/>
  <c r="DC63" i="1"/>
  <c r="DD63" i="1"/>
  <c r="DE63" i="1"/>
  <c r="DF63" i="1"/>
  <c r="DG63" i="1"/>
  <c r="DH63" i="1"/>
  <c r="DI63" i="1"/>
  <c r="D64" i="1"/>
  <c r="E64" i="1"/>
  <c r="F64" i="1"/>
  <c r="G64" i="1"/>
  <c r="H64" i="1"/>
  <c r="I64" i="1"/>
  <c r="J64" i="1"/>
  <c r="K64" i="1"/>
  <c r="L64" i="1"/>
  <c r="M64" i="1"/>
  <c r="N64" i="1"/>
  <c r="O64" i="1"/>
  <c r="P64" i="1"/>
  <c r="Q64" i="1"/>
  <c r="R64" i="1"/>
  <c r="S64" i="1"/>
  <c r="T64" i="1"/>
  <c r="U64" i="1"/>
  <c r="V64" i="1"/>
  <c r="W64" i="1"/>
  <c r="X64" i="1"/>
  <c r="Y64" i="1"/>
  <c r="Z64" i="1"/>
  <c r="AA64" i="1"/>
  <c r="AB64" i="1"/>
  <c r="AC64" i="1"/>
  <c r="AD64" i="1"/>
  <c r="AE64" i="1"/>
  <c r="AF64" i="1"/>
  <c r="AG64" i="1"/>
  <c r="AH64" i="1"/>
  <c r="AI64" i="1"/>
  <c r="AJ64" i="1"/>
  <c r="AK64" i="1"/>
  <c r="AL64" i="1"/>
  <c r="AM64" i="1"/>
  <c r="AN64" i="1"/>
  <c r="AO64" i="1"/>
  <c r="AP64" i="1"/>
  <c r="AQ64" i="1"/>
  <c r="AR64" i="1"/>
  <c r="AS64" i="1"/>
  <c r="AT64" i="1"/>
  <c r="AU64" i="1"/>
  <c r="AV64" i="1"/>
  <c r="AW64" i="1"/>
  <c r="AX64" i="1"/>
  <c r="AY64" i="1"/>
  <c r="AZ64" i="1"/>
  <c r="BA64" i="1"/>
  <c r="BB64" i="1"/>
  <c r="BC64" i="1"/>
  <c r="BD64" i="1"/>
  <c r="BE64" i="1"/>
  <c r="BF64" i="1"/>
  <c r="BG64" i="1"/>
  <c r="BH64" i="1"/>
  <c r="BI64" i="1"/>
  <c r="BJ64" i="1"/>
  <c r="BK64" i="1"/>
  <c r="BL64" i="1"/>
  <c r="BM64" i="1"/>
  <c r="BN64" i="1"/>
  <c r="BO64" i="1"/>
  <c r="BP64" i="1"/>
  <c r="BQ64" i="1"/>
  <c r="BR64" i="1"/>
  <c r="BS64" i="1"/>
  <c r="BT64" i="1"/>
  <c r="BU64" i="1"/>
  <c r="BV64" i="1"/>
  <c r="BW64" i="1"/>
  <c r="BX64" i="1"/>
  <c r="BY64" i="1"/>
  <c r="BZ64" i="1"/>
  <c r="CA64" i="1"/>
  <c r="CB64" i="1"/>
  <c r="CC64" i="1"/>
  <c r="CD64" i="1"/>
  <c r="CE64" i="1"/>
  <c r="CF64" i="1"/>
  <c r="CG64" i="1"/>
  <c r="CH64" i="1"/>
  <c r="CI64" i="1"/>
  <c r="CJ64" i="1"/>
  <c r="CK64" i="1"/>
  <c r="CL64" i="1"/>
  <c r="CM64" i="1"/>
  <c r="CN64" i="1"/>
  <c r="CO64" i="1"/>
  <c r="CP64" i="1"/>
  <c r="CQ64" i="1"/>
  <c r="CR64" i="1"/>
  <c r="CS64" i="1"/>
  <c r="CT64" i="1"/>
  <c r="CU64" i="1"/>
  <c r="CV64" i="1"/>
  <c r="CW64" i="1"/>
  <c r="CX64" i="1"/>
  <c r="CY64" i="1"/>
  <c r="CZ64" i="1"/>
  <c r="DA64" i="1"/>
  <c r="DB64" i="1"/>
  <c r="DC64" i="1"/>
  <c r="DD64" i="1"/>
  <c r="DE64" i="1"/>
  <c r="DF64" i="1"/>
  <c r="DG64" i="1"/>
  <c r="DH64" i="1"/>
  <c r="DI64" i="1"/>
  <c r="D65" i="1"/>
  <c r="E65" i="1"/>
  <c r="F65" i="1"/>
  <c r="G65" i="1"/>
  <c r="H65" i="1"/>
  <c r="I65" i="1"/>
  <c r="J65" i="1"/>
  <c r="K65" i="1"/>
  <c r="L65" i="1"/>
  <c r="M65" i="1"/>
  <c r="N65" i="1"/>
  <c r="O65" i="1"/>
  <c r="P65" i="1"/>
  <c r="Q65" i="1"/>
  <c r="R65" i="1"/>
  <c r="S65" i="1"/>
  <c r="T65" i="1"/>
  <c r="U65" i="1"/>
  <c r="V65" i="1"/>
  <c r="W65" i="1"/>
  <c r="X65" i="1"/>
  <c r="Y65" i="1"/>
  <c r="Z65" i="1"/>
  <c r="AA65" i="1"/>
  <c r="AB65" i="1"/>
  <c r="AC65" i="1"/>
  <c r="AD65" i="1"/>
  <c r="AE65" i="1"/>
  <c r="AF65" i="1"/>
  <c r="AG65" i="1"/>
  <c r="AH65" i="1"/>
  <c r="AI65" i="1"/>
  <c r="AJ65" i="1"/>
  <c r="AK65" i="1"/>
  <c r="AL65" i="1"/>
  <c r="AM65" i="1"/>
  <c r="AN65" i="1"/>
  <c r="AO65" i="1"/>
  <c r="AP65" i="1"/>
  <c r="AQ65" i="1"/>
  <c r="AR65" i="1"/>
  <c r="AS65" i="1"/>
  <c r="AT65" i="1"/>
  <c r="AU65" i="1"/>
  <c r="AV65" i="1"/>
  <c r="AW65" i="1"/>
  <c r="AX65" i="1"/>
  <c r="AY65" i="1"/>
  <c r="AZ65" i="1"/>
  <c r="BA65" i="1"/>
  <c r="BB65" i="1"/>
  <c r="BC65" i="1"/>
  <c r="BD65" i="1"/>
  <c r="BE65" i="1"/>
  <c r="BF65" i="1"/>
  <c r="BG65" i="1"/>
  <c r="BH65" i="1"/>
  <c r="BI65" i="1"/>
  <c r="BJ65" i="1"/>
  <c r="BK65" i="1"/>
  <c r="BL65" i="1"/>
  <c r="BM65" i="1"/>
  <c r="BN65" i="1"/>
  <c r="BO65" i="1"/>
  <c r="BP65" i="1"/>
  <c r="BQ65" i="1"/>
  <c r="BR65" i="1"/>
  <c r="BS65" i="1"/>
  <c r="BT65" i="1"/>
  <c r="BU65" i="1"/>
  <c r="BV65" i="1"/>
  <c r="BW65" i="1"/>
  <c r="BX65" i="1"/>
  <c r="BY65" i="1"/>
  <c r="BZ65" i="1"/>
  <c r="CA65" i="1"/>
  <c r="CB65" i="1"/>
  <c r="CC65" i="1"/>
  <c r="CD65" i="1"/>
  <c r="CE65" i="1"/>
  <c r="CF65" i="1"/>
  <c r="CG65" i="1"/>
  <c r="CH65" i="1"/>
  <c r="CI65" i="1"/>
  <c r="CJ65" i="1"/>
  <c r="CK65" i="1"/>
  <c r="CL65" i="1"/>
  <c r="CM65" i="1"/>
  <c r="CN65" i="1"/>
  <c r="CO65" i="1"/>
  <c r="CP65" i="1"/>
  <c r="CQ65" i="1"/>
  <c r="CR65" i="1"/>
  <c r="CS65" i="1"/>
  <c r="CT65" i="1"/>
  <c r="CU65" i="1"/>
  <c r="CV65" i="1"/>
  <c r="CW65" i="1"/>
  <c r="CX65" i="1"/>
  <c r="CY65" i="1"/>
  <c r="CZ65" i="1"/>
  <c r="DA65" i="1"/>
  <c r="DB65" i="1"/>
  <c r="DC65" i="1"/>
  <c r="DD65" i="1"/>
  <c r="DE65" i="1"/>
  <c r="DF65" i="1"/>
  <c r="DG65" i="1"/>
  <c r="DH65" i="1"/>
  <c r="DI65" i="1"/>
  <c r="C47" i="1"/>
  <c r="C72" i="1" s="1"/>
  <c r="C97" i="1" s="1"/>
  <c r="C48" i="1"/>
  <c r="C73" i="1" s="1"/>
  <c r="C98" i="1" s="1"/>
  <c r="C49" i="1"/>
  <c r="C74" i="1" s="1"/>
  <c r="C50" i="1"/>
  <c r="C75" i="1" s="1"/>
  <c r="C51" i="1"/>
  <c r="C76" i="1" s="1"/>
  <c r="C52" i="1"/>
  <c r="C77" i="1" s="1"/>
  <c r="C53" i="1"/>
  <c r="C54" i="1"/>
  <c r="C79" i="1" s="1"/>
  <c r="C55" i="1"/>
  <c r="C80" i="1" s="1"/>
  <c r="C56" i="1"/>
  <c r="C81" i="1" s="1"/>
  <c r="C57" i="1"/>
  <c r="C82" i="1" s="1"/>
  <c r="C105" i="1" s="1"/>
  <c r="C58" i="1"/>
  <c r="C59" i="1"/>
  <c r="C60" i="1"/>
  <c r="C61" i="1"/>
  <c r="C62" i="1"/>
  <c r="C63" i="1"/>
  <c r="C64" i="1"/>
  <c r="C65" i="1"/>
  <c r="C46" i="1"/>
  <c r="C71" i="1" s="1"/>
  <c r="D44" i="1"/>
  <c r="E44" i="1"/>
  <c r="F44" i="1"/>
  <c r="G44" i="1"/>
  <c r="H44" i="1"/>
  <c r="I44" i="1"/>
  <c r="J44" i="1"/>
  <c r="K44" i="1"/>
  <c r="L44" i="1"/>
  <c r="M44" i="1"/>
  <c r="N44" i="1"/>
  <c r="O44" i="1"/>
  <c r="P44" i="1"/>
  <c r="Q44" i="1"/>
  <c r="R44" i="1"/>
  <c r="S44" i="1"/>
  <c r="T44" i="1"/>
  <c r="U44" i="1"/>
  <c r="V44" i="1"/>
  <c r="W44" i="1"/>
  <c r="X44" i="1"/>
  <c r="Y44" i="1"/>
  <c r="Z44" i="1"/>
  <c r="AA44" i="1"/>
  <c r="AB44" i="1"/>
  <c r="AC44" i="1"/>
  <c r="AD44" i="1"/>
  <c r="AE44" i="1"/>
  <c r="AF44" i="1"/>
  <c r="AG44" i="1"/>
  <c r="AH44" i="1"/>
  <c r="AI44" i="1"/>
  <c r="AJ44" i="1"/>
  <c r="AK44" i="1"/>
  <c r="AL44" i="1"/>
  <c r="AM44" i="1"/>
  <c r="AN44" i="1"/>
  <c r="AO44" i="1"/>
  <c r="AP44" i="1"/>
  <c r="AQ44" i="1"/>
  <c r="AR44" i="1"/>
  <c r="AS44" i="1"/>
  <c r="AT44" i="1"/>
  <c r="AU44" i="1"/>
  <c r="AV44" i="1"/>
  <c r="AW44" i="1"/>
  <c r="AX44" i="1"/>
  <c r="AY44" i="1"/>
  <c r="AZ44" i="1"/>
  <c r="BA44" i="1"/>
  <c r="BB44" i="1"/>
  <c r="BC44" i="1"/>
  <c r="BD44" i="1"/>
  <c r="BE44" i="1"/>
  <c r="BF44" i="1"/>
  <c r="BG44" i="1"/>
  <c r="BH44" i="1"/>
  <c r="BI44" i="1"/>
  <c r="BJ44" i="1"/>
  <c r="BK44" i="1"/>
  <c r="BL44" i="1"/>
  <c r="BM44" i="1"/>
  <c r="BN44" i="1"/>
  <c r="BO44" i="1"/>
  <c r="BP44" i="1"/>
  <c r="BQ44" i="1"/>
  <c r="BR44" i="1"/>
  <c r="BS44" i="1"/>
  <c r="BT44" i="1"/>
  <c r="BU44" i="1"/>
  <c r="BV44" i="1"/>
  <c r="BW44" i="1"/>
  <c r="BX44" i="1"/>
  <c r="BY44" i="1"/>
  <c r="BZ44" i="1"/>
  <c r="CA44" i="1"/>
  <c r="CB44" i="1"/>
  <c r="CC44" i="1"/>
  <c r="CD44" i="1"/>
  <c r="CE44" i="1"/>
  <c r="CF44" i="1"/>
  <c r="CG44" i="1"/>
  <c r="CH44" i="1"/>
  <c r="CI44" i="1"/>
  <c r="CJ44" i="1"/>
  <c r="CK44" i="1"/>
  <c r="CL44" i="1"/>
  <c r="CM44" i="1"/>
  <c r="CN44" i="1"/>
  <c r="CO44" i="1"/>
  <c r="CP44" i="1"/>
  <c r="CQ44" i="1"/>
  <c r="CR44" i="1"/>
  <c r="CS44" i="1"/>
  <c r="CT44" i="1"/>
  <c r="CU44" i="1"/>
  <c r="CV44" i="1"/>
  <c r="CW44" i="1"/>
  <c r="CX44" i="1"/>
  <c r="CY44" i="1"/>
  <c r="CZ44" i="1"/>
  <c r="DA44" i="1"/>
  <c r="DB44" i="1"/>
  <c r="DC44" i="1"/>
  <c r="DD44" i="1"/>
  <c r="DE44" i="1"/>
  <c r="DF44" i="1"/>
  <c r="DG44" i="1"/>
  <c r="DH44" i="1"/>
  <c r="DI44" i="1"/>
  <c r="D45" i="1"/>
  <c r="E45" i="1"/>
  <c r="F45" i="1"/>
  <c r="G45" i="1"/>
  <c r="H45" i="1"/>
  <c r="I45" i="1"/>
  <c r="J45" i="1"/>
  <c r="K45" i="1"/>
  <c r="L45" i="1"/>
  <c r="M45" i="1"/>
  <c r="N45" i="1"/>
  <c r="O45" i="1"/>
  <c r="P45" i="1"/>
  <c r="Q45" i="1"/>
  <c r="R45" i="1"/>
  <c r="S45" i="1"/>
  <c r="T45" i="1"/>
  <c r="U45" i="1"/>
  <c r="V45" i="1"/>
  <c r="W45" i="1"/>
  <c r="X45" i="1"/>
  <c r="Y45" i="1"/>
  <c r="Z45" i="1"/>
  <c r="AA45" i="1"/>
  <c r="AB45" i="1"/>
  <c r="AC45" i="1"/>
  <c r="AD45" i="1"/>
  <c r="AE45" i="1"/>
  <c r="AF45" i="1"/>
  <c r="AG45" i="1"/>
  <c r="AH45" i="1"/>
  <c r="AI45" i="1"/>
  <c r="AJ45" i="1"/>
  <c r="AK45" i="1"/>
  <c r="AL45" i="1"/>
  <c r="AM45" i="1"/>
  <c r="AN45" i="1"/>
  <c r="AO45" i="1"/>
  <c r="AP45" i="1"/>
  <c r="AQ45" i="1"/>
  <c r="AR45" i="1"/>
  <c r="AS45" i="1"/>
  <c r="AT45" i="1"/>
  <c r="AU45" i="1"/>
  <c r="AV45" i="1"/>
  <c r="AW45" i="1"/>
  <c r="AX45" i="1"/>
  <c r="AY45" i="1"/>
  <c r="AZ45" i="1"/>
  <c r="BA45" i="1"/>
  <c r="BB45" i="1"/>
  <c r="BC45" i="1"/>
  <c r="BD45" i="1"/>
  <c r="BE45" i="1"/>
  <c r="BF45" i="1"/>
  <c r="BG45" i="1"/>
  <c r="BH45" i="1"/>
  <c r="BI45" i="1"/>
  <c r="BJ45" i="1"/>
  <c r="BK45" i="1"/>
  <c r="BL45" i="1"/>
  <c r="BM45" i="1"/>
  <c r="BN45" i="1"/>
  <c r="BO45" i="1"/>
  <c r="BP45" i="1"/>
  <c r="BQ45" i="1"/>
  <c r="BR45" i="1"/>
  <c r="BS45" i="1"/>
  <c r="BT45" i="1"/>
  <c r="BU45" i="1"/>
  <c r="BV45" i="1"/>
  <c r="BW45" i="1"/>
  <c r="BX45" i="1"/>
  <c r="BY45" i="1"/>
  <c r="BZ45" i="1"/>
  <c r="CA45" i="1"/>
  <c r="CB45" i="1"/>
  <c r="CC45" i="1"/>
  <c r="CD45" i="1"/>
  <c r="CE45" i="1"/>
  <c r="CF45" i="1"/>
  <c r="CG45" i="1"/>
  <c r="CH45" i="1"/>
  <c r="CI45" i="1"/>
  <c r="CJ45" i="1"/>
  <c r="CK45" i="1"/>
  <c r="CL45" i="1"/>
  <c r="CM45" i="1"/>
  <c r="CN45" i="1"/>
  <c r="CO45" i="1"/>
  <c r="CP45" i="1"/>
  <c r="CQ45" i="1"/>
  <c r="CR45" i="1"/>
  <c r="CS45" i="1"/>
  <c r="CT45" i="1"/>
  <c r="CU45" i="1"/>
  <c r="CV45" i="1"/>
  <c r="CW45" i="1"/>
  <c r="CX45" i="1"/>
  <c r="CY45" i="1"/>
  <c r="CZ45" i="1"/>
  <c r="DA45" i="1"/>
  <c r="DB45" i="1"/>
  <c r="DC45" i="1"/>
  <c r="DD45" i="1"/>
  <c r="DE45" i="1"/>
  <c r="DF45" i="1"/>
  <c r="DG45" i="1"/>
  <c r="DH45" i="1"/>
  <c r="DI45" i="1"/>
  <c r="AP104" i="1" l="1"/>
  <c r="AP103" i="1"/>
  <c r="CY101" i="1"/>
  <c r="CM101" i="1"/>
  <c r="CA101" i="1"/>
  <c r="BO101" i="1"/>
  <c r="BC101" i="1"/>
  <c r="AQ101" i="1"/>
  <c r="AE101" i="1"/>
  <c r="S101" i="1"/>
  <c r="G101" i="1"/>
  <c r="C101" i="1"/>
  <c r="CX101" i="1"/>
  <c r="CL101" i="1"/>
  <c r="BZ101" i="1"/>
  <c r="BN101" i="1"/>
  <c r="BB101" i="1"/>
  <c r="AP101" i="1"/>
  <c r="AD101" i="1"/>
  <c r="R101" i="1"/>
  <c r="F101" i="1"/>
  <c r="AL78" i="1"/>
  <c r="AL102" i="1" s="1"/>
  <c r="DE78" i="1"/>
  <c r="DE102" i="1" s="1"/>
  <c r="M78" i="1"/>
  <c r="M102" i="1" s="1"/>
  <c r="AO101" i="1"/>
  <c r="AC101" i="1"/>
  <c r="Q101" i="1"/>
  <c r="CH78" i="1"/>
  <c r="CH102" i="1" s="1"/>
  <c r="AW78" i="1"/>
  <c r="AW102" i="1" s="1"/>
  <c r="BA101" i="1"/>
  <c r="C78" i="1"/>
  <c r="C102" i="1" s="1"/>
  <c r="DD78" i="1"/>
  <c r="DD102" i="1" s="1"/>
  <c r="CR78" i="1"/>
  <c r="CR102" i="1" s="1"/>
  <c r="CF78" i="1"/>
  <c r="CF102" i="1" s="1"/>
  <c r="BT78" i="1"/>
  <c r="BT102" i="1" s="1"/>
  <c r="BH78" i="1"/>
  <c r="BH102" i="1" s="1"/>
  <c r="AV78" i="1"/>
  <c r="AV102" i="1" s="1"/>
  <c r="AJ78" i="1"/>
  <c r="AJ102" i="1" s="1"/>
  <c r="X78" i="1"/>
  <c r="X102" i="1" s="1"/>
  <c r="L78" i="1"/>
  <c r="L102" i="1" s="1"/>
  <c r="DH101" i="1"/>
  <c r="CV101" i="1"/>
  <c r="CJ101" i="1"/>
  <c r="BX101" i="1"/>
  <c r="BL101" i="1"/>
  <c r="AZ101" i="1"/>
  <c r="AN101" i="1"/>
  <c r="AB101" i="1"/>
  <c r="P101" i="1"/>
  <c r="D101" i="1"/>
  <c r="BK78" i="1"/>
  <c r="BK102" i="1" s="1"/>
  <c r="N78" i="1"/>
  <c r="N102" i="1" s="1"/>
  <c r="BI78" i="1"/>
  <c r="BI102" i="1" s="1"/>
  <c r="BM101" i="1"/>
  <c r="AO104" i="1"/>
  <c r="DC78" i="1"/>
  <c r="DC102" i="1" s="1"/>
  <c r="CQ78" i="1"/>
  <c r="CQ102" i="1" s="1"/>
  <c r="CE78" i="1"/>
  <c r="CE102" i="1" s="1"/>
  <c r="BS78" i="1"/>
  <c r="BS102" i="1" s="1"/>
  <c r="BG78" i="1"/>
  <c r="BG102" i="1" s="1"/>
  <c r="AU78" i="1"/>
  <c r="AU102" i="1" s="1"/>
  <c r="AI78" i="1"/>
  <c r="AI102" i="1" s="1"/>
  <c r="W78" i="1"/>
  <c r="W102" i="1" s="1"/>
  <c r="K78" i="1"/>
  <c r="K102" i="1" s="1"/>
  <c r="DG101" i="1"/>
  <c r="CU101" i="1"/>
  <c r="CI101" i="1"/>
  <c r="BW101" i="1"/>
  <c r="BK101" i="1"/>
  <c r="AY101" i="1"/>
  <c r="AM101" i="1"/>
  <c r="AA101" i="1"/>
  <c r="O101" i="1"/>
  <c r="AY78" i="1"/>
  <c r="AY102" i="1" s="1"/>
  <c r="BV78" i="1"/>
  <c r="BV102" i="1" s="1"/>
  <c r="BU78" i="1"/>
  <c r="BU102" i="1" s="1"/>
  <c r="E101" i="1"/>
  <c r="DB78" i="1"/>
  <c r="DB102" i="1" s="1"/>
  <c r="CP78" i="1"/>
  <c r="CP102" i="1" s="1"/>
  <c r="CD78" i="1"/>
  <c r="CD102" i="1" s="1"/>
  <c r="BR78" i="1"/>
  <c r="BR102" i="1" s="1"/>
  <c r="BF78" i="1"/>
  <c r="BF102" i="1" s="1"/>
  <c r="AT78" i="1"/>
  <c r="AT102" i="1" s="1"/>
  <c r="AH78" i="1"/>
  <c r="AH102" i="1" s="1"/>
  <c r="V78" i="1"/>
  <c r="V102" i="1" s="1"/>
  <c r="J78" i="1"/>
  <c r="J102" i="1" s="1"/>
  <c r="DF101" i="1"/>
  <c r="CT101" i="1"/>
  <c r="CH101" i="1"/>
  <c r="BV101" i="1"/>
  <c r="BJ101" i="1"/>
  <c r="AX101" i="1"/>
  <c r="AL101" i="1"/>
  <c r="Z101" i="1"/>
  <c r="N101" i="1"/>
  <c r="DG78" i="1"/>
  <c r="DG102" i="1" s="1"/>
  <c r="AA78" i="1"/>
  <c r="AA102" i="1" s="1"/>
  <c r="BJ78" i="1"/>
  <c r="BJ102" i="1" s="1"/>
  <c r="CW101" i="1"/>
  <c r="AO103" i="1"/>
  <c r="DA78" i="1"/>
  <c r="DA102" i="1" s="1"/>
  <c r="CO78" i="1"/>
  <c r="CO102" i="1" s="1"/>
  <c r="CC78" i="1"/>
  <c r="CC102" i="1" s="1"/>
  <c r="BQ78" i="1"/>
  <c r="BQ102" i="1" s="1"/>
  <c r="BE78" i="1"/>
  <c r="BE102" i="1" s="1"/>
  <c r="AS78" i="1"/>
  <c r="AS102" i="1" s="1"/>
  <c r="AG78" i="1"/>
  <c r="AG102" i="1" s="1"/>
  <c r="U78" i="1"/>
  <c r="U102" i="1" s="1"/>
  <c r="I78" i="1"/>
  <c r="I102" i="1" s="1"/>
  <c r="DE101" i="1"/>
  <c r="CS101" i="1"/>
  <c r="CG101" i="1"/>
  <c r="BU101" i="1"/>
  <c r="BI101" i="1"/>
  <c r="AW101" i="1"/>
  <c r="AK101" i="1"/>
  <c r="Y101" i="1"/>
  <c r="M101" i="1"/>
  <c r="AM78" i="1"/>
  <c r="AM102" i="1" s="1"/>
  <c r="AK78" i="1"/>
  <c r="AK102" i="1" s="1"/>
  <c r="CZ78" i="1"/>
  <c r="CZ102" i="1" s="1"/>
  <c r="CN78" i="1"/>
  <c r="CN102" i="1" s="1"/>
  <c r="CB78" i="1"/>
  <c r="CB102" i="1" s="1"/>
  <c r="BP78" i="1"/>
  <c r="BP102" i="1" s="1"/>
  <c r="BD78" i="1"/>
  <c r="BD102" i="1" s="1"/>
  <c r="AR78" i="1"/>
  <c r="AR102" i="1" s="1"/>
  <c r="AF78" i="1"/>
  <c r="AF102" i="1" s="1"/>
  <c r="T78" i="1"/>
  <c r="T102" i="1" s="1"/>
  <c r="H78" i="1"/>
  <c r="H102" i="1" s="1"/>
  <c r="DD101" i="1"/>
  <c r="CR101" i="1"/>
  <c r="CF101" i="1"/>
  <c r="BT101" i="1"/>
  <c r="BH101" i="1"/>
  <c r="AV101" i="1"/>
  <c r="AJ101" i="1"/>
  <c r="X101" i="1"/>
  <c r="L101" i="1"/>
  <c r="BW78" i="1"/>
  <c r="BW102" i="1" s="1"/>
  <c r="Z78" i="1"/>
  <c r="Z102" i="1" s="1"/>
  <c r="BY101" i="1"/>
  <c r="CY78" i="1"/>
  <c r="CY102" i="1" s="1"/>
  <c r="CM78" i="1"/>
  <c r="CM102" i="1" s="1"/>
  <c r="CA78" i="1"/>
  <c r="CA102" i="1" s="1"/>
  <c r="BO78" i="1"/>
  <c r="BO102" i="1" s="1"/>
  <c r="BC78" i="1"/>
  <c r="BC102" i="1" s="1"/>
  <c r="AQ78" i="1"/>
  <c r="AQ102" i="1" s="1"/>
  <c r="AE78" i="1"/>
  <c r="AE102" i="1" s="1"/>
  <c r="S78" i="1"/>
  <c r="S102" i="1" s="1"/>
  <c r="G78" i="1"/>
  <c r="G102" i="1" s="1"/>
  <c r="DC101" i="1"/>
  <c r="CQ101" i="1"/>
  <c r="CE101" i="1"/>
  <c r="BS101" i="1"/>
  <c r="BG101" i="1"/>
  <c r="AU101" i="1"/>
  <c r="AI101" i="1"/>
  <c r="W101" i="1"/>
  <c r="K101" i="1"/>
  <c r="AX78" i="1"/>
  <c r="AX102" i="1" s="1"/>
  <c r="CS78" i="1"/>
  <c r="CS102" i="1" s="1"/>
  <c r="Y78" i="1"/>
  <c r="Y102" i="1" s="1"/>
  <c r="CX78" i="1"/>
  <c r="CX102" i="1" s="1"/>
  <c r="CL78" i="1"/>
  <c r="CL102" i="1" s="1"/>
  <c r="BZ78" i="1"/>
  <c r="BZ102" i="1" s="1"/>
  <c r="BN78" i="1"/>
  <c r="BN102" i="1" s="1"/>
  <c r="BB78" i="1"/>
  <c r="BB102" i="1" s="1"/>
  <c r="AP78" i="1"/>
  <c r="AP102" i="1" s="1"/>
  <c r="AD78" i="1"/>
  <c r="AD102" i="1" s="1"/>
  <c r="R78" i="1"/>
  <c r="R102" i="1" s="1"/>
  <c r="F78" i="1"/>
  <c r="F102" i="1" s="1"/>
  <c r="DB101" i="1"/>
  <c r="CP101" i="1"/>
  <c r="CD101" i="1"/>
  <c r="BR101" i="1"/>
  <c r="BF101" i="1"/>
  <c r="AT101" i="1"/>
  <c r="AH101" i="1"/>
  <c r="V101" i="1"/>
  <c r="J101" i="1"/>
  <c r="CI78" i="1"/>
  <c r="CI102" i="1" s="1"/>
  <c r="O78" i="1"/>
  <c r="O102" i="1" s="1"/>
  <c r="CT78" i="1"/>
  <c r="CT102" i="1" s="1"/>
  <c r="CG78" i="1"/>
  <c r="CG102" i="1" s="1"/>
  <c r="CK101" i="1"/>
  <c r="DI78" i="1"/>
  <c r="DI102" i="1" s="1"/>
  <c r="CW78" i="1"/>
  <c r="CW102" i="1" s="1"/>
  <c r="CK78" i="1"/>
  <c r="CK102" i="1" s="1"/>
  <c r="BY78" i="1"/>
  <c r="BY102" i="1" s="1"/>
  <c r="BM78" i="1"/>
  <c r="BM102" i="1" s="1"/>
  <c r="BA78" i="1"/>
  <c r="BA102" i="1" s="1"/>
  <c r="AO78" i="1"/>
  <c r="AO102" i="1" s="1"/>
  <c r="AC78" i="1"/>
  <c r="AC102" i="1" s="1"/>
  <c r="Q78" i="1"/>
  <c r="Q102" i="1" s="1"/>
  <c r="E78" i="1"/>
  <c r="E102" i="1" s="1"/>
  <c r="DA101" i="1"/>
  <c r="CO101" i="1"/>
  <c r="CC101" i="1"/>
  <c r="BQ101" i="1"/>
  <c r="BE101" i="1"/>
  <c r="AS101" i="1"/>
  <c r="AG101" i="1"/>
  <c r="U101" i="1"/>
  <c r="I101" i="1"/>
  <c r="CU78" i="1"/>
  <c r="CU102" i="1" s="1"/>
  <c r="DF78" i="1"/>
  <c r="DF102" i="1" s="1"/>
  <c r="DI101" i="1"/>
  <c r="DH78" i="1"/>
  <c r="DH102" i="1" s="1"/>
  <c r="CV78" i="1"/>
  <c r="CV102" i="1" s="1"/>
  <c r="CJ78" i="1"/>
  <c r="CJ102" i="1" s="1"/>
  <c r="BX78" i="1"/>
  <c r="BX102" i="1" s="1"/>
  <c r="BL78" i="1"/>
  <c r="BL102" i="1" s="1"/>
  <c r="AZ78" i="1"/>
  <c r="AZ102" i="1" s="1"/>
  <c r="AN78" i="1"/>
  <c r="AN102" i="1" s="1"/>
  <c r="AB78" i="1"/>
  <c r="AB102" i="1" s="1"/>
  <c r="P78" i="1"/>
  <c r="P102" i="1" s="1"/>
  <c r="D78" i="1"/>
  <c r="D102" i="1" s="1"/>
  <c r="CZ101" i="1"/>
  <c r="CN101" i="1"/>
  <c r="CB101" i="1"/>
  <c r="BP101" i="1"/>
  <c r="BD101" i="1"/>
  <c r="AR101" i="1"/>
  <c r="AF101" i="1"/>
  <c r="T101" i="1"/>
  <c r="H101" i="1"/>
  <c r="CY100" i="1"/>
  <c r="CY99" i="1"/>
  <c r="CY106" i="1" s="1"/>
  <c r="CM100" i="1"/>
  <c r="CM99" i="1"/>
  <c r="CM106" i="1" s="1"/>
  <c r="CA99" i="1"/>
  <c r="CA106" i="1" s="1"/>
  <c r="BO100" i="1"/>
  <c r="BO99" i="1"/>
  <c r="BO106" i="1" s="1"/>
  <c r="BC99" i="1"/>
  <c r="BC106" i="1" s="1"/>
  <c r="AQ99" i="1"/>
  <c r="AQ106" i="1" s="1"/>
  <c r="AE99" i="1"/>
  <c r="AE106" i="1" s="1"/>
  <c r="S100" i="1"/>
  <c r="S99" i="1"/>
  <c r="S106" i="1" s="1"/>
  <c r="G99" i="1"/>
  <c r="G106" i="1" s="1"/>
  <c r="CX99" i="1"/>
  <c r="CX106" i="1" s="1"/>
  <c r="CL100" i="1"/>
  <c r="CL99" i="1"/>
  <c r="CL106" i="1" s="1"/>
  <c r="BZ100" i="1"/>
  <c r="BZ99" i="1"/>
  <c r="BZ106" i="1" s="1"/>
  <c r="BN99" i="1"/>
  <c r="BN106" i="1" s="1"/>
  <c r="BB100" i="1"/>
  <c r="BB99" i="1"/>
  <c r="BB106" i="1" s="1"/>
  <c r="AP99" i="1"/>
  <c r="AP106" i="1" s="1"/>
  <c r="AD100" i="1"/>
  <c r="AD99" i="1"/>
  <c r="AD106" i="1" s="1"/>
  <c r="R100" i="1"/>
  <c r="R99" i="1"/>
  <c r="R106" i="1" s="1"/>
  <c r="F100" i="1"/>
  <c r="F99" i="1"/>
  <c r="F106" i="1" s="1"/>
  <c r="DI100" i="1"/>
  <c r="DI99" i="1"/>
  <c r="DI106" i="1" s="1"/>
  <c r="CW100" i="1"/>
  <c r="CW99" i="1"/>
  <c r="CW106" i="1" s="1"/>
  <c r="CK100" i="1"/>
  <c r="CK99" i="1"/>
  <c r="CK106" i="1" s="1"/>
  <c r="BY100" i="1"/>
  <c r="BY99" i="1"/>
  <c r="BY106" i="1" s="1"/>
  <c r="BM100" i="1"/>
  <c r="BM99" i="1"/>
  <c r="BM106" i="1" s="1"/>
  <c r="BA100" i="1"/>
  <c r="BA99" i="1"/>
  <c r="BA106" i="1" s="1"/>
  <c r="AO100" i="1"/>
  <c r="AO99" i="1"/>
  <c r="AO106" i="1" s="1"/>
  <c r="AC100" i="1"/>
  <c r="AC99" i="1"/>
  <c r="AC106" i="1" s="1"/>
  <c r="Q100" i="1"/>
  <c r="Q99" i="1"/>
  <c r="Q106" i="1" s="1"/>
  <c r="E100" i="1"/>
  <c r="E99" i="1"/>
  <c r="E106" i="1" s="1"/>
  <c r="C100" i="1"/>
  <c r="C99" i="1"/>
  <c r="DH100" i="1"/>
  <c r="DH99" i="1"/>
  <c r="DH106" i="1" s="1"/>
  <c r="CV100" i="1"/>
  <c r="CV99" i="1"/>
  <c r="CV106" i="1" s="1"/>
  <c r="CJ100" i="1"/>
  <c r="CJ99" i="1"/>
  <c r="CJ106" i="1" s="1"/>
  <c r="BX100" i="1"/>
  <c r="BX99" i="1"/>
  <c r="BX106" i="1" s="1"/>
  <c r="BL100" i="1"/>
  <c r="BL99" i="1"/>
  <c r="BL106" i="1" s="1"/>
  <c r="AZ100" i="1"/>
  <c r="AZ99" i="1"/>
  <c r="AZ106" i="1" s="1"/>
  <c r="AN100" i="1"/>
  <c r="AN99" i="1"/>
  <c r="AN106" i="1" s="1"/>
  <c r="AB100" i="1"/>
  <c r="AB99" i="1"/>
  <c r="AB106" i="1" s="1"/>
  <c r="P100" i="1"/>
  <c r="P99" i="1"/>
  <c r="P106" i="1" s="1"/>
  <c r="D100" i="1"/>
  <c r="D99" i="1"/>
  <c r="D106" i="1" s="1"/>
  <c r="DG100" i="1"/>
  <c r="DG99" i="1"/>
  <c r="DG106" i="1" s="1"/>
  <c r="CU100" i="1"/>
  <c r="CU99" i="1"/>
  <c r="CU106" i="1" s="1"/>
  <c r="CI100" i="1"/>
  <c r="CI99" i="1"/>
  <c r="CI106" i="1" s="1"/>
  <c r="BW100" i="1"/>
  <c r="BW99" i="1"/>
  <c r="BW106" i="1" s="1"/>
  <c r="BK100" i="1"/>
  <c r="BK99" i="1"/>
  <c r="BK106" i="1" s="1"/>
  <c r="AY100" i="1"/>
  <c r="AY99" i="1"/>
  <c r="AY106" i="1" s="1"/>
  <c r="AM100" i="1"/>
  <c r="AM99" i="1"/>
  <c r="AM106" i="1" s="1"/>
  <c r="AA100" i="1"/>
  <c r="AA99" i="1"/>
  <c r="AA106" i="1" s="1"/>
  <c r="O100" i="1"/>
  <c r="O99" i="1"/>
  <c r="O106" i="1" s="1"/>
  <c r="DF100" i="1"/>
  <c r="DF99" i="1"/>
  <c r="DF106" i="1" s="1"/>
  <c r="CT100" i="1"/>
  <c r="CT99" i="1"/>
  <c r="CT106" i="1" s="1"/>
  <c r="CH100" i="1"/>
  <c r="CH99" i="1"/>
  <c r="CH106" i="1" s="1"/>
  <c r="BV100" i="1"/>
  <c r="BV99" i="1"/>
  <c r="BV106" i="1" s="1"/>
  <c r="BJ100" i="1"/>
  <c r="BJ99" i="1"/>
  <c r="BJ106" i="1" s="1"/>
  <c r="AX100" i="1"/>
  <c r="AX99" i="1"/>
  <c r="AX106" i="1" s="1"/>
  <c r="AL100" i="1"/>
  <c r="AL99" i="1"/>
  <c r="AL106" i="1" s="1"/>
  <c r="Z100" i="1"/>
  <c r="Z99" i="1"/>
  <c r="Z106" i="1" s="1"/>
  <c r="N100" i="1"/>
  <c r="N99" i="1"/>
  <c r="N106" i="1" s="1"/>
  <c r="DE100" i="1"/>
  <c r="DE99" i="1"/>
  <c r="DE106" i="1" s="1"/>
  <c r="CS100" i="1"/>
  <c r="CS99" i="1"/>
  <c r="CS106" i="1" s="1"/>
  <c r="CG100" i="1"/>
  <c r="CG99" i="1"/>
  <c r="CG106" i="1" s="1"/>
  <c r="BU100" i="1"/>
  <c r="BU99" i="1"/>
  <c r="BU106" i="1" s="1"/>
  <c r="BI100" i="1"/>
  <c r="BI99" i="1"/>
  <c r="BI106" i="1" s="1"/>
  <c r="AW100" i="1"/>
  <c r="AW99" i="1"/>
  <c r="AW106" i="1" s="1"/>
  <c r="AK100" i="1"/>
  <c r="AK99" i="1"/>
  <c r="AK106" i="1" s="1"/>
  <c r="Y100" i="1"/>
  <c r="Y99" i="1"/>
  <c r="Y106" i="1" s="1"/>
  <c r="M100" i="1"/>
  <c r="M99" i="1"/>
  <c r="M106" i="1" s="1"/>
  <c r="DD100" i="1"/>
  <c r="DD99" i="1"/>
  <c r="DD106" i="1" s="1"/>
  <c r="CR100" i="1"/>
  <c r="CR99" i="1"/>
  <c r="CR106" i="1" s="1"/>
  <c r="CF100" i="1"/>
  <c r="CF99" i="1"/>
  <c r="CF106" i="1" s="1"/>
  <c r="BT100" i="1"/>
  <c r="BT99" i="1"/>
  <c r="BT106" i="1" s="1"/>
  <c r="BH100" i="1"/>
  <c r="BH99" i="1"/>
  <c r="BH106" i="1" s="1"/>
  <c r="AV100" i="1"/>
  <c r="AV99" i="1"/>
  <c r="AV106" i="1" s="1"/>
  <c r="AJ100" i="1"/>
  <c r="AJ99" i="1"/>
  <c r="AJ106" i="1" s="1"/>
  <c r="X100" i="1"/>
  <c r="X99" i="1"/>
  <c r="X106" i="1" s="1"/>
  <c r="L100" i="1"/>
  <c r="L99" i="1"/>
  <c r="L106" i="1" s="1"/>
  <c r="DC100" i="1"/>
  <c r="DC99" i="1"/>
  <c r="DC106" i="1" s="1"/>
  <c r="CQ100" i="1"/>
  <c r="CQ99" i="1"/>
  <c r="CQ106" i="1" s="1"/>
  <c r="CE100" i="1"/>
  <c r="CE99" i="1"/>
  <c r="CE106" i="1" s="1"/>
  <c r="BS100" i="1"/>
  <c r="BS99" i="1"/>
  <c r="BS106" i="1" s="1"/>
  <c r="BG100" i="1"/>
  <c r="BG99" i="1"/>
  <c r="BG106" i="1" s="1"/>
  <c r="AU100" i="1"/>
  <c r="AU99" i="1"/>
  <c r="AU106" i="1" s="1"/>
  <c r="AI100" i="1"/>
  <c r="AI99" i="1"/>
  <c r="AI106" i="1" s="1"/>
  <c r="W100" i="1"/>
  <c r="W99" i="1"/>
  <c r="W106" i="1" s="1"/>
  <c r="K100" i="1"/>
  <c r="K99" i="1"/>
  <c r="K106" i="1" s="1"/>
  <c r="DB100" i="1"/>
  <c r="DB99" i="1"/>
  <c r="DB106" i="1" s="1"/>
  <c r="CP100" i="1"/>
  <c r="CP99" i="1"/>
  <c r="CP106" i="1" s="1"/>
  <c r="CD100" i="1"/>
  <c r="CD99" i="1"/>
  <c r="CD106" i="1" s="1"/>
  <c r="BR100" i="1"/>
  <c r="BR99" i="1"/>
  <c r="BR106" i="1" s="1"/>
  <c r="BF100" i="1"/>
  <c r="BF99" i="1"/>
  <c r="BF106" i="1" s="1"/>
  <c r="AT100" i="1"/>
  <c r="AT99" i="1"/>
  <c r="AT106" i="1" s="1"/>
  <c r="AH100" i="1"/>
  <c r="AH99" i="1"/>
  <c r="AH106" i="1" s="1"/>
  <c r="V100" i="1"/>
  <c r="V99" i="1"/>
  <c r="V106" i="1" s="1"/>
  <c r="J100" i="1"/>
  <c r="J99" i="1"/>
  <c r="J106" i="1" s="1"/>
  <c r="CA100" i="1"/>
  <c r="BC100" i="1"/>
  <c r="AQ100" i="1"/>
  <c r="AE100" i="1"/>
  <c r="G100" i="1"/>
  <c r="DA100" i="1"/>
  <c r="DA99" i="1"/>
  <c r="DA106" i="1" s="1"/>
  <c r="CO100" i="1"/>
  <c r="CO99" i="1"/>
  <c r="CO106" i="1" s="1"/>
  <c r="CC100" i="1"/>
  <c r="CC99" i="1"/>
  <c r="CC106" i="1" s="1"/>
  <c r="BQ100" i="1"/>
  <c r="BQ99" i="1"/>
  <c r="BQ106" i="1" s="1"/>
  <c r="BE100" i="1"/>
  <c r="BE99" i="1"/>
  <c r="BE106" i="1" s="1"/>
  <c r="AS100" i="1"/>
  <c r="AS99" i="1"/>
  <c r="AS106" i="1" s="1"/>
  <c r="AG100" i="1"/>
  <c r="AG99" i="1"/>
  <c r="AG106" i="1" s="1"/>
  <c r="U100" i="1"/>
  <c r="U99" i="1"/>
  <c r="U106" i="1" s="1"/>
  <c r="I100" i="1"/>
  <c r="I99" i="1"/>
  <c r="I106" i="1" s="1"/>
  <c r="CX100" i="1"/>
  <c r="BN100" i="1"/>
  <c r="AP100" i="1"/>
  <c r="CZ100" i="1"/>
  <c r="CZ99" i="1"/>
  <c r="CZ106" i="1" s="1"/>
  <c r="CN100" i="1"/>
  <c r="CN99" i="1"/>
  <c r="CN106" i="1" s="1"/>
  <c r="CB100" i="1"/>
  <c r="CB99" i="1"/>
  <c r="CB106" i="1" s="1"/>
  <c r="BP100" i="1"/>
  <c r="BP99" i="1"/>
  <c r="BP106" i="1" s="1"/>
  <c r="BD100" i="1"/>
  <c r="BD99" i="1"/>
  <c r="BD106" i="1" s="1"/>
  <c r="AR100" i="1"/>
  <c r="AR99" i="1"/>
  <c r="AR106" i="1" s="1"/>
  <c r="AF100" i="1"/>
  <c r="AF99" i="1"/>
  <c r="AF106" i="1" s="1"/>
  <c r="T100" i="1"/>
  <c r="T99" i="1"/>
  <c r="T106" i="1" s="1"/>
  <c r="H100" i="1"/>
  <c r="H99" i="1"/>
  <c r="H106" i="1" s="1"/>
  <c r="CG96" i="1"/>
  <c r="DD96" i="1"/>
  <c r="CR96" i="1"/>
  <c r="CF96" i="1"/>
  <c r="BT96" i="1"/>
  <c r="BH96" i="1"/>
  <c r="AV96" i="1"/>
  <c r="AJ96" i="1"/>
  <c r="X96" i="1"/>
  <c r="L96" i="1"/>
  <c r="CS96" i="1"/>
  <c r="DC96" i="1"/>
  <c r="CQ96" i="1"/>
  <c r="CE96" i="1"/>
  <c r="BS96" i="1"/>
  <c r="BG96" i="1"/>
  <c r="AU96" i="1"/>
  <c r="AI96" i="1"/>
  <c r="W96" i="1"/>
  <c r="K96" i="1"/>
  <c r="AW96" i="1"/>
  <c r="DB96" i="1"/>
  <c r="CP96" i="1"/>
  <c r="CD96" i="1"/>
  <c r="BR96" i="1"/>
  <c r="BF96" i="1"/>
  <c r="AT96" i="1"/>
  <c r="AH96" i="1"/>
  <c r="V96" i="1"/>
  <c r="J96" i="1"/>
  <c r="DA96" i="1"/>
  <c r="CO96" i="1"/>
  <c r="CC96" i="1"/>
  <c r="BQ96" i="1"/>
  <c r="BE96" i="1"/>
  <c r="AS96" i="1"/>
  <c r="AG96" i="1"/>
  <c r="U96" i="1"/>
  <c r="I96" i="1"/>
  <c r="BU96" i="1"/>
  <c r="CZ96" i="1"/>
  <c r="CN96" i="1"/>
  <c r="CB96" i="1"/>
  <c r="BP96" i="1"/>
  <c r="BD96" i="1"/>
  <c r="AR96" i="1"/>
  <c r="AF96" i="1"/>
  <c r="T96" i="1"/>
  <c r="H96" i="1"/>
  <c r="DE96" i="1"/>
  <c r="CY96" i="1"/>
  <c r="CM96" i="1"/>
  <c r="CA96" i="1"/>
  <c r="BO96" i="1"/>
  <c r="BC96" i="1"/>
  <c r="AQ96" i="1"/>
  <c r="AE96" i="1"/>
  <c r="S96" i="1"/>
  <c r="G96" i="1"/>
  <c r="AK96" i="1"/>
  <c r="CX96" i="1"/>
  <c r="CL96" i="1"/>
  <c r="BZ96" i="1"/>
  <c r="BN96" i="1"/>
  <c r="BB96" i="1"/>
  <c r="AP96" i="1"/>
  <c r="AD96" i="1"/>
  <c r="R96" i="1"/>
  <c r="F96" i="1"/>
  <c r="DI96" i="1"/>
  <c r="CW96" i="1"/>
  <c r="CK96" i="1"/>
  <c r="BY96" i="1"/>
  <c r="BY104" i="1"/>
  <c r="BM96" i="1"/>
  <c r="BA96" i="1"/>
  <c r="AO96" i="1"/>
  <c r="AC96" i="1"/>
  <c r="Q96" i="1"/>
  <c r="E96" i="1"/>
  <c r="Y96" i="1"/>
  <c r="DH96" i="1"/>
  <c r="CV96" i="1"/>
  <c r="CJ96" i="1"/>
  <c r="BX96" i="1"/>
  <c r="BL96" i="1"/>
  <c r="AZ96" i="1"/>
  <c r="AN96" i="1"/>
  <c r="AB96" i="1"/>
  <c r="P96" i="1"/>
  <c r="D96" i="1"/>
  <c r="BI96" i="1"/>
  <c r="C96" i="1"/>
  <c r="DG96" i="1"/>
  <c r="CU96" i="1"/>
  <c r="CI96" i="1"/>
  <c r="BW96" i="1"/>
  <c r="BK96" i="1"/>
  <c r="AY96" i="1"/>
  <c r="AM96" i="1"/>
  <c r="AA96" i="1"/>
  <c r="O96" i="1"/>
  <c r="M96" i="1"/>
  <c r="DF96" i="1"/>
  <c r="CT96" i="1"/>
  <c r="CH96" i="1"/>
  <c r="BV96" i="1"/>
  <c r="BJ96" i="1"/>
  <c r="AX96" i="1"/>
  <c r="AL96" i="1"/>
  <c r="Z96" i="1"/>
  <c r="N96" i="1"/>
  <c r="C107" i="1" l="1"/>
  <c r="C106" i="1"/>
  <c r="AR103" i="1"/>
  <c r="BB104" i="1"/>
  <c r="BE107" i="1"/>
  <c r="DC107" i="1"/>
  <c r="BZ107" i="1"/>
  <c r="DB107" i="1"/>
  <c r="BK107" i="1"/>
  <c r="BQ107" i="1"/>
  <c r="AU107" i="1"/>
  <c r="BH107" i="1"/>
  <c r="M107" i="1"/>
  <c r="CG107" i="1"/>
  <c r="D107" i="1"/>
  <c r="BX107" i="1"/>
  <c r="R107" i="1"/>
  <c r="CL107" i="1"/>
  <c r="AQ107" i="1"/>
  <c r="F107" i="1"/>
  <c r="BD107" i="1"/>
  <c r="AT107" i="1"/>
  <c r="AL107" i="1"/>
  <c r="DF107" i="1"/>
  <c r="BW107" i="1"/>
  <c r="Q107" i="1"/>
  <c r="CK107" i="1"/>
  <c r="Z107" i="1"/>
  <c r="I107" i="1"/>
  <c r="CC107" i="1"/>
  <c r="BG107" i="1"/>
  <c r="BT107" i="1"/>
  <c r="Y107" i="1"/>
  <c r="CS107" i="1"/>
  <c r="P107" i="1"/>
  <c r="CJ107" i="1"/>
  <c r="AD107" i="1"/>
  <c r="CX107" i="1"/>
  <c r="BC107" i="1"/>
  <c r="AV107" i="1"/>
  <c r="CT107" i="1"/>
  <c r="BP107" i="1"/>
  <c r="BF107" i="1"/>
  <c r="BG103" i="1"/>
  <c r="AX107" i="1"/>
  <c r="O107" i="1"/>
  <c r="CI107" i="1"/>
  <c r="AC107" i="1"/>
  <c r="CW107" i="1"/>
  <c r="U107" i="1"/>
  <c r="CO107" i="1"/>
  <c r="CP103" i="1"/>
  <c r="BS107" i="1"/>
  <c r="L107" i="1"/>
  <c r="CF107" i="1"/>
  <c r="AK107" i="1"/>
  <c r="DE107" i="1"/>
  <c r="AB107" i="1"/>
  <c r="CV107" i="1"/>
  <c r="AP107" i="1"/>
  <c r="D27" i="11" s="1" a="1"/>
  <c r="I83" i="11" s="1"/>
  <c r="BO107" i="1"/>
  <c r="AH107" i="1"/>
  <c r="BY107" i="1"/>
  <c r="H107" i="1"/>
  <c r="CB107" i="1"/>
  <c r="BR107" i="1"/>
  <c r="DB103" i="1"/>
  <c r="BJ107" i="1"/>
  <c r="AA107" i="1"/>
  <c r="CU107" i="1"/>
  <c r="AO107" i="1"/>
  <c r="DI107" i="1"/>
  <c r="AR107" i="1"/>
  <c r="E107" i="1"/>
  <c r="AG107" i="1"/>
  <c r="DA107" i="1"/>
  <c r="K107" i="1"/>
  <c r="CE107" i="1"/>
  <c r="X107" i="1"/>
  <c r="CR107" i="1"/>
  <c r="AW107" i="1"/>
  <c r="AN107" i="1"/>
  <c r="DH107" i="1"/>
  <c r="BB107" i="1"/>
  <c r="G107" i="1"/>
  <c r="CA107" i="1"/>
  <c r="T107" i="1"/>
  <c r="CN107" i="1"/>
  <c r="J107" i="1"/>
  <c r="CD107" i="1"/>
  <c r="BV107" i="1"/>
  <c r="AM107" i="1"/>
  <c r="DG107" i="1"/>
  <c r="BA107" i="1"/>
  <c r="BL107" i="1"/>
  <c r="AE107" i="1"/>
  <c r="T103" i="1"/>
  <c r="AS107" i="1"/>
  <c r="W107" i="1"/>
  <c r="CQ107" i="1"/>
  <c r="AJ107" i="1"/>
  <c r="DD107" i="1"/>
  <c r="BI107" i="1"/>
  <c r="AZ107" i="1"/>
  <c r="BN107" i="1"/>
  <c r="S107" i="1"/>
  <c r="CM107" i="1"/>
  <c r="AI107" i="1"/>
  <c r="BU107" i="1"/>
  <c r="CY107" i="1"/>
  <c r="AF107" i="1"/>
  <c r="CZ107" i="1"/>
  <c r="AF103" i="1"/>
  <c r="V107" i="1"/>
  <c r="CP107" i="1"/>
  <c r="N107" i="1"/>
  <c r="CH107" i="1"/>
  <c r="AY107" i="1"/>
  <c r="BM107" i="1"/>
  <c r="H103" i="1"/>
  <c r="I103" i="1"/>
  <c r="AQ104" i="1"/>
  <c r="AU103" i="1"/>
  <c r="CC104" i="1"/>
  <c r="C104" i="1"/>
  <c r="V104" i="1"/>
  <c r="BI103" i="1"/>
  <c r="CQ104" i="1"/>
  <c r="AJ104" i="1"/>
  <c r="CI103" i="1"/>
  <c r="D103" i="1"/>
  <c r="AL104" i="1"/>
  <c r="BA103" i="1"/>
  <c r="CI104" i="1"/>
  <c r="P104" i="1"/>
  <c r="BC103" i="1"/>
  <c r="CK104" i="1"/>
  <c r="U103" i="1"/>
  <c r="BC104" i="1"/>
  <c r="CO104" i="1"/>
  <c r="AH104" i="1"/>
  <c r="BU103" i="1"/>
  <c r="DC104" i="1"/>
  <c r="N103" i="1"/>
  <c r="AV104" i="1"/>
  <c r="CU103" i="1"/>
  <c r="P103" i="1"/>
  <c r="AX104" i="1"/>
  <c r="BM103" i="1"/>
  <c r="CU104" i="1"/>
  <c r="AB104" i="1"/>
  <c r="BO103" i="1"/>
  <c r="CW104" i="1"/>
  <c r="BN104" i="1"/>
  <c r="AG103" i="1"/>
  <c r="BO104" i="1"/>
  <c r="H104" i="1"/>
  <c r="BS103" i="1"/>
  <c r="DA104" i="1"/>
  <c r="L103" i="1"/>
  <c r="AT104" i="1"/>
  <c r="CG103" i="1"/>
  <c r="Z103" i="1"/>
  <c r="BH104" i="1"/>
  <c r="DG103" i="1"/>
  <c r="AB103" i="1"/>
  <c r="BJ104" i="1"/>
  <c r="BY103" i="1"/>
  <c r="DG104" i="1"/>
  <c r="F103" i="1"/>
  <c r="AN104" i="1"/>
  <c r="CA103" i="1"/>
  <c r="DI104" i="1"/>
  <c r="BZ104" i="1"/>
  <c r="AS103" i="1"/>
  <c r="CA104" i="1"/>
  <c r="T104" i="1"/>
  <c r="CE103" i="1"/>
  <c r="X103" i="1"/>
  <c r="BF104" i="1"/>
  <c r="CS103" i="1"/>
  <c r="AL103" i="1"/>
  <c r="BT104" i="1"/>
  <c r="M104" i="1"/>
  <c r="AN103" i="1"/>
  <c r="BV104" i="1"/>
  <c r="CK103" i="1"/>
  <c r="R103" i="1"/>
  <c r="AZ104" i="1"/>
  <c r="CM103" i="1"/>
  <c r="BD103" i="1"/>
  <c r="CL104" i="1"/>
  <c r="BE103" i="1"/>
  <c r="CM104" i="1"/>
  <c r="AF104" i="1"/>
  <c r="CQ103" i="1"/>
  <c r="AJ103" i="1"/>
  <c r="BR104" i="1"/>
  <c r="DE103" i="1"/>
  <c r="AX103" i="1"/>
  <c r="CF104" i="1"/>
  <c r="Y104" i="1"/>
  <c r="AZ103" i="1"/>
  <c r="CH104" i="1"/>
  <c r="CW103" i="1"/>
  <c r="AD103" i="1"/>
  <c r="BL104" i="1"/>
  <c r="CY103" i="1"/>
  <c r="BP103" i="1"/>
  <c r="CX104" i="1"/>
  <c r="BQ103" i="1"/>
  <c r="CY104" i="1"/>
  <c r="J103" i="1"/>
  <c r="AR104" i="1"/>
  <c r="DC103" i="1"/>
  <c r="AV103" i="1"/>
  <c r="CD104" i="1"/>
  <c r="K104" i="1"/>
  <c r="BJ103" i="1"/>
  <c r="CR104" i="1"/>
  <c r="AK104" i="1"/>
  <c r="BL103" i="1"/>
  <c r="CT104" i="1"/>
  <c r="DI103" i="1"/>
  <c r="BX104" i="1"/>
  <c r="E104" i="1"/>
  <c r="CB103" i="1"/>
  <c r="CC103" i="1"/>
  <c r="V103" i="1"/>
  <c r="BD104" i="1"/>
  <c r="I104" i="1"/>
  <c r="BH103" i="1"/>
  <c r="CP104" i="1"/>
  <c r="W104" i="1"/>
  <c r="BV103" i="1"/>
  <c r="DD104" i="1"/>
  <c r="O103" i="1"/>
  <c r="AW104" i="1"/>
  <c r="BX103" i="1"/>
  <c r="DF104" i="1"/>
  <c r="O104" i="1"/>
  <c r="BB103" i="1"/>
  <c r="CJ104" i="1"/>
  <c r="Q104" i="1"/>
  <c r="CN103" i="1"/>
  <c r="CO103" i="1"/>
  <c r="AH103" i="1"/>
  <c r="BP104" i="1"/>
  <c r="U104" i="1"/>
  <c r="BT103" i="1"/>
  <c r="DB104" i="1"/>
  <c r="AI104" i="1"/>
  <c r="CH103" i="1"/>
  <c r="AA103" i="1"/>
  <c r="BI104" i="1"/>
  <c r="CJ103" i="1"/>
  <c r="AA104" i="1"/>
  <c r="BN103" i="1"/>
  <c r="CV104" i="1"/>
  <c r="AC104" i="1"/>
  <c r="CZ103" i="1"/>
  <c r="DA103" i="1"/>
  <c r="AT103" i="1"/>
  <c r="CB104" i="1"/>
  <c r="C103" i="1"/>
  <c r="AG104" i="1"/>
  <c r="CF103" i="1"/>
  <c r="M103" i="1"/>
  <c r="AU104" i="1"/>
  <c r="CT103" i="1"/>
  <c r="AM103" i="1"/>
  <c r="BU104" i="1"/>
  <c r="CV103" i="1"/>
  <c r="E103" i="1"/>
  <c r="AM104" i="1"/>
  <c r="BZ103" i="1"/>
  <c r="DH104" i="1"/>
  <c r="G103" i="1"/>
  <c r="F104" i="1"/>
  <c r="G104" i="1"/>
  <c r="BF103" i="1"/>
  <c r="CN104" i="1"/>
  <c r="K103" i="1"/>
  <c r="AS104" i="1"/>
  <c r="CR103" i="1"/>
  <c r="Y103" i="1"/>
  <c r="BG104" i="1"/>
  <c r="DF103" i="1"/>
  <c r="AY103" i="1"/>
  <c r="CG104" i="1"/>
  <c r="DH103" i="1"/>
  <c r="Q103" i="1"/>
  <c r="AY104" i="1"/>
  <c r="CL103" i="1"/>
  <c r="S103" i="1"/>
  <c r="BA104" i="1"/>
  <c r="R104" i="1"/>
  <c r="S104" i="1"/>
  <c r="BR103" i="1"/>
  <c r="CZ104" i="1"/>
  <c r="W103" i="1"/>
  <c r="BE104" i="1"/>
  <c r="DD103" i="1"/>
  <c r="AK103" i="1"/>
  <c r="BS104" i="1"/>
  <c r="L104" i="1"/>
  <c r="BK103" i="1"/>
  <c r="CS104" i="1"/>
  <c r="N104" i="1"/>
  <c r="AC103" i="1"/>
  <c r="BK104" i="1"/>
  <c r="CX103" i="1"/>
  <c r="AE103" i="1"/>
  <c r="BM104" i="1"/>
  <c r="AD104" i="1"/>
  <c r="AE104" i="1"/>
  <c r="CD103" i="1"/>
  <c r="AI103" i="1"/>
  <c r="BQ104" i="1"/>
  <c r="J104" i="1"/>
  <c r="AW103" i="1"/>
  <c r="CE104" i="1"/>
  <c r="X104" i="1"/>
  <c r="BW103" i="1"/>
  <c r="DE104" i="1"/>
  <c r="Z104" i="1"/>
  <c r="BW104" i="1"/>
  <c r="D104" i="1"/>
  <c r="AQ103" i="1"/>
  <c r="C45" i="1"/>
  <c r="C44" i="1"/>
  <c r="D15" i="11" l="1" a="1"/>
  <c r="I71" i="11" s="1"/>
  <c r="D18" i="11" a="1"/>
  <c r="I74" i="11" s="1"/>
  <c r="D24" i="11" a="1"/>
  <c r="I80" i="11" s="1"/>
  <c r="D13" i="11" a="1"/>
  <c r="I69" i="11" s="1"/>
  <c r="D31" i="11" a="1"/>
  <c r="I87" i="11" s="1"/>
  <c r="D26" i="11" a="1"/>
  <c r="I82" i="11" s="1"/>
  <c r="D14" i="11" a="1"/>
  <c r="I70" i="11" s="1"/>
  <c r="D12" i="11" a="1"/>
  <c r="I68" i="11" s="1"/>
  <c r="D42" i="11" a="1"/>
  <c r="I98" i="11" s="1"/>
  <c r="D28" i="11" a="1"/>
  <c r="I84" i="11" s="1"/>
  <c r="D23" i="11" a="1"/>
  <c r="I79" i="11" s="1"/>
  <c r="D35" i="11" a="1"/>
  <c r="I91" i="11" s="1"/>
  <c r="D21" i="11" a="1"/>
  <c r="I77" i="11" s="1"/>
  <c r="D50" i="11" a="1"/>
  <c r="I106" i="11" s="1"/>
  <c r="D37" i="11" a="1"/>
  <c r="I93" i="11" s="1"/>
  <c r="D51" i="11" a="1"/>
  <c r="I107" i="11" s="1"/>
  <c r="D34" i="11" a="1"/>
  <c r="I90" i="11" s="1"/>
  <c r="D30" i="11" a="1"/>
  <c r="I86" i="11" s="1"/>
  <c r="D53" i="11" a="1"/>
  <c r="I109" i="11" s="1"/>
  <c r="D47" i="11" a="1"/>
  <c r="I103" i="11" s="1"/>
  <c r="D40" i="11" a="1"/>
  <c r="I96" i="11" s="1"/>
  <c r="D41" i="11" a="1"/>
  <c r="I97" i="11" s="1"/>
  <c r="D25" i="11" a="1"/>
  <c r="I81" i="11" s="1"/>
  <c r="D33" i="11" a="1"/>
  <c r="I89" i="11" s="1"/>
  <c r="D39" i="11" a="1"/>
  <c r="I95" i="11" s="1"/>
  <c r="D52" i="11" a="1"/>
  <c r="I108" i="11" s="1"/>
  <c r="D54" i="11" a="1"/>
  <c r="I110" i="11" s="1"/>
  <c r="D56" i="11" a="1"/>
  <c r="I112" i="11" s="1"/>
  <c r="D46" i="11" a="1"/>
  <c r="I102" i="11" s="1"/>
  <c r="D55" i="11" a="1"/>
  <c r="I111" i="11" s="1"/>
  <c r="D36" i="11" a="1"/>
  <c r="I92" i="11" s="1"/>
  <c r="D38" i="11" a="1"/>
  <c r="I94" i="11" s="1"/>
  <c r="D48" i="11" a="1"/>
  <c r="I104" i="11" s="1"/>
  <c r="D60" i="11" a="1"/>
  <c r="I116" i="11" s="1"/>
  <c r="D57" i="11" a="1"/>
  <c r="I113" i="11" s="1"/>
  <c r="D29" i="11" a="1"/>
  <c r="I85" i="11" s="1"/>
  <c r="D20" i="11" a="1"/>
  <c r="I76" i="11" s="1"/>
  <c r="D58" i="11" a="1"/>
  <c r="I114" i="11" s="1"/>
  <c r="D49" i="11" a="1"/>
  <c r="I105" i="11" s="1"/>
  <c r="D59" i="11" a="1"/>
  <c r="I115" i="11" s="1"/>
  <c r="D11" i="11" a="1"/>
  <c r="I67" i="11" s="1"/>
  <c r="D32" i="11" a="1"/>
  <c r="I88" i="11" s="1"/>
  <c r="D22" i="11" a="1"/>
  <c r="I78" i="11" s="1"/>
  <c r="D16" i="11" a="1"/>
  <c r="I72" i="11" s="1"/>
  <c r="D43" i="11" a="1"/>
  <c r="I99" i="11" s="1"/>
  <c r="D45" i="11" a="1"/>
  <c r="I101" i="11" s="1"/>
  <c r="D17" i="11" a="1"/>
  <c r="I73" i="11" s="1"/>
  <c r="D13" i="11"/>
  <c r="D69" i="11" s="1"/>
  <c r="M69" i="11"/>
  <c r="H69" i="11"/>
  <c r="J69" i="11"/>
  <c r="K69" i="11"/>
  <c r="L69" i="11"/>
  <c r="E69" i="11"/>
  <c r="O69" i="11"/>
  <c r="G69" i="11"/>
  <c r="N69" i="11"/>
  <c r="F69" i="11"/>
  <c r="M83" i="11"/>
  <c r="H83" i="11"/>
  <c r="K83" i="11"/>
  <c r="G83" i="11"/>
  <c r="F83" i="11"/>
  <c r="N83" i="11"/>
  <c r="J83" i="11"/>
  <c r="E83" i="11"/>
  <c r="L83" i="11"/>
  <c r="D27" i="11"/>
  <c r="D83" i="11" s="1"/>
  <c r="O83" i="11"/>
  <c r="D15" i="11"/>
  <c r="D71" i="11" s="1"/>
  <c r="G71" i="11"/>
  <c r="N71" i="11"/>
  <c r="E71" i="11"/>
  <c r="F71" i="11"/>
  <c r="H71" i="11"/>
  <c r="L71" i="11"/>
  <c r="O71" i="11"/>
  <c r="K71" i="11"/>
  <c r="J71" i="11"/>
  <c r="M71" i="11"/>
  <c r="D18" i="11"/>
  <c r="D74" i="11" s="1"/>
  <c r="G74" i="11"/>
  <c r="K74" i="11"/>
  <c r="N74" i="11"/>
  <c r="E74" i="11"/>
  <c r="O74" i="11"/>
  <c r="M74" i="11"/>
  <c r="J74" i="11"/>
  <c r="F74" i="11"/>
  <c r="H74" i="11"/>
  <c r="L74" i="11"/>
  <c r="D24" i="11"/>
  <c r="D80" i="11" s="1"/>
  <c r="N80" i="11"/>
  <c r="H80" i="11"/>
  <c r="L80" i="11"/>
  <c r="E80" i="11"/>
  <c r="O80" i="11"/>
  <c r="F80" i="11"/>
  <c r="K80" i="11"/>
  <c r="J80" i="11"/>
  <c r="M80" i="11"/>
  <c r="G80" i="11"/>
  <c r="D44" i="11" a="1"/>
  <c r="I100" i="11" s="1"/>
  <c r="D19" i="11" a="1"/>
  <c r="H75" i="11" s="1"/>
  <c r="D10" i="11" a="1"/>
  <c r="K66" i="11" s="1"/>
  <c r="D9" i="11" a="1"/>
  <c r="D8" i="11" a="1"/>
  <c r="A47" i="1"/>
  <c r="B47" i="1"/>
  <c r="A48" i="1"/>
  <c r="B48" i="1"/>
  <c r="A49" i="1"/>
  <c r="B49" i="1"/>
  <c r="A50" i="1"/>
  <c r="B50" i="1"/>
  <c r="A51" i="1"/>
  <c r="B51" i="1"/>
  <c r="A52" i="1"/>
  <c r="B52" i="1"/>
  <c r="A53" i="1"/>
  <c r="B53" i="1"/>
  <c r="A54" i="1"/>
  <c r="B54" i="1"/>
  <c r="A55" i="1"/>
  <c r="B55" i="1"/>
  <c r="A56" i="1"/>
  <c r="B56" i="1"/>
  <c r="A57" i="1"/>
  <c r="B57" i="1"/>
  <c r="A58" i="1"/>
  <c r="B58" i="1"/>
  <c r="A59" i="1"/>
  <c r="B59" i="1"/>
  <c r="A60" i="1"/>
  <c r="B60" i="1"/>
  <c r="A61" i="1"/>
  <c r="B61" i="1"/>
  <c r="A62" i="1"/>
  <c r="B62" i="1"/>
  <c r="A63" i="1"/>
  <c r="B63" i="1"/>
  <c r="A64" i="1"/>
  <c r="B64" i="1"/>
  <c r="A65" i="1"/>
  <c r="B65" i="1"/>
  <c r="B46" i="1"/>
  <c r="A46" i="1"/>
  <c r="H70" i="11" l="1"/>
  <c r="G70" i="11"/>
  <c r="L70" i="11"/>
  <c r="N70" i="11"/>
  <c r="J87" i="11"/>
  <c r="M86" i="11"/>
  <c r="M87" i="11"/>
  <c r="H87" i="11"/>
  <c r="D31" i="11"/>
  <c r="D87" i="11" s="1"/>
  <c r="N86" i="11"/>
  <c r="F87" i="11"/>
  <c r="E87" i="11"/>
  <c r="E111" i="11"/>
  <c r="L87" i="11"/>
  <c r="N87" i="11"/>
  <c r="O87" i="11"/>
  <c r="K82" i="11"/>
  <c r="G87" i="11"/>
  <c r="L88" i="11"/>
  <c r="K87" i="11"/>
  <c r="D30" i="11"/>
  <c r="D86" i="11" s="1"/>
  <c r="G88" i="11"/>
  <c r="J88" i="11"/>
  <c r="L111" i="11"/>
  <c r="O82" i="11"/>
  <c r="M88" i="11"/>
  <c r="O111" i="11"/>
  <c r="F82" i="11"/>
  <c r="D55" i="11"/>
  <c r="D111" i="11" s="1"/>
  <c r="E82" i="11"/>
  <c r="N82" i="11"/>
  <c r="L82" i="11"/>
  <c r="G82" i="11"/>
  <c r="O88" i="11"/>
  <c r="H88" i="11"/>
  <c r="F86" i="11"/>
  <c r="M82" i="11"/>
  <c r="E88" i="11"/>
  <c r="J86" i="11"/>
  <c r="J82" i="11"/>
  <c r="H82" i="11"/>
  <c r="F88" i="11"/>
  <c r="G111" i="11"/>
  <c r="G86" i="11"/>
  <c r="D26" i="11"/>
  <c r="D82" i="11" s="1"/>
  <c r="D32" i="11"/>
  <c r="D88" i="11" s="1"/>
  <c r="H68" i="11"/>
  <c r="N111" i="11"/>
  <c r="E86" i="11"/>
  <c r="M111" i="11"/>
  <c r="H86" i="11"/>
  <c r="H111" i="11"/>
  <c r="F111" i="11"/>
  <c r="K86" i="11"/>
  <c r="K78" i="11"/>
  <c r="F78" i="11"/>
  <c r="O70" i="11"/>
  <c r="N103" i="11"/>
  <c r="N88" i="11"/>
  <c r="H109" i="11"/>
  <c r="E109" i="11"/>
  <c r="E72" i="11"/>
  <c r="K88" i="11"/>
  <c r="K111" i="11"/>
  <c r="M70" i="11"/>
  <c r="O86" i="11"/>
  <c r="M92" i="11"/>
  <c r="O92" i="11"/>
  <c r="H78" i="11"/>
  <c r="F103" i="11"/>
  <c r="G68" i="11"/>
  <c r="M103" i="11"/>
  <c r="N68" i="11"/>
  <c r="M68" i="11"/>
  <c r="D12" i="11"/>
  <c r="D68" i="11" s="1"/>
  <c r="J94" i="11"/>
  <c r="K94" i="11"/>
  <c r="H96" i="11"/>
  <c r="H104" i="11"/>
  <c r="J92" i="11"/>
  <c r="F68" i="11"/>
  <c r="N98" i="11"/>
  <c r="O68" i="11"/>
  <c r="D16" i="11"/>
  <c r="D72" i="11" s="1"/>
  <c r="J68" i="11"/>
  <c r="J111" i="11"/>
  <c r="L86" i="11"/>
  <c r="L98" i="11"/>
  <c r="F96" i="11"/>
  <c r="F98" i="11"/>
  <c r="M98" i="11"/>
  <c r="H99" i="11"/>
  <c r="D43" i="11"/>
  <c r="D99" i="11" s="1"/>
  <c r="M72" i="11"/>
  <c r="O99" i="11"/>
  <c r="K72" i="11"/>
  <c r="J104" i="11"/>
  <c r="D48" i="11"/>
  <c r="D104" i="11" s="1"/>
  <c r="H94" i="11"/>
  <c r="F70" i="11"/>
  <c r="O103" i="11"/>
  <c r="L72" i="11"/>
  <c r="L94" i="11"/>
  <c r="H72" i="11"/>
  <c r="E68" i="11"/>
  <c r="D38" i="11"/>
  <c r="D94" i="11" s="1"/>
  <c r="L92" i="11"/>
  <c r="E70" i="11"/>
  <c r="K103" i="11"/>
  <c r="F84" i="11"/>
  <c r="G99" i="11"/>
  <c r="E78" i="11"/>
  <c r="K68" i="11"/>
  <c r="M94" i="11"/>
  <c r="K70" i="11"/>
  <c r="J70" i="11"/>
  <c r="G72" i="11"/>
  <c r="L68" i="11"/>
  <c r="E94" i="11"/>
  <c r="L109" i="11"/>
  <c r="D14" i="11"/>
  <c r="D70" i="11" s="1"/>
  <c r="D23" i="11"/>
  <c r="D79" i="11" s="1"/>
  <c r="O96" i="11"/>
  <c r="O78" i="11"/>
  <c r="G92" i="11"/>
  <c r="G109" i="11"/>
  <c r="D22" i="11"/>
  <c r="D78" i="11" s="1"/>
  <c r="F92" i="11"/>
  <c r="O109" i="11"/>
  <c r="N92" i="11"/>
  <c r="M109" i="11"/>
  <c r="E92" i="11"/>
  <c r="K109" i="11"/>
  <c r="N78" i="11"/>
  <c r="G78" i="11"/>
  <c r="H92" i="11"/>
  <c r="F109" i="11"/>
  <c r="J78" i="11"/>
  <c r="D36" i="11"/>
  <c r="D92" i="11" s="1"/>
  <c r="J109" i="11"/>
  <c r="M78" i="11"/>
  <c r="N109" i="11"/>
  <c r="L78" i="11"/>
  <c r="K92" i="11"/>
  <c r="D53" i="11"/>
  <c r="D109" i="11" s="1"/>
  <c r="O106" i="11"/>
  <c r="G91" i="11"/>
  <c r="H89" i="11"/>
  <c r="K91" i="11"/>
  <c r="K89" i="11"/>
  <c r="L91" i="11"/>
  <c r="E89" i="11"/>
  <c r="O85" i="11"/>
  <c r="K85" i="11"/>
  <c r="L85" i="11"/>
  <c r="J81" i="11"/>
  <c r="K79" i="11"/>
  <c r="H113" i="11"/>
  <c r="O81" i="11"/>
  <c r="E84" i="11"/>
  <c r="M113" i="11"/>
  <c r="M79" i="11"/>
  <c r="D57" i="11"/>
  <c r="D113" i="11" s="1"/>
  <c r="N97" i="11"/>
  <c r="G84" i="11"/>
  <c r="N79" i="11"/>
  <c r="H79" i="11"/>
  <c r="N84" i="11"/>
  <c r="F79" i="11"/>
  <c r="J79" i="11"/>
  <c r="E101" i="11"/>
  <c r="G79" i="11"/>
  <c r="L113" i="11"/>
  <c r="O79" i="11"/>
  <c r="N113" i="11"/>
  <c r="E79" i="11"/>
  <c r="G113" i="11"/>
  <c r="L79" i="11"/>
  <c r="O113" i="11"/>
  <c r="K81" i="11"/>
  <c r="K84" i="11"/>
  <c r="O104" i="11"/>
  <c r="D42" i="11"/>
  <c r="D98" i="11" s="1"/>
  <c r="E96" i="11"/>
  <c r="K104" i="11"/>
  <c r="J99" i="11"/>
  <c r="N104" i="11"/>
  <c r="H98" i="11"/>
  <c r="L96" i="11"/>
  <c r="N99" i="11"/>
  <c r="N96" i="11"/>
  <c r="M99" i="11"/>
  <c r="M104" i="11"/>
  <c r="J98" i="11"/>
  <c r="D40" i="11"/>
  <c r="D96" i="11" s="1"/>
  <c r="K99" i="11"/>
  <c r="F104" i="11"/>
  <c r="G98" i="11"/>
  <c r="G96" i="11"/>
  <c r="F99" i="11"/>
  <c r="G104" i="11"/>
  <c r="E98" i="11"/>
  <c r="K96" i="11"/>
  <c r="E104" i="11"/>
  <c r="O98" i="11"/>
  <c r="M96" i="11"/>
  <c r="L99" i="11"/>
  <c r="E99" i="11"/>
  <c r="L104" i="11"/>
  <c r="K98" i="11"/>
  <c r="J96" i="11"/>
  <c r="G108" i="11"/>
  <c r="N108" i="11"/>
  <c r="G103" i="11"/>
  <c r="D28" i="11"/>
  <c r="D84" i="11" s="1"/>
  <c r="G97" i="11"/>
  <c r="D47" i="11"/>
  <c r="D103" i="11" s="1"/>
  <c r="O72" i="11"/>
  <c r="F94" i="11"/>
  <c r="D41" i="11"/>
  <c r="D97" i="11" s="1"/>
  <c r="J103" i="11"/>
  <c r="O84" i="11"/>
  <c r="D50" i="11"/>
  <c r="D106" i="11" s="1"/>
  <c r="M84" i="11"/>
  <c r="F72" i="11"/>
  <c r="G94" i="11"/>
  <c r="H103" i="11"/>
  <c r="J84" i="11"/>
  <c r="N72" i="11"/>
  <c r="O94" i="11"/>
  <c r="E103" i="11"/>
  <c r="L84" i="11"/>
  <c r="J72" i="11"/>
  <c r="N94" i="11"/>
  <c r="L103" i="11"/>
  <c r="H84" i="11"/>
  <c r="F73" i="11"/>
  <c r="F106" i="11"/>
  <c r="K106" i="11"/>
  <c r="L114" i="11"/>
  <c r="J106" i="11"/>
  <c r="H115" i="11"/>
  <c r="E107" i="11"/>
  <c r="L115" i="11"/>
  <c r="N73" i="11"/>
  <c r="N102" i="11"/>
  <c r="G112" i="11"/>
  <c r="N112" i="11"/>
  <c r="E106" i="11"/>
  <c r="N114" i="11"/>
  <c r="E113" i="11"/>
  <c r="N116" i="11"/>
  <c r="G106" i="11"/>
  <c r="O116" i="11"/>
  <c r="L81" i="11"/>
  <c r="J73" i="11"/>
  <c r="N106" i="11"/>
  <c r="D60" i="11"/>
  <c r="D116" i="11" s="1"/>
  <c r="G81" i="11"/>
  <c r="H73" i="11"/>
  <c r="H81" i="11"/>
  <c r="H106" i="11"/>
  <c r="G101" i="11"/>
  <c r="N67" i="11"/>
  <c r="F113" i="11"/>
  <c r="F81" i="11"/>
  <c r="H116" i="11"/>
  <c r="N101" i="11"/>
  <c r="M106" i="11"/>
  <c r="F101" i="11"/>
  <c r="K113" i="11"/>
  <c r="E81" i="11"/>
  <c r="L106" i="11"/>
  <c r="O101" i="11"/>
  <c r="N93" i="11"/>
  <c r="J113" i="11"/>
  <c r="M81" i="11"/>
  <c r="F76" i="11"/>
  <c r="L89" i="11"/>
  <c r="H91" i="11"/>
  <c r="H77" i="11"/>
  <c r="M85" i="11"/>
  <c r="O89" i="11"/>
  <c r="M91" i="11"/>
  <c r="K77" i="11"/>
  <c r="E77" i="11"/>
  <c r="G85" i="11"/>
  <c r="N89" i="11"/>
  <c r="N91" i="11"/>
  <c r="D21" i="11"/>
  <c r="D77" i="11" s="1"/>
  <c r="G93" i="11"/>
  <c r="H85" i="11"/>
  <c r="G89" i="11"/>
  <c r="D35" i="11"/>
  <c r="D91" i="11" s="1"/>
  <c r="F77" i="11"/>
  <c r="J95" i="11"/>
  <c r="G95" i="11"/>
  <c r="D33" i="11"/>
  <c r="D89" i="11" s="1"/>
  <c r="O77" i="11"/>
  <c r="F85" i="11"/>
  <c r="D37" i="11"/>
  <c r="D93" i="11" s="1"/>
  <c r="E85" i="11"/>
  <c r="O91" i="11"/>
  <c r="J77" i="11"/>
  <c r="M93" i="11"/>
  <c r="J85" i="11"/>
  <c r="F89" i="11"/>
  <c r="J91" i="11"/>
  <c r="G77" i="11"/>
  <c r="N85" i="11"/>
  <c r="J89" i="11"/>
  <c r="F91" i="11"/>
  <c r="M77" i="11"/>
  <c r="N77" i="11"/>
  <c r="N76" i="11"/>
  <c r="D29" i="11"/>
  <c r="D85" i="11" s="1"/>
  <c r="M89" i="11"/>
  <c r="E91" i="11"/>
  <c r="L77" i="11"/>
  <c r="G67" i="11"/>
  <c r="D59" i="11"/>
  <c r="D115" i="11" s="1"/>
  <c r="K102" i="11"/>
  <c r="J101" i="11"/>
  <c r="D11" i="11"/>
  <c r="D67" i="11" s="1"/>
  <c r="L93" i="11"/>
  <c r="K116" i="11"/>
  <c r="J102" i="11"/>
  <c r="K112" i="11"/>
  <c r="O97" i="11"/>
  <c r="M90" i="11"/>
  <c r="G107" i="11"/>
  <c r="J90" i="11"/>
  <c r="J107" i="11"/>
  <c r="M101" i="11"/>
  <c r="M115" i="11"/>
  <c r="K93" i="11"/>
  <c r="M116" i="11"/>
  <c r="M102" i="11"/>
  <c r="D56" i="11"/>
  <c r="D112" i="11" s="1"/>
  <c r="L97" i="11"/>
  <c r="H90" i="11"/>
  <c r="N107" i="11"/>
  <c r="O67" i="11"/>
  <c r="F112" i="11"/>
  <c r="H101" i="11"/>
  <c r="J67" i="11"/>
  <c r="N115" i="11"/>
  <c r="J93" i="11"/>
  <c r="G116" i="11"/>
  <c r="D46" i="11"/>
  <c r="D102" i="11" s="1"/>
  <c r="M97" i="11"/>
  <c r="D34" i="11"/>
  <c r="D90" i="11" s="1"/>
  <c r="K107" i="11"/>
  <c r="K90" i="11"/>
  <c r="K101" i="11"/>
  <c r="M67" i="11"/>
  <c r="O115" i="11"/>
  <c r="O93" i="11"/>
  <c r="J116" i="11"/>
  <c r="O112" i="11"/>
  <c r="K97" i="11"/>
  <c r="D51" i="11"/>
  <c r="D107" i="11" s="1"/>
  <c r="G90" i="11"/>
  <c r="D45" i="11"/>
  <c r="D101" i="11" s="1"/>
  <c r="E67" i="11"/>
  <c r="F115" i="11"/>
  <c r="H93" i="11"/>
  <c r="F116" i="11"/>
  <c r="K110" i="11"/>
  <c r="F102" i="11"/>
  <c r="M112" i="11"/>
  <c r="H97" i="11"/>
  <c r="E90" i="11"/>
  <c r="O107" i="11"/>
  <c r="J115" i="11"/>
  <c r="L67" i="11"/>
  <c r="K115" i="11"/>
  <c r="F93" i="11"/>
  <c r="E116" i="11"/>
  <c r="E102" i="11"/>
  <c r="H112" i="11"/>
  <c r="F97" i="11"/>
  <c r="O90" i="11"/>
  <c r="H107" i="11"/>
  <c r="F67" i="11"/>
  <c r="G102" i="11"/>
  <c r="J112" i="11"/>
  <c r="F90" i="11"/>
  <c r="L101" i="11"/>
  <c r="K67" i="11"/>
  <c r="G115" i="11"/>
  <c r="E93" i="11"/>
  <c r="L116" i="11"/>
  <c r="L102" i="11"/>
  <c r="E112" i="11"/>
  <c r="E97" i="11"/>
  <c r="N90" i="11"/>
  <c r="M107" i="11"/>
  <c r="H102" i="11"/>
  <c r="L107" i="11"/>
  <c r="H67" i="11"/>
  <c r="E115" i="11"/>
  <c r="O102" i="11"/>
  <c r="L112" i="11"/>
  <c r="J97" i="11"/>
  <c r="L90" i="11"/>
  <c r="F107" i="11"/>
  <c r="E105" i="11"/>
  <c r="G75" i="11"/>
  <c r="D58" i="11"/>
  <c r="D114" i="11" s="1"/>
  <c r="N110" i="11"/>
  <c r="M108" i="11"/>
  <c r="D17" i="11"/>
  <c r="D73" i="11" s="1"/>
  <c r="K105" i="11"/>
  <c r="K95" i="11"/>
  <c r="D20" i="11"/>
  <c r="D76" i="11" s="1"/>
  <c r="L105" i="11"/>
  <c r="D54" i="11"/>
  <c r="D110" i="11" s="1"/>
  <c r="J108" i="11"/>
  <c r="J105" i="11"/>
  <c r="O95" i="11"/>
  <c r="O114" i="11"/>
  <c r="K108" i="11"/>
  <c r="M76" i="11"/>
  <c r="H108" i="11"/>
  <c r="F105" i="11"/>
  <c r="D39" i="11"/>
  <c r="D95" i="11" s="1"/>
  <c r="N95" i="11"/>
  <c r="K75" i="11"/>
  <c r="H114" i="11"/>
  <c r="L75" i="11"/>
  <c r="J114" i="11"/>
  <c r="K76" i="11"/>
  <c r="H110" i="11"/>
  <c r="F108" i="11"/>
  <c r="E73" i="11"/>
  <c r="M105" i="11"/>
  <c r="D19" i="11"/>
  <c r="D75" i="11" s="1"/>
  <c r="F114" i="11"/>
  <c r="L76" i="11"/>
  <c r="F110" i="11"/>
  <c r="O108" i="11"/>
  <c r="G73" i="11"/>
  <c r="D49" i="11"/>
  <c r="D105" i="11" s="1"/>
  <c r="H95" i="11"/>
  <c r="E75" i="11"/>
  <c r="H66" i="11"/>
  <c r="E114" i="11"/>
  <c r="H76" i="11"/>
  <c r="J110" i="11"/>
  <c r="E108" i="11"/>
  <c r="K73" i="11"/>
  <c r="L95" i="11"/>
  <c r="M110" i="11"/>
  <c r="H105" i="11"/>
  <c r="G110" i="11"/>
  <c r="E66" i="11"/>
  <c r="K114" i="11"/>
  <c r="E76" i="11"/>
  <c r="O110" i="11"/>
  <c r="L108" i="11"/>
  <c r="D25" i="11"/>
  <c r="D81" i="11" s="1"/>
  <c r="M73" i="11"/>
  <c r="O105" i="11"/>
  <c r="M95" i="11"/>
  <c r="J76" i="11"/>
  <c r="J66" i="11"/>
  <c r="M114" i="11"/>
  <c r="O76" i="11"/>
  <c r="L110" i="11"/>
  <c r="D52" i="11"/>
  <c r="D108" i="11" s="1"/>
  <c r="L73" i="11"/>
  <c r="G105" i="11"/>
  <c r="F95" i="11"/>
  <c r="G114" i="11"/>
  <c r="G76" i="11"/>
  <c r="E110" i="11"/>
  <c r="N81" i="11"/>
  <c r="O73" i="11"/>
  <c r="N105" i="11"/>
  <c r="E95" i="11"/>
  <c r="F66" i="11"/>
  <c r="N66" i="11"/>
  <c r="F75" i="11"/>
  <c r="D9" i="11"/>
  <c r="D65" i="11" s="1"/>
  <c r="I65" i="11"/>
  <c r="L66" i="11"/>
  <c r="I66" i="11"/>
  <c r="N75" i="11"/>
  <c r="I75" i="11"/>
  <c r="J75" i="11"/>
  <c r="M64" i="11"/>
  <c r="I64" i="11"/>
  <c r="G66" i="11"/>
  <c r="O66" i="11"/>
  <c r="H65" i="11"/>
  <c r="D10" i="11"/>
  <c r="D66" i="11" s="1"/>
  <c r="M65" i="11"/>
  <c r="M75" i="11"/>
  <c r="J65" i="11"/>
  <c r="E65" i="11"/>
  <c r="N65" i="11"/>
  <c r="G65" i="11"/>
  <c r="M66" i="11"/>
  <c r="F65" i="11"/>
  <c r="O65" i="11"/>
  <c r="K65" i="11"/>
  <c r="O75" i="11"/>
  <c r="D44" i="11"/>
  <c r="D100" i="11" s="1"/>
  <c r="K100" i="11"/>
  <c r="F100" i="11"/>
  <c r="N100" i="11"/>
  <c r="L100" i="11"/>
  <c r="E100" i="11"/>
  <c r="O100" i="11"/>
  <c r="H100" i="11"/>
  <c r="G100" i="11"/>
  <c r="M100" i="11"/>
  <c r="J100" i="11"/>
  <c r="N64" i="11"/>
  <c r="K64" i="11"/>
  <c r="J64" i="11"/>
  <c r="F64" i="11"/>
  <c r="G64" i="11"/>
  <c r="H64" i="11"/>
  <c r="D8" i="11"/>
  <c r="D64" i="11" s="1"/>
  <c r="O64" i="11"/>
  <c r="L64" i="11"/>
  <c r="E64"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<sst xmlns="http://schemas.openxmlformats.org/spreadsheetml/2006/main" count="2054" uniqueCount="513">
  <si>
    <t>University of Northern British Columbia</t>
  </si>
  <si>
    <t>Northern Analytical Laboratory Services</t>
  </si>
  <si>
    <t>Analyst:</t>
  </si>
  <si>
    <t>NALS Director:</t>
  </si>
  <si>
    <t>Dr. Hossein Kazemian</t>
  </si>
  <si>
    <t>Date:</t>
  </si>
  <si>
    <t>Client Name:</t>
  </si>
  <si>
    <t>Supervisor:</t>
  </si>
  <si>
    <t>Client Company Name:</t>
  </si>
  <si>
    <t>Reference File:</t>
  </si>
  <si>
    <t>Number of Samples:</t>
  </si>
  <si>
    <t>Ag 328.068 nm</t>
  </si>
  <si>
    <t>Ag 338.289 nm</t>
  </si>
  <si>
    <t>Al 396.152 nm</t>
  </si>
  <si>
    <t>As 188.980 nm</t>
  </si>
  <si>
    <t>As 193.696 nm</t>
  </si>
  <si>
    <t>B 249.678 nm</t>
  </si>
  <si>
    <t>B 249.772 nm</t>
  </si>
  <si>
    <t>Ba 493.408 nm</t>
  </si>
  <si>
    <t>Ba-A 455.403 nm</t>
  </si>
  <si>
    <t>Be 234.861 nm</t>
  </si>
  <si>
    <t>Be 313.042 nm</t>
  </si>
  <si>
    <t>Bi 222.821 nm</t>
  </si>
  <si>
    <t>Bi 223.061 nm</t>
  </si>
  <si>
    <t>Ca 317.933 nm</t>
  </si>
  <si>
    <t>Ca 422.673 nm</t>
  </si>
  <si>
    <t>Cd 214.439 nm</t>
  </si>
  <si>
    <t>Cd 226.502 nm</t>
  </si>
  <si>
    <t>Ce 418.659 nm</t>
  </si>
  <si>
    <t>Ce 446.021 nm</t>
  </si>
  <si>
    <t>Co 238.892 nm</t>
  </si>
  <si>
    <t>Co 258.033 nm</t>
  </si>
  <si>
    <t>Cr 206.158 nm</t>
  </si>
  <si>
    <t>Cr 267.716 nm</t>
  </si>
  <si>
    <t>Cu-A 327.395 nm</t>
  </si>
  <si>
    <t>Dy 340.780 nm</t>
  </si>
  <si>
    <t>Dy 353.171 nm</t>
  </si>
  <si>
    <t>Er 337.275 nm</t>
  </si>
  <si>
    <t>Er 349.910 nm</t>
  </si>
  <si>
    <t>Eu 397.197 nm</t>
  </si>
  <si>
    <t>Eu 420.504 nm</t>
  </si>
  <si>
    <t>Fe 234.350 nm</t>
  </si>
  <si>
    <t>Fe 238.204 nm</t>
  </si>
  <si>
    <t>Ga 294.363 nm</t>
  </si>
  <si>
    <t>Ga 417.204 nm</t>
  </si>
  <si>
    <t>Gd 335.048 nm</t>
  </si>
  <si>
    <t>Gd 342.246 nm</t>
  </si>
  <si>
    <t>Hf 263.872 nm</t>
  </si>
  <si>
    <t>Hf 264.141 nm</t>
  </si>
  <si>
    <t>Hg 184.887 nm</t>
  </si>
  <si>
    <t>Hg 194.164 nm</t>
  </si>
  <si>
    <t>Ho 339.895 nm</t>
  </si>
  <si>
    <t>Ho 345.600 nm</t>
  </si>
  <si>
    <t>K 766.491 nm</t>
  </si>
  <si>
    <t>La 333.749 nm</t>
  </si>
  <si>
    <t>La 379.477 nm</t>
  </si>
  <si>
    <t>Li 610.365 nm</t>
  </si>
  <si>
    <t>Li 670.783 nm</t>
  </si>
  <si>
    <t>Lu 261.541 nm</t>
  </si>
  <si>
    <t>Lu 291.139 nm</t>
  </si>
  <si>
    <t>Mg 280.270 nm</t>
  </si>
  <si>
    <t>Mg 285.213 nm</t>
  </si>
  <si>
    <t>Mn 257.610 nm</t>
  </si>
  <si>
    <t>Mn 294.921 nm</t>
  </si>
  <si>
    <t>Mo 202.032 nm</t>
  </si>
  <si>
    <t>Mo 204.598 nm</t>
  </si>
  <si>
    <t>Na 588.995 nm</t>
  </si>
  <si>
    <t>Na 589.592 nm</t>
  </si>
  <si>
    <t>Nb 309.417 nm</t>
  </si>
  <si>
    <t>Nb 313.078 nm</t>
  </si>
  <si>
    <t>Nd 401.224 nm</t>
  </si>
  <si>
    <t>Nd 406.108 nm</t>
  </si>
  <si>
    <t>Ni 216.555 nm</t>
  </si>
  <si>
    <t>Ni 231.604 nm</t>
  </si>
  <si>
    <t>P 177.434 nm</t>
  </si>
  <si>
    <t>P 178.222 nm</t>
  </si>
  <si>
    <t>P 213.618 nm</t>
  </si>
  <si>
    <t>Pb 220.353 nm</t>
  </si>
  <si>
    <t>Rb 780.026 nm</t>
  </si>
  <si>
    <t>S 180.669 nm</t>
  </si>
  <si>
    <t>S 181.972 nm</t>
  </si>
  <si>
    <t>Sb 206.834 nm</t>
  </si>
  <si>
    <t>Sb 217.582 nm</t>
  </si>
  <si>
    <t>Sc 335.372 nm</t>
  </si>
  <si>
    <t>Sc 361.383 nm</t>
  </si>
  <si>
    <t>Se 196.026 nm</t>
  </si>
  <si>
    <t>Se 203.985 nm</t>
  </si>
  <si>
    <t>Si 251.611 nm</t>
  </si>
  <si>
    <t>Si 288.158 nm</t>
  </si>
  <si>
    <t>Sm 359.259 nm</t>
  </si>
  <si>
    <t>Sm 360.949 nm</t>
  </si>
  <si>
    <t>Sn 189.925 nm</t>
  </si>
  <si>
    <t>Sn 283.998 nm</t>
  </si>
  <si>
    <t>Sr-R 407.771 nm</t>
  </si>
  <si>
    <t>Sr-R 421.552 nm</t>
  </si>
  <si>
    <t>Ta 263.558 nm</t>
  </si>
  <si>
    <t>Ta 268.517 nm</t>
  </si>
  <si>
    <t>Te 182.153 nm</t>
  </si>
  <si>
    <t>Te 214.282 nm</t>
  </si>
  <si>
    <t>Th 269.242 nm</t>
  </si>
  <si>
    <t>Th 283.730 nm</t>
  </si>
  <si>
    <t>Ti 334.941 nm</t>
  </si>
  <si>
    <t>Ti 336.122 nm</t>
  </si>
  <si>
    <t>Tl 190.794 nm</t>
  </si>
  <si>
    <t>Tl 276.789 nm</t>
  </si>
  <si>
    <t>Tl 351.923 nm</t>
  </si>
  <si>
    <t>Tm 313.125 nm</t>
  </si>
  <si>
    <t>Tm 342.508 nm</t>
  </si>
  <si>
    <t>U 367.007 nm</t>
  </si>
  <si>
    <t>U 385.957 nm</t>
  </si>
  <si>
    <t>V 292.401 nm</t>
  </si>
  <si>
    <t>V 309.310 nm</t>
  </si>
  <si>
    <t>W 207.912 nm</t>
  </si>
  <si>
    <t>W 209.475 nm</t>
  </si>
  <si>
    <t>Y 360.074 nm</t>
  </si>
  <si>
    <t>Y 371.029 nm</t>
  </si>
  <si>
    <t>Yb 328.937 nm</t>
  </si>
  <si>
    <t>Yb 369.419 nm</t>
  </si>
  <si>
    <t>Zn 202.548 nm</t>
  </si>
  <si>
    <t>Zn 213.857 nm</t>
  </si>
  <si>
    <t>Zr 339.198 nm</t>
  </si>
  <si>
    <t>Zr 343.823 nm</t>
  </si>
  <si>
    <t>Sample Name</t>
  </si>
  <si>
    <t>Comment</t>
  </si>
  <si>
    <t>Conc. (mg/L)</t>
  </si>
  <si>
    <t>Conc. (µg/L)</t>
  </si>
  <si>
    <t>Reportable Limit (3xMDL)</t>
  </si>
  <si>
    <t>Reportable Limit (No Dilution)</t>
  </si>
  <si>
    <t>&lt;0.003</t>
  </si>
  <si>
    <t>&lt;0.002</t>
  </si>
  <si>
    <t>&lt;0.001</t>
  </si>
  <si>
    <t>&lt;0.0003</t>
  </si>
  <si>
    <t>n/a</t>
  </si>
  <si>
    <t>&lt;0.0004</t>
  </si>
  <si>
    <t>ICPOES (Reportable Numbers) *DO NOT ADJUST*</t>
  </si>
  <si>
    <t>&lt;0.1</t>
  </si>
  <si>
    <t>mg/L</t>
  </si>
  <si>
    <t>Units</t>
  </si>
  <si>
    <t>Total Metals</t>
  </si>
  <si>
    <t>Aluminum</t>
  </si>
  <si>
    <t>Arsenic</t>
  </si>
  <si>
    <t>Boron</t>
  </si>
  <si>
    <t>Barium</t>
  </si>
  <si>
    <t>Calcium</t>
  </si>
  <si>
    <t>Cadmium</t>
  </si>
  <si>
    <t>Cobalt</t>
  </si>
  <si>
    <t>Chromium</t>
  </si>
  <si>
    <t>Copper</t>
  </si>
  <si>
    <t>Iron</t>
  </si>
  <si>
    <t>Mercury</t>
  </si>
  <si>
    <t>Potassium</t>
  </si>
  <si>
    <t>Magnesium</t>
  </si>
  <si>
    <t>Manganese</t>
  </si>
  <si>
    <t>Molybdenum</t>
  </si>
  <si>
    <t>Sodium</t>
  </si>
  <si>
    <t>Nickel</t>
  </si>
  <si>
    <t>Phosphorus</t>
  </si>
  <si>
    <t>Lead</t>
  </si>
  <si>
    <t>Sulfur</t>
  </si>
  <si>
    <t>Antimony</t>
  </si>
  <si>
    <t>Selenium</t>
  </si>
  <si>
    <t>Tin</t>
  </si>
  <si>
    <t>Uranium</t>
  </si>
  <si>
    <t>Vanadium</t>
  </si>
  <si>
    <t>Zinc</t>
  </si>
  <si>
    <t>INSTRUCTIONS</t>
  </si>
  <si>
    <t>ICPOES RESULTS</t>
  </si>
  <si>
    <t>Thallium</t>
  </si>
  <si>
    <t>Thorium</t>
  </si>
  <si>
    <t>Beryllium</t>
  </si>
  <si>
    <t>DO NOT EDIT THIS PAGE</t>
  </si>
  <si>
    <t>INSTRUMENT LIST</t>
  </si>
  <si>
    <t>ICPOES</t>
  </si>
  <si>
    <t>ICPMS</t>
  </si>
  <si>
    <t>Silver</t>
  </si>
  <si>
    <t>Cerium</t>
  </si>
  <si>
    <t>Dysprosium</t>
  </si>
  <si>
    <t>Erbium</t>
  </si>
  <si>
    <t>Europium</t>
  </si>
  <si>
    <t>Gallium</t>
  </si>
  <si>
    <t>Gadolinium</t>
  </si>
  <si>
    <t>Hafnium</t>
  </si>
  <si>
    <t>Holmium</t>
  </si>
  <si>
    <t>Lanthanum</t>
  </si>
  <si>
    <t>Lutetium</t>
  </si>
  <si>
    <t>Niobium</t>
  </si>
  <si>
    <t>Neodymium</t>
  </si>
  <si>
    <t>Rubidium</t>
  </si>
  <si>
    <t>Silicon</t>
  </si>
  <si>
    <t>Samarium</t>
  </si>
  <si>
    <t>Strontium</t>
  </si>
  <si>
    <t>Tantalum</t>
  </si>
  <si>
    <t>Tellurium</t>
  </si>
  <si>
    <t>Titanium</t>
  </si>
  <si>
    <t>Thulium</t>
  </si>
  <si>
    <t>Tungsten</t>
  </si>
  <si>
    <t>Ytterbium</t>
  </si>
  <si>
    <t>Zirconium</t>
  </si>
  <si>
    <t>Uncal</t>
  </si>
  <si>
    <t>o</t>
  </si>
  <si>
    <t>over-range</t>
  </si>
  <si>
    <t>####</t>
  </si>
  <si>
    <t>ICPOES CODES</t>
  </si>
  <si>
    <t>YELLOW IS PREFERRED WAVELENGTH</t>
  </si>
  <si>
    <t>UNITS</t>
  </si>
  <si>
    <t>%</t>
  </si>
  <si>
    <t>ICPQQQ</t>
  </si>
  <si>
    <t>IC</t>
  </si>
  <si>
    <t>CURRENT DETECTION LIMITS FILES</t>
  </si>
  <si>
    <t>Detection Limits File:</t>
  </si>
  <si>
    <r>
      <rPr>
        <sz val="11"/>
        <color theme="1"/>
        <rFont val="Calibri"/>
        <family val="2"/>
      </rPr>
      <t>µ</t>
    </r>
    <r>
      <rPr>
        <sz val="11"/>
        <color theme="1"/>
        <rFont val="Calibri"/>
        <family val="2"/>
        <scheme val="minor"/>
      </rPr>
      <t>g/L</t>
    </r>
  </si>
  <si>
    <t>CURRENT INSTRUMENT TEMPLATES</t>
  </si>
  <si>
    <t>NALS_ICPOES_TEMPLATE_AUG_18_2023</t>
  </si>
  <si>
    <t>&lt;0.01</t>
  </si>
  <si>
    <t>&lt;0.02</t>
  </si>
  <si>
    <t>&lt;0.005</t>
  </si>
  <si>
    <t>&lt;0.004</t>
  </si>
  <si>
    <t>&lt;0.0005</t>
  </si>
  <si>
    <t>&lt;7</t>
  </si>
  <si>
    <t>&lt;0.03</t>
  </si>
  <si>
    <t>DATE</t>
  </si>
  <si>
    <t>VERSION</t>
  </si>
  <si>
    <t>&lt;0.0000</t>
  </si>
  <si>
    <t>CONDITIONAL FORMATTING</t>
  </si>
  <si>
    <t>QA/QC SAMPLES NAMES</t>
  </si>
  <si>
    <t>IPC CCV5 after Calibration</t>
  </si>
  <si>
    <t>IPC CCV5 after Batch</t>
  </si>
  <si>
    <t>Digest LFB</t>
  </si>
  <si>
    <t>LFM Spike</t>
  </si>
  <si>
    <t>LFM Background</t>
  </si>
  <si>
    <t>ICV</t>
  </si>
  <si>
    <t>Instrument ICV</t>
  </si>
  <si>
    <t>Instrument LFB</t>
  </si>
  <si>
    <t>IPC Blank (NALS Blank)</t>
  </si>
  <si>
    <t>N/A</t>
  </si>
  <si>
    <t>&lt;0.007</t>
  </si>
  <si>
    <t>&lt;0.009</t>
  </si>
  <si>
    <t>&lt;0.012</t>
  </si>
  <si>
    <t>&lt;0.013</t>
  </si>
  <si>
    <t>&lt;0.014</t>
  </si>
  <si>
    <t>&lt;0.0017</t>
  </si>
  <si>
    <t>&lt;0.0011</t>
  </si>
  <si>
    <t>&lt;0.0007</t>
  </si>
  <si>
    <t>&lt;0.0010</t>
  </si>
  <si>
    <t>&lt;0.0015</t>
  </si>
  <si>
    <t>&lt;0.0009</t>
  </si>
  <si>
    <t>&lt;0.0014</t>
  </si>
  <si>
    <t>&lt;0.0032</t>
  </si>
  <si>
    <t>&lt;0.0067</t>
  </si>
  <si>
    <t>&lt;0.0025</t>
  </si>
  <si>
    <t>&lt;0.0041</t>
  </si>
  <si>
    <t>&lt;0.0035</t>
  </si>
  <si>
    <t>&lt;0.0023</t>
  </si>
  <si>
    <t>&lt;0.0022</t>
  </si>
  <si>
    <t>&lt;0.0069</t>
  </si>
  <si>
    <t>&lt;0.06</t>
  </si>
  <si>
    <t>&lt;0.011</t>
  </si>
  <si>
    <t>&lt;0.0053</t>
  </si>
  <si>
    <t>&lt;0.056</t>
  </si>
  <si>
    <t>&lt;0.034</t>
  </si>
  <si>
    <t>&lt;0.018</t>
  </si>
  <si>
    <t>&lt;0.025</t>
  </si>
  <si>
    <t>&lt;0.010</t>
  </si>
  <si>
    <t>&lt;0.0008</t>
  </si>
  <si>
    <t>&lt;0.0006</t>
  </si>
  <si>
    <t>INSTRUMENT REPORTABLE LIMIT TABLE</t>
  </si>
  <si>
    <t>ACRONYMS</t>
  </si>
  <si>
    <t>IPC</t>
  </si>
  <si>
    <t>Instrument Perfomance Check</t>
  </si>
  <si>
    <t>LFB</t>
  </si>
  <si>
    <t>Lab Fortified Blank</t>
  </si>
  <si>
    <t>Interference Check</t>
  </si>
  <si>
    <t>LFM</t>
  </si>
  <si>
    <t>Lab Fortified Matrix</t>
  </si>
  <si>
    <t>Instrument Interference Check</t>
  </si>
  <si>
    <t>CCV</t>
  </si>
  <si>
    <t>Continuous Calibration Verification</t>
  </si>
  <si>
    <t>Independent Calibration Verification</t>
  </si>
  <si>
    <t>CCV 500ppb</t>
  </si>
  <si>
    <t>-0.0005 u</t>
  </si>
  <si>
    <t>0.0002 u</t>
  </si>
  <si>
    <t>0.0000 u</t>
  </si>
  <si>
    <t>0.0001 u</t>
  </si>
  <si>
    <t>-0.0001 u</t>
  </si>
  <si>
    <t>-0.0007 u</t>
  </si>
  <si>
    <t>-0.0002 u</t>
  </si>
  <si>
    <t>-0.0003 u</t>
  </si>
  <si>
    <t>-0.0004 u</t>
  </si>
  <si>
    <t>0.0003 u</t>
  </si>
  <si>
    <t>-0.0006 u</t>
  </si>
  <si>
    <t>0.0004 u</t>
  </si>
  <si>
    <t>0.0006 u</t>
  </si>
  <si>
    <t>PERFORMANCE CHECK CALCULATIONS</t>
  </si>
  <si>
    <t>PERCENT RECOVERIES</t>
  </si>
  <si>
    <t>&lt;RL</t>
  </si>
  <si>
    <t>PERCENT</t>
  </si>
  <si>
    <t>PERCENT RECOVERY EQUATION (EPA 200.7)</t>
  </si>
  <si>
    <t>Percent Recovery = (Cs - C / s) *100</t>
  </si>
  <si>
    <t>Cs = Sample Concentration</t>
  </si>
  <si>
    <t>C = Sample Background</t>
  </si>
  <si>
    <t>SPIKE AMOUNT (UNDILUTED)</t>
  </si>
  <si>
    <t>ADJUSTMENT FOR &lt;RL *DO NOT ADJUST*</t>
  </si>
  <si>
    <t>s = true analyte concentration</t>
  </si>
  <si>
    <t>Hg (ug/L)</t>
  </si>
  <si>
    <t>All Metals Except Hg (mg/L)</t>
  </si>
  <si>
    <t>CCV5 Amount</t>
  </si>
  <si>
    <t>ICV Amount</t>
  </si>
  <si>
    <t>LOW END, %</t>
  </si>
  <si>
    <t>UPPER END, %</t>
  </si>
  <si>
    <t>PERCENT RECOVERIES, RPD, or PASS / FAIL *DO NOT ADJUST*</t>
  </si>
  <si>
    <t>RPD = (ABS(Determined Value-True Value)/True Value)*100</t>
  </si>
  <si>
    <t>IPC Blank after Calibration (NALS Blank)</t>
  </si>
  <si>
    <t>&lt;RL or up to 10% of sample matrix or 2.2X RL</t>
  </si>
  <si>
    <t>Digest Method Blank Comparison to Sample Matrix</t>
  </si>
  <si>
    <t>Digest Method Blank Comparison to 2.2X RL</t>
  </si>
  <si>
    <t>DO NOT INPUT ANY DATA HERE</t>
  </si>
  <si>
    <t>Digest Method Blank (LRB)</t>
  </si>
  <si>
    <t>LRB</t>
  </si>
  <si>
    <t>Lab Reagent Blank</t>
  </si>
  <si>
    <t>USED ONLY FOR ADDITIONAL QC</t>
  </si>
  <si>
    <t>SAMPLE, RPD Calculated</t>
  </si>
  <si>
    <t>SAMPLE DUPLICATE, RPD Calculated</t>
  </si>
  <si>
    <t>REPORT ICPOES QA/QC DATA</t>
  </si>
  <si>
    <t>QA/QC Report File (Processing)</t>
  </si>
  <si>
    <t>BATCH</t>
  </si>
  <si>
    <t>IC Metal</t>
  </si>
  <si>
    <t>2024NALS02081_ICPOES_FullMetals_DL_RL_Nov_04_2024_ICPOES</t>
  </si>
  <si>
    <t>&lt;-- EPA 200.7, Section 9.3.4</t>
  </si>
  <si>
    <t>&lt;-- EPA 200.7, Section 9.3.1</t>
  </si>
  <si>
    <t>&lt;-- EPA 200.7, Section 9.3.2</t>
  </si>
  <si>
    <t>&lt;-- EPA 200.7, Section 9.3.5, while not stated, using LFM values</t>
  </si>
  <si>
    <t>&lt;-- EPA 200.7, Section 9.3.5</t>
  </si>
  <si>
    <t>&lt;-- Used for calculation for LFM</t>
  </si>
  <si>
    <t>&lt;-- Standard Method for the Examination of Water and Wastewater, Section 1020 B. Quality Control 1. 'First Paragraph'</t>
  </si>
  <si>
    <t>&lt;-- Standard Method for the Examination of Water and Wastewater, Section 1020 B. Quality Control, and BCMOE SECTION C METALS  C-9 Quality Control Table</t>
  </si>
  <si>
    <t>*THIS TABLE HAS TWO ROWS REMOVED (IF EDITING, TAKE THIS INTO ACCOUNT)*</t>
  </si>
  <si>
    <t>RELATIVE PERCENT DIFFERENCE EQUATION</t>
  </si>
  <si>
    <t>RELATIVE PERCENT DIFFERENCE EQUATION FOR DUPLICATES</t>
  </si>
  <si>
    <t>RPD = (abs(R1-R2)/((R1+R2)/2))*100</t>
  </si>
  <si>
    <t>LFM Background (10X Dil. of Sample)</t>
  </si>
  <si>
    <t>IPC Blank</t>
  </si>
  <si>
    <t>Comments</t>
  </si>
  <si>
    <t>Spike &lt; 30% of Sample Matrix</t>
  </si>
  <si>
    <t>LRB &lt;10% Matrix, Spike &lt; 30% of Sample Matrix</t>
  </si>
  <si>
    <t>A</t>
  </si>
  <si>
    <t>Multiple Clients</t>
  </si>
  <si>
    <t>Digest LRB &lt;2.2X RL (Pass)</t>
  </si>
  <si>
    <t>Erwin</t>
  </si>
  <si>
    <t>Lab Fortified Blank 1ppm May 29/25 ICV</t>
  </si>
  <si>
    <t>Interference Check  1ppm May 29/25  ICV</t>
  </si>
  <si>
    <t>-0.0009 u</t>
  </si>
  <si>
    <t>0.0011 u</t>
  </si>
  <si>
    <t>0.0007 u</t>
  </si>
  <si>
    <t>0.0009 u</t>
  </si>
  <si>
    <t>-0.0014 u</t>
  </si>
  <si>
    <t>-0.0105 u</t>
  </si>
  <si>
    <t>0.0016 u</t>
  </si>
  <si>
    <t>0.0005 u</t>
  </si>
  <si>
    <t>-0.0066 u</t>
  </si>
  <si>
    <t>-0.0008 u</t>
  </si>
  <si>
    <t>-0.0037 u</t>
  </si>
  <si>
    <t>0.0012 u</t>
  </si>
  <si>
    <t>0.0017 u</t>
  </si>
  <si>
    <t>-0.0036 u</t>
  </si>
  <si>
    <t>-0.0019 u</t>
  </si>
  <si>
    <t>0.0020 u</t>
  </si>
  <si>
    <t>-0.0061 u</t>
  </si>
  <si>
    <t>-0.0034 u</t>
  </si>
  <si>
    <t>-0.0114 u</t>
  </si>
  <si>
    <t>0.0014 u</t>
  </si>
  <si>
    <t>-0.0078 u</t>
  </si>
  <si>
    <t>-0.0101 u</t>
  </si>
  <si>
    <t>0.0045 u</t>
  </si>
  <si>
    <t>-0.0047 u</t>
  </si>
  <si>
    <t>Digest LRB &lt;10% Matrix (Pass); Spike &lt; 30% of Sample Matrix</t>
  </si>
  <si>
    <t>Duplicate within 2.2X RL</t>
  </si>
  <si>
    <t>2025NALS02286_2290_2293_2296</t>
  </si>
  <si>
    <t>1+2+1+2</t>
  </si>
  <si>
    <t>ICV LVL 5 Jun 9/25</t>
  </si>
  <si>
    <t>28.2122 o</t>
  </si>
  <si>
    <t>144.3939 o</t>
  </si>
  <si>
    <t>145.1832 o</t>
  </si>
  <si>
    <t>19.8724 o</t>
  </si>
  <si>
    <t>19.4050 o</t>
  </si>
  <si>
    <t>1.9872 o</t>
  </si>
  <si>
    <t>-0.0262 u</t>
  </si>
  <si>
    <t>2025NALS02293 A01</t>
  </si>
  <si>
    <t>-0.0042 u</t>
  </si>
  <si>
    <t>-0.0023 u</t>
  </si>
  <si>
    <t>0.5189 u</t>
  </si>
  <si>
    <t>-1.5927 u</t>
  </si>
  <si>
    <t>0.0067 u</t>
  </si>
  <si>
    <t>0.0028 u</t>
  </si>
  <si>
    <t>-0.0017 u</t>
  </si>
  <si>
    <t>-0.0144 u</t>
  </si>
  <si>
    <t>-0.0013 u</t>
  </si>
  <si>
    <t>-0.0024 u</t>
  </si>
  <si>
    <t>-0.0052 u</t>
  </si>
  <si>
    <t>2025NALS02293 A02</t>
  </si>
  <si>
    <t>-0.0068 u</t>
  </si>
  <si>
    <t>-0.0021 u</t>
  </si>
  <si>
    <t>-2.3549 u</t>
  </si>
  <si>
    <t>-0.0025 u</t>
  </si>
  <si>
    <t>-0.0053 u</t>
  </si>
  <si>
    <t>-0.0089 u</t>
  </si>
  <si>
    <t>-0.0032 u</t>
  </si>
  <si>
    <t>-0.0038 u</t>
  </si>
  <si>
    <t>0.0008 u</t>
  </si>
  <si>
    <t>-0.0012 u</t>
  </si>
  <si>
    <t>-0.0045 u</t>
  </si>
  <si>
    <t>2025NALS02293 A03</t>
  </si>
  <si>
    <t>-1.5423 u</t>
  </si>
  <si>
    <t>0.0027 u</t>
  </si>
  <si>
    <t>4.7145 o</t>
  </si>
  <si>
    <t>4.6166 o</t>
  </si>
  <si>
    <t>0.0013 u</t>
  </si>
  <si>
    <t>-0.0072 u</t>
  </si>
  <si>
    <t>-0.0121 u</t>
  </si>
  <si>
    <t>2025NALS02293 A04</t>
  </si>
  <si>
    <t>-0.0035 u</t>
  </si>
  <si>
    <t>-0.0020 u</t>
  </si>
  <si>
    <t>0.1124 u</t>
  </si>
  <si>
    <t>0.0032 u</t>
  </si>
  <si>
    <t>4.7049 o</t>
  </si>
  <si>
    <t>4.6202 o</t>
  </si>
  <si>
    <t>-0.0173 u</t>
  </si>
  <si>
    <t>-0.0095 u</t>
  </si>
  <si>
    <t>-0.0132 u</t>
  </si>
  <si>
    <t>2025NALS02293 A05</t>
  </si>
  <si>
    <t>2025NALS02293 A03 - Dil. 10X</t>
  </si>
  <si>
    <t>-0.0028 u</t>
  </si>
  <si>
    <t>-0.7129 u</t>
  </si>
  <si>
    <t>-1.7131 u</t>
  </si>
  <si>
    <t>-0.0085 u</t>
  </si>
  <si>
    <t>0.0070 u</t>
  </si>
  <si>
    <t>2. Check "SUMMARY TABLE" tab to view QC Results for selected elements</t>
  </si>
  <si>
    <t>3. If a fail occurs see if it falls within the comments section selection, as per SOP.</t>
  </si>
  <si>
    <t>Possible Comment Conditions</t>
  </si>
  <si>
    <t>a. IPCs are good, spike must be matrix relatated (SOP 8.1.1.3)</t>
  </si>
  <si>
    <t>b. Spike &lt; 30% of Sample Matrix</t>
  </si>
  <si>
    <t>c. Digest LRB &lt;10% Matrix</t>
  </si>
  <si>
    <t>d. Digest LRB &lt;2.2X RL</t>
  </si>
  <si>
    <t>e. Duplicate within 2.2X RL</t>
  </si>
  <si>
    <t>f. IPC Blank within 2.2X RL</t>
  </si>
  <si>
    <r>
      <t xml:space="preserve">ICPOES (Raw Data from </t>
    </r>
    <r>
      <rPr>
        <b/>
        <sz val="11"/>
        <color rgb="FFFF0000"/>
        <rFont val="Times New Roman"/>
        <family val="1"/>
      </rPr>
      <t xml:space="preserve">QA/QC </t>
    </r>
    <r>
      <rPr>
        <b/>
        <sz val="11"/>
        <rFont val="Times New Roman"/>
        <family val="1"/>
      </rPr>
      <t xml:space="preserve">from </t>
    </r>
    <r>
      <rPr>
        <b/>
        <sz val="11"/>
        <color rgb="FFFF0000"/>
        <rFont val="Times New Roman"/>
        <family val="1"/>
      </rPr>
      <t>UNADJUSTED DATA</t>
    </r>
    <r>
      <rPr>
        <b/>
        <sz val="11"/>
        <rFont val="Times New Roman"/>
        <family val="1"/>
      </rPr>
      <t>)</t>
    </r>
  </si>
  <si>
    <t>NALS_WTRICPOES_QC_XL_20250703_Rev0</t>
  </si>
  <si>
    <t>1. Input raw data from ICPOES run from client sample into GREEN CELLS of the "BATCH" tab. Copy and Paste using "123 Values" function.</t>
  </si>
  <si>
    <t>Entire excel workbook was created by Erwin</t>
  </si>
  <si>
    <t>AUTHOR</t>
  </si>
  <si>
    <t>EDITS</t>
  </si>
  <si>
    <t>Erwin Rehl</t>
  </si>
  <si>
    <t>ICV and CCV PERCENT RECOVERY EQUATION</t>
  </si>
  <si>
    <t>Percent Recovery = (Cs/s)*100</t>
  </si>
  <si>
    <t>Updated ICV and CCV5 equation to not use blank subtraction as they are not diluted into matrix solution after being made. Included equation in "Instructions Tab".</t>
  </si>
  <si>
    <t>NALS_WTRICPOES_QC_XL_20250725_Rev1</t>
  </si>
  <si>
    <t>2025NALS02540_2621_2623_2627_Feb_13_2026_OES</t>
  </si>
  <si>
    <t>Multiple Samples</t>
  </si>
  <si>
    <t>ICV LVL 5 Jan 27/26</t>
  </si>
  <si>
    <t>Lab Fortified Blank 1ppm Jan 20/26 ICV</t>
  </si>
  <si>
    <t>Interference Check  1ppm Jan 20/26 ICV</t>
  </si>
  <si>
    <t/>
  </si>
  <si>
    <t/>
  </si>
  <si>
    <t/>
  </si>
  <si>
    <t/>
  </si>
  <si>
    <t/>
  </si>
  <si>
    <t/>
  </si>
  <si>
    <t/>
  </si>
  <si>
    <t/>
  </si>
  <si>
    <t/>
  </si>
  <si>
    <t/>
  </si>
  <si>
    <t/>
  </si>
  <si>
    <t/>
  </si>
  <si>
    <t/>
  </si>
  <si>
    <t/>
  </si>
  <si>
    <t>2026NALS02621 A01</t>
  </si>
  <si>
    <t/>
  </si>
  <si>
    <t/>
  </si>
  <si>
    <t/>
  </si>
  <si>
    <t/>
  </si>
  <si>
    <t/>
  </si>
  <si>
    <t>2026NALS02621 A02</t>
  </si>
  <si>
    <t>2026NALS02621 A03</t>
  </si>
  <si>
    <t/>
  </si>
  <si>
    <t/>
  </si>
  <si>
    <t/>
  </si>
  <si>
    <t/>
  </si>
  <si>
    <t/>
  </si>
  <si>
    <t/>
  </si>
  <si>
    <t/>
  </si>
  <si>
    <t/>
  </si>
  <si>
    <t>2026NALS02621 A04</t>
  </si>
  <si>
    <t/>
  </si>
  <si>
    <t/>
  </si>
  <si>
    <t/>
  </si>
  <si>
    <t/>
  </si>
  <si>
    <t/>
  </si>
  <si>
    <t/>
  </si>
  <si>
    <t/>
  </si>
  <si>
    <t/>
  </si>
  <si>
    <t/>
  </si>
  <si>
    <t>2026NALS02621 A05</t>
  </si>
  <si>
    <t>2026NALS02621 A03 - Dil. 10X</t>
  </si>
  <si>
    <t/>
  </si>
  <si>
    <t/>
  </si>
  <si>
    <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</si>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</sst>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
  </numFmts>
  <fonts count="35" x14ac:knownFonts="1">
    <font>
      <sz val="11"/>
      <color theme="1"/>
      <name val="Calibri"/>
      <family val="2"/>
      <scheme val="minor"/>
    </font>
    <font>
      <sz val="10"/>
      <name val="Arial"/>
      <family val="2"/>
    </font>
    <font>
      <b/>
      <sz val="11"/>
      <color theme="1"/>
      <name val="Arial"/>
      <family val="2"/>
    </font>
    <font>
      <sz val="11"/>
      <color theme="1"/>
      <name val="Arial"/>
      <family val="2"/>
    </font>
    <font>
      <sz val="10"/>
      <name val="Arial"/>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Arial"/>
      <family val="2"/>
    </font>
    <font>
      <sz val="11"/>
      <color theme="1"/>
      <name val="Times New Roman"/>
      <family val="1"/>
    </font>
    <font>
      <sz val="11"/>
      <color indexed="72"/>
      <name val="Times New Roman"/>
      <family val="1"/>
    </font>
    <font>
      <b/>
      <sz val="11"/>
      <name val="Times New Roman"/>
      <family val="1"/>
    </font>
    <font>
      <b/>
      <sz val="10"/>
      <color rgb="FF000000"/>
      <name val="Times New Roman"/>
      <family val="1"/>
    </font>
    <font>
      <sz val="10"/>
      <color rgb="FF000000"/>
      <name val="Times New Roman"/>
      <family val="1"/>
    </font>
    <font>
      <sz val="10"/>
      <color theme="1"/>
      <name val="Times New Roman"/>
      <family val="1"/>
    </font>
    <font>
      <b/>
      <sz val="11"/>
      <color theme="1"/>
      <name val="Times New Roman"/>
      <family val="1"/>
    </font>
    <font>
      <b/>
      <sz val="11"/>
      <color rgb="FFFF0000"/>
      <name val="Times New Roman"/>
      <family val="1"/>
    </font>
    <font>
      <sz val="8"/>
      <name val="Calibri"/>
      <family val="2"/>
      <scheme val="minor"/>
    </font>
    <font>
      <b/>
      <sz val="24"/>
      <color theme="1"/>
      <name val="Calibri"/>
      <family val="2"/>
      <scheme val="minor"/>
    </font>
    <font>
      <sz val="11"/>
      <color theme="1"/>
      <name val="Calibri"/>
      <family val="2"/>
    </font>
    <font>
      <b/>
      <sz val="11"/>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6" tint="0.39997558519241921"/>
        <bgColor indexed="64"/>
      </patternFill>
    </fill>
    <fill>
      <patternFill patternType="solid">
        <fgColor rgb="FFFFC000"/>
        <bgColor indexed="64"/>
      </patternFill>
    </fill>
    <fill>
      <patternFill patternType="solid">
        <fgColor rgb="FFFF000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8" tint="0.599963377788628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7"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ck">
        <color rgb="FF00B0F0"/>
      </left>
      <right style="thin">
        <color indexed="64"/>
      </right>
      <top style="thick">
        <color rgb="FF00B0F0"/>
      </top>
      <bottom style="thin">
        <color indexed="64"/>
      </bottom>
      <diagonal/>
    </border>
    <border>
      <left style="thin">
        <color indexed="64"/>
      </left>
      <right style="thin">
        <color indexed="64"/>
      </right>
      <top style="thick">
        <color rgb="FF00B0F0"/>
      </top>
      <bottom style="thin">
        <color indexed="64"/>
      </bottom>
      <diagonal/>
    </border>
    <border>
      <left style="thin">
        <color indexed="64"/>
      </left>
      <right style="thick">
        <color rgb="FF00B0F0"/>
      </right>
      <top style="thick">
        <color rgb="FF00B0F0"/>
      </top>
      <bottom style="thin">
        <color indexed="64"/>
      </bottom>
      <diagonal/>
    </border>
    <border>
      <left style="thick">
        <color rgb="FF00B0F0"/>
      </left>
      <right style="thin">
        <color indexed="64"/>
      </right>
      <top style="thin">
        <color indexed="64"/>
      </top>
      <bottom style="thin">
        <color indexed="64"/>
      </bottom>
      <diagonal/>
    </border>
    <border>
      <left style="thin">
        <color indexed="64"/>
      </left>
      <right style="thick">
        <color rgb="FF00B0F0"/>
      </right>
      <top style="thin">
        <color indexed="64"/>
      </top>
      <bottom style="thin">
        <color indexed="64"/>
      </bottom>
      <diagonal/>
    </border>
    <border>
      <left style="thick">
        <color rgb="FF00B0F0"/>
      </left>
      <right style="thick">
        <color rgb="FF00B0F0"/>
      </right>
      <top style="thick">
        <color rgb="FF00B0F0"/>
      </top>
      <bottom style="thin">
        <color indexed="64"/>
      </bottom>
      <diagonal/>
    </border>
    <border>
      <left style="thick">
        <color rgb="FF00B0F0"/>
      </left>
      <right style="thick">
        <color rgb="FF00B0F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s>
  <cellStyleXfs count="54">
    <xf numFmtId="0" fontId="0" fillId="0" borderId="0"/>
    <xf numFmtId="0" fontId="1" fillId="0" borderId="0"/>
    <xf numFmtId="0" fontId="4" fillId="0" borderId="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5" applyNumberFormat="0" applyAlignment="0" applyProtection="0"/>
    <xf numFmtId="0" fontId="14" fillId="6" borderId="6" applyNumberFormat="0" applyAlignment="0" applyProtection="0"/>
    <xf numFmtId="0" fontId="15" fillId="6" borderId="5" applyNumberFormat="0" applyAlignment="0" applyProtection="0"/>
    <xf numFmtId="0" fontId="16" fillId="0" borderId="7" applyNumberFormat="0" applyFill="0" applyAlignment="0" applyProtection="0"/>
    <xf numFmtId="0" fontId="17" fillId="7" borderId="8" applyNumberFormat="0" applyAlignment="0" applyProtection="0"/>
    <xf numFmtId="0" fontId="18" fillId="0" borderId="0" applyNumberFormat="0" applyFill="0" applyBorder="0" applyAlignment="0" applyProtection="0"/>
    <xf numFmtId="0" fontId="5" fillId="8" borderId="9" applyNumberFormat="0" applyFont="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21"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21" fillId="32" borderId="0" applyNumberFormat="0" applyBorder="0" applyAlignment="0" applyProtection="0"/>
    <xf numFmtId="0" fontId="1" fillId="0" borderId="0"/>
    <xf numFmtId="0" fontId="5"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01">
    <xf numFmtId="0" fontId="0" fillId="0" borderId="0" xfId="0"/>
    <xf numFmtId="0" fontId="2" fillId="0" borderId="0" xfId="0" applyFont="1"/>
    <xf numFmtId="0" fontId="3" fillId="0" borderId="0" xfId="0" applyFont="1"/>
    <xf numFmtId="0" fontId="3" fillId="0" borderId="0" xfId="0" applyFont="1" applyAlignment="1">
      <alignment horizontal="center"/>
    </xf>
    <xf numFmtId="0" fontId="22" fillId="0" borderId="0" xfId="0" applyFont="1" applyAlignment="1">
      <alignment horizontal="center"/>
    </xf>
    <xf numFmtId="0" fontId="22" fillId="0" borderId="0" xfId="0" applyFont="1" applyAlignment="1">
      <alignment horizontal="left"/>
    </xf>
    <xf numFmtId="0" fontId="23" fillId="0" borderId="1" xfId="0" applyFont="1" applyBorder="1" applyAlignment="1">
      <alignment horizontal="center"/>
    </xf>
    <xf numFmtId="164" fontId="23" fillId="0" borderId="1" xfId="0" applyNumberFormat="1" applyFont="1" applyBorder="1" applyAlignment="1">
      <alignment horizontal="center"/>
    </xf>
    <xf numFmtId="2" fontId="23" fillId="0" borderId="1" xfId="0" applyNumberFormat="1" applyFont="1" applyBorder="1" applyAlignment="1">
      <alignment horizontal="center"/>
    </xf>
    <xf numFmtId="0" fontId="23" fillId="0" borderId="0" xfId="0" applyFont="1"/>
    <xf numFmtId="0" fontId="24" fillId="0" borderId="0" xfId="1" applyFont="1" applyAlignment="1">
      <alignment horizontal="center" vertical="center"/>
    </xf>
    <xf numFmtId="0" fontId="23" fillId="0" borderId="0" xfId="0" applyFont="1" applyAlignment="1">
      <alignment horizontal="center"/>
    </xf>
    <xf numFmtId="164" fontId="23" fillId="0" borderId="0" xfId="0" applyNumberFormat="1" applyFont="1" applyAlignment="1">
      <alignment horizontal="center"/>
    </xf>
    <xf numFmtId="165" fontId="23" fillId="0" borderId="0" xfId="0" applyNumberFormat="1" applyFont="1" applyAlignment="1">
      <alignment horizontal="center"/>
    </xf>
    <xf numFmtId="166" fontId="23" fillId="0" borderId="0" xfId="0" applyNumberFormat="1" applyFont="1" applyAlignment="1">
      <alignment horizontal="center"/>
    </xf>
    <xf numFmtId="2" fontId="23" fillId="0" borderId="0" xfId="0" applyNumberFormat="1" applyFont="1" applyAlignment="1">
      <alignment horizontal="center"/>
    </xf>
    <xf numFmtId="0" fontId="23" fillId="0" borderId="1" xfId="0" applyFont="1" applyBorder="1"/>
    <xf numFmtId="1" fontId="23" fillId="0" borderId="0" xfId="0" applyNumberFormat="1" applyFont="1" applyAlignment="1">
      <alignment horizontal="center"/>
    </xf>
    <xf numFmtId="0" fontId="0" fillId="34" borderId="0" xfId="0" applyFill="1"/>
    <xf numFmtId="0" fontId="0" fillId="0" borderId="0" xfId="0" applyAlignment="1">
      <alignment horizontal="center"/>
    </xf>
    <xf numFmtId="0" fontId="26" fillId="0" borderId="1" xfId="0" applyFont="1" applyBorder="1" applyAlignment="1">
      <alignment horizontal="center" vertical="center"/>
    </xf>
    <xf numFmtId="0" fontId="27" fillId="0" borderId="1" xfId="0" applyFont="1" applyBorder="1" applyAlignment="1">
      <alignment horizontal="center" vertical="center"/>
    </xf>
    <xf numFmtId="2" fontId="23" fillId="33" borderId="1" xfId="0" applyNumberFormat="1" applyFont="1" applyFill="1" applyBorder="1" applyAlignment="1">
      <alignment horizontal="center"/>
    </xf>
    <xf numFmtId="0" fontId="24" fillId="33" borderId="1" xfId="1" applyFont="1" applyFill="1" applyBorder="1" applyAlignment="1">
      <alignment horizontal="center" vertical="center"/>
    </xf>
    <xf numFmtId="0" fontId="28" fillId="0" borderId="0" xfId="0" applyFont="1"/>
    <xf numFmtId="0" fontId="28" fillId="0" borderId="0" xfId="0" applyFont="1" applyAlignment="1">
      <alignment horizontal="center"/>
    </xf>
    <xf numFmtId="0" fontId="29" fillId="0" borderId="0" xfId="0" applyFont="1"/>
    <xf numFmtId="166" fontId="27" fillId="0" borderId="1" xfId="0" applyNumberFormat="1" applyFont="1" applyBorder="1" applyAlignment="1">
      <alignment horizontal="center" vertical="center"/>
    </xf>
    <xf numFmtId="2" fontId="27" fillId="0" borderId="1" xfId="0" applyNumberFormat="1" applyFont="1" applyBorder="1" applyAlignment="1">
      <alignment horizontal="center" vertical="center"/>
    </xf>
    <xf numFmtId="1" fontId="27" fillId="0" borderId="1" xfId="0" applyNumberFormat="1" applyFont="1" applyBorder="1" applyAlignment="1">
      <alignment horizontal="center" vertical="center"/>
    </xf>
    <xf numFmtId="0" fontId="24" fillId="0" borderId="11" xfId="1" applyFont="1" applyBorder="1" applyAlignment="1">
      <alignment horizontal="center" vertical="center"/>
    </xf>
    <xf numFmtId="0" fontId="23" fillId="0" borderId="11" xfId="0" applyFont="1" applyBorder="1" applyAlignment="1">
      <alignment horizontal="center"/>
    </xf>
    <xf numFmtId="2" fontId="0" fillId="0" borderId="0" xfId="0" applyNumberFormat="1"/>
    <xf numFmtId="0" fontId="0" fillId="33" borderId="1" xfId="0" applyFill="1" applyBorder="1"/>
    <xf numFmtId="0" fontId="32" fillId="36" borderId="0" xfId="0" applyFont="1" applyFill="1"/>
    <xf numFmtId="0" fontId="0" fillId="36" borderId="0" xfId="0" applyFill="1"/>
    <xf numFmtId="165" fontId="23" fillId="0" borderId="1" xfId="0" applyNumberFormat="1" applyFont="1" applyBorder="1" applyAlignment="1">
      <alignment horizontal="center"/>
    </xf>
    <xf numFmtId="0" fontId="20" fillId="0" borderId="0" xfId="0" applyFont="1" applyAlignment="1">
      <alignment horizontal="center"/>
    </xf>
    <xf numFmtId="0" fontId="20" fillId="33" borderId="1" xfId="0" applyFont="1" applyFill="1" applyBorder="1"/>
    <xf numFmtId="0" fontId="20" fillId="35" borderId="1" xfId="0" applyFont="1" applyFill="1" applyBorder="1"/>
    <xf numFmtId="0" fontId="0" fillId="0" borderId="1" xfId="0" applyBorder="1" applyAlignment="1">
      <alignment horizontal="center"/>
    </xf>
    <xf numFmtId="0" fontId="3" fillId="0" borderId="0" xfId="0" applyFont="1" applyAlignment="1">
      <alignment horizontal="left"/>
    </xf>
    <xf numFmtId="0" fontId="0" fillId="0" borderId="1" xfId="0" applyBorder="1"/>
    <xf numFmtId="0" fontId="20" fillId="33" borderId="1" xfId="0" applyFont="1" applyFill="1" applyBorder="1" applyAlignment="1">
      <alignment horizontal="center"/>
    </xf>
    <xf numFmtId="15" fontId="0" fillId="0" borderId="1" xfId="0" applyNumberFormat="1" applyBorder="1" applyAlignment="1">
      <alignment horizontal="center"/>
    </xf>
    <xf numFmtId="0" fontId="0" fillId="33" borderId="1" xfId="0" applyFill="1" applyBorder="1" applyAlignment="1">
      <alignment horizontal="center"/>
    </xf>
    <xf numFmtId="0" fontId="20" fillId="38" borderId="1" xfId="0" applyFont="1" applyFill="1" applyBorder="1"/>
    <xf numFmtId="0" fontId="24" fillId="38" borderId="1" xfId="1" applyFont="1" applyFill="1" applyBorder="1" applyAlignment="1">
      <alignment horizontal="center" vertical="center"/>
    </xf>
    <xf numFmtId="2" fontId="23" fillId="39" borderId="1" xfId="0" applyNumberFormat="1" applyFont="1" applyFill="1" applyBorder="1" applyAlignment="1">
      <alignment horizontal="center"/>
    </xf>
    <xf numFmtId="0" fontId="20" fillId="0" borderId="0" xfId="0" applyFont="1"/>
    <xf numFmtId="0" fontId="0" fillId="35" borderId="1" xfId="0" applyFill="1" applyBorder="1"/>
    <xf numFmtId="0" fontId="20" fillId="35" borderId="1" xfId="0" applyFont="1" applyFill="1" applyBorder="1" applyAlignment="1">
      <alignment horizontal="center"/>
    </xf>
    <xf numFmtId="0" fontId="20" fillId="35" borderId="0" xfId="0" applyFont="1" applyFill="1"/>
    <xf numFmtId="0" fontId="0" fillId="35" borderId="0" xfId="0" applyFill="1"/>
    <xf numFmtId="0" fontId="20" fillId="35" borderId="0" xfId="0" applyFont="1" applyFill="1" applyAlignment="1">
      <alignment horizontal="center"/>
    </xf>
    <xf numFmtId="0" fontId="25" fillId="35" borderId="19" xfId="1" applyFont="1" applyFill="1" applyBorder="1" applyAlignment="1">
      <alignment horizontal="left" vertical="center"/>
    </xf>
    <xf numFmtId="165" fontId="23" fillId="35" borderId="16" xfId="0" applyNumberFormat="1" applyFont="1" applyFill="1" applyBorder="1" applyAlignment="1">
      <alignment horizontal="center"/>
    </xf>
    <xf numFmtId="165" fontId="23" fillId="35" borderId="1" xfId="0" applyNumberFormat="1" applyFont="1" applyFill="1" applyBorder="1" applyAlignment="1">
      <alignment horizontal="center"/>
    </xf>
    <xf numFmtId="165" fontId="23" fillId="35" borderId="17" xfId="0" applyNumberFormat="1" applyFont="1" applyFill="1" applyBorder="1" applyAlignment="1">
      <alignment horizontal="center"/>
    </xf>
    <xf numFmtId="0" fontId="24" fillId="35" borderId="19" xfId="1" applyFont="1" applyFill="1" applyBorder="1" applyAlignment="1">
      <alignment horizontal="left" vertical="center"/>
    </xf>
    <xf numFmtId="0" fontId="34" fillId="0" borderId="0" xfId="0" applyFont="1"/>
    <xf numFmtId="0" fontId="23" fillId="0" borderId="20" xfId="0" applyFont="1" applyBorder="1" applyAlignment="1">
      <alignment horizontal="center"/>
    </xf>
    <xf numFmtId="0" fontId="23" fillId="0" borderId="21" xfId="0" applyFont="1" applyBorder="1" applyAlignment="1">
      <alignment horizontal="center"/>
    </xf>
    <xf numFmtId="0" fontId="23" fillId="0" borderId="22" xfId="0" applyFont="1" applyBorder="1" applyAlignment="1">
      <alignment horizontal="center"/>
    </xf>
    <xf numFmtId="0" fontId="23" fillId="0" borderId="12" xfId="0" applyFont="1" applyBorder="1" applyAlignment="1">
      <alignment horizontal="center"/>
    </xf>
    <xf numFmtId="0" fontId="23" fillId="0" borderId="23" xfId="0" applyFont="1" applyBorder="1" applyAlignment="1">
      <alignment horizontal="center"/>
    </xf>
    <xf numFmtId="0" fontId="23" fillId="0" borderId="24" xfId="0" applyFont="1" applyBorder="1" applyAlignment="1">
      <alignment horizontal="center"/>
    </xf>
    <xf numFmtId="0" fontId="23" fillId="0" borderId="25" xfId="0" applyFont="1" applyBorder="1" applyAlignment="1">
      <alignment horizontal="center"/>
    </xf>
    <xf numFmtId="0" fontId="3" fillId="40" borderId="26" xfId="0" applyFont="1" applyFill="1" applyBorder="1" applyAlignment="1">
      <alignment horizontal="center"/>
    </xf>
    <xf numFmtId="0" fontId="20" fillId="0" borderId="1" xfId="0" applyFont="1" applyBorder="1" applyAlignment="1">
      <alignment horizontal="center"/>
    </xf>
    <xf numFmtId="0" fontId="0" fillId="41" borderId="1" xfId="0" applyFill="1" applyBorder="1"/>
    <xf numFmtId="0" fontId="27" fillId="33" borderId="1" xfId="0" applyFont="1" applyFill="1" applyBorder="1" applyAlignment="1">
      <alignment horizontal="center" vertical="center"/>
    </xf>
    <xf numFmtId="0" fontId="3" fillId="38" borderId="0" xfId="0" applyFont="1" applyFill="1" applyAlignment="1">
      <alignment horizontal="center"/>
    </xf>
    <xf numFmtId="15" fontId="3" fillId="38" borderId="0" xfId="0" applyNumberFormat="1" applyFont="1" applyFill="1" applyAlignment="1">
      <alignment horizontal="center"/>
    </xf>
    <xf numFmtId="0" fontId="23" fillId="42" borderId="12" xfId="0" applyFont="1" applyFill="1" applyBorder="1"/>
    <xf numFmtId="0" fontId="24" fillId="42" borderId="12" xfId="1" applyFont="1" applyFill="1" applyBorder="1" applyAlignment="1">
      <alignment horizontal="left" vertical="center"/>
    </xf>
    <xf numFmtId="164" fontId="23" fillId="42" borderId="12" xfId="0" applyNumberFormat="1" applyFont="1" applyFill="1" applyBorder="1" applyAlignment="1">
      <alignment horizontal="center"/>
    </xf>
    <xf numFmtId="165" fontId="23" fillId="42" borderId="12" xfId="0" applyNumberFormat="1" applyFont="1" applyFill="1" applyBorder="1" applyAlignment="1">
      <alignment horizontal="center"/>
    </xf>
    <xf numFmtId="2" fontId="23" fillId="42" borderId="12" xfId="0" applyNumberFormat="1" applyFont="1" applyFill="1" applyBorder="1" applyAlignment="1">
      <alignment horizontal="center"/>
    </xf>
    <xf numFmtId="166" fontId="23" fillId="42" borderId="12" xfId="0" applyNumberFormat="1" applyFont="1" applyFill="1" applyBorder="1" applyAlignment="1">
      <alignment horizontal="center"/>
    </xf>
    <xf numFmtId="0" fontId="24" fillId="37" borderId="18" xfId="1" applyFont="1" applyFill="1" applyBorder="1" applyAlignment="1">
      <alignment horizontal="left" vertical="center"/>
    </xf>
    <xf numFmtId="165" fontId="23" fillId="37" borderId="13" xfId="0" applyNumberFormat="1" applyFont="1" applyFill="1" applyBorder="1" applyAlignment="1">
      <alignment horizontal="center"/>
    </xf>
    <xf numFmtId="165" fontId="23" fillId="37" borderId="14" xfId="0" applyNumberFormat="1" applyFont="1" applyFill="1" applyBorder="1" applyAlignment="1">
      <alignment horizontal="center"/>
    </xf>
    <xf numFmtId="165" fontId="23" fillId="37" borderId="15" xfId="0" applyNumberFormat="1" applyFont="1" applyFill="1" applyBorder="1" applyAlignment="1">
      <alignment horizontal="center"/>
    </xf>
    <xf numFmtId="0" fontId="24" fillId="37" borderId="19" xfId="1" applyFont="1" applyFill="1" applyBorder="1" applyAlignment="1">
      <alignment horizontal="left" vertical="center"/>
    </xf>
    <xf numFmtId="165" fontId="23" fillId="37" borderId="16" xfId="0" applyNumberFormat="1" applyFont="1" applyFill="1" applyBorder="1" applyAlignment="1">
      <alignment horizontal="center"/>
    </xf>
    <xf numFmtId="165" fontId="23" fillId="37" borderId="1" xfId="0" applyNumberFormat="1" applyFont="1" applyFill="1" applyBorder="1" applyAlignment="1">
      <alignment horizontal="center"/>
    </xf>
    <xf numFmtId="165" fontId="23" fillId="37" borderId="17" xfId="0" applyNumberFormat="1" applyFont="1" applyFill="1" applyBorder="1" applyAlignment="1">
      <alignment horizontal="center"/>
    </xf>
    <xf numFmtId="0" fontId="25" fillId="0" borderId="18" xfId="1" applyFont="1" applyBorder="1" applyAlignment="1">
      <alignment horizontal="left" vertical="center"/>
    </xf>
    <xf numFmtId="0" fontId="25" fillId="0" borderId="19" xfId="1" applyFont="1" applyBorder="1" applyAlignment="1">
      <alignment horizontal="left" vertical="center"/>
    </xf>
    <xf numFmtId="0" fontId="24" fillId="37" borderId="18" xfId="1" applyFont="1" applyFill="1" applyBorder="1" applyAlignment="1" applyProtection="1">
      <alignment horizontal="left" vertical="center"/>
      <protection locked="0"/>
    </xf>
    <xf numFmtId="165" fontId="23" fillId="37" borderId="13" xfId="0" applyNumberFormat="1" applyFont="1" applyFill="1" applyBorder="1" applyAlignment="1" applyProtection="1">
      <alignment horizontal="center"/>
      <protection locked="0"/>
    </xf>
    <xf numFmtId="165" fontId="23" fillId="37" borderId="14" xfId="0" applyNumberFormat="1" applyFont="1" applyFill="1" applyBorder="1" applyAlignment="1" applyProtection="1">
      <alignment horizontal="center"/>
      <protection locked="0"/>
    </xf>
    <xf numFmtId="165" fontId="23" fillId="37" borderId="15" xfId="0" applyNumberFormat="1" applyFont="1" applyFill="1" applyBorder="1" applyAlignment="1" applyProtection="1">
      <alignment horizontal="center"/>
      <protection locked="0"/>
    </xf>
    <xf numFmtId="0" fontId="24" fillId="37" borderId="19" xfId="1" applyFont="1" applyFill="1" applyBorder="1" applyAlignment="1" applyProtection="1">
      <alignment horizontal="left" vertical="center"/>
      <protection locked="0"/>
    </xf>
    <xf numFmtId="165" fontId="23" fillId="37" borderId="16" xfId="0" applyNumberFormat="1" applyFont="1" applyFill="1" applyBorder="1" applyAlignment="1" applyProtection="1">
      <alignment horizontal="center"/>
      <protection locked="0"/>
    </xf>
    <xf numFmtId="165" fontId="23" fillId="37" borderId="1" xfId="0" applyNumberFormat="1" applyFont="1" applyFill="1" applyBorder="1" applyAlignment="1" applyProtection="1">
      <alignment horizontal="center"/>
      <protection locked="0"/>
    </xf>
    <xf numFmtId="165" fontId="23" fillId="37" borderId="17" xfId="0" applyNumberFormat="1" applyFont="1" applyFill="1" applyBorder="1" applyAlignment="1" applyProtection="1">
      <alignment horizontal="center"/>
      <protection locked="0"/>
    </xf>
    <xf numFmtId="0" fontId="25" fillId="0" borderId="1" xfId="1" applyFont="1" applyBorder="1" applyAlignment="1">
      <alignment horizontal="center" vertical="center"/>
    </xf>
    <xf numFmtId="0" fontId="25" fillId="33" borderId="1" xfId="1" applyFont="1" applyFill="1" applyBorder="1" applyAlignment="1">
      <alignment horizontal="center" vertical="center"/>
    </xf>
    <xf numFmtId="0" fontId="25" fillId="38" borderId="1" xfId="1" applyFont="1" applyFill="1" applyBorder="1" applyAlignment="1">
      <alignment horizontal="center" vertical="center"/>
    </xf>
  </cellXfs>
  <cellStyles count="5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00000000-0005-0000-0000-000025000000}"/>
    <cellStyle name="Normal 2 2" xfId="47" xr:uid="{00000000-0005-0000-0000-000026000000}"/>
    <cellStyle name="Normal 2 3" xfId="49" xr:uid="{00000000-0005-0000-0000-000027000000}"/>
    <cellStyle name="Normal 2 3 2" xfId="53" xr:uid="{00000000-0005-0000-0000-000028000000}"/>
    <cellStyle name="Normal 2 4" xfId="48" xr:uid="{00000000-0005-0000-0000-000029000000}"/>
    <cellStyle name="Normal 2 4 2" xfId="52" xr:uid="{00000000-0005-0000-0000-00002A000000}"/>
    <cellStyle name="Normal 2 5" xfId="46" xr:uid="{00000000-0005-0000-0000-00002B000000}"/>
    <cellStyle name="Normal 2 6" xfId="50" xr:uid="{00000000-0005-0000-0000-00002C000000}"/>
    <cellStyle name="Normal 3" xfId="2" xr:uid="{00000000-0005-0000-0000-00002D000000}"/>
    <cellStyle name="Normal 3 2" xfId="51" xr:uid="{00000000-0005-0000-0000-00002E000000}"/>
    <cellStyle name="Normal 3 3" xfId="44" xr:uid="{00000000-0005-0000-0000-00002F000000}"/>
    <cellStyle name="Normal 4" xfId="45" xr:uid="{00000000-0005-0000-0000-00003000000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44">
    <dxf>
      <fill>
        <patternFill>
          <bgColor theme="3" tint="0.59996337778862885"/>
        </patternFill>
      </fill>
    </dxf>
    <dxf>
      <fill>
        <patternFill>
          <bgColor rgb="FFFFC000"/>
        </patternFill>
      </fill>
    </dxf>
    <dxf>
      <fill>
        <patternFill>
          <bgColor theme="3" tint="0.59996337778862885"/>
        </patternFill>
      </fill>
    </dxf>
    <dxf>
      <fill>
        <patternFill>
          <bgColor rgb="FFFFC000"/>
        </patternFill>
      </fill>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Times New Roman"/>
        <family val="1"/>
        <scheme val="none"/>
      </font>
      <alignment horizontal="center" vertical="bottom" textRotation="0" wrapText="0" indent="0" justifyLastLine="0" shrinkToFit="0" readingOrder="0"/>
    </dxf>
    <dxf>
      <border outline="0">
        <bottom style="thin">
          <color rgb="FF000000"/>
        </bottom>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absolute">
    <xdr:from>
      <xdr:col>1</xdr:col>
      <xdr:colOff>16450</xdr:colOff>
      <xdr:row>144</xdr:row>
      <xdr:rowOff>10392</xdr:rowOff>
    </xdr:from>
    <xdr:to>
      <xdr:col>3</xdr:col>
      <xdr:colOff>3134589</xdr:colOff>
      <xdr:row>193</xdr:row>
      <xdr:rowOff>69274</xdr:rowOff>
    </xdr:to>
    <mc:AlternateContent xmlns:mc="http://schemas.openxmlformats.org/markup-compatibility/2006" xmlns:sle15="http://schemas.microsoft.com/office/drawing/2012/slicer">
      <mc:Choice Requires="sle15">
        <xdr:graphicFrame macro="">
          <xdr:nvGraphicFramePr>
            <xdr:cNvPr id="2" name="Total Metals">
              <a:extLst>
                <a:ext uri="{FF2B5EF4-FFF2-40B4-BE49-F238E27FC236}">
                  <a16:creationId xmlns:a16="http://schemas.microsoft.com/office/drawing/2014/main" id="{F3BC8F4C-BFD4-FF56-D914-BDAA04DCFB25}"/>
                </a:ext>
              </a:extLst>
            </xdr:cNvPr>
            <xdr:cNvGraphicFramePr/>
          </xdr:nvGraphicFramePr>
          <xdr:xfrm>
            <a:off x="0" y="0"/>
            <a:ext cx="0" cy="0"/>
          </xdr:xfrm>
          <a:graphic>
            <a:graphicData uri="http://schemas.microsoft.com/office/drawing/2010/slicer">
              <sle:slicer xmlns:sle="http://schemas.microsoft.com/office/drawing/2010/slicer" name="Total Metals"/>
            </a:graphicData>
          </a:graphic>
        </xdr:graphicFrame>
      </mc:Choice>
      <mc:Fallback xmlns="">
        <xdr:sp macro="" textlink="">
          <xdr:nvSpPr>
            <xdr:cNvPr id="0" name=""/>
            <xdr:cNvSpPr>
              <a:spLocks noTextEdit="1"/>
            </xdr:cNvSpPr>
          </xdr:nvSpPr>
          <xdr:spPr>
            <a:xfrm>
              <a:off x="628771" y="22489392"/>
              <a:ext cx="5023139" cy="939338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16450</xdr:colOff>
      <xdr:row>144</xdr:row>
      <xdr:rowOff>10392</xdr:rowOff>
    </xdr:from>
    <xdr:to>
      <xdr:col>3</xdr:col>
      <xdr:colOff>3134589</xdr:colOff>
      <xdr:row>193</xdr:row>
      <xdr:rowOff>69274</xdr:rowOff>
    </xdr:to>
    <mc:AlternateContent xmlns:mc="http://schemas.openxmlformats.org/markup-compatibility/2006" xmlns:sle15="http://schemas.microsoft.com/office/drawing/2012/slicer">
      <mc:Choice Requires="sle15">
        <xdr:graphicFrame macro="">
          <xdr:nvGraphicFramePr>
            <xdr:cNvPr id="2" name="Total Metals 1">
              <a:extLst>
                <a:ext uri="{FF2B5EF4-FFF2-40B4-BE49-F238E27FC236}">
                  <a16:creationId xmlns:a16="http://schemas.microsoft.com/office/drawing/2014/main" id="{8A98C120-3F3C-4E1B-8CA1-5B880E4A5333}"/>
                </a:ext>
              </a:extLst>
            </xdr:cNvPr>
            <xdr:cNvGraphicFramePr/>
          </xdr:nvGraphicFramePr>
          <xdr:xfrm>
            <a:off x="0" y="0"/>
            <a:ext cx="0" cy="0"/>
          </xdr:xfrm>
          <a:graphic>
            <a:graphicData uri="http://schemas.microsoft.com/office/drawing/2010/slicer">
              <sle:slicer xmlns:sle="http://schemas.microsoft.com/office/drawing/2010/slicer" name="Total Metals 1"/>
            </a:graphicData>
          </a:graphic>
        </xdr:graphicFrame>
      </mc:Choice>
      <mc:Fallback xmlns="">
        <xdr:sp macro="" textlink="">
          <xdr:nvSpPr>
            <xdr:cNvPr id="0" name=""/>
            <xdr:cNvSpPr>
              <a:spLocks noTextEdit="1"/>
            </xdr:cNvSpPr>
          </xdr:nvSpPr>
          <xdr:spPr>
            <a:xfrm>
              <a:off x="621568" y="22489392"/>
              <a:ext cx="5023139" cy="939338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Metals" xr10:uid="{E99492ED-46D2-43D3-AE09-E27A36C10685}" sourceName="Total Metals">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Metals" xr10:uid="{552DC817-79DF-45F0-BF2C-5A2A7A74CC4D}" cache="Slicer_Total_Metals" caption="Total Metal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Metals 1" xr10:uid="{F4E1315C-72BE-4C70-9A50-4A01C0C70095}" cache="Slicer_Total_Metals" caption="Total Metal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3CDD70-EA2E-484F-A57F-674A6282080D}" name="Table1" displayName="Table1" ref="B63:P116" totalsRowShown="0" headerRowDxfId="43" dataDxfId="41" headerRowBorderDxfId="42" tableBorderDxfId="40" totalsRowBorderDxfId="39">
  <autoFilter ref="B63:P116" xr:uid="{023CDD70-EA2E-484F-A57F-674A6282080D}">
    <filterColumn colId="0">
      <filters>
        <filter val="Aluminum"/>
        <filter val="Antimony"/>
        <filter val="Arsenic"/>
        <filter val="Barium"/>
        <filter val="Beryllium"/>
        <filter val="Boron"/>
        <filter val="Cadmium"/>
        <filter val="Calcium"/>
        <filter val="Chromium"/>
        <filter val="Cobalt"/>
        <filter val="Copper"/>
        <filter val="Iron"/>
        <filter val="Lead"/>
        <filter val="Magnesium"/>
        <filter val="Manganese"/>
        <filter val="Molybdenum"/>
        <filter val="Nickel"/>
        <filter val="Phosphorus"/>
        <filter val="Potassium"/>
        <filter val="Selenium"/>
        <filter val="Sodium"/>
        <filter val="Strontium"/>
        <filter val="Sulfur"/>
        <filter val="Tin"/>
        <filter val="Uranium"/>
        <filter val="Vanadium"/>
        <filter val="Zinc"/>
      </filters>
    </filterColumn>
  </autoFilter>
  <tableColumns count="15">
    <tableColumn id="1" xr3:uid="{489F15E5-1D56-44CF-B73E-79B164A7B034}" name="Total Metals" dataDxfId="38">
      <calculatedColumnFormula>B8</calculatedColumnFormula>
    </tableColumn>
    <tableColumn id="2" xr3:uid="{1452505A-529F-4DDE-8A4F-A192BA855D5A}" name="Units" dataDxfId="37">
      <calculatedColumnFormula>C8</calculatedColumnFormula>
    </tableColumn>
    <tableColumn id="3" xr3:uid="{1836F37A-B38B-41D2-BF7D-F81525FDE51F}" name="IPC Blank after Calibration (NALS Blank)" dataDxfId="36">
      <calculatedColumnFormula>D8</calculatedColumnFormula>
    </tableColumn>
    <tableColumn id="4" xr3:uid="{BA28A4A9-09E0-424F-8052-9F282E9865D4}" name="IPC CCV5 after Calibration" dataDxfId="35">
      <calculatedColumnFormula>IF(AND(E8&gt;=CODES!$C$34,E8&lt;=CODES!$D$34),"PASS","FAIL")</calculatedColumnFormula>
    </tableColumn>
    <tableColumn id="5" xr3:uid="{9A4FE474-4F2D-45F4-9DCB-6D55EFBF77EB}" name="IPC CCV5 after Batch" dataDxfId="34">
      <calculatedColumnFormula>IF(AND(F8&gt;=CODES!$C$35,F8&lt;=CODES!$D$35),"PASS","FAIL")</calculatedColumnFormula>
    </tableColumn>
    <tableColumn id="6" xr3:uid="{5D734200-DF77-462A-B4C1-FD05B8A8C5AA}" name="Digest Method Blank (LRB)" dataDxfId="33">
      <calculatedColumnFormula>G8</calculatedColumnFormula>
    </tableColumn>
    <tableColumn id="7" xr3:uid="{BE20F50A-90AA-4B1B-9824-470ACFC0811E}" name="Digest LFB" dataDxfId="32">
      <calculatedColumnFormula>IF(AND(H8&gt;=CODES!$C$37,H8&lt;=CODES!$D$37),"PASS","FAIL")</calculatedColumnFormula>
    </tableColumn>
    <tableColumn id="8" xr3:uid="{A9FF76B1-6F70-47C3-9BF0-268211203113}" name="SAMPLE DUPLICATE, RPD Calculated" dataDxfId="31">
      <calculatedColumnFormula>IF(ISTEXT(I8),I8,IF(ISERROR(I8),"CHECK DUP",IF(I8&gt;CODES!$B$39,"FAIL","PASS")))</calculatedColumnFormula>
    </tableColumn>
    <tableColumn id="9" xr3:uid="{E2909AA6-9A41-434A-8274-1416490EF7EF}" name="LFM Spike" dataDxfId="30">
      <calculatedColumnFormula>IF(AND(J8&gt;=CODES!$C$41,J8&lt;=CODES!$D$41),"PASS","FAIL")</calculatedColumnFormula>
    </tableColumn>
    <tableColumn id="10" xr3:uid="{86555BC7-29DD-4B79-A048-F8DCA1876207}" name="Instrument LFB" dataDxfId="29">
      <calculatedColumnFormula>IF(AND(K8&gt;=CODES!$C$42,K8&lt;=CODES!$D$42),"PASS","FAIL")</calculatedColumnFormula>
    </tableColumn>
    <tableColumn id="11" xr3:uid="{39E538BF-35C0-46DA-9FDA-DE1921575370}" name="Instrument Interference Check" dataDxfId="28">
      <calculatedColumnFormula>IF(AND(L8&gt;=CODES!$C$43,L8&lt;=CODES!$D$43),"PASS","FAIL")</calculatedColumnFormula>
    </tableColumn>
    <tableColumn id="12" xr3:uid="{AF0C77D0-6A9F-45F0-946F-CF6845E33052}" name="Instrument ICV" dataDxfId="27">
      <calculatedColumnFormula>IF(AND(M8&gt;=CODES!$C$44,M8&lt;=CODES!$D$44),"PASS","FAIL")</calculatedColumnFormula>
    </tableColumn>
    <tableColumn id="13" xr3:uid="{40CBFDC8-87E8-41E5-BB5E-1C7464C90993}" name="Digest Method Blank Comparison to Sample Matrix" dataDxfId="26">
      <calculatedColumnFormula>IF(ISERROR(N8),"Over-range Error",N8)</calculatedColumnFormula>
    </tableColumn>
    <tableColumn id="14" xr3:uid="{9A68364E-2383-45DD-B807-3FCEDE4BDA46}" name="Digest Method Blank Comparison to 2.2X RL" dataDxfId="25">
      <calculatedColumnFormula>O8</calculatedColumnFormula>
    </tableColumn>
    <tableColumn id="15" xr3:uid="{67ECF173-9817-4FD3-8558-4532E4E5186C}" name="Comments"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D1F10B-9331-4A99-8055-2B6A53CFF9D4}" name="Table13" displayName="Table13" ref="B63:P116" totalsRowShown="0" headerRowDxfId="23" dataDxfId="21" headerRowBorderDxfId="22" tableBorderDxfId="20" totalsRowBorderDxfId="19">
  <autoFilter ref="B63:P116" xr:uid="{023CDD70-EA2E-484F-A57F-674A6282080D}">
    <filterColumn colId="0">
      <filters>
        <filter val="Aluminum"/>
        <filter val="Antimony"/>
        <filter val="Arsenic"/>
        <filter val="Barium"/>
        <filter val="Beryllium"/>
        <filter val="Boron"/>
        <filter val="Cadmium"/>
        <filter val="Calcium"/>
        <filter val="Chromium"/>
        <filter val="Cobalt"/>
        <filter val="Copper"/>
        <filter val="Iron"/>
        <filter val="Lead"/>
        <filter val="Magnesium"/>
        <filter val="Manganese"/>
        <filter val="Molybdenum"/>
        <filter val="Nickel"/>
        <filter val="Phosphorus"/>
        <filter val="Potassium"/>
        <filter val="Selenium"/>
        <filter val="Sodium"/>
        <filter val="Strontium"/>
        <filter val="Sulfur"/>
        <filter val="Tin"/>
        <filter val="Uranium"/>
        <filter val="Vanadium"/>
        <filter val="Zinc"/>
      </filters>
    </filterColumn>
  </autoFilter>
  <tableColumns count="15">
    <tableColumn id="1" xr3:uid="{954020A3-48B3-4A68-8091-D6F787C90029}" name="Total Metals" dataDxfId="18">
      <calculatedColumnFormula>B8</calculatedColumnFormula>
    </tableColumn>
    <tableColumn id="2" xr3:uid="{BC253739-567A-46FF-A6D8-5086E9E92017}" name="Units" dataDxfId="17">
      <calculatedColumnFormula>C8</calculatedColumnFormula>
    </tableColumn>
    <tableColumn id="3" xr3:uid="{A24417FF-97F6-4ABE-9135-EFF4C684ED30}" name="IPC Blank after Calibration (NALS Blank)" dataDxfId="16">
      <calculatedColumnFormula>D8</calculatedColumnFormula>
    </tableColumn>
    <tableColumn id="4" xr3:uid="{966B75A4-7864-468C-ADD6-28DACB6F02FF}" name="IPC CCV5 after Calibration" dataDxfId="15">
      <calculatedColumnFormula>IF(AND(E8&gt;=CODES!$C$34,E8&lt;=CODES!$D$34),"PASS","FAIL")</calculatedColumnFormula>
    </tableColumn>
    <tableColumn id="5" xr3:uid="{B559047F-4F9E-46F5-B26E-946C1662655C}" name="IPC CCV5 after Batch" dataDxfId="14">
      <calculatedColumnFormula>IF(AND(F8&gt;=CODES!$C$35,F8&lt;=CODES!$D$35),"PASS","FAIL")</calculatedColumnFormula>
    </tableColumn>
    <tableColumn id="6" xr3:uid="{FE1DE9B7-D8DD-42F1-8D89-2CFDFD3265EF}" name="Digest Method Blank (LRB)" dataDxfId="13">
      <calculatedColumnFormula>G8</calculatedColumnFormula>
    </tableColumn>
    <tableColumn id="7" xr3:uid="{8174BAF2-9597-4CFF-9CB9-BB0724329FF3}" name="Digest LFB" dataDxfId="12">
      <calculatedColumnFormula>IF(AND(H8&gt;=CODES!$C$37,H8&lt;=CODES!$D$37),"PASS","FAIL")</calculatedColumnFormula>
    </tableColumn>
    <tableColumn id="8" xr3:uid="{12F58046-5DB5-4DCF-A574-E6A1B8F463B8}" name="SAMPLE DUPLICATE, RPD Calculated" dataDxfId="11">
      <calculatedColumnFormula>IF(ISTEXT(I8),I8,IF(ISERROR(I8),"CHECK DUP",IF(I8&gt;CODES!$B$39,"FAIL","PASS")))</calculatedColumnFormula>
    </tableColumn>
    <tableColumn id="9" xr3:uid="{5B023D06-9EE3-4473-A13F-2F8851C68E65}" name="LFM Spike" dataDxfId="10">
      <calculatedColumnFormula>IF(AND(J8&gt;=CODES!$C$41,J8&lt;=CODES!$D$41),"PASS","FAIL")</calculatedColumnFormula>
    </tableColumn>
    <tableColumn id="10" xr3:uid="{2B44573D-D837-46F8-BA34-57E82FAF0619}" name="Instrument LFB" dataDxfId="9">
      <calculatedColumnFormula>IF(AND(K8&gt;=CODES!$C$42,K8&lt;=CODES!$D$42),"PASS","FAIL")</calculatedColumnFormula>
    </tableColumn>
    <tableColumn id="11" xr3:uid="{926CE0CF-C302-488B-BA1C-EEFEFE182146}" name="Instrument Interference Check" dataDxfId="8">
      <calculatedColumnFormula>IF(AND(L8&gt;=CODES!$C$43,L8&lt;=CODES!$D$43),"PASS","FAIL")</calculatedColumnFormula>
    </tableColumn>
    <tableColumn id="12" xr3:uid="{C1931B50-00E8-4C58-A590-FE43F92B1DE1}" name="Instrument ICV" dataDxfId="7">
      <calculatedColumnFormula>IF(AND(M8&gt;=CODES!$C$44,M8&lt;=CODES!$D$44),"PASS","FAIL")</calculatedColumnFormula>
    </tableColumn>
    <tableColumn id="13" xr3:uid="{D40071B9-4C1C-446A-BD6A-FE5C87DBFFC1}" name="Digest Method Blank Comparison to Sample Matrix" dataDxfId="6">
      <calculatedColumnFormula>IF(ISERROR(N8),"Over-range Error",N8)</calculatedColumnFormula>
    </tableColumn>
    <tableColumn id="14" xr3:uid="{3DE954FC-BEBE-4CC1-A36F-A4B8013157C2}" name="Digest Method Blank Comparison to 2.2X RL" dataDxfId="5">
      <calculatedColumnFormula>O8</calculatedColumnFormula>
    </tableColumn>
    <tableColumn id="15" xr3:uid="{2E9E35F1-11CE-44C2-B9DD-5466E4FEE342}" name="Comments" dataDxfId="4"/>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A114"/>
  <sheetViews>
    <sheetView topLeftCell="AP27" zoomScaleNormal="100" workbookViewId="0">
      <selection activeCell="A51" sqref="A51:XFD52"/>
    </sheetView>
  </sheetViews>
  <sheetFormatPr defaultRowHeight="15" x14ac:dyDescent="0.25"/>
  <cols>
    <col min="1" max="1" width="51.5703125" customWidth="1"/>
    <col min="2" max="2" width="35.7109375" customWidth="1"/>
    <col min="3" max="25" width="15.7109375" style="3" customWidth="1"/>
    <col min="26" max="113" width="15.7109375" customWidth="1"/>
  </cols>
  <sheetData>
    <row r="1" spans="1:3" x14ac:dyDescent="0.25">
      <c r="A1" s="1" t="s">
        <v>0</v>
      </c>
      <c r="B1" s="2"/>
      <c r="C1" s="4"/>
    </row>
    <row r="2" spans="1:3" x14ac:dyDescent="0.25">
      <c r="A2" s="1" t="s">
        <v>1</v>
      </c>
      <c r="B2" s="2"/>
      <c r="C2" s="4"/>
    </row>
    <row r="3" spans="1:3" ht="15.75" thickBot="1" x14ac:dyDescent="0.3">
      <c r="A3" s="1" t="s">
        <v>323</v>
      </c>
      <c r="B3" s="2" t="str">
        <f>INSTRUCTIONS!A3</f>
      </c>
      <c r="C3" s="4"/>
    </row>
    <row r="4" spans="1:3" ht="15.75" thickBot="1" x14ac:dyDescent="0.3">
      <c r="A4" s="1" t="s">
        <v>324</v>
      </c>
      <c r="B4" s="68" t="s">
        <v>344</v>
      </c>
      <c r="C4" s="4"/>
    </row>
    <row r="5" spans="1:3" x14ac:dyDescent="0.25">
      <c r="A5" s="1"/>
      <c r="B5" s="2"/>
      <c r="C5" s="4"/>
    </row>
    <row r="6" spans="1:3" x14ac:dyDescent="0.25">
      <c r="A6" s="1" t="s">
        <v>2</v>
      </c>
      <c r="B6" s="72" t="s">
        <v>347</v>
      </c>
      <c r="C6" s="4"/>
    </row>
    <row r="7" spans="1:3" x14ac:dyDescent="0.25">
      <c r="A7" s="1" t="s">
        <v>3</v>
      </c>
      <c r="B7" s="3" t="s">
        <v>4</v>
      </c>
      <c r="C7" s="4"/>
    </row>
    <row r="8" spans="1:3" x14ac:dyDescent="0.25">
      <c r="A8" s="1"/>
      <c r="B8" s="3"/>
      <c r="C8" s="4"/>
    </row>
    <row r="9" spans="1:3" x14ac:dyDescent="0.25">
      <c r="A9" s="1" t="s">
        <v>5</v>
      </c>
      <c r="B9" s="73">
        <v>46066</v>
      </c>
      <c r="C9" s="4"/>
    </row>
    <row r="10" spans="1:3" x14ac:dyDescent="0.25">
      <c r="A10" s="1" t="s">
        <v>6</v>
      </c>
      <c r="B10" s="72" t="s">
        <v>345</v>
      </c>
      <c r="C10" s="4"/>
    </row>
    <row r="11" spans="1:3" x14ac:dyDescent="0.25">
      <c r="A11" s="1" t="s">
        <v>7</v>
      </c>
      <c r="B11" s="72" t="s">
        <v>132</v>
      </c>
      <c r="C11" s="4"/>
    </row>
    <row r="12" spans="1:3" x14ac:dyDescent="0.25">
      <c r="A12" s="1" t="s">
        <v>8</v>
      </c>
      <c r="B12" s="72" t="s">
        <v>132</v>
      </c>
      <c r="C12" s="4"/>
    </row>
    <row r="13" spans="1:3" x14ac:dyDescent="0.25">
      <c r="A13" s="1" t="s">
        <v>9</v>
      </c>
      <c r="B13" s="72" t="s">
        <v>455</v>
      </c>
      <c r="C13" s="5"/>
    </row>
    <row r="14" spans="1:3" x14ac:dyDescent="0.25">
      <c r="A14" s="1" t="s">
        <v>10</v>
      </c>
      <c r="B14" s="72" t="s">
        <v>456</v>
      </c>
      <c r="C14" s="5"/>
    </row>
    <row r="15" spans="1:3" x14ac:dyDescent="0.25">
      <c r="A15" s="1" t="s">
        <v>209</v>
      </c>
      <c r="B15" s="41" t="str">
        <f>INSTRUCTIONS!B11</f>
      </c>
      <c r="C15" s="4"/>
    </row>
    <row r="17" spans="1:113" x14ac:dyDescent="0.25">
      <c r="A17" s="98" t="s">
        <v>444</v>
      </c>
      <c r="B17" s="98"/>
      <c r="C17" s="6" t="s">
        <v>11</v>
      </c>
      <c r="D17" s="6" t="s">
        <v>12</v>
      </c>
      <c r="E17" s="6" t="s">
        <v>13</v>
      </c>
      <c r="F17" s="6" t="s">
        <v>14</v>
      </c>
      <c r="G17" s="6" t="s">
        <v>15</v>
      </c>
      <c r="H17" s="6" t="s">
        <v>16</v>
      </c>
      <c r="I17" s="6" t="s">
        <v>17</v>
      </c>
      <c r="J17" s="6" t="s">
        <v>18</v>
      </c>
      <c r="K17" s="6" t="s">
        <v>19</v>
      </c>
      <c r="L17" s="6" t="s">
        <v>20</v>
      </c>
      <c r="M17" s="6" t="s">
        <v>21</v>
      </c>
      <c r="N17" s="6" t="s">
        <v>22</v>
      </c>
      <c r="O17" s="6" t="s">
        <v>23</v>
      </c>
      <c r="P17" s="6" t="s">
        <v>24</v>
      </c>
      <c r="Q17" s="6" t="s">
        <v>25</v>
      </c>
      <c r="R17" s="6" t="s">
        <v>26</v>
      </c>
      <c r="S17" s="6" t="s">
        <v>27</v>
      </c>
      <c r="T17" s="6" t="s">
        <v>28</v>
      </c>
      <c r="U17" s="6" t="s">
        <v>29</v>
      </c>
      <c r="V17" s="6" t="s">
        <v>30</v>
      </c>
      <c r="W17" s="6" t="s">
        <v>31</v>
      </c>
      <c r="X17" s="6" t="s">
        <v>32</v>
      </c>
      <c r="Y17" s="6" t="s">
        <v>33</v>
      </c>
      <c r="Z17" s="6" t="s">
        <v>34</v>
      </c>
      <c r="AA17" s="6" t="s">
        <v>35</v>
      </c>
      <c r="AB17" s="6" t="s">
        <v>36</v>
      </c>
      <c r="AC17" s="6" t="s">
        <v>37</v>
      </c>
      <c r="AD17" s="6" t="s">
        <v>38</v>
      </c>
      <c r="AE17" s="6" t="s">
        <v>39</v>
      </c>
      <c r="AF17" s="6" t="s">
        <v>40</v>
      </c>
      <c r="AG17" s="6" t="s">
        <v>41</v>
      </c>
      <c r="AH17" s="6" t="s">
        <v>42</v>
      </c>
      <c r="AI17" s="6" t="s">
        <v>43</v>
      </c>
      <c r="AJ17" s="6" t="s">
        <v>44</v>
      </c>
      <c r="AK17" s="6" t="s">
        <v>45</v>
      </c>
      <c r="AL17" s="6" t="s">
        <v>46</v>
      </c>
      <c r="AM17" s="6" t="s">
        <v>47</v>
      </c>
      <c r="AN17" s="6" t="s">
        <v>48</v>
      </c>
      <c r="AO17" s="6" t="s">
        <v>49</v>
      </c>
      <c r="AP17" s="6" t="s">
        <v>50</v>
      </c>
      <c r="AQ17" s="6" t="s">
        <v>51</v>
      </c>
      <c r="AR17" s="6" t="s">
        <v>52</v>
      </c>
      <c r="AS17" s="6" t="s">
        <v>53</v>
      </c>
      <c r="AT17" s="6" t="s">
        <v>54</v>
      </c>
      <c r="AU17" s="6" t="s">
        <v>55</v>
      </c>
      <c r="AV17" s="6" t="s">
        <v>56</v>
      </c>
      <c r="AW17" s="6" t="s">
        <v>57</v>
      </c>
      <c r="AX17" s="6" t="s">
        <v>58</v>
      </c>
      <c r="AY17" s="6" t="s">
        <v>59</v>
      </c>
      <c r="AZ17" s="6" t="s">
        <v>60</v>
      </c>
      <c r="BA17" s="6" t="s">
        <v>61</v>
      </c>
      <c r="BB17" s="6" t="s">
        <v>62</v>
      </c>
      <c r="BC17" s="6" t="s">
        <v>63</v>
      </c>
      <c r="BD17" s="6" t="s">
        <v>64</v>
      </c>
      <c r="BE17" s="6" t="s">
        <v>65</v>
      </c>
      <c r="BF17" s="6" t="s">
        <v>66</v>
      </c>
      <c r="BG17" s="6" t="s">
        <v>67</v>
      </c>
      <c r="BH17" s="6" t="s">
        <v>68</v>
      </c>
      <c r="BI17" s="6" t="s">
        <v>69</v>
      </c>
      <c r="BJ17" s="6" t="s">
        <v>70</v>
      </c>
      <c r="BK17" s="6" t="s">
        <v>71</v>
      </c>
      <c r="BL17" s="6" t="s">
        <v>72</v>
      </c>
      <c r="BM17" s="6" t="s">
        <v>73</v>
      </c>
      <c r="BN17" s="6" t="s">
        <v>74</v>
      </c>
      <c r="BO17" s="6" t="s">
        <v>75</v>
      </c>
      <c r="BP17" s="6" t="s">
        <v>76</v>
      </c>
      <c r="BQ17" s="6" t="s">
        <v>77</v>
      </c>
      <c r="BR17" s="6" t="s">
        <v>78</v>
      </c>
      <c r="BS17" s="6" t="s">
        <v>79</v>
      </c>
      <c r="BT17" s="6" t="s">
        <v>80</v>
      </c>
      <c r="BU17" s="6" t="s">
        <v>81</v>
      </c>
      <c r="BV17" s="6" t="s">
        <v>82</v>
      </c>
      <c r="BW17" s="6" t="s">
        <v>83</v>
      </c>
      <c r="BX17" s="6" t="s">
        <v>84</v>
      </c>
      <c r="BY17" s="6" t="s">
        <v>85</v>
      </c>
      <c r="BZ17" s="6" t="s">
        <v>86</v>
      </c>
      <c r="CA17" s="6" t="s">
        <v>87</v>
      </c>
      <c r="CB17" s="6" t="s">
        <v>88</v>
      </c>
      <c r="CC17" s="6" t="s">
        <v>89</v>
      </c>
      <c r="CD17" s="6" t="s">
        <v>90</v>
      </c>
      <c r="CE17" s="6" t="s">
        <v>91</v>
      </c>
      <c r="CF17" s="6" t="s">
        <v>92</v>
      </c>
      <c r="CG17" s="6" t="s">
        <v>93</v>
      </c>
      <c r="CH17" s="6" t="s">
        <v>94</v>
      </c>
      <c r="CI17" s="6" t="s">
        <v>95</v>
      </c>
      <c r="CJ17" s="6" t="s">
        <v>96</v>
      </c>
      <c r="CK17" s="6" t="s">
        <v>97</v>
      </c>
      <c r="CL17" s="6" t="s">
        <v>98</v>
      </c>
      <c r="CM17" s="6" t="s">
        <v>99</v>
      </c>
      <c r="CN17" s="6" t="s">
        <v>100</v>
      </c>
      <c r="CO17" s="6" t="s">
        <v>101</v>
      </c>
      <c r="CP17" s="6" t="s">
        <v>102</v>
      </c>
      <c r="CQ17" s="6" t="s">
        <v>103</v>
      </c>
      <c r="CR17" s="6" t="s">
        <v>104</v>
      </c>
      <c r="CS17" s="6" t="s">
        <v>105</v>
      </c>
      <c r="CT17" s="6" t="s">
        <v>106</v>
      </c>
      <c r="CU17" s="6" t="s">
        <v>107</v>
      </c>
      <c r="CV17" s="6" t="s">
        <v>108</v>
      </c>
      <c r="CW17" s="6" t="s">
        <v>109</v>
      </c>
      <c r="CX17" s="6" t="s">
        <v>110</v>
      </c>
      <c r="CY17" s="6" t="s">
        <v>111</v>
      </c>
      <c r="CZ17" s="6" t="s">
        <v>112</v>
      </c>
      <c r="DA17" s="6" t="s">
        <v>113</v>
      </c>
      <c r="DB17" s="6" t="s">
        <v>114</v>
      </c>
      <c r="DC17" s="6" t="s">
        <v>115</v>
      </c>
      <c r="DD17" s="6" t="s">
        <v>116</v>
      </c>
      <c r="DE17" s="6" t="s">
        <v>117</v>
      </c>
      <c r="DF17" s="6" t="s">
        <v>118</v>
      </c>
      <c r="DG17" s="6" t="s">
        <v>119</v>
      </c>
      <c r="DH17" s="6" t="s">
        <v>120</v>
      </c>
      <c r="DI17" s="6" t="s">
        <v>121</v>
      </c>
    </row>
    <row r="18" spans="1:113" ht="15.75" thickBot="1" x14ac:dyDescent="0.3">
      <c r="A18" s="30" t="s">
        <v>224</v>
      </c>
      <c r="B18" s="30" t="s">
        <v>123</v>
      </c>
      <c r="C18" s="31" t="s">
        <v>124</v>
      </c>
      <c r="D18" s="31" t="s">
        <v>124</v>
      </c>
      <c r="E18" s="31" t="s">
        <v>124</v>
      </c>
      <c r="F18" s="31" t="s">
        <v>124</v>
      </c>
      <c r="G18" s="31" t="s">
        <v>124</v>
      </c>
      <c r="H18" s="31" t="s">
        <v>124</v>
      </c>
      <c r="I18" s="31" t="s">
        <v>124</v>
      </c>
      <c r="J18" s="31" t="s">
        <v>124</v>
      </c>
      <c r="K18" s="31" t="s">
        <v>124</v>
      </c>
      <c r="L18" s="31" t="s">
        <v>124</v>
      </c>
      <c r="M18" s="31" t="s">
        <v>125</v>
      </c>
      <c r="N18" s="31" t="s">
        <v>124</v>
      </c>
      <c r="O18" s="31" t="s">
        <v>124</v>
      </c>
      <c r="P18" s="31" t="s">
        <v>124</v>
      </c>
      <c r="Q18" s="31" t="s">
        <v>124</v>
      </c>
      <c r="R18" s="31" t="s">
        <v>124</v>
      </c>
      <c r="S18" s="31" t="s">
        <v>124</v>
      </c>
      <c r="T18" s="31" t="s">
        <v>124</v>
      </c>
      <c r="U18" s="31" t="s">
        <v>124</v>
      </c>
      <c r="V18" s="31" t="s">
        <v>124</v>
      </c>
      <c r="W18" s="31" t="s">
        <v>124</v>
      </c>
      <c r="X18" s="31" t="s">
        <v>124</v>
      </c>
      <c r="Y18" s="31" t="s">
        <v>124</v>
      </c>
      <c r="Z18" s="31" t="s">
        <v>124</v>
      </c>
      <c r="AA18" s="31" t="s">
        <v>124</v>
      </c>
      <c r="AB18" s="31" t="s">
        <v>124</v>
      </c>
      <c r="AC18" s="31" t="s">
        <v>124</v>
      </c>
      <c r="AD18" s="31" t="s">
        <v>124</v>
      </c>
      <c r="AE18" s="31" t="s">
        <v>124</v>
      </c>
      <c r="AF18" s="31" t="s">
        <v>124</v>
      </c>
      <c r="AG18" s="31" t="s">
        <v>124</v>
      </c>
      <c r="AH18" s="31" t="s">
        <v>124</v>
      </c>
      <c r="AI18" s="31" t="s">
        <v>124</v>
      </c>
      <c r="AJ18" s="31" t="s">
        <v>124</v>
      </c>
      <c r="AK18" s="31" t="s">
        <v>124</v>
      </c>
      <c r="AL18" s="31" t="s">
        <v>124</v>
      </c>
      <c r="AM18" s="31" t="s">
        <v>124</v>
      </c>
      <c r="AN18" s="31" t="s">
        <v>124</v>
      </c>
      <c r="AO18" s="31" t="s">
        <v>125</v>
      </c>
      <c r="AP18" s="31" t="s">
        <v>125</v>
      </c>
      <c r="AQ18" s="31" t="s">
        <v>124</v>
      </c>
      <c r="AR18" s="31" t="s">
        <v>124</v>
      </c>
      <c r="AS18" s="31" t="s">
        <v>124</v>
      </c>
      <c r="AT18" s="31" t="s">
        <v>124</v>
      </c>
      <c r="AU18" s="31" t="s">
        <v>124</v>
      </c>
      <c r="AV18" s="31" t="s">
        <v>124</v>
      </c>
      <c r="AW18" s="31" t="s">
        <v>124</v>
      </c>
      <c r="AX18" s="31" t="s">
        <v>124</v>
      </c>
      <c r="AY18" s="31" t="s">
        <v>124</v>
      </c>
      <c r="AZ18" s="31" t="s">
        <v>124</v>
      </c>
      <c r="BA18" s="31" t="s">
        <v>124</v>
      </c>
      <c r="BB18" s="31" t="s">
        <v>124</v>
      </c>
      <c r="BC18" s="31" t="s">
        <v>124</v>
      </c>
      <c r="BD18" s="31" t="s">
        <v>124</v>
      </c>
      <c r="BE18" s="31" t="s">
        <v>124</v>
      </c>
      <c r="BF18" s="31" t="s">
        <v>124</v>
      </c>
      <c r="BG18" s="31" t="s">
        <v>124</v>
      </c>
      <c r="BH18" s="31" t="s">
        <v>124</v>
      </c>
      <c r="BI18" s="31" t="s">
        <v>124</v>
      </c>
      <c r="BJ18" s="31" t="s">
        <v>124</v>
      </c>
      <c r="BK18" s="31" t="s">
        <v>124</v>
      </c>
      <c r="BL18" s="31" t="s">
        <v>124</v>
      </c>
      <c r="BM18" s="31" t="s">
        <v>124</v>
      </c>
      <c r="BN18" s="31" t="s">
        <v>124</v>
      </c>
      <c r="BO18" s="31" t="s">
        <v>124</v>
      </c>
      <c r="BP18" s="31" t="s">
        <v>124</v>
      </c>
      <c r="BQ18" s="31" t="s">
        <v>124</v>
      </c>
      <c r="BR18" s="31" t="s">
        <v>124</v>
      </c>
      <c r="BS18" s="31" t="s">
        <v>124</v>
      </c>
      <c r="BT18" s="31" t="s">
        <v>124</v>
      </c>
      <c r="BU18" s="31" t="s">
        <v>124</v>
      </c>
      <c r="BV18" s="31" t="s">
        <v>124</v>
      </c>
      <c r="BW18" s="31" t="s">
        <v>124</v>
      </c>
      <c r="BX18" s="31" t="s">
        <v>124</v>
      </c>
      <c r="BY18" s="31" t="s">
        <v>124</v>
      </c>
      <c r="BZ18" s="31" t="s">
        <v>124</v>
      </c>
      <c r="CA18" s="31" t="s">
        <v>124</v>
      </c>
      <c r="CB18" s="31" t="s">
        <v>124</v>
      </c>
      <c r="CC18" s="31" t="s">
        <v>124</v>
      </c>
      <c r="CD18" s="31" t="s">
        <v>124</v>
      </c>
      <c r="CE18" s="31" t="s">
        <v>124</v>
      </c>
      <c r="CF18" s="31" t="s">
        <v>124</v>
      </c>
      <c r="CG18" s="31" t="s">
        <v>124</v>
      </c>
      <c r="CH18" s="31" t="s">
        <v>124</v>
      </c>
      <c r="CI18" s="31" t="s">
        <v>124</v>
      </c>
      <c r="CJ18" s="31" t="s">
        <v>124</v>
      </c>
      <c r="CK18" s="31" t="s">
        <v>124</v>
      </c>
      <c r="CL18" s="31" t="s">
        <v>124</v>
      </c>
      <c r="CM18" s="31" t="s">
        <v>124</v>
      </c>
      <c r="CN18" s="31" t="s">
        <v>124</v>
      </c>
      <c r="CO18" s="31" t="s">
        <v>124</v>
      </c>
      <c r="CP18" s="31" t="s">
        <v>124</v>
      </c>
      <c r="CQ18" s="31" t="s">
        <v>124</v>
      </c>
      <c r="CR18" s="31" t="s">
        <v>124</v>
      </c>
      <c r="CS18" s="31" t="s">
        <v>124</v>
      </c>
      <c r="CT18" s="31" t="s">
        <v>124</v>
      </c>
      <c r="CU18" s="31" t="s">
        <v>124</v>
      </c>
      <c r="CV18" s="31" t="s">
        <v>124</v>
      </c>
      <c r="CW18" s="31" t="s">
        <v>124</v>
      </c>
      <c r="CX18" s="31" t="s">
        <v>124</v>
      </c>
      <c r="CY18" s="31" t="s">
        <v>124</v>
      </c>
      <c r="CZ18" s="31" t="s">
        <v>124</v>
      </c>
      <c r="DA18" s="31" t="s">
        <v>124</v>
      </c>
      <c r="DB18" s="31" t="s">
        <v>124</v>
      </c>
      <c r="DC18" s="31" t="s">
        <v>124</v>
      </c>
      <c r="DD18" s="31" t="s">
        <v>124</v>
      </c>
      <c r="DE18" s="31" t="s">
        <v>124</v>
      </c>
      <c r="DF18" s="31" t="s">
        <v>124</v>
      </c>
      <c r="DG18" s="31" t="s">
        <v>124</v>
      </c>
      <c r="DH18" s="31" t="s">
        <v>124</v>
      </c>
      <c r="DI18" s="31" t="s">
        <v>124</v>
      </c>
    </row>
    <row r="19" spans="1:113" ht="15.75" thickTop="1" x14ac:dyDescent="0.25">
      <c r="A19" s="88" t="s">
        <v>311</v>
      </c>
      <c r="B19" s="90" t="s">
        <v>340</v>
      </c>
      <c r="C19" s="91"/>
      <c r="D19" s="92"/>
      <c r="E19" s="92"/>
      <c r="F19" s="92"/>
      <c r="G19" s="92"/>
      <c r="H19" s="92"/>
      <c r="I19" s="92"/>
      <c r="J19" s="92"/>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c r="CD19" s="92"/>
      <c r="CE19" s="92"/>
      <c r="CF19" s="92"/>
      <c r="CG19" s="92"/>
      <c r="CH19" s="92"/>
      <c r="CI19" s="92"/>
      <c r="CJ19" s="92"/>
      <c r="CK19" s="92"/>
      <c r="CL19" s="92"/>
      <c r="CM19" s="92"/>
      <c r="CN19" s="92"/>
      <c r="CO19" s="92"/>
      <c r="CP19" s="92"/>
      <c r="CQ19" s="92"/>
      <c r="CR19" s="92"/>
      <c r="CS19" s="92"/>
      <c r="CT19" s="92"/>
      <c r="CU19" s="92"/>
      <c r="CV19" s="92"/>
      <c r="CW19" s="92"/>
      <c r="CX19" s="92"/>
      <c r="CY19" s="92"/>
      <c r="CZ19" s="92"/>
      <c r="DA19" s="92"/>
      <c r="DB19" s="92"/>
      <c r="DC19" s="92"/>
      <c r="DD19" s="92"/>
      <c r="DE19" s="92"/>
      <c r="DF19" s="92"/>
      <c r="DG19" s="92"/>
      <c r="DH19" s="92"/>
      <c r="DI19" s="93"/>
    </row>
    <row r="20" spans="1:113" x14ac:dyDescent="0.25">
      <c r="A20" s="89" t="s">
        <v>225</v>
      </c>
      <c r="B20" s="94" t="s">
        <v>278</v>
      </c>
      <c r="C20" s="95"/>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6"/>
      <c r="AD20" s="96"/>
      <c r="AE20" s="96"/>
      <c r="AF20" s="96"/>
      <c r="AG20" s="96"/>
      <c r="AH20" s="96"/>
      <c r="AI20" s="96"/>
      <c r="AJ20" s="96"/>
      <c r="AK20" s="96"/>
      <c r="AL20" s="96"/>
      <c r="AM20" s="96"/>
      <c r="AN20" s="96"/>
      <c r="AO20" s="96"/>
      <c r="AP20" s="96"/>
      <c r="AQ20" s="96"/>
      <c r="AR20" s="96"/>
      <c r="AS20" s="96"/>
      <c r="AT20" s="96"/>
      <c r="AU20" s="96"/>
      <c r="AV20" s="96"/>
      <c r="AW20" s="96"/>
      <c r="AX20" s="96"/>
      <c r="AY20" s="96"/>
      <c r="AZ20" s="96"/>
      <c r="BA20" s="96"/>
      <c r="BB20" s="96"/>
      <c r="BC20" s="96"/>
      <c r="BD20" s="96"/>
      <c r="BE20" s="96"/>
      <c r="BF20" s="96"/>
      <c r="BG20" s="96"/>
      <c r="BH20" s="96"/>
      <c r="BI20" s="96"/>
      <c r="BJ20" s="96"/>
      <c r="BK20" s="96"/>
      <c r="BL20" s="96"/>
      <c r="BM20" s="96"/>
      <c r="BN20" s="96"/>
      <c r="BO20" s="96"/>
      <c r="BP20" s="96"/>
      <c r="BQ20" s="96"/>
      <c r="BR20" s="96"/>
      <c r="BS20" s="96"/>
      <c r="BT20" s="96"/>
      <c r="BU20" s="96"/>
      <c r="BV20" s="96"/>
      <c r="BW20" s="96"/>
      <c r="BX20" s="96"/>
      <c r="BY20" s="96"/>
      <c r="BZ20" s="96"/>
      <c r="CA20" s="96"/>
      <c r="CB20" s="96"/>
      <c r="CC20" s="96"/>
      <c r="CD20" s="96"/>
      <c r="CE20" s="96"/>
      <c r="CF20" s="96"/>
      <c r="CG20" s="96"/>
      <c r="CH20" s="96"/>
      <c r="CI20" s="96"/>
      <c r="CJ20" s="96"/>
      <c r="CK20" s="96"/>
      <c r="CL20" s="96"/>
      <c r="CM20" s="96"/>
      <c r="CN20" s="96"/>
      <c r="CO20" s="96"/>
      <c r="CP20" s="96"/>
      <c r="CQ20" s="96"/>
      <c r="CR20" s="96"/>
      <c r="CS20" s="96"/>
      <c r="CT20" s="96"/>
      <c r="CU20" s="96"/>
      <c r="CV20" s="96"/>
      <c r="CW20" s="96"/>
      <c r="CX20" s="96"/>
      <c r="CY20" s="96"/>
      <c r="CZ20" s="96"/>
      <c r="DA20" s="96"/>
      <c r="DB20" s="96"/>
      <c r="DC20" s="96"/>
      <c r="DD20" s="96"/>
      <c r="DE20" s="96"/>
      <c r="DF20" s="96"/>
      <c r="DG20" s="96"/>
      <c r="DH20" s="96"/>
      <c r="DI20" s="97"/>
    </row>
    <row r="21" spans="1:113" x14ac:dyDescent="0.25">
      <c r="A21" s="89" t="s">
        <v>226</v>
      </c>
      <c r="B21" s="94" t="s">
        <v>278</v>
      </c>
      <c r="C21" s="95"/>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6"/>
      <c r="AD21" s="96"/>
      <c r="AE21" s="96"/>
      <c r="AF21" s="96"/>
      <c r="AG21" s="96"/>
      <c r="AH21" s="96"/>
      <c r="AI21" s="96"/>
      <c r="AJ21" s="96"/>
      <c r="AK21" s="96"/>
      <c r="AL21" s="96"/>
      <c r="AM21" s="96"/>
      <c r="AN21" s="96"/>
      <c r="AO21" s="96"/>
      <c r="AP21" s="96"/>
      <c r="AQ21" s="96"/>
      <c r="AR21" s="96"/>
      <c r="AS21" s="96"/>
      <c r="AT21" s="96"/>
      <c r="AU21" s="96"/>
      <c r="AV21" s="96"/>
      <c r="AW21" s="96"/>
      <c r="AX21" s="96"/>
      <c r="AY21" s="96"/>
      <c r="AZ21" s="96"/>
      <c r="BA21" s="96"/>
      <c r="BB21" s="96"/>
      <c r="BC21" s="96"/>
      <c r="BD21" s="96"/>
      <c r="BE21" s="96"/>
      <c r="BF21" s="96"/>
      <c r="BG21" s="96"/>
      <c r="BH21" s="96"/>
      <c r="BI21" s="96"/>
      <c r="BJ21" s="96"/>
      <c r="BK21" s="96"/>
      <c r="BL21" s="96"/>
      <c r="BM21" s="96"/>
      <c r="BN21" s="96"/>
      <c r="BO21" s="96"/>
      <c r="BP21" s="96"/>
      <c r="BQ21" s="96"/>
      <c r="BR21" s="96"/>
      <c r="BS21" s="96"/>
      <c r="BT21" s="96"/>
      <c r="BU21" s="96"/>
      <c r="BV21" s="96"/>
      <c r="BW21" s="96"/>
      <c r="BX21" s="96"/>
      <c r="BY21" s="96"/>
      <c r="BZ21" s="96"/>
      <c r="CA21" s="96"/>
      <c r="CB21" s="96"/>
      <c r="CC21" s="96"/>
      <c r="CD21" s="96"/>
      <c r="CE21" s="96"/>
      <c r="CF21" s="96"/>
      <c r="CG21" s="96"/>
      <c r="CH21" s="96"/>
      <c r="CI21" s="96"/>
      <c r="CJ21" s="96"/>
      <c r="CK21" s="96"/>
      <c r="CL21" s="96"/>
      <c r="CM21" s="96"/>
      <c r="CN21" s="96"/>
      <c r="CO21" s="96"/>
      <c r="CP21" s="96"/>
      <c r="CQ21" s="96"/>
      <c r="CR21" s="96"/>
      <c r="CS21" s="96"/>
      <c r="CT21" s="96"/>
      <c r="CU21" s="96"/>
      <c r="CV21" s="96"/>
      <c r="CW21" s="96"/>
      <c r="CX21" s="96"/>
      <c r="CY21" s="96"/>
      <c r="CZ21" s="96"/>
      <c r="DA21" s="96"/>
      <c r="DB21" s="96"/>
      <c r="DC21" s="96"/>
      <c r="DD21" s="96"/>
      <c r="DE21" s="96"/>
      <c r="DF21" s="96"/>
      <c r="DG21" s="96"/>
      <c r="DH21" s="96"/>
      <c r="DI21" s="97"/>
    </row>
    <row r="22" spans="1:113" x14ac:dyDescent="0.25">
      <c r="A22" s="89" t="s">
        <v>316</v>
      </c>
      <c r="B22" s="94" t="s">
        <v>474</v>
      </c>
      <c r="C22" s="95"/>
      <c r="D22" s="96"/>
      <c r="E22" s="96"/>
      <c r="F22" s="96"/>
      <c r="G22" s="96"/>
      <c r="H22" s="96"/>
      <c r="I22" s="96"/>
      <c r="J22" s="96"/>
      <c r="K22" s="96"/>
      <c r="L22" s="96"/>
      <c r="M22" s="96"/>
      <c r="N22" s="96"/>
      <c r="O22" s="96"/>
      <c r="P22" s="96"/>
      <c r="Q22" s="96"/>
      <c r="R22" s="96"/>
      <c r="S22" s="96"/>
      <c r="T22" s="96"/>
      <c r="U22" s="96"/>
      <c r="V22" s="96"/>
      <c r="W22" s="96"/>
      <c r="X22" s="96"/>
      <c r="Y22" s="96"/>
      <c r="Z22" s="96"/>
      <c r="AA22" s="96"/>
      <c r="AB22" s="96"/>
      <c r="AC22" s="96"/>
      <c r="AD22" s="96"/>
      <c r="AE22" s="96"/>
      <c r="AF22" s="96"/>
      <c r="AG22" s="96"/>
      <c r="AH22" s="96"/>
      <c r="AI22" s="96"/>
      <c r="AJ22" s="96"/>
      <c r="AK22" s="96"/>
      <c r="AL22" s="96"/>
      <c r="AM22" s="96"/>
      <c r="AN22" s="96"/>
      <c r="AO22" s="96"/>
      <c r="AP22" s="96"/>
      <c r="AQ22" s="96"/>
      <c r="AR22" s="96"/>
      <c r="AS22" s="96"/>
      <c r="AT22" s="96"/>
      <c r="AU22" s="96"/>
      <c r="AV22" s="96"/>
      <c r="AW22" s="96"/>
      <c r="AX22" s="96"/>
      <c r="AY22" s="96"/>
      <c r="AZ22" s="96"/>
      <c r="BA22" s="96"/>
      <c r="BB22" s="96"/>
      <c r="BC22" s="96"/>
      <c r="BD22" s="96"/>
      <c r="BE22" s="96"/>
      <c r="BF22" s="96"/>
      <c r="BG22" s="96"/>
      <c r="BH22" s="96"/>
      <c r="BI22" s="96"/>
      <c r="BJ22" s="96"/>
      <c r="BK22" s="96"/>
      <c r="BL22" s="96"/>
      <c r="BM22" s="96"/>
      <c r="BN22" s="96"/>
      <c r="BO22" s="96"/>
      <c r="BP22" s="96"/>
      <c r="BQ22" s="96"/>
      <c r="BR22" s="96"/>
      <c r="BS22" s="96"/>
      <c r="BT22" s="96"/>
      <c r="BU22" s="96"/>
      <c r="BV22" s="96"/>
      <c r="BW22" s="96"/>
      <c r="BX22" s="96"/>
      <c r="BY22" s="96"/>
      <c r="BZ22" s="96"/>
      <c r="CA22" s="96"/>
      <c r="CB22" s="96"/>
      <c r="CC22" s="96"/>
      <c r="CD22" s="96"/>
      <c r="CE22" s="96"/>
      <c r="CF22" s="96"/>
      <c r="CG22" s="96"/>
      <c r="CH22" s="96"/>
      <c r="CI22" s="96"/>
      <c r="CJ22" s="96"/>
      <c r="CK22" s="96"/>
      <c r="CL22" s="96"/>
      <c r="CM22" s="96"/>
      <c r="CN22" s="96"/>
      <c r="CO22" s="96"/>
      <c r="CP22" s="96"/>
      <c r="CQ22" s="96"/>
      <c r="CR22" s="96"/>
      <c r="CS22" s="96"/>
      <c r="CT22" s="96"/>
      <c r="CU22" s="96"/>
      <c r="CV22" s="96"/>
      <c r="CW22" s="96"/>
      <c r="CX22" s="96"/>
      <c r="CY22" s="96"/>
      <c r="CZ22" s="96"/>
      <c r="DA22" s="96"/>
      <c r="DB22" s="96"/>
      <c r="DC22" s="96"/>
      <c r="DD22" s="96"/>
      <c r="DE22" s="96"/>
      <c r="DF22" s="96"/>
      <c r="DG22" s="96"/>
      <c r="DH22" s="96"/>
      <c r="DI22" s="97"/>
    </row>
    <row r="23" spans="1:113" x14ac:dyDescent="0.25">
      <c r="A23" s="89" t="s">
        <v>227</v>
      </c>
      <c r="B23" s="94" t="s">
        <v>480</v>
      </c>
      <c r="C23" s="95"/>
      <c r="D23" s="96"/>
      <c r="E23" s="96"/>
      <c r="F23" s="96"/>
      <c r="G23" s="96"/>
      <c r="H23" s="96"/>
      <c r="I23" s="96"/>
      <c r="J23" s="96"/>
      <c r="K23" s="96"/>
      <c r="L23" s="96"/>
      <c r="M23" s="96"/>
      <c r="N23" s="96"/>
      <c r="O23" s="96"/>
      <c r="P23" s="96"/>
      <c r="Q23" s="96"/>
      <c r="R23" s="96"/>
      <c r="S23" s="96"/>
      <c r="T23" s="96"/>
      <c r="U23" s="96"/>
      <c r="V23" s="96"/>
      <c r="W23" s="96"/>
      <c r="X23" s="96"/>
      <c r="Y23" s="96"/>
      <c r="Z23" s="96"/>
      <c r="AA23" s="96"/>
      <c r="AB23" s="96"/>
      <c r="AC23" s="96"/>
      <c r="AD23" s="96"/>
      <c r="AE23" s="96"/>
      <c r="AF23" s="96"/>
      <c r="AG23" s="96"/>
      <c r="AH23" s="96"/>
      <c r="AI23" s="96"/>
      <c r="AJ23" s="96"/>
      <c r="AK23" s="96"/>
      <c r="AL23" s="96"/>
      <c r="AM23" s="96"/>
      <c r="AN23" s="96"/>
      <c r="AO23" s="96"/>
      <c r="AP23" s="96"/>
      <c r="AQ23" s="96"/>
      <c r="AR23" s="96"/>
      <c r="AS23" s="96"/>
      <c r="AT23" s="96"/>
      <c r="AU23" s="96"/>
      <c r="AV23" s="96"/>
      <c r="AW23" s="96"/>
      <c r="AX23" s="96"/>
      <c r="AY23" s="96"/>
      <c r="AZ23" s="96"/>
      <c r="BA23" s="96"/>
      <c r="BB23" s="96"/>
      <c r="BC23" s="96"/>
      <c r="BD23" s="96"/>
      <c r="BE23" s="96"/>
      <c r="BF23" s="96"/>
      <c r="BG23" s="96"/>
      <c r="BH23" s="96"/>
      <c r="BI23" s="96"/>
      <c r="BJ23" s="96"/>
      <c r="BK23" s="96"/>
      <c r="BL23" s="96"/>
      <c r="BM23" s="96"/>
      <c r="BN23" s="96"/>
      <c r="BO23" s="96"/>
      <c r="BP23" s="96"/>
      <c r="BQ23" s="96"/>
      <c r="BR23" s="96"/>
      <c r="BS23" s="96"/>
      <c r="BT23" s="96"/>
      <c r="BU23" s="96"/>
      <c r="BV23" s="96"/>
      <c r="BW23" s="96"/>
      <c r="BX23" s="96"/>
      <c r="BY23" s="96"/>
      <c r="BZ23" s="96"/>
      <c r="CA23" s="96"/>
      <c r="CB23" s="96"/>
      <c r="CC23" s="96"/>
      <c r="CD23" s="96"/>
      <c r="CE23" s="96"/>
      <c r="CF23" s="96"/>
      <c r="CG23" s="96"/>
      <c r="CH23" s="96"/>
      <c r="CI23" s="96"/>
      <c r="CJ23" s="96"/>
      <c r="CK23" s="96"/>
      <c r="CL23" s="96"/>
      <c r="CM23" s="96"/>
      <c r="CN23" s="96"/>
      <c r="CO23" s="96"/>
      <c r="CP23" s="96"/>
      <c r="CQ23" s="96"/>
      <c r="CR23" s="96"/>
      <c r="CS23" s="96"/>
      <c r="CT23" s="96"/>
      <c r="CU23" s="96"/>
      <c r="CV23" s="96"/>
      <c r="CW23" s="96"/>
      <c r="CX23" s="96"/>
      <c r="CY23" s="96"/>
      <c r="CZ23" s="96"/>
      <c r="DA23" s="96"/>
      <c r="DB23" s="96"/>
      <c r="DC23" s="96"/>
      <c r="DD23" s="96"/>
      <c r="DE23" s="96"/>
      <c r="DF23" s="96"/>
      <c r="DG23" s="96"/>
      <c r="DH23" s="96"/>
      <c r="DI23" s="97"/>
    </row>
    <row r="24" spans="1:113" x14ac:dyDescent="0.25">
      <c r="A24" s="89" t="s">
        <v>320</v>
      </c>
      <c r="B24" s="94" t="s">
        <v>481</v>
      </c>
      <c r="C24" s="95"/>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6"/>
      <c r="AD24" s="96"/>
      <c r="AE24" s="96"/>
      <c r="AF24" s="96"/>
      <c r="AG24" s="96"/>
      <c r="AH24" s="96"/>
      <c r="AI24" s="96"/>
      <c r="AJ24" s="96"/>
      <c r="AK24" s="96"/>
      <c r="AL24" s="96"/>
      <c r="AM24" s="96"/>
      <c r="AN24" s="96"/>
      <c r="AO24" s="96"/>
      <c r="AP24" s="96"/>
      <c r="AQ24" s="96"/>
      <c r="AR24" s="96"/>
      <c r="AS24" s="96"/>
      <c r="AT24" s="96"/>
      <c r="AU24" s="96"/>
      <c r="AV24" s="96"/>
      <c r="AW24" s="96"/>
      <c r="AX24" s="96"/>
      <c r="AY24" s="96"/>
      <c r="AZ24" s="96"/>
      <c r="BA24" s="96"/>
      <c r="BB24" s="96"/>
      <c r="BC24" s="96"/>
      <c r="BD24" s="96"/>
      <c r="BE24" s="96"/>
      <c r="BF24" s="96"/>
      <c r="BG24" s="96"/>
      <c r="BH24" s="96"/>
      <c r="BI24" s="96"/>
      <c r="BJ24" s="96"/>
      <c r="BK24" s="96"/>
      <c r="BL24" s="96"/>
      <c r="BM24" s="96"/>
      <c r="BN24" s="96"/>
      <c r="BO24" s="96"/>
      <c r="BP24" s="96"/>
      <c r="BQ24" s="96"/>
      <c r="BR24" s="96"/>
      <c r="BS24" s="96"/>
      <c r="BT24" s="96"/>
      <c r="BU24" s="96"/>
      <c r="BV24" s="96"/>
      <c r="BW24" s="96"/>
      <c r="BX24" s="96"/>
      <c r="BY24" s="96"/>
      <c r="BZ24" s="96"/>
      <c r="CA24" s="96"/>
      <c r="CB24" s="96"/>
      <c r="CC24" s="96"/>
      <c r="CD24" s="96"/>
      <c r="CE24" s="96"/>
      <c r="CF24" s="96"/>
      <c r="CG24" s="96"/>
      <c r="CH24" s="96"/>
      <c r="CI24" s="96"/>
      <c r="CJ24" s="96"/>
      <c r="CK24" s="96"/>
      <c r="CL24" s="96"/>
      <c r="CM24" s="96"/>
      <c r="CN24" s="96"/>
      <c r="CO24" s="96"/>
      <c r="CP24" s="96"/>
      <c r="CQ24" s="96"/>
      <c r="CR24" s="96"/>
      <c r="CS24" s="96"/>
      <c r="CT24" s="96"/>
      <c r="CU24" s="96"/>
      <c r="CV24" s="96"/>
      <c r="CW24" s="96"/>
      <c r="CX24" s="96"/>
      <c r="CY24" s="96"/>
      <c r="CZ24" s="96"/>
      <c r="DA24" s="96"/>
      <c r="DB24" s="96"/>
      <c r="DC24" s="96"/>
      <c r="DD24" s="96"/>
      <c r="DE24" s="96"/>
      <c r="DF24" s="96"/>
      <c r="DG24" s="96"/>
      <c r="DH24" s="96"/>
      <c r="DI24" s="97"/>
    </row>
    <row r="25" spans="1:113" x14ac:dyDescent="0.25">
      <c r="A25" s="89" t="s">
        <v>321</v>
      </c>
      <c r="B25" s="94" t="s">
        <v>490</v>
      </c>
      <c r="C25" s="95"/>
      <c r="D25" s="96"/>
      <c r="E25" s="96"/>
      <c r="F25" s="96"/>
      <c r="G25" s="96"/>
      <c r="H25" s="96"/>
      <c r="I25" s="96"/>
      <c r="J25" s="96"/>
      <c r="K25" s="96"/>
      <c r="L25" s="96"/>
      <c r="M25" s="96"/>
      <c r="N25" s="96"/>
      <c r="O25" s="96"/>
      <c r="P25" s="96"/>
      <c r="Q25" s="96"/>
      <c r="R25" s="96"/>
      <c r="S25" s="96"/>
      <c r="T25" s="96"/>
      <c r="U25" s="96"/>
      <c r="V25" s="96"/>
      <c r="W25" s="96"/>
      <c r="X25" s="96"/>
      <c r="Y25" s="96"/>
      <c r="Z25" s="96"/>
      <c r="AA25" s="96"/>
      <c r="AB25" s="96"/>
      <c r="AC25" s="96"/>
      <c r="AD25" s="96"/>
      <c r="AE25" s="96"/>
      <c r="AF25" s="96"/>
      <c r="AG25" s="96"/>
      <c r="AH25" s="96"/>
      <c r="AI25" s="96"/>
      <c r="AJ25" s="96"/>
      <c r="AK25" s="96"/>
      <c r="AL25" s="96"/>
      <c r="AM25" s="96"/>
      <c r="AN25" s="96"/>
      <c r="AO25" s="96"/>
      <c r="AP25" s="96"/>
      <c r="AQ25" s="96"/>
      <c r="AR25" s="96"/>
      <c r="AS25" s="96"/>
      <c r="AT25" s="96"/>
      <c r="AU25" s="96"/>
      <c r="AV25" s="96"/>
      <c r="AW25" s="96"/>
      <c r="AX25" s="96"/>
      <c r="AY25" s="96"/>
      <c r="AZ25" s="96"/>
      <c r="BA25" s="96"/>
      <c r="BB25" s="96"/>
      <c r="BC25" s="96"/>
      <c r="BD25" s="96"/>
      <c r="BE25" s="96"/>
      <c r="BF25" s="96"/>
      <c r="BG25" s="96"/>
      <c r="BH25" s="96"/>
      <c r="BI25" s="96"/>
      <c r="BJ25" s="96"/>
      <c r="BK25" s="96"/>
      <c r="BL25" s="96"/>
      <c r="BM25" s="96"/>
      <c r="BN25" s="96"/>
      <c r="BO25" s="96"/>
      <c r="BP25" s="96"/>
      <c r="BQ25" s="96"/>
      <c r="BR25" s="96"/>
      <c r="BS25" s="96"/>
      <c r="BT25" s="96"/>
      <c r="BU25" s="96"/>
      <c r="BV25" s="96"/>
      <c r="BW25" s="96"/>
      <c r="BX25" s="96"/>
      <c r="BY25" s="96"/>
      <c r="BZ25" s="96"/>
      <c r="CA25" s="96"/>
      <c r="CB25" s="96"/>
      <c r="CC25" s="96"/>
      <c r="CD25" s="96"/>
      <c r="CE25" s="96"/>
      <c r="CF25" s="96"/>
      <c r="CG25" s="96"/>
      <c r="CH25" s="96"/>
      <c r="CI25" s="96"/>
      <c r="CJ25" s="96"/>
      <c r="CK25" s="96"/>
      <c r="CL25" s="96"/>
      <c r="CM25" s="96"/>
      <c r="CN25" s="96"/>
      <c r="CO25" s="96"/>
      <c r="CP25" s="96"/>
      <c r="CQ25" s="96"/>
      <c r="CR25" s="96"/>
      <c r="CS25" s="96"/>
      <c r="CT25" s="96"/>
      <c r="CU25" s="96"/>
      <c r="CV25" s="96"/>
      <c r="CW25" s="96"/>
      <c r="CX25" s="96"/>
      <c r="CY25" s="96"/>
      <c r="CZ25" s="96"/>
      <c r="DA25" s="96"/>
      <c r="DB25" s="96"/>
      <c r="DC25" s="96"/>
      <c r="DD25" s="96"/>
      <c r="DE25" s="96"/>
      <c r="DF25" s="96"/>
      <c r="DG25" s="96"/>
      <c r="DH25" s="96"/>
      <c r="DI25" s="97"/>
    </row>
    <row r="26" spans="1:113" x14ac:dyDescent="0.25">
      <c r="A26" s="89" t="s">
        <v>339</v>
      </c>
      <c r="B26" s="94" t="s">
        <v>501</v>
      </c>
      <c r="C26" s="95"/>
      <c r="D26" s="96"/>
      <c r="E26" s="96"/>
      <c r="F26" s="96"/>
      <c r="G26" s="96"/>
      <c r="H26" s="96"/>
      <c r="I26" s="96"/>
      <c r="J26" s="96"/>
      <c r="K26" s="96"/>
      <c r="L26" s="96"/>
      <c r="M26" s="96"/>
      <c r="N26" s="96"/>
      <c r="O26" s="96"/>
      <c r="P26" s="96"/>
      <c r="Q26" s="96"/>
      <c r="R26" s="96"/>
      <c r="S26" s="96"/>
      <c r="T26" s="96"/>
      <c r="U26" s="96"/>
      <c r="V26" s="96"/>
      <c r="W26" s="96"/>
      <c r="X26" s="96"/>
      <c r="Y26" s="96"/>
      <c r="Z26" s="96"/>
      <c r="AA26" s="96"/>
      <c r="AB26" s="96"/>
      <c r="AC26" s="96"/>
      <c r="AD26" s="96"/>
      <c r="AE26" s="96"/>
      <c r="AF26" s="96"/>
      <c r="AG26" s="96"/>
      <c r="AH26" s="96"/>
      <c r="AI26" s="96"/>
      <c r="AJ26" s="96"/>
      <c r="AK26" s="96"/>
      <c r="AL26" s="96"/>
      <c r="AM26" s="96"/>
      <c r="AN26" s="96"/>
      <c r="AO26" s="96"/>
      <c r="AP26" s="96"/>
      <c r="AQ26" s="96"/>
      <c r="AR26" s="96"/>
      <c r="AS26" s="96"/>
      <c r="AT26" s="96"/>
      <c r="AU26" s="96"/>
      <c r="AV26" s="96"/>
      <c r="AW26" s="96"/>
      <c r="AX26" s="96"/>
      <c r="AY26" s="96"/>
      <c r="AZ26" s="96"/>
      <c r="BA26" s="96"/>
      <c r="BB26" s="96"/>
      <c r="BC26" s="96"/>
      <c r="BD26" s="96"/>
      <c r="BE26" s="96"/>
      <c r="BF26" s="96"/>
      <c r="BG26" s="96"/>
      <c r="BH26" s="96"/>
      <c r="BI26" s="96"/>
      <c r="BJ26" s="96"/>
      <c r="BK26" s="96"/>
      <c r="BL26" s="96"/>
      <c r="BM26" s="96"/>
      <c r="BN26" s="96"/>
      <c r="BO26" s="96"/>
      <c r="BP26" s="96"/>
      <c r="BQ26" s="96"/>
      <c r="BR26" s="96"/>
      <c r="BS26" s="96"/>
      <c r="BT26" s="96"/>
      <c r="BU26" s="96"/>
      <c r="BV26" s="96"/>
      <c r="BW26" s="96"/>
      <c r="BX26" s="96"/>
      <c r="BY26" s="96"/>
      <c r="BZ26" s="96"/>
      <c r="CA26" s="96"/>
      <c r="CB26" s="96"/>
      <c r="CC26" s="96"/>
      <c r="CD26" s="96"/>
      <c r="CE26" s="96"/>
      <c r="CF26" s="96"/>
      <c r="CG26" s="96"/>
      <c r="CH26" s="96"/>
      <c r="CI26" s="96"/>
      <c r="CJ26" s="96"/>
      <c r="CK26" s="96"/>
      <c r="CL26" s="96"/>
      <c r="CM26" s="96"/>
      <c r="CN26" s="96"/>
      <c r="CO26" s="96"/>
      <c r="CP26" s="96"/>
      <c r="CQ26" s="96"/>
      <c r="CR26" s="96"/>
      <c r="CS26" s="96"/>
      <c r="CT26" s="96"/>
      <c r="CU26" s="96"/>
      <c r="CV26" s="96"/>
      <c r="CW26" s="96"/>
      <c r="CX26" s="96"/>
      <c r="CY26" s="96"/>
      <c r="CZ26" s="96"/>
      <c r="DA26" s="96"/>
      <c r="DB26" s="96"/>
      <c r="DC26" s="96"/>
      <c r="DD26" s="96"/>
      <c r="DE26" s="96"/>
      <c r="DF26" s="96"/>
      <c r="DG26" s="96"/>
      <c r="DH26" s="96"/>
      <c r="DI26" s="97"/>
    </row>
    <row r="27" spans="1:113" x14ac:dyDescent="0.25">
      <c r="A27" s="89" t="s">
        <v>228</v>
      </c>
      <c r="B27" s="94" t="s">
        <v>500</v>
      </c>
      <c r="C27" s="95"/>
      <c r="D27" s="96"/>
      <c r="E27" s="96"/>
      <c r="F27" s="96"/>
      <c r="G27" s="96"/>
      <c r="H27" s="96"/>
      <c r="I27" s="96"/>
      <c r="J27" s="96"/>
      <c r="K27" s="96"/>
      <c r="L27" s="96"/>
      <c r="M27" s="96"/>
      <c r="N27" s="96"/>
      <c r="O27" s="96"/>
      <c r="P27" s="96"/>
      <c r="Q27" s="96"/>
      <c r="R27" s="96"/>
      <c r="S27" s="96"/>
      <c r="T27" s="96"/>
      <c r="U27" s="96"/>
      <c r="V27" s="96"/>
      <c r="W27" s="96"/>
      <c r="X27" s="96"/>
      <c r="Y27" s="96"/>
      <c r="Z27" s="96"/>
      <c r="AA27" s="96"/>
      <c r="AB27" s="96"/>
      <c r="AC27" s="96"/>
      <c r="AD27" s="96"/>
      <c r="AE27" s="96"/>
      <c r="AF27" s="96"/>
      <c r="AG27" s="96"/>
      <c r="AH27" s="96"/>
      <c r="AI27" s="96"/>
      <c r="AJ27" s="96"/>
      <c r="AK27" s="96"/>
      <c r="AL27" s="96"/>
      <c r="AM27" s="96"/>
      <c r="AN27" s="96"/>
      <c r="AO27" s="96"/>
      <c r="AP27" s="96"/>
      <c r="AQ27" s="96"/>
      <c r="AR27" s="96"/>
      <c r="AS27" s="96"/>
      <c r="AT27" s="96"/>
      <c r="AU27" s="96"/>
      <c r="AV27" s="96"/>
      <c r="AW27" s="96"/>
      <c r="AX27" s="96"/>
      <c r="AY27" s="96"/>
      <c r="AZ27" s="96"/>
      <c r="BA27" s="96"/>
      <c r="BB27" s="96"/>
      <c r="BC27" s="96"/>
      <c r="BD27" s="96"/>
      <c r="BE27" s="96"/>
      <c r="BF27" s="96"/>
      <c r="BG27" s="96"/>
      <c r="BH27" s="96"/>
      <c r="BI27" s="96"/>
      <c r="BJ27" s="96"/>
      <c r="BK27" s="96"/>
      <c r="BL27" s="96"/>
      <c r="BM27" s="96"/>
      <c r="BN27" s="96"/>
      <c r="BO27" s="96"/>
      <c r="BP27" s="96"/>
      <c r="BQ27" s="96"/>
      <c r="BR27" s="96"/>
      <c r="BS27" s="96"/>
      <c r="BT27" s="96"/>
      <c r="BU27" s="96"/>
      <c r="BV27" s="96"/>
      <c r="BW27" s="96"/>
      <c r="BX27" s="96"/>
      <c r="BY27" s="96"/>
      <c r="BZ27" s="96"/>
      <c r="CA27" s="96"/>
      <c r="CB27" s="96"/>
      <c r="CC27" s="96"/>
      <c r="CD27" s="96"/>
      <c r="CE27" s="96"/>
      <c r="CF27" s="96"/>
      <c r="CG27" s="96"/>
      <c r="CH27" s="96"/>
      <c r="CI27" s="96"/>
      <c r="CJ27" s="96"/>
      <c r="CK27" s="96"/>
      <c r="CL27" s="96"/>
      <c r="CM27" s="96"/>
      <c r="CN27" s="96"/>
      <c r="CO27" s="96"/>
      <c r="CP27" s="96"/>
      <c r="CQ27" s="96"/>
      <c r="CR27" s="96"/>
      <c r="CS27" s="96"/>
      <c r="CT27" s="96"/>
      <c r="CU27" s="96"/>
      <c r="CV27" s="96"/>
      <c r="CW27" s="96"/>
      <c r="CX27" s="96"/>
      <c r="CY27" s="96"/>
      <c r="CZ27" s="96"/>
      <c r="DA27" s="96"/>
      <c r="DB27" s="96"/>
      <c r="DC27" s="96"/>
      <c r="DD27" s="96"/>
      <c r="DE27" s="96"/>
      <c r="DF27" s="96"/>
      <c r="DG27" s="96"/>
      <c r="DH27" s="96"/>
      <c r="DI27" s="97"/>
    </row>
    <row r="28" spans="1:113" x14ac:dyDescent="0.25">
      <c r="A28" s="89" t="s">
        <v>232</v>
      </c>
      <c r="B28" s="94" t="s">
        <v>458</v>
      </c>
      <c r="C28" s="95"/>
      <c r="D28" s="96"/>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6"/>
      <c r="BH28" s="96"/>
      <c r="BI28" s="96"/>
      <c r="BJ28" s="96"/>
      <c r="BK28" s="96"/>
      <c r="BL28" s="96"/>
      <c r="BM28" s="96"/>
      <c r="BN28" s="96"/>
      <c r="BO28" s="96"/>
      <c r="BP28" s="96"/>
      <c r="BQ28" s="96"/>
      <c r="BR28" s="96"/>
      <c r="BS28" s="96"/>
      <c r="BT28" s="96"/>
      <c r="BU28" s="96"/>
      <c r="BV28" s="96"/>
      <c r="BW28" s="96"/>
      <c r="BX28" s="96"/>
      <c r="BY28" s="96"/>
      <c r="BZ28" s="96"/>
      <c r="CA28" s="96"/>
      <c r="CB28" s="96"/>
      <c r="CC28" s="96"/>
      <c r="CD28" s="96"/>
      <c r="CE28" s="96"/>
      <c r="CF28" s="96"/>
      <c r="CG28" s="96"/>
      <c r="CH28" s="96"/>
      <c r="CI28" s="96"/>
      <c r="CJ28" s="96"/>
      <c r="CK28" s="96"/>
      <c r="CL28" s="96"/>
      <c r="CM28" s="96"/>
      <c r="CN28" s="96"/>
      <c r="CO28" s="96"/>
      <c r="CP28" s="96"/>
      <c r="CQ28" s="96"/>
      <c r="CR28" s="96"/>
      <c r="CS28" s="96"/>
      <c r="CT28" s="96"/>
      <c r="CU28" s="96"/>
      <c r="CV28" s="96"/>
      <c r="CW28" s="96"/>
      <c r="CX28" s="96"/>
      <c r="CY28" s="96"/>
      <c r="CZ28" s="96"/>
      <c r="DA28" s="96"/>
      <c r="DB28" s="96"/>
      <c r="DC28" s="96"/>
      <c r="DD28" s="96"/>
      <c r="DE28" s="96"/>
      <c r="DF28" s="96"/>
      <c r="DG28" s="96"/>
      <c r="DH28" s="96"/>
      <c r="DI28" s="97"/>
    </row>
    <row r="29" spans="1:113" x14ac:dyDescent="0.25">
      <c r="A29" s="89" t="s">
        <v>274</v>
      </c>
      <c r="B29" s="94" t="s">
        <v>459</v>
      </c>
      <c r="C29" s="95"/>
      <c r="D29" s="96"/>
      <c r="E29" s="96"/>
      <c r="F29" s="96"/>
      <c r="G29" s="96"/>
      <c r="H29" s="96"/>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c r="AT29" s="96"/>
      <c r="AU29" s="96"/>
      <c r="AV29" s="96"/>
      <c r="AW29" s="96"/>
      <c r="AX29" s="96"/>
      <c r="AY29" s="96"/>
      <c r="AZ29" s="96"/>
      <c r="BA29" s="96"/>
      <c r="BB29" s="96"/>
      <c r="BC29" s="96"/>
      <c r="BD29" s="96"/>
      <c r="BE29" s="96"/>
      <c r="BF29" s="96"/>
      <c r="BG29" s="96"/>
      <c r="BH29" s="96"/>
      <c r="BI29" s="96"/>
      <c r="BJ29" s="96"/>
      <c r="BK29" s="96"/>
      <c r="BL29" s="96"/>
      <c r="BM29" s="96"/>
      <c r="BN29" s="96"/>
      <c r="BO29" s="96"/>
      <c r="BP29" s="96"/>
      <c r="BQ29" s="96"/>
      <c r="BR29" s="96"/>
      <c r="BS29" s="96"/>
      <c r="BT29" s="96"/>
      <c r="BU29" s="96"/>
      <c r="BV29" s="96"/>
      <c r="BW29" s="96"/>
      <c r="BX29" s="96"/>
      <c r="BY29" s="96"/>
      <c r="BZ29" s="96"/>
      <c r="CA29" s="96"/>
      <c r="CB29" s="96"/>
      <c r="CC29" s="96"/>
      <c r="CD29" s="96"/>
      <c r="CE29" s="96"/>
      <c r="CF29" s="96"/>
      <c r="CG29" s="96"/>
      <c r="CH29" s="96"/>
      <c r="CI29" s="96"/>
      <c r="CJ29" s="96"/>
      <c r="CK29" s="96"/>
      <c r="CL29" s="96"/>
      <c r="CM29" s="96"/>
      <c r="CN29" s="96"/>
      <c r="CO29" s="96"/>
      <c r="CP29" s="96"/>
      <c r="CQ29" s="96"/>
      <c r="CR29" s="96"/>
      <c r="CS29" s="96"/>
      <c r="CT29" s="96"/>
      <c r="CU29" s="96"/>
      <c r="CV29" s="96"/>
      <c r="CW29" s="96"/>
      <c r="CX29" s="96"/>
      <c r="CY29" s="96"/>
      <c r="CZ29" s="96"/>
      <c r="DA29" s="96"/>
      <c r="DB29" s="96"/>
      <c r="DC29" s="96"/>
      <c r="DD29" s="96"/>
      <c r="DE29" s="96"/>
      <c r="DF29" s="96"/>
      <c r="DG29" s="96"/>
      <c r="DH29" s="96"/>
      <c r="DI29" s="97"/>
    </row>
    <row r="30" spans="1:113" x14ac:dyDescent="0.25">
      <c r="A30" s="89" t="s">
        <v>231</v>
      </c>
      <c r="B30" s="94" t="s">
        <v>457</v>
      </c>
      <c r="C30" s="95"/>
      <c r="D30" s="96"/>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6"/>
      <c r="BH30" s="96"/>
      <c r="BI30" s="96"/>
      <c r="BJ30" s="96"/>
      <c r="BK30" s="96"/>
      <c r="BL30" s="96"/>
      <c r="BM30" s="96"/>
      <c r="BN30" s="96"/>
      <c r="BO30" s="96"/>
      <c r="BP30" s="96"/>
      <c r="BQ30" s="96"/>
      <c r="BR30" s="96"/>
      <c r="BS30" s="96"/>
      <c r="BT30" s="96"/>
      <c r="BU30" s="96"/>
      <c r="BV30" s="96"/>
      <c r="BW30" s="96"/>
      <c r="BX30" s="96"/>
      <c r="BY30" s="96"/>
      <c r="BZ30" s="96"/>
      <c r="CA30" s="96"/>
      <c r="CB30" s="96"/>
      <c r="CC30" s="96"/>
      <c r="CD30" s="96"/>
      <c r="CE30" s="96"/>
      <c r="CF30" s="96"/>
      <c r="CG30" s="96"/>
      <c r="CH30" s="96"/>
      <c r="CI30" s="96"/>
      <c r="CJ30" s="96"/>
      <c r="CK30" s="96"/>
      <c r="CL30" s="96"/>
      <c r="CM30" s="96"/>
      <c r="CN30" s="96"/>
      <c r="CO30" s="96"/>
      <c r="CP30" s="96"/>
      <c r="CQ30" s="96"/>
      <c r="CR30" s="96"/>
      <c r="CS30" s="96"/>
      <c r="CT30" s="96"/>
      <c r="CU30" s="96"/>
      <c r="CV30" s="96"/>
      <c r="CW30" s="96"/>
      <c r="CX30" s="96"/>
      <c r="CY30" s="96"/>
      <c r="CZ30" s="96"/>
      <c r="DA30" s="96"/>
      <c r="DB30" s="96"/>
      <c r="DC30" s="96"/>
      <c r="DD30" s="96"/>
      <c r="DE30" s="96"/>
      <c r="DF30" s="96"/>
      <c r="DG30" s="96"/>
      <c r="DH30" s="96"/>
      <c r="DI30" s="97"/>
    </row>
    <row r="31" spans="1:113" x14ac:dyDescent="0.25">
      <c r="A31" s="55" t="s">
        <v>313</v>
      </c>
      <c r="B31" s="55" t="s">
        <v>315</v>
      </c>
      <c r="C31" s="56"/>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M31" s="57"/>
      <c r="CN31" s="57"/>
      <c r="CO31" s="57"/>
      <c r="CP31" s="57"/>
      <c r="CQ31" s="57"/>
      <c r="CR31" s="57"/>
      <c r="CS31" s="57"/>
      <c r="CT31" s="57"/>
      <c r="CU31" s="57"/>
      <c r="CV31" s="57"/>
      <c r="CW31" s="57"/>
      <c r="CX31" s="57"/>
      <c r="CY31" s="57"/>
      <c r="CZ31" s="57"/>
      <c r="DA31" s="57"/>
      <c r="DB31" s="57"/>
      <c r="DC31" s="57"/>
      <c r="DD31" s="57"/>
      <c r="DE31" s="57"/>
      <c r="DF31" s="57"/>
      <c r="DG31" s="57"/>
      <c r="DH31" s="57"/>
      <c r="DI31" s="58"/>
    </row>
    <row r="32" spans="1:113" x14ac:dyDescent="0.25">
      <c r="A32" s="55" t="s">
        <v>314</v>
      </c>
      <c r="B32" s="55" t="s">
        <v>315</v>
      </c>
      <c r="C32" s="56"/>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8"/>
    </row>
    <row r="33" spans="1:209" x14ac:dyDescent="0.25">
      <c r="A33" s="59" t="s">
        <v>234</v>
      </c>
      <c r="B33" s="55" t="s">
        <v>319</v>
      </c>
      <c r="C33" s="56"/>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M33" s="57"/>
      <c r="CN33" s="57"/>
      <c r="CO33" s="57"/>
      <c r="CP33" s="57"/>
      <c r="CQ33" s="57"/>
      <c r="CR33" s="57"/>
      <c r="CS33" s="57"/>
      <c r="CT33" s="57"/>
      <c r="CU33" s="57"/>
      <c r="CV33" s="57"/>
      <c r="CW33" s="57"/>
      <c r="CX33" s="57"/>
      <c r="CY33" s="57"/>
      <c r="CZ33" s="57"/>
      <c r="DA33" s="57"/>
      <c r="DB33" s="57"/>
      <c r="DC33" s="57"/>
      <c r="DD33" s="57"/>
      <c r="DE33" s="57"/>
      <c r="DF33" s="57"/>
      <c r="DG33" s="57"/>
      <c r="DH33" s="57"/>
      <c r="DI33" s="58"/>
    </row>
    <row r="34" spans="1:209" x14ac:dyDescent="0.25">
      <c r="A34" s="59" t="s">
        <v>234</v>
      </c>
      <c r="B34" s="55" t="s">
        <v>319</v>
      </c>
      <c r="C34" s="56"/>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M34" s="57"/>
      <c r="CN34" s="57"/>
      <c r="CO34" s="57"/>
      <c r="CP34" s="57"/>
      <c r="CQ34" s="57"/>
      <c r="CR34" s="57"/>
      <c r="CS34" s="57"/>
      <c r="CT34" s="57"/>
      <c r="CU34" s="57"/>
      <c r="CV34" s="57"/>
      <c r="CW34" s="57"/>
      <c r="CX34" s="57"/>
      <c r="CY34" s="57"/>
      <c r="CZ34" s="57"/>
      <c r="DA34" s="57"/>
      <c r="DB34" s="57"/>
      <c r="DC34" s="57"/>
      <c r="DD34" s="57"/>
      <c r="DE34" s="57"/>
      <c r="DF34" s="57"/>
      <c r="DG34" s="57"/>
      <c r="DH34" s="57"/>
      <c r="DI34" s="58"/>
    </row>
    <row r="35" spans="1:209" x14ac:dyDescent="0.25">
      <c r="A35" s="59" t="s">
        <v>234</v>
      </c>
      <c r="B35" s="55" t="s">
        <v>319</v>
      </c>
      <c r="C35" s="56"/>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7"/>
      <c r="CG35" s="57"/>
      <c r="CH35" s="57"/>
      <c r="CI35" s="57"/>
      <c r="CJ35" s="57"/>
      <c r="CK35" s="57"/>
      <c r="CL35" s="57"/>
      <c r="CM35" s="57"/>
      <c r="CN35" s="57"/>
      <c r="CO35" s="57"/>
      <c r="CP35" s="57"/>
      <c r="CQ35" s="57"/>
      <c r="CR35" s="57"/>
      <c r="CS35" s="57"/>
      <c r="CT35" s="57"/>
      <c r="CU35" s="57"/>
      <c r="CV35" s="57"/>
      <c r="CW35" s="57"/>
      <c r="CX35" s="57"/>
      <c r="CY35" s="57"/>
      <c r="CZ35" s="57"/>
      <c r="DA35" s="57"/>
      <c r="DB35" s="57"/>
      <c r="DC35" s="57"/>
      <c r="DD35" s="57"/>
      <c r="DE35" s="57"/>
      <c r="DF35" s="57"/>
      <c r="DG35" s="57"/>
      <c r="DH35" s="57"/>
      <c r="DI35" s="58"/>
    </row>
    <row r="36" spans="1:209" x14ac:dyDescent="0.25">
      <c r="A36" s="59" t="s">
        <v>234</v>
      </c>
      <c r="B36" s="55" t="s">
        <v>319</v>
      </c>
      <c r="C36" s="56"/>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7"/>
      <c r="CG36" s="57"/>
      <c r="CH36" s="57"/>
      <c r="CI36" s="57"/>
      <c r="CJ36" s="57"/>
      <c r="CK36" s="57"/>
      <c r="CL36" s="57"/>
      <c r="CM36" s="57"/>
      <c r="CN36" s="57"/>
      <c r="CO36" s="57"/>
      <c r="CP36" s="57"/>
      <c r="CQ36" s="57"/>
      <c r="CR36" s="57"/>
      <c r="CS36" s="57"/>
      <c r="CT36" s="57"/>
      <c r="CU36" s="57"/>
      <c r="CV36" s="57"/>
      <c r="CW36" s="57"/>
      <c r="CX36" s="57"/>
      <c r="CY36" s="57"/>
      <c r="CZ36" s="57"/>
      <c r="DA36" s="57"/>
      <c r="DB36" s="57"/>
      <c r="DC36" s="57"/>
      <c r="DD36" s="57"/>
      <c r="DE36" s="57"/>
      <c r="DF36" s="57"/>
      <c r="DG36" s="57"/>
      <c r="DH36" s="57"/>
      <c r="DI36" s="58"/>
    </row>
    <row r="37" spans="1:209" x14ac:dyDescent="0.25">
      <c r="A37" s="59" t="s">
        <v>234</v>
      </c>
      <c r="B37" s="55" t="s">
        <v>319</v>
      </c>
      <c r="C37" s="56"/>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M37" s="57"/>
      <c r="CN37" s="57"/>
      <c r="CO37" s="57"/>
      <c r="CP37" s="57"/>
      <c r="CQ37" s="57"/>
      <c r="CR37" s="57"/>
      <c r="CS37" s="57"/>
      <c r="CT37" s="57"/>
      <c r="CU37" s="57"/>
      <c r="CV37" s="57"/>
      <c r="CW37" s="57"/>
      <c r="CX37" s="57"/>
      <c r="CY37" s="57"/>
      <c r="CZ37" s="57"/>
      <c r="DA37" s="57"/>
      <c r="DB37" s="57"/>
      <c r="DC37" s="57"/>
      <c r="DD37" s="57"/>
      <c r="DE37" s="57"/>
      <c r="DF37" s="57"/>
      <c r="DG37" s="57"/>
      <c r="DH37" s="57"/>
      <c r="DI37" s="58"/>
    </row>
    <row r="38" spans="1:209" x14ac:dyDescent="0.25">
      <c r="A38" s="59" t="s">
        <v>234</v>
      </c>
      <c r="B38" s="55" t="s">
        <v>319</v>
      </c>
      <c r="C38" s="56"/>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7"/>
      <c r="AT38" s="57"/>
      <c r="AU38" s="57"/>
      <c r="AV38" s="57"/>
      <c r="AW38" s="57"/>
      <c r="AX38" s="57"/>
      <c r="AY38" s="57"/>
      <c r="AZ38" s="57"/>
      <c r="BA38" s="57"/>
      <c r="BB38" s="57"/>
      <c r="BC38" s="57"/>
      <c r="BD38" s="57"/>
      <c r="BE38" s="57"/>
      <c r="BF38" s="57"/>
      <c r="BG38" s="57"/>
      <c r="BH38" s="57"/>
      <c r="BI38" s="57"/>
      <c r="BJ38" s="57"/>
      <c r="BK38" s="57"/>
      <c r="BL38" s="57"/>
      <c r="BM38" s="57"/>
      <c r="BN38" s="57"/>
      <c r="BO38" s="57"/>
      <c r="BP38" s="57"/>
      <c r="BQ38" s="57"/>
      <c r="BR38" s="57"/>
      <c r="BS38" s="57"/>
      <c r="BT38" s="57"/>
      <c r="BU38" s="57"/>
      <c r="BV38" s="57"/>
      <c r="BW38" s="57"/>
      <c r="BX38" s="57"/>
      <c r="BY38" s="57"/>
      <c r="BZ38" s="57"/>
      <c r="CA38" s="57"/>
      <c r="CB38" s="57"/>
      <c r="CC38" s="57"/>
      <c r="CD38" s="57"/>
      <c r="CE38" s="57"/>
      <c r="CF38" s="57"/>
      <c r="CG38" s="57"/>
      <c r="CH38" s="57"/>
      <c r="CI38" s="57"/>
      <c r="CJ38" s="57"/>
      <c r="CK38" s="57"/>
      <c r="CL38" s="57"/>
      <c r="CM38" s="57"/>
      <c r="CN38" s="57"/>
      <c r="CO38" s="57"/>
      <c r="CP38" s="57"/>
      <c r="CQ38" s="57"/>
      <c r="CR38" s="57"/>
      <c r="CS38" s="57"/>
      <c r="CT38" s="57"/>
      <c r="CU38" s="57"/>
      <c r="CV38" s="57"/>
      <c r="CW38" s="57"/>
      <c r="CX38" s="57"/>
      <c r="CY38" s="57"/>
      <c r="CZ38" s="57"/>
      <c r="DA38" s="57"/>
      <c r="DB38" s="57"/>
      <c r="DC38" s="57"/>
      <c r="DD38" s="57"/>
      <c r="DE38" s="57"/>
      <c r="DF38" s="57"/>
      <c r="DG38" s="57"/>
      <c r="DH38" s="57"/>
      <c r="DI38" s="58"/>
    </row>
    <row r="39" spans="1:209" s="18" customFormat="1" x14ac:dyDescent="0.25">
      <c r="A39" s="74" t="s">
        <v>126</v>
      </c>
      <c r="B39" s="75" t="s">
        <v>127</v>
      </c>
      <c r="C39" s="76">
        <f>CODES!C29</f>
      </c>
      <c r="D39" s="76">
        <f>CODES!D29</f>
      </c>
      <c r="E39" s="76">
        <f>CODES!E29</f>
      </c>
      <c r="F39" s="76">
        <f>CODES!F29</f>
      </c>
      <c r="G39" s="76">
        <f>CODES!G29</f>
      </c>
      <c r="H39" s="77">
        <f>CODES!H29</f>
      </c>
      <c r="I39" s="77">
        <f>CODES!I29</f>
      </c>
      <c r="J39" s="77">
        <f>CODES!J29</f>
      </c>
      <c r="K39" s="77">
        <f>CODES!K29</f>
      </c>
      <c r="L39" s="77">
        <f>CODES!L29</f>
      </c>
      <c r="M39" s="77">
        <f>CODES!M29</f>
      </c>
      <c r="N39" s="76" t="str">
        <f>CODES!N29</f>
      </c>
      <c r="O39" s="76" t="str">
        <f>CODES!O29</f>
      </c>
      <c r="P39" s="76">
        <f>CODES!P29</f>
      </c>
      <c r="Q39" s="76">
        <f>CODES!Q29</f>
      </c>
      <c r="R39" s="77">
        <f>CODES!R29</f>
      </c>
      <c r="S39" s="77">
        <f>CODES!S29</f>
      </c>
      <c r="T39" s="77">
        <f>CODES!T29</f>
      </c>
      <c r="U39" s="76">
        <f>CODES!U29</f>
      </c>
      <c r="V39" s="77">
        <f>CODES!V29</f>
      </c>
      <c r="W39" s="77">
        <f>CODES!W29</f>
      </c>
      <c r="X39" s="77">
        <f>CODES!X29</f>
      </c>
      <c r="Y39" s="77">
        <f>CODES!Y29</f>
      </c>
      <c r="Z39" s="77">
        <f>CODES!Z29</f>
      </c>
      <c r="AA39" s="77">
        <f>CODES!AA29</f>
      </c>
      <c r="AB39" s="77">
        <f>CODES!AB29</f>
      </c>
      <c r="AC39" s="77">
        <f>CODES!AC29</f>
      </c>
      <c r="AD39" s="76">
        <f>CODES!AD29</f>
      </c>
      <c r="AE39" s="76">
        <f>CODES!AE29</f>
      </c>
      <c r="AF39" s="77">
        <f>CODES!AF29</f>
      </c>
      <c r="AG39" s="76">
        <f>CODES!AG29</f>
      </c>
      <c r="AH39" s="76">
        <f>CODES!AH29</f>
      </c>
      <c r="AI39" s="76">
        <f>CODES!AI29</f>
      </c>
      <c r="AJ39" s="76">
        <f>CODES!AJ29</f>
      </c>
      <c r="AK39" s="76">
        <f>CODES!AK29</f>
      </c>
      <c r="AL39" s="76">
        <f>CODES!AL29</f>
      </c>
      <c r="AM39" s="76">
        <f>CODES!AM29</f>
      </c>
      <c r="AN39" s="76">
        <f>CODES!AN29</f>
      </c>
      <c r="AO39" s="76">
        <f>CODES!AO29</f>
      </c>
      <c r="AP39" s="76">
        <f>CODES!AP29</f>
      </c>
      <c r="AQ39" s="76">
        <f>CODES!AQ29</f>
      </c>
      <c r="AR39" s="76">
        <f>CODES!AR29</f>
      </c>
      <c r="AS39" s="76">
        <f>CODES!AS29</f>
      </c>
      <c r="AT39" s="77">
        <f>CODES!AT29</f>
      </c>
      <c r="AU39" s="77">
        <f>CODES!AU29</f>
      </c>
      <c r="AV39" s="76" t="str">
        <f>CODES!AV29</f>
      </c>
      <c r="AW39" s="76" t="str">
        <f>CODES!AW29</f>
      </c>
      <c r="AX39" s="77">
        <f>CODES!AX29</f>
      </c>
      <c r="AY39" s="76">
        <f>CODES!AY29</f>
      </c>
      <c r="AZ39" s="77">
        <f>CODES!AZ29</f>
      </c>
      <c r="BA39" s="77">
        <f>CODES!BA29</f>
      </c>
      <c r="BB39" s="77">
        <f>CODES!BB29</f>
      </c>
      <c r="BC39" s="77">
        <f>CODES!BC29</f>
      </c>
      <c r="BD39" s="77">
        <f>CODES!BD29</f>
      </c>
      <c r="BE39" s="77">
        <f>CODES!BE29</f>
      </c>
      <c r="BF39" s="77">
        <f>CODES!BF29</f>
      </c>
      <c r="BG39" s="77">
        <f>CODES!BG29</f>
      </c>
      <c r="BH39" s="78">
        <f>CODES!BH29</f>
      </c>
      <c r="BI39" s="76">
        <f>CODES!BI29</f>
      </c>
      <c r="BJ39" s="76">
        <f>CODES!BJ29</f>
      </c>
      <c r="BK39" s="76">
        <f>CODES!BK29</f>
      </c>
      <c r="BL39" s="77">
        <f>CODES!BL29</f>
      </c>
      <c r="BM39" s="77">
        <f>CODES!BM29</f>
      </c>
      <c r="BN39" s="76" t="str">
        <f>CODES!BN29</f>
      </c>
      <c r="BO39" s="76" t="str">
        <f>CODES!BO29</f>
      </c>
      <c r="BP39" s="76">
        <f>CODES!BP29</f>
      </c>
      <c r="BQ39" s="77">
        <f>CODES!BQ29</f>
      </c>
      <c r="BR39" s="76">
        <f>CODES!BR29</f>
      </c>
      <c r="BS39" s="76">
        <f>CODES!BS29</f>
      </c>
      <c r="BT39" s="76">
        <f>CODES!BT29</f>
      </c>
      <c r="BU39" s="76">
        <f>CODES!BU29</f>
      </c>
      <c r="BV39" s="76">
        <f>CODES!BV29</f>
      </c>
      <c r="BW39" s="76" t="str">
        <f>CODES!BW29</f>
      </c>
      <c r="BX39" s="76" t="str">
        <f>CODES!BX29</f>
      </c>
      <c r="BY39" s="76">
        <f>CODES!BY29</f>
      </c>
      <c r="BZ39" s="76">
        <f>CODES!BZ29</f>
      </c>
      <c r="CA39" s="76">
        <f>CODES!CA29</f>
      </c>
      <c r="CB39" s="76">
        <f>CODES!CB29</f>
      </c>
      <c r="CC39" s="76">
        <f>CODES!CC29</f>
      </c>
      <c r="CD39" s="76">
        <f>CODES!CD29</f>
      </c>
      <c r="CE39" s="76">
        <f>CODES!CE29</f>
      </c>
      <c r="CF39" s="76">
        <f>CODES!CF29</f>
      </c>
      <c r="CG39" s="77">
        <f>CODES!CG29</f>
      </c>
      <c r="CH39" s="76">
        <f>CODES!CH29</f>
      </c>
      <c r="CI39" s="76">
        <f>CODES!CI29</f>
      </c>
      <c r="CJ39" s="76">
        <f>CODES!CJ29</f>
      </c>
      <c r="CK39" s="79">
        <f>CODES!CK29</f>
      </c>
      <c r="CL39" s="78">
        <f>CODES!CL29</f>
      </c>
      <c r="CM39" s="78">
        <f>CODES!CM29</f>
      </c>
      <c r="CN39" s="76">
        <f>CODES!CN29</f>
      </c>
      <c r="CO39" s="77">
        <f>CODES!CO29</f>
      </c>
      <c r="CP39" s="77">
        <f>CODES!CP29</f>
      </c>
      <c r="CQ39" s="76">
        <f>CODES!CQ29</f>
      </c>
      <c r="CR39" s="76">
        <f>CODES!CR29</f>
      </c>
      <c r="CS39" s="78">
        <f>CODES!CS29</f>
      </c>
      <c r="CT39" s="76">
        <f>CODES!CT29</f>
      </c>
      <c r="CU39" s="76">
        <f>CODES!CU29</f>
      </c>
      <c r="CV39" s="76">
        <f>CODES!CV29</f>
      </c>
      <c r="CW39" s="76">
        <f>CODES!CW29</f>
      </c>
      <c r="CX39" s="77">
        <f>CODES!CX29</f>
      </c>
      <c r="CY39" s="76">
        <f>CODES!CY29</f>
      </c>
      <c r="CZ39" s="76">
        <f>CODES!CZ29</f>
      </c>
      <c r="DA39" s="76">
        <f>CODES!DA29</f>
      </c>
      <c r="DB39" s="76" t="str">
        <f>CODES!DB29</f>
      </c>
      <c r="DC39" s="76" t="str">
        <f>CODES!DC29</f>
      </c>
      <c r="DD39" s="77">
        <f>CODES!DD29</f>
      </c>
      <c r="DE39" s="77">
        <f>CODES!DE29</f>
      </c>
      <c r="DF39" s="77">
        <f>CODES!DF29</f>
      </c>
      <c r="DG39" s="77">
        <f>CODES!DG29</f>
      </c>
      <c r="DH39" s="77">
        <f>CODES!DH29</f>
      </c>
      <c r="DI39" s="77">
        <f>CODES!DI29</f>
      </c>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row>
    <row r="40" spans="1:209" s="18" customFormat="1" x14ac:dyDescent="0.25">
      <c r="A40" s="74" t="s">
        <v>126</v>
      </c>
      <c r="B40" s="75" t="s">
        <v>127</v>
      </c>
      <c r="C40" s="78" t="str">
        <f>CODES!C30</f>
      </c>
      <c r="D40" s="78" t="str">
        <f>CODES!D30</f>
      </c>
      <c r="E40" s="78" t="str">
        <f>CODES!E30</f>
      </c>
      <c r="F40" s="78" t="str">
        <f>CODES!F30</f>
      </c>
      <c r="G40" s="78" t="str">
        <f>CODES!G30</f>
      </c>
      <c r="H40" s="78" t="str">
        <f>CODES!H30</f>
      </c>
      <c r="I40" s="78" t="str">
        <f>CODES!I30</f>
      </c>
      <c r="J40" s="78" t="str">
        <f>CODES!J30</f>
      </c>
      <c r="K40" s="78" t="str">
        <f>CODES!K30</f>
      </c>
      <c r="L40" s="78" t="str">
        <f>CODES!L30</f>
      </c>
      <c r="M40" s="78" t="str">
        <f>CODES!M30</f>
      </c>
      <c r="N40" s="78" t="str">
        <f>CODES!N30</f>
      </c>
      <c r="O40" s="78" t="str">
        <f>CODES!O30</f>
      </c>
      <c r="P40" s="78" t="str">
        <f>CODES!P30</f>
      </c>
      <c r="Q40" s="78" t="str">
        <f>CODES!Q30</f>
      </c>
      <c r="R40" s="78" t="str">
        <f>CODES!R30</f>
      </c>
      <c r="S40" s="78" t="str">
        <f>CODES!S30</f>
      </c>
      <c r="T40" s="78" t="str">
        <f>CODES!T30</f>
      </c>
      <c r="U40" s="78" t="str">
        <f>CODES!U30</f>
      </c>
      <c r="V40" s="78" t="str">
        <f>CODES!V30</f>
      </c>
      <c r="W40" s="78" t="str">
        <f>CODES!W30</f>
      </c>
      <c r="X40" s="78" t="str">
        <f>CODES!X30</f>
      </c>
      <c r="Y40" s="78" t="str">
        <f>CODES!Y30</f>
      </c>
      <c r="Z40" s="78" t="str">
        <f>CODES!Z30</f>
      </c>
      <c r="AA40" s="78" t="str">
        <f>CODES!AA30</f>
      </c>
      <c r="AB40" s="78" t="str">
        <f>CODES!AB30</f>
      </c>
      <c r="AC40" s="78" t="str">
        <f>CODES!AC30</f>
      </c>
      <c r="AD40" s="78" t="str">
        <f>CODES!AD30</f>
      </c>
      <c r="AE40" s="78" t="str">
        <f>CODES!AE30</f>
      </c>
      <c r="AF40" s="78" t="str">
        <f>CODES!AF30</f>
      </c>
      <c r="AG40" s="78" t="str">
        <f>CODES!AG30</f>
      </c>
      <c r="AH40" s="78" t="str">
        <f>CODES!AH30</f>
      </c>
      <c r="AI40" s="78" t="str">
        <f>CODES!AI30</f>
      </c>
      <c r="AJ40" s="78" t="str">
        <f>CODES!AJ30</f>
      </c>
      <c r="AK40" s="78" t="str">
        <f>CODES!AK30</f>
      </c>
      <c r="AL40" s="78" t="str">
        <f>CODES!AL30</f>
      </c>
      <c r="AM40" s="78" t="str">
        <f>CODES!AM30</f>
      </c>
      <c r="AN40" s="78" t="str">
        <f>CODES!AN30</f>
      </c>
      <c r="AO40" s="78" t="str">
        <f>CODES!AO30</f>
      </c>
      <c r="AP40" s="78" t="str">
        <f>CODES!AP30</f>
      </c>
      <c r="AQ40" s="78" t="str">
        <f>CODES!AQ30</f>
      </c>
      <c r="AR40" s="78" t="str">
        <f>CODES!AR30</f>
      </c>
      <c r="AS40" s="78" t="str">
        <f>CODES!AS30</f>
      </c>
      <c r="AT40" s="78" t="str">
        <f>CODES!AT30</f>
      </c>
      <c r="AU40" s="78" t="str">
        <f>CODES!AU30</f>
      </c>
      <c r="AV40" s="78" t="str">
        <f>CODES!AV30</f>
      </c>
      <c r="AW40" s="78" t="str">
        <f>CODES!AW30</f>
      </c>
      <c r="AX40" s="78" t="str">
        <f>CODES!AX30</f>
      </c>
      <c r="AY40" s="78" t="str">
        <f>CODES!AY30</f>
      </c>
      <c r="AZ40" s="78" t="str">
        <f>CODES!AZ30</f>
      </c>
      <c r="BA40" s="78" t="str">
        <f>CODES!BA30</f>
      </c>
      <c r="BB40" s="78" t="str">
        <f>CODES!BB30</f>
      </c>
      <c r="BC40" s="78" t="str">
        <f>CODES!BC30</f>
      </c>
      <c r="BD40" s="78" t="str">
        <f>CODES!BD30</f>
      </c>
      <c r="BE40" s="78" t="str">
        <f>CODES!BE30</f>
      </c>
      <c r="BF40" s="78" t="str">
        <f>CODES!BF30</f>
      </c>
      <c r="BG40" s="78" t="str">
        <f>CODES!BG30</f>
      </c>
      <c r="BH40" s="78" t="str">
        <f>CODES!BH30</f>
      </c>
      <c r="BI40" s="78" t="str">
        <f>CODES!BI30</f>
      </c>
      <c r="BJ40" s="78" t="str">
        <f>CODES!BJ30</f>
      </c>
      <c r="BK40" s="78" t="str">
        <f>CODES!BK30</f>
      </c>
      <c r="BL40" s="78" t="str">
        <f>CODES!BL30</f>
      </c>
      <c r="BM40" s="78" t="str">
        <f>CODES!BM30</f>
      </c>
      <c r="BN40" s="78" t="str">
        <f>CODES!BN30</f>
      </c>
      <c r="BO40" s="78" t="str">
        <f>CODES!BO30</f>
      </c>
      <c r="BP40" s="78" t="str">
        <f>CODES!BP30</f>
      </c>
      <c r="BQ40" s="78" t="str">
        <f>CODES!BQ30</f>
      </c>
      <c r="BR40" s="78" t="str">
        <f>CODES!BR30</f>
      </c>
      <c r="BS40" s="78" t="str">
        <f>CODES!BS30</f>
      </c>
      <c r="BT40" s="78" t="str">
        <f>CODES!BT30</f>
      </c>
      <c r="BU40" s="78" t="str">
        <f>CODES!BU30</f>
      </c>
      <c r="BV40" s="78" t="str">
        <f>CODES!BV30</f>
      </c>
      <c r="BW40" s="78" t="str">
        <f>CODES!BW30</f>
      </c>
      <c r="BX40" s="78" t="str">
        <f>CODES!BX30</f>
      </c>
      <c r="BY40" s="78" t="str">
        <f>CODES!BY30</f>
      </c>
      <c r="BZ40" s="78" t="str">
        <f>CODES!BZ30</f>
      </c>
      <c r="CA40" s="78" t="str">
        <f>CODES!CA30</f>
      </c>
      <c r="CB40" s="78" t="str">
        <f>CODES!CB30</f>
      </c>
      <c r="CC40" s="78" t="str">
        <f>CODES!CC30</f>
      </c>
      <c r="CD40" s="78" t="str">
        <f>CODES!CD30</f>
      </c>
      <c r="CE40" s="78" t="str">
        <f>CODES!CE30</f>
      </c>
      <c r="CF40" s="78" t="str">
        <f>CODES!CF30</f>
      </c>
      <c r="CG40" s="78" t="str">
        <f>CODES!CG30</f>
      </c>
      <c r="CH40" s="78" t="str">
        <f>CODES!CH30</f>
      </c>
      <c r="CI40" s="78" t="str">
        <f>CODES!CI30</f>
      </c>
      <c r="CJ40" s="78" t="str">
        <f>CODES!CJ30</f>
      </c>
      <c r="CK40" s="78" t="str">
        <f>CODES!CK30</f>
      </c>
      <c r="CL40" s="78" t="str">
        <f>CODES!CL30</f>
      </c>
      <c r="CM40" s="78" t="str">
        <f>CODES!CM30</f>
      </c>
      <c r="CN40" s="78" t="str">
        <f>CODES!CN30</f>
      </c>
      <c r="CO40" s="78" t="str">
        <f>CODES!CO30</f>
      </c>
      <c r="CP40" s="78" t="str">
        <f>CODES!CP30</f>
      </c>
      <c r="CQ40" s="78" t="str">
        <f>CODES!CQ30</f>
      </c>
      <c r="CR40" s="78" t="str">
        <f>CODES!CR30</f>
      </c>
      <c r="CS40" s="78" t="str">
        <f>CODES!CS30</f>
      </c>
      <c r="CT40" s="78" t="str">
        <f>CODES!CT30</f>
      </c>
      <c r="CU40" s="78" t="str">
        <f>CODES!CU30</f>
      </c>
      <c r="CV40" s="78" t="str">
        <f>CODES!CV30</f>
      </c>
      <c r="CW40" s="78" t="str">
        <f>CODES!CW30</f>
      </c>
      <c r="CX40" s="78" t="str">
        <f>CODES!CX30</f>
      </c>
      <c r="CY40" s="78" t="str">
        <f>CODES!CY30</f>
      </c>
      <c r="CZ40" s="78" t="str">
        <f>CODES!CZ30</f>
      </c>
      <c r="DA40" s="78" t="str">
        <f>CODES!DA30</f>
      </c>
      <c r="DB40" s="78" t="str">
        <f>CODES!DB30</f>
      </c>
      <c r="DC40" s="78" t="str">
        <f>CODES!DC30</f>
      </c>
      <c r="DD40" s="78" t="str">
        <f>CODES!DD30</f>
      </c>
      <c r="DE40" s="78" t="str">
        <f>CODES!DE30</f>
      </c>
      <c r="DF40" s="78" t="str">
        <f>CODES!DF30</f>
      </c>
      <c r="DG40" s="78" t="str">
        <f>CODES!DG30</f>
      </c>
      <c r="DH40" s="78" t="str">
        <f>CODES!DH30</f>
      </c>
      <c r="DI40" s="78" t="str">
        <f>CODES!DI30</f>
      </c>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row>
    <row r="41" spans="1:209" x14ac:dyDescent="0.25">
      <c r="A41" s="9"/>
      <c r="B41" s="10"/>
      <c r="C41" s="11"/>
      <c r="D41" s="11"/>
      <c r="E41" s="12"/>
      <c r="F41" s="13"/>
      <c r="G41" s="14"/>
      <c r="H41" s="11"/>
      <c r="I41" s="11"/>
      <c r="J41" s="11"/>
      <c r="K41" s="12"/>
      <c r="L41" s="12"/>
      <c r="M41" s="12"/>
      <c r="N41" s="15"/>
      <c r="O41" s="15"/>
      <c r="P41" s="13"/>
      <c r="Q41" s="12"/>
      <c r="R41" s="15"/>
      <c r="S41" s="11"/>
      <c r="T41" s="11"/>
      <c r="U41" s="11"/>
      <c r="V41" s="15"/>
      <c r="W41" s="11"/>
      <c r="X41" s="11"/>
      <c r="Y41" s="13"/>
    </row>
    <row r="42" spans="1:209" x14ac:dyDescent="0.25">
      <c r="A42" s="9"/>
      <c r="B42" s="10"/>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row>
    <row r="43" spans="1:209" x14ac:dyDescent="0.25">
      <c r="A43" s="38" t="s">
        <v>203</v>
      </c>
      <c r="B43" s="10"/>
      <c r="C43" s="15"/>
      <c r="D43" s="13"/>
      <c r="E43" s="11"/>
      <c r="F43" s="15"/>
      <c r="G43" s="12"/>
      <c r="H43" s="13"/>
      <c r="I43"/>
      <c r="J43"/>
      <c r="K43"/>
      <c r="L43"/>
      <c r="M43"/>
      <c r="N43"/>
      <c r="O43"/>
      <c r="P43"/>
      <c r="Q43"/>
      <c r="R43"/>
      <c r="S43"/>
      <c r="T43"/>
      <c r="U43"/>
      <c r="V43"/>
      <c r="W43"/>
      <c r="X43"/>
      <c r="Y43"/>
    </row>
    <row r="44" spans="1:209" x14ac:dyDescent="0.25">
      <c r="A44" s="99" t="s">
        <v>134</v>
      </c>
      <c r="B44" s="99"/>
      <c r="C44" s="22" t="str">
        <f t="shared" ref="C44:AH44" si="0">C17</f>
      </c>
      <c r="D44" s="8" t="str">
        <f t="shared" si="0"/>
      </c>
      <c r="E44" s="22" t="str">
        <f t="shared" si="0"/>
      </c>
      <c r="F44" s="22" t="str">
        <f t="shared" si="0"/>
      </c>
      <c r="G44" s="8" t="str">
        <f t="shared" si="0"/>
      </c>
      <c r="H44" s="8" t="str">
        <f t="shared" si="0"/>
      </c>
      <c r="I44" s="22" t="str">
        <f t="shared" si="0"/>
      </c>
      <c r="J44" s="8" t="str">
        <f t="shared" si="0"/>
      </c>
      <c r="K44" s="22" t="str">
        <f t="shared" si="0"/>
      </c>
      <c r="L44" s="8" t="str">
        <f t="shared" si="0"/>
      </c>
      <c r="M44" s="22" t="str">
        <f t="shared" si="0"/>
      </c>
      <c r="N44" s="8" t="str">
        <f t="shared" si="0"/>
      </c>
      <c r="O44" s="22" t="str">
        <f t="shared" si="0"/>
      </c>
      <c r="P44" s="22" t="str">
        <f t="shared" si="0"/>
      </c>
      <c r="Q44" s="8" t="str">
        <f t="shared" si="0"/>
      </c>
      <c r="R44" s="22" t="str">
        <f t="shared" si="0"/>
      </c>
      <c r="S44" s="8" t="str">
        <f t="shared" si="0"/>
      </c>
      <c r="T44" s="22" t="str">
        <f t="shared" si="0"/>
      </c>
      <c r="U44" s="8" t="str">
        <f t="shared" si="0"/>
      </c>
      <c r="V44" s="22" t="str">
        <f t="shared" si="0"/>
      </c>
      <c r="W44" s="8" t="str">
        <f t="shared" si="0"/>
      </c>
      <c r="X44" s="8" t="str">
        <f t="shared" si="0"/>
      </c>
      <c r="Y44" s="22" t="str">
        <f t="shared" si="0"/>
      </c>
      <c r="Z44" s="22" t="str">
        <f t="shared" si="0"/>
      </c>
      <c r="AA44" s="8" t="str">
        <f t="shared" si="0"/>
      </c>
      <c r="AB44" s="22" t="str">
        <f t="shared" si="0"/>
      </c>
      <c r="AC44" s="8" t="str">
        <f t="shared" si="0"/>
      </c>
      <c r="AD44" s="22" t="str">
        <f t="shared" si="0"/>
      </c>
      <c r="AE44" s="8" t="str">
        <f t="shared" si="0"/>
      </c>
      <c r="AF44" s="22" t="str">
        <f t="shared" si="0"/>
      </c>
      <c r="AG44" s="8" t="str">
        <f t="shared" si="0"/>
      </c>
      <c r="AH44" s="22" t="str">
        <f t="shared" si="0"/>
      </c>
      <c r="AI44" s="22" t="str">
        <f t="shared" ref="AI44:BN44" si="1">AI17</f>
      </c>
      <c r="AJ44" s="8" t="str">
        <f t="shared" si="1"/>
      </c>
      <c r="AK44" s="8" t="str">
        <f t="shared" si="1"/>
      </c>
      <c r="AL44" s="22" t="str">
        <f t="shared" si="1"/>
      </c>
      <c r="AM44" s="8" t="str">
        <f t="shared" si="1"/>
      </c>
      <c r="AN44" s="22" t="str">
        <f t="shared" si="1"/>
      </c>
      <c r="AO44" s="8" t="str">
        <f t="shared" si="1"/>
      </c>
      <c r="AP44" s="22" t="str">
        <f t="shared" si="1"/>
      </c>
      <c r="AQ44" s="8" t="str">
        <f t="shared" si="1"/>
      </c>
      <c r="AR44" s="22" t="str">
        <f t="shared" si="1"/>
      </c>
      <c r="AS44" s="22" t="str">
        <f t="shared" si="1"/>
      </c>
      <c r="AT44" s="22" t="str">
        <f t="shared" si="1"/>
      </c>
      <c r="AU44" s="8" t="str">
        <f t="shared" si="1"/>
      </c>
      <c r="AV44" s="8" t="str">
        <f t="shared" si="1"/>
      </c>
      <c r="AW44" s="22" t="str">
        <f t="shared" si="1"/>
      </c>
      <c r="AX44" s="22" t="str">
        <f t="shared" si="1"/>
      </c>
      <c r="AY44" s="8" t="str">
        <f t="shared" si="1"/>
      </c>
      <c r="AZ44" s="22" t="str">
        <f t="shared" si="1"/>
      </c>
      <c r="BA44" s="8" t="str">
        <f t="shared" si="1"/>
      </c>
      <c r="BB44" s="22" t="str">
        <f t="shared" si="1"/>
      </c>
      <c r="BC44" s="8" t="str">
        <f t="shared" si="1"/>
      </c>
      <c r="BD44" s="22" t="str">
        <f t="shared" si="1"/>
      </c>
      <c r="BE44" s="8" t="str">
        <f t="shared" si="1"/>
      </c>
      <c r="BF44" s="8" t="str">
        <f t="shared" si="1"/>
      </c>
      <c r="BG44" s="22" t="str">
        <f t="shared" si="1"/>
      </c>
      <c r="BH44" s="8" t="str">
        <f t="shared" si="1"/>
      </c>
      <c r="BI44" s="22" t="str">
        <f t="shared" si="1"/>
      </c>
      <c r="BJ44" s="22" t="str">
        <f t="shared" si="1"/>
      </c>
      <c r="BK44" s="8" t="str">
        <f t="shared" si="1"/>
      </c>
      <c r="BL44" s="8" t="str">
        <f t="shared" si="1"/>
      </c>
      <c r="BM44" s="22" t="str">
        <f t="shared" si="1"/>
      </c>
      <c r="BN44" s="8" t="str">
        <f t="shared" si="1"/>
      </c>
      <c r="BO44" s="8" t="str">
        <f t="shared" ref="BO44:CT44" si="2">BO17</f>
      </c>
      <c r="BP44" s="22" t="str">
        <f t="shared" si="2"/>
      </c>
      <c r="BQ44" s="22" t="str">
        <f t="shared" si="2"/>
      </c>
      <c r="BR44" s="22" t="str">
        <f t="shared" si="2"/>
      </c>
      <c r="BS44" s="8" t="str">
        <f t="shared" si="2"/>
      </c>
      <c r="BT44" s="22" t="str">
        <f t="shared" si="2"/>
      </c>
      <c r="BU44" s="22" t="str">
        <f t="shared" si="2"/>
      </c>
      <c r="BV44" s="8" t="str">
        <f t="shared" si="2"/>
      </c>
      <c r="BW44" s="8" t="str">
        <f t="shared" si="2"/>
      </c>
      <c r="BX44" s="22" t="str">
        <f t="shared" si="2"/>
      </c>
      <c r="BY44" s="22" t="str">
        <f t="shared" si="2"/>
      </c>
      <c r="BZ44" s="8" t="str">
        <f t="shared" si="2"/>
      </c>
      <c r="CA44" s="22" t="str">
        <f t="shared" si="2"/>
      </c>
      <c r="CB44" s="8" t="str">
        <f t="shared" si="2"/>
      </c>
      <c r="CC44" s="22" t="str">
        <f t="shared" si="2"/>
      </c>
      <c r="CD44" s="8" t="str">
        <f t="shared" si="2"/>
      </c>
      <c r="CE44" s="22" t="str">
        <f t="shared" si="2"/>
      </c>
      <c r="CF44" s="8" t="str">
        <f t="shared" si="2"/>
      </c>
      <c r="CG44" s="22" t="str">
        <f t="shared" si="2"/>
      </c>
      <c r="CH44" s="8" t="str">
        <f t="shared" si="2"/>
      </c>
      <c r="CI44" s="8" t="str">
        <f t="shared" si="2"/>
      </c>
      <c r="CJ44" s="22" t="str">
        <f t="shared" si="2"/>
      </c>
      <c r="CK44" s="8" t="str">
        <f t="shared" si="2"/>
      </c>
      <c r="CL44" s="22" t="str">
        <f t="shared" si="2"/>
      </c>
      <c r="CM44" s="8" t="str">
        <f t="shared" si="2"/>
      </c>
      <c r="CN44" s="22" t="str">
        <f t="shared" si="2"/>
      </c>
      <c r="CO44" s="22" t="str">
        <f t="shared" si="2"/>
      </c>
      <c r="CP44" s="8" t="str">
        <f t="shared" si="2"/>
      </c>
      <c r="CQ44" s="22" t="str">
        <f t="shared" si="2"/>
      </c>
      <c r="CR44" s="8" t="str">
        <f t="shared" si="2"/>
      </c>
      <c r="CS44" s="8" t="str">
        <f t="shared" si="2"/>
      </c>
      <c r="CT44" s="22" t="str">
        <f t="shared" si="2"/>
      </c>
      <c r="CU44" s="8" t="str">
        <f t="shared" ref="CU44:DI44" si="3">CU17</f>
      </c>
      <c r="CV44" s="8" t="str">
        <f t="shared" si="3"/>
      </c>
      <c r="CW44" s="22" t="str">
        <f t="shared" si="3"/>
      </c>
      <c r="CX44" s="22" t="str">
        <f t="shared" si="3"/>
      </c>
      <c r="CY44" s="8" t="str">
        <f t="shared" si="3"/>
      </c>
      <c r="CZ44" s="22" t="str">
        <f t="shared" si="3"/>
      </c>
      <c r="DA44" s="8" t="str">
        <f t="shared" si="3"/>
      </c>
      <c r="DB44" s="8" t="str">
        <f t="shared" si="3"/>
      </c>
      <c r="DC44" s="22" t="str">
        <f t="shared" si="3"/>
      </c>
      <c r="DD44" s="22" t="str">
        <f t="shared" si="3"/>
      </c>
      <c r="DE44" s="8" t="str">
        <f t="shared" si="3"/>
      </c>
      <c r="DF44" s="8" t="str">
        <f t="shared" si="3"/>
      </c>
      <c r="DG44" s="22" t="str">
        <f t="shared" si="3"/>
      </c>
      <c r="DH44" s="8" t="str">
        <f t="shared" si="3"/>
      </c>
      <c r="DI44" s="22" t="str">
        <f t="shared" si="3"/>
      </c>
    </row>
    <row r="45" spans="1:209" x14ac:dyDescent="0.25">
      <c r="A45" s="23" t="s">
        <v>122</v>
      </c>
      <c r="B45" s="23" t="s">
        <v>123</v>
      </c>
      <c r="C45" s="22" t="str">
        <f t="shared" ref="C45:AH45" si="4">C18</f>
      </c>
      <c r="D45" s="8" t="str">
        <f t="shared" si="4"/>
      </c>
      <c r="E45" s="22" t="str">
        <f t="shared" si="4"/>
      </c>
      <c r="F45" s="22" t="str">
        <f t="shared" si="4"/>
      </c>
      <c r="G45" s="8" t="str">
        <f t="shared" si="4"/>
      </c>
      <c r="H45" s="8" t="str">
        <f t="shared" si="4"/>
      </c>
      <c r="I45" s="22" t="str">
        <f t="shared" si="4"/>
      </c>
      <c r="J45" s="8" t="str">
        <f t="shared" si="4"/>
      </c>
      <c r="K45" s="22" t="str">
        <f t="shared" si="4"/>
      </c>
      <c r="L45" s="8" t="str">
        <f t="shared" si="4"/>
      </c>
      <c r="M45" s="22" t="str">
        <f t="shared" si="4"/>
      </c>
      <c r="N45" s="8" t="str">
        <f t="shared" si="4"/>
      </c>
      <c r="O45" s="22" t="str">
        <f t="shared" si="4"/>
      </c>
      <c r="P45" s="22" t="str">
        <f t="shared" si="4"/>
      </c>
      <c r="Q45" s="8" t="str">
        <f t="shared" si="4"/>
      </c>
      <c r="R45" s="22" t="str">
        <f t="shared" si="4"/>
      </c>
      <c r="S45" s="8" t="str">
        <f t="shared" si="4"/>
      </c>
      <c r="T45" s="22" t="str">
        <f t="shared" si="4"/>
      </c>
      <c r="U45" s="8" t="str">
        <f t="shared" si="4"/>
      </c>
      <c r="V45" s="22" t="str">
        <f t="shared" si="4"/>
      </c>
      <c r="W45" s="8" t="str">
        <f t="shared" si="4"/>
      </c>
      <c r="X45" s="8" t="str">
        <f t="shared" si="4"/>
      </c>
      <c r="Y45" s="22" t="str">
        <f t="shared" si="4"/>
      </c>
      <c r="Z45" s="22" t="str">
        <f t="shared" si="4"/>
      </c>
      <c r="AA45" s="8" t="str">
        <f t="shared" si="4"/>
      </c>
      <c r="AB45" s="22" t="str">
        <f t="shared" si="4"/>
      </c>
      <c r="AC45" s="8" t="str">
        <f t="shared" si="4"/>
      </c>
      <c r="AD45" s="22" t="str">
        <f t="shared" si="4"/>
      </c>
      <c r="AE45" s="8" t="str">
        <f t="shared" si="4"/>
      </c>
      <c r="AF45" s="22" t="str">
        <f t="shared" si="4"/>
      </c>
      <c r="AG45" s="8" t="str">
        <f t="shared" si="4"/>
      </c>
      <c r="AH45" s="22" t="str">
        <f t="shared" si="4"/>
      </c>
      <c r="AI45" s="22" t="str">
        <f t="shared" ref="AI45:BN45" si="5">AI18</f>
      </c>
      <c r="AJ45" s="8" t="str">
        <f t="shared" si="5"/>
      </c>
      <c r="AK45" s="8" t="str">
        <f t="shared" si="5"/>
      </c>
      <c r="AL45" s="22" t="str">
        <f t="shared" si="5"/>
      </c>
      <c r="AM45" s="8" t="str">
        <f t="shared" si="5"/>
      </c>
      <c r="AN45" s="22" t="str">
        <f t="shared" si="5"/>
      </c>
      <c r="AO45" s="8" t="str">
        <f t="shared" si="5"/>
      </c>
      <c r="AP45" s="22" t="str">
        <f t="shared" si="5"/>
      </c>
      <c r="AQ45" s="8" t="str">
        <f t="shared" si="5"/>
      </c>
      <c r="AR45" s="22" t="str">
        <f t="shared" si="5"/>
      </c>
      <c r="AS45" s="22" t="str">
        <f t="shared" si="5"/>
      </c>
      <c r="AT45" s="22" t="str">
        <f t="shared" si="5"/>
      </c>
      <c r="AU45" s="8" t="str">
        <f t="shared" si="5"/>
      </c>
      <c r="AV45" s="8" t="str">
        <f t="shared" si="5"/>
      </c>
      <c r="AW45" s="22" t="str">
        <f t="shared" si="5"/>
      </c>
      <c r="AX45" s="22" t="str">
        <f t="shared" si="5"/>
      </c>
      <c r="AY45" s="8" t="str">
        <f t="shared" si="5"/>
      </c>
      <c r="AZ45" s="22" t="str">
        <f t="shared" si="5"/>
      </c>
      <c r="BA45" s="8" t="str">
        <f t="shared" si="5"/>
      </c>
      <c r="BB45" s="22" t="str">
        <f t="shared" si="5"/>
      </c>
      <c r="BC45" s="8" t="str">
        <f t="shared" si="5"/>
      </c>
      <c r="BD45" s="22" t="str">
        <f t="shared" si="5"/>
      </c>
      <c r="BE45" s="8" t="str">
        <f t="shared" si="5"/>
      </c>
      <c r="BF45" s="8" t="str">
        <f t="shared" si="5"/>
      </c>
      <c r="BG45" s="22" t="str">
        <f t="shared" si="5"/>
      </c>
      <c r="BH45" s="8" t="str">
        <f t="shared" si="5"/>
      </c>
      <c r="BI45" s="22" t="str">
        <f t="shared" si="5"/>
      </c>
      <c r="BJ45" s="22" t="str">
        <f t="shared" si="5"/>
      </c>
      <c r="BK45" s="8" t="str">
        <f t="shared" si="5"/>
      </c>
      <c r="BL45" s="8" t="str">
        <f t="shared" si="5"/>
      </c>
      <c r="BM45" s="22" t="str">
        <f t="shared" si="5"/>
      </c>
      <c r="BN45" s="8" t="str">
        <f t="shared" si="5"/>
      </c>
      <c r="BO45" s="8" t="str">
        <f t="shared" ref="BO45:CT45" si="6">BO18</f>
      </c>
      <c r="BP45" s="22" t="str">
        <f t="shared" si="6"/>
      </c>
      <c r="BQ45" s="22" t="str">
        <f t="shared" si="6"/>
      </c>
      <c r="BR45" s="22" t="str">
        <f t="shared" si="6"/>
      </c>
      <c r="BS45" s="8" t="str">
        <f t="shared" si="6"/>
      </c>
      <c r="BT45" s="22" t="str">
        <f t="shared" si="6"/>
      </c>
      <c r="BU45" s="22" t="str">
        <f t="shared" si="6"/>
      </c>
      <c r="BV45" s="8" t="str">
        <f t="shared" si="6"/>
      </c>
      <c r="BW45" s="8" t="str">
        <f t="shared" si="6"/>
      </c>
      <c r="BX45" s="22" t="str">
        <f t="shared" si="6"/>
      </c>
      <c r="BY45" s="22" t="str">
        <f t="shared" si="6"/>
      </c>
      <c r="BZ45" s="8" t="str">
        <f t="shared" si="6"/>
      </c>
      <c r="CA45" s="22" t="str">
        <f t="shared" si="6"/>
      </c>
      <c r="CB45" s="8" t="str">
        <f t="shared" si="6"/>
      </c>
      <c r="CC45" s="22" t="str">
        <f t="shared" si="6"/>
      </c>
      <c r="CD45" s="8" t="str">
        <f t="shared" si="6"/>
      </c>
      <c r="CE45" s="22" t="str">
        <f t="shared" si="6"/>
      </c>
      <c r="CF45" s="8" t="str">
        <f t="shared" si="6"/>
      </c>
      <c r="CG45" s="22" t="str">
        <f t="shared" si="6"/>
      </c>
      <c r="CH45" s="8" t="str">
        <f t="shared" si="6"/>
      </c>
      <c r="CI45" s="8" t="str">
        <f t="shared" si="6"/>
      </c>
      <c r="CJ45" s="22" t="str">
        <f t="shared" si="6"/>
      </c>
      <c r="CK45" s="8" t="str">
        <f t="shared" si="6"/>
      </c>
      <c r="CL45" s="22" t="str">
        <f t="shared" si="6"/>
      </c>
      <c r="CM45" s="8" t="str">
        <f t="shared" si="6"/>
      </c>
      <c r="CN45" s="22" t="str">
        <f t="shared" si="6"/>
      </c>
      <c r="CO45" s="22" t="str">
        <f t="shared" si="6"/>
      </c>
      <c r="CP45" s="8" t="str">
        <f t="shared" si="6"/>
      </c>
      <c r="CQ45" s="22" t="str">
        <f t="shared" si="6"/>
      </c>
      <c r="CR45" s="8" t="str">
        <f t="shared" si="6"/>
      </c>
      <c r="CS45" s="8" t="str">
        <f t="shared" si="6"/>
      </c>
      <c r="CT45" s="22" t="str">
        <f t="shared" si="6"/>
      </c>
      <c r="CU45" s="8" t="str">
        <f t="shared" ref="CU45:DI45" si="7">CU18</f>
      </c>
      <c r="CV45" s="8" t="str">
        <f t="shared" si="7"/>
      </c>
      <c r="CW45" s="22" t="str">
        <f t="shared" si="7"/>
      </c>
      <c r="CX45" s="22" t="str">
        <f t="shared" si="7"/>
      </c>
      <c r="CY45" s="8" t="str">
        <f t="shared" si="7"/>
      </c>
      <c r="CZ45" s="22" t="str">
        <f t="shared" si="7"/>
      </c>
      <c r="DA45" s="8" t="str">
        <f t="shared" si="7"/>
      </c>
      <c r="DB45" s="8" t="str">
        <f t="shared" si="7"/>
      </c>
      <c r="DC45" s="22" t="str">
        <f t="shared" si="7"/>
      </c>
      <c r="DD45" s="22" t="str">
        <f t="shared" si="7"/>
      </c>
      <c r="DE45" s="8" t="str">
        <f t="shared" si="7"/>
      </c>
      <c r="DF45" s="8" t="str">
        <f t="shared" si="7"/>
      </c>
      <c r="DG45" s="22" t="str">
        <f t="shared" si="7"/>
      </c>
      <c r="DH45" s="8" t="str">
        <f t="shared" si="7"/>
      </c>
      <c r="DI45" s="22" t="str">
        <f t="shared" si="7"/>
      </c>
    </row>
    <row r="46" spans="1:209" x14ac:dyDescent="0.25">
      <c r="A46" s="16" t="str">
        <f t="shared" ref="A46:B65" si="8">A19</f>
      </c>
      <c r="B46" s="16" t="str">
        <f t="shared" si="8"/>
      </c>
      <c r="C46" s="7" t="str">
        <f>IF(ISBLANK(C19),"NO DATA",IF(ISNUMBER(FIND(CODES!$A$12,C19)),CODES!$A$12,IF(OR(ISNUMBER(FIND(CODES!$A$10,C19)),ISNUMBER(FIND(CODES!$A$11,C19))),CODES!$A$13,IF(OR(C19&lt;C$39,ISNUMBER(C19)=FALSE),C$40,C19))))</f>
      </c>
      <c r="D46" s="7" t="str">
        <f>IF(ISBLANK(D19),"NO DATA",IF(ISNUMBER(FIND(CODES!$A$12,D19)),CODES!$A$12,IF(OR(ISNUMBER(FIND(CODES!$A$10,D19)),ISNUMBER(FIND(CODES!$A$11,D19))),CODES!$A$13,IF(OR(D19&lt;D$39,ISNUMBER(D19)=FALSE),D$40,D19))))</f>
      </c>
      <c r="E46" s="7" t="str">
        <f>IF(ISBLANK(E19),"NO DATA",IF(ISNUMBER(FIND(CODES!$A$12,E19)),CODES!$A$12,IF(OR(ISNUMBER(FIND(CODES!$A$10,E19)),ISNUMBER(FIND(CODES!$A$11,E19))),CODES!$A$13,IF(OR(E19&lt;E$39,ISNUMBER(E19)=FALSE),E$40,E19))))</f>
      </c>
      <c r="F46" s="7" t="str">
        <f>IF(ISBLANK(F19),"NO DATA",IF(ISNUMBER(FIND(CODES!$A$12,F19)),CODES!$A$12,IF(OR(ISNUMBER(FIND(CODES!$A$10,F19)),ISNUMBER(FIND(CODES!$A$11,F19))),CODES!$A$13,IF(OR(F19&lt;F$39,ISNUMBER(F19)=FALSE),F$40,F19))))</f>
      </c>
      <c r="G46" s="7" t="str">
        <f>IF(ISBLANK(G19),"NO DATA",IF(ISNUMBER(FIND(CODES!$A$12,G19)),CODES!$A$12,IF(OR(ISNUMBER(FIND(CODES!$A$10,G19)),ISNUMBER(FIND(CODES!$A$11,G19))),CODES!$A$13,IF(OR(G19&lt;G$39,ISNUMBER(G19)=FALSE),G$40,G19))))</f>
      </c>
      <c r="H46" s="7" t="str">
        <f>IF(ISBLANK(H19),"NO DATA",IF(ISNUMBER(FIND(CODES!$A$12,H19)),CODES!$A$12,IF(OR(ISNUMBER(FIND(CODES!$A$10,H19)),ISNUMBER(FIND(CODES!$A$11,H19))),CODES!$A$13,IF(OR(H19&lt;H$39,ISNUMBER(H19)=FALSE),H$40,H19))))</f>
      </c>
      <c r="I46" s="7" t="str">
        <f>IF(ISBLANK(I19),"NO DATA",IF(ISNUMBER(FIND(CODES!$A$12,I19)),CODES!$A$12,IF(OR(ISNUMBER(FIND(CODES!$A$10,I19)),ISNUMBER(FIND(CODES!$A$11,I19))),CODES!$A$13,IF(OR(I19&lt;I$39,ISNUMBER(I19)=FALSE),I$40,I19))))</f>
      </c>
      <c r="J46" s="7" t="str">
        <f>IF(ISBLANK(J19),"NO DATA",IF(ISNUMBER(FIND(CODES!$A$12,J19)),CODES!$A$12,IF(OR(ISNUMBER(FIND(CODES!$A$10,J19)),ISNUMBER(FIND(CODES!$A$11,J19))),CODES!$A$13,IF(OR(J19&lt;J$39,ISNUMBER(J19)=FALSE),J$40,J19))))</f>
      </c>
      <c r="K46" s="7" t="str">
        <f>IF(ISBLANK(K19),"NO DATA",IF(ISNUMBER(FIND(CODES!$A$12,K19)),CODES!$A$12,IF(OR(ISNUMBER(FIND(CODES!$A$10,K19)),ISNUMBER(FIND(CODES!$A$11,K19))),CODES!$A$13,IF(OR(K19&lt;K$39,ISNUMBER(K19)=FALSE),K$40,K19))))</f>
      </c>
      <c r="L46" s="7" t="str">
        <f>IF(ISBLANK(L19),"NO DATA",IF(ISNUMBER(FIND(CODES!$A$12,L19)),CODES!$A$12,IF(OR(ISNUMBER(FIND(CODES!$A$10,L19)),ISNUMBER(FIND(CODES!$A$11,L19))),CODES!$A$13,IF(OR(L19&lt;L$39,ISNUMBER(L19)=FALSE),L$40,L19))))</f>
      </c>
      <c r="M46" s="7" t="str">
        <f>IF(ISBLANK(M19),"NO DATA",IF(ISNUMBER(FIND(CODES!$A$12,M19)),CODES!$A$12,IF(OR(ISNUMBER(FIND(CODES!$A$10,M19)),ISNUMBER(FIND(CODES!$A$11,M19))),CODES!$A$13,IF(OR(M19&lt;M$39,ISNUMBER(M19)=FALSE),M$40,M19))))</f>
      </c>
      <c r="N46" s="7" t="str">
        <f>IF(ISBLANK(N19),"NO DATA",IF(ISNUMBER(FIND(CODES!$A$12,N19)),CODES!$A$12,IF(OR(ISNUMBER(FIND(CODES!$A$10,N19)),ISNUMBER(FIND(CODES!$A$11,N19))),CODES!$A$13,IF(OR(N19&lt;N$39,ISNUMBER(N19)=FALSE),N$40,N19))))</f>
      </c>
      <c r="O46" s="7" t="str">
        <f>IF(ISBLANK(O19),"NO DATA",IF(ISNUMBER(FIND(CODES!$A$12,O19)),CODES!$A$12,IF(OR(ISNUMBER(FIND(CODES!$A$10,O19)),ISNUMBER(FIND(CODES!$A$11,O19))),CODES!$A$13,IF(OR(O19&lt;O$39,ISNUMBER(O19)=FALSE),O$40,O19))))</f>
      </c>
      <c r="P46" s="7" t="str">
        <f>IF(ISBLANK(P19),"NO DATA",IF(ISNUMBER(FIND(CODES!$A$12,P19)),CODES!$A$12,IF(OR(ISNUMBER(FIND(CODES!$A$10,P19)),ISNUMBER(FIND(CODES!$A$11,P19))),CODES!$A$13,IF(OR(P19&lt;P$39,ISNUMBER(P19)=FALSE),P$40,P19))))</f>
      </c>
      <c r="Q46" s="7" t="str">
        <f>IF(ISBLANK(Q19),"NO DATA",IF(ISNUMBER(FIND(CODES!$A$12,Q19)),CODES!$A$12,IF(OR(ISNUMBER(FIND(CODES!$A$10,Q19)),ISNUMBER(FIND(CODES!$A$11,Q19))),CODES!$A$13,IF(OR(Q19&lt;Q$39,ISNUMBER(Q19)=FALSE),Q$40,Q19))))</f>
      </c>
      <c r="R46" s="7" t="str">
        <f>IF(ISBLANK(R19),"NO DATA",IF(ISNUMBER(FIND(CODES!$A$12,R19)),CODES!$A$12,IF(OR(ISNUMBER(FIND(CODES!$A$10,R19)),ISNUMBER(FIND(CODES!$A$11,R19))),CODES!$A$13,IF(OR(R19&lt;R$39,ISNUMBER(R19)=FALSE),R$40,R19))))</f>
      </c>
      <c r="S46" s="7" t="str">
        <f>IF(ISBLANK(S19),"NO DATA",IF(ISNUMBER(FIND(CODES!$A$12,S19)),CODES!$A$12,IF(OR(ISNUMBER(FIND(CODES!$A$10,S19)),ISNUMBER(FIND(CODES!$A$11,S19))),CODES!$A$13,IF(OR(S19&lt;S$39,ISNUMBER(S19)=FALSE),S$40,S19))))</f>
      </c>
      <c r="T46" s="7" t="str">
        <f>IF(ISBLANK(T19),"NO DATA",IF(ISNUMBER(FIND(CODES!$A$12,T19)),CODES!$A$12,IF(OR(ISNUMBER(FIND(CODES!$A$10,T19)),ISNUMBER(FIND(CODES!$A$11,T19))),CODES!$A$13,IF(OR(T19&lt;T$39,ISNUMBER(T19)=FALSE),T$40,T19))))</f>
      </c>
      <c r="U46" s="7" t="str">
        <f>IF(ISBLANK(U19),"NO DATA",IF(ISNUMBER(FIND(CODES!$A$12,U19)),CODES!$A$12,IF(OR(ISNUMBER(FIND(CODES!$A$10,U19)),ISNUMBER(FIND(CODES!$A$11,U19))),CODES!$A$13,IF(OR(U19&lt;U$39,ISNUMBER(U19)=FALSE),U$40,U19))))</f>
      </c>
      <c r="V46" s="7" t="str">
        <f>IF(ISBLANK(V19),"NO DATA",IF(ISNUMBER(FIND(CODES!$A$12,V19)),CODES!$A$12,IF(OR(ISNUMBER(FIND(CODES!$A$10,V19)),ISNUMBER(FIND(CODES!$A$11,V19))),CODES!$A$13,IF(OR(V19&lt;V$39,ISNUMBER(V19)=FALSE),V$40,V19))))</f>
      </c>
      <c r="W46" s="7" t="str">
        <f>IF(ISBLANK(W19),"NO DATA",IF(ISNUMBER(FIND(CODES!$A$12,W19)),CODES!$A$12,IF(OR(ISNUMBER(FIND(CODES!$A$10,W19)),ISNUMBER(FIND(CODES!$A$11,W19))),CODES!$A$13,IF(OR(W19&lt;W$39,ISNUMBER(W19)=FALSE),W$40,W19))))</f>
      </c>
      <c r="X46" s="7" t="str">
        <f>IF(ISBLANK(X19),"NO DATA",IF(ISNUMBER(FIND(CODES!$A$12,X19)),CODES!$A$12,IF(OR(ISNUMBER(FIND(CODES!$A$10,X19)),ISNUMBER(FIND(CODES!$A$11,X19))),CODES!$A$13,IF(OR(X19&lt;X$39,ISNUMBER(X19)=FALSE),X$40,X19))))</f>
      </c>
      <c r="Y46" s="7" t="str">
        <f>IF(ISBLANK(Y19),"NO DATA",IF(ISNUMBER(FIND(CODES!$A$12,Y19)),CODES!$A$12,IF(OR(ISNUMBER(FIND(CODES!$A$10,Y19)),ISNUMBER(FIND(CODES!$A$11,Y19))),CODES!$A$13,IF(OR(Y19&lt;Y$39,ISNUMBER(Y19)=FALSE),Y$40,Y19))))</f>
      </c>
      <c r="Z46" s="7" t="str">
        <f>IF(ISBLANK(Z19),"NO DATA",IF(ISNUMBER(FIND(CODES!$A$12,Z19)),CODES!$A$12,IF(OR(ISNUMBER(FIND(CODES!$A$10,Z19)),ISNUMBER(FIND(CODES!$A$11,Z19))),CODES!$A$13,IF(OR(Z19&lt;Z$39,ISNUMBER(Z19)=FALSE),Z$40,Z19))))</f>
      </c>
      <c r="AA46" s="7" t="str">
        <f>IF(ISBLANK(AA19),"NO DATA",IF(ISNUMBER(FIND(CODES!$A$12,AA19)),CODES!$A$12,IF(OR(ISNUMBER(FIND(CODES!$A$10,AA19)),ISNUMBER(FIND(CODES!$A$11,AA19))),CODES!$A$13,IF(OR(AA19&lt;AA$39,ISNUMBER(AA19)=FALSE),AA$40,AA19))))</f>
      </c>
      <c r="AB46" s="7" t="str">
        <f>IF(ISBLANK(AB19),"NO DATA",IF(ISNUMBER(FIND(CODES!$A$12,AB19)),CODES!$A$12,IF(OR(ISNUMBER(FIND(CODES!$A$10,AB19)),ISNUMBER(FIND(CODES!$A$11,AB19))),CODES!$A$13,IF(OR(AB19&lt;AB$39,ISNUMBER(AB19)=FALSE),AB$40,AB19))))</f>
      </c>
      <c r="AC46" s="7" t="str">
        <f>IF(ISBLANK(AC19),"NO DATA",IF(ISNUMBER(FIND(CODES!$A$12,AC19)),CODES!$A$12,IF(OR(ISNUMBER(FIND(CODES!$A$10,AC19)),ISNUMBER(FIND(CODES!$A$11,AC19))),CODES!$A$13,IF(OR(AC19&lt;AC$39,ISNUMBER(AC19)=FALSE),AC$40,AC19))))</f>
      </c>
      <c r="AD46" s="7" t="str">
        <f>IF(ISBLANK(AD19),"NO DATA",IF(ISNUMBER(FIND(CODES!$A$12,AD19)),CODES!$A$12,IF(OR(ISNUMBER(FIND(CODES!$A$10,AD19)),ISNUMBER(FIND(CODES!$A$11,AD19))),CODES!$A$13,IF(OR(AD19&lt;AD$39,ISNUMBER(AD19)=FALSE),AD$40,AD19))))</f>
      </c>
      <c r="AE46" s="7" t="str">
        <f>IF(ISBLANK(AE19),"NO DATA",IF(ISNUMBER(FIND(CODES!$A$12,AE19)),CODES!$A$12,IF(OR(ISNUMBER(FIND(CODES!$A$10,AE19)),ISNUMBER(FIND(CODES!$A$11,AE19))),CODES!$A$13,IF(OR(AE19&lt;AE$39,ISNUMBER(AE19)=FALSE),AE$40,AE19))))</f>
      </c>
      <c r="AF46" s="7" t="str">
        <f>IF(ISBLANK(AF19),"NO DATA",IF(ISNUMBER(FIND(CODES!$A$12,AF19)),CODES!$A$12,IF(OR(ISNUMBER(FIND(CODES!$A$10,AF19)),ISNUMBER(FIND(CODES!$A$11,AF19))),CODES!$A$13,IF(OR(AF19&lt;AF$39,ISNUMBER(AF19)=FALSE),AF$40,AF19))))</f>
      </c>
      <c r="AG46" s="7" t="str">
        <f>IF(ISBLANK(AG19),"NO DATA",IF(ISNUMBER(FIND(CODES!$A$12,AG19)),CODES!$A$12,IF(OR(ISNUMBER(FIND(CODES!$A$10,AG19)),ISNUMBER(FIND(CODES!$A$11,AG19))),CODES!$A$13,IF(OR(AG19&lt;AG$39,ISNUMBER(AG19)=FALSE),AG$40,AG19))))</f>
      </c>
      <c r="AH46" s="7" t="str">
        <f>IF(ISBLANK(AH19),"NO DATA",IF(ISNUMBER(FIND(CODES!$A$12,AH19)),CODES!$A$12,IF(OR(ISNUMBER(FIND(CODES!$A$10,AH19)),ISNUMBER(FIND(CODES!$A$11,AH19))),CODES!$A$13,IF(OR(AH19&lt;AH$39,ISNUMBER(AH19)=FALSE),AH$40,AH19))))</f>
      </c>
      <c r="AI46" s="7" t="str">
        <f>IF(ISBLANK(AI19),"NO DATA",IF(ISNUMBER(FIND(CODES!$A$12,AI19)),CODES!$A$12,IF(OR(ISNUMBER(FIND(CODES!$A$10,AI19)),ISNUMBER(FIND(CODES!$A$11,AI19))),CODES!$A$13,IF(OR(AI19&lt;AI$39,ISNUMBER(AI19)=FALSE),AI$40,AI19))))</f>
      </c>
      <c r="AJ46" s="7" t="str">
        <f>IF(ISBLANK(AJ19),"NO DATA",IF(ISNUMBER(FIND(CODES!$A$12,AJ19)),CODES!$A$12,IF(OR(ISNUMBER(FIND(CODES!$A$10,AJ19)),ISNUMBER(FIND(CODES!$A$11,AJ19))),CODES!$A$13,IF(OR(AJ19&lt;AJ$39,ISNUMBER(AJ19)=FALSE),AJ$40,AJ19))))</f>
      </c>
      <c r="AK46" s="7" t="str">
        <f>IF(ISBLANK(AK19),"NO DATA",IF(ISNUMBER(FIND(CODES!$A$12,AK19)),CODES!$A$12,IF(OR(ISNUMBER(FIND(CODES!$A$10,AK19)),ISNUMBER(FIND(CODES!$A$11,AK19))),CODES!$A$13,IF(OR(AK19&lt;AK$39,ISNUMBER(AK19)=FALSE),AK$40,AK19))))</f>
      </c>
      <c r="AL46" s="7" t="str">
        <f>IF(ISBLANK(AL19),"NO DATA",IF(ISNUMBER(FIND(CODES!$A$12,AL19)),CODES!$A$12,IF(OR(ISNUMBER(FIND(CODES!$A$10,AL19)),ISNUMBER(FIND(CODES!$A$11,AL19))),CODES!$A$13,IF(OR(AL19&lt;AL$39,ISNUMBER(AL19)=FALSE),AL$40,AL19))))</f>
      </c>
      <c r="AM46" s="7" t="str">
        <f>IF(ISBLANK(AM19),"NO DATA",IF(ISNUMBER(FIND(CODES!$A$12,AM19)),CODES!$A$12,IF(OR(ISNUMBER(FIND(CODES!$A$10,AM19)),ISNUMBER(FIND(CODES!$A$11,AM19))),CODES!$A$13,IF(OR(AM19&lt;AM$39,ISNUMBER(AM19)=FALSE),AM$40,AM19))))</f>
      </c>
      <c r="AN46" s="7" t="str">
        <f>IF(ISBLANK(AN19),"NO DATA",IF(ISNUMBER(FIND(CODES!$A$12,AN19)),CODES!$A$12,IF(OR(ISNUMBER(FIND(CODES!$A$10,AN19)),ISNUMBER(FIND(CODES!$A$11,AN19))),CODES!$A$13,IF(OR(AN19&lt;AN$39,ISNUMBER(AN19)=FALSE),AN$40,AN19))))</f>
      </c>
      <c r="AO46" s="7" t="str">
        <f>IF(ISBLANK(AO19),"NO DATA",IF(ISNUMBER(FIND(CODES!$A$12,AO19)),CODES!$A$12,IF(OR(ISNUMBER(FIND(CODES!$A$10,AO19)),ISNUMBER(FIND(CODES!$A$11,AO19))),CODES!$A$13,IF(OR(AO19&lt;AO$39,ISNUMBER(AO19)=FALSE),AO$40,AO19))))</f>
      </c>
      <c r="AP46" s="7" t="str">
        <f>IF(ISBLANK(AP19),"NO DATA",IF(ISNUMBER(FIND(CODES!$A$12,AP19)),CODES!$A$12,IF(OR(ISNUMBER(FIND(CODES!$A$10,AP19)),ISNUMBER(FIND(CODES!$A$11,AP19))),CODES!$A$13,IF(OR(AP19&lt;AP$39,ISNUMBER(AP19)=FALSE),AP$40,AP19))))</f>
      </c>
      <c r="AQ46" s="7" t="str">
        <f>IF(ISBLANK(AQ19),"NO DATA",IF(ISNUMBER(FIND(CODES!$A$12,AQ19)),CODES!$A$12,IF(OR(ISNUMBER(FIND(CODES!$A$10,AQ19)),ISNUMBER(FIND(CODES!$A$11,AQ19))),CODES!$A$13,IF(OR(AQ19&lt;AQ$39,ISNUMBER(AQ19)=FALSE),AQ$40,AQ19))))</f>
      </c>
      <c r="AR46" s="7" t="str">
        <f>IF(ISBLANK(AR19),"NO DATA",IF(ISNUMBER(FIND(CODES!$A$12,AR19)),CODES!$A$12,IF(OR(ISNUMBER(FIND(CODES!$A$10,AR19)),ISNUMBER(FIND(CODES!$A$11,AR19))),CODES!$A$13,IF(OR(AR19&lt;AR$39,ISNUMBER(AR19)=FALSE),AR$40,AR19))))</f>
      </c>
      <c r="AS46" s="7" t="str">
        <f>IF(ISBLANK(AS19),"NO DATA",IF(ISNUMBER(FIND(CODES!$A$12,AS19)),CODES!$A$12,IF(OR(ISNUMBER(FIND(CODES!$A$10,AS19)),ISNUMBER(FIND(CODES!$A$11,AS19))),CODES!$A$13,IF(OR(AS19&lt;AS$39,ISNUMBER(AS19)=FALSE),AS$40,AS19))))</f>
      </c>
      <c r="AT46" s="7" t="str">
        <f>IF(ISBLANK(AT19),"NO DATA",IF(ISNUMBER(FIND(CODES!$A$12,AT19)),CODES!$A$12,IF(OR(ISNUMBER(FIND(CODES!$A$10,AT19)),ISNUMBER(FIND(CODES!$A$11,AT19))),CODES!$A$13,IF(OR(AT19&lt;AT$39,ISNUMBER(AT19)=FALSE),AT$40,AT19))))</f>
      </c>
      <c r="AU46" s="7" t="str">
        <f>IF(ISBLANK(AU19),"NO DATA",IF(ISNUMBER(FIND(CODES!$A$12,AU19)),CODES!$A$12,IF(OR(ISNUMBER(FIND(CODES!$A$10,AU19)),ISNUMBER(FIND(CODES!$A$11,AU19))),CODES!$A$13,IF(OR(AU19&lt;AU$39,ISNUMBER(AU19)=FALSE),AU$40,AU19))))</f>
      </c>
      <c r="AV46" s="7" t="str">
        <f>IF(ISBLANK(AV19),"NO DATA",IF(ISNUMBER(FIND(CODES!$A$12,AV19)),CODES!$A$12,IF(OR(ISNUMBER(FIND(CODES!$A$10,AV19)),ISNUMBER(FIND(CODES!$A$11,AV19))),CODES!$A$13,IF(OR(AV19&lt;AV$39,ISNUMBER(AV19)=FALSE),AV$40,AV19))))</f>
      </c>
      <c r="AW46" s="7" t="str">
        <f>IF(ISBLANK(AW19),"NO DATA",IF(ISNUMBER(FIND(CODES!$A$12,AW19)),CODES!$A$12,IF(OR(ISNUMBER(FIND(CODES!$A$10,AW19)),ISNUMBER(FIND(CODES!$A$11,AW19))),CODES!$A$13,IF(OR(AW19&lt;AW$39,ISNUMBER(AW19)=FALSE),AW$40,AW19))))</f>
      </c>
      <c r="AX46" s="7" t="str">
        <f>IF(ISBLANK(AX19),"NO DATA",IF(ISNUMBER(FIND(CODES!$A$12,AX19)),CODES!$A$12,IF(OR(ISNUMBER(FIND(CODES!$A$10,AX19)),ISNUMBER(FIND(CODES!$A$11,AX19))),CODES!$A$13,IF(OR(AX19&lt;AX$39,ISNUMBER(AX19)=FALSE),AX$40,AX19))))</f>
      </c>
      <c r="AY46" s="7" t="str">
        <f>IF(ISBLANK(AY19),"NO DATA",IF(ISNUMBER(FIND(CODES!$A$12,AY19)),CODES!$A$12,IF(OR(ISNUMBER(FIND(CODES!$A$10,AY19)),ISNUMBER(FIND(CODES!$A$11,AY19))),CODES!$A$13,IF(OR(AY19&lt;AY$39,ISNUMBER(AY19)=FALSE),AY$40,AY19))))</f>
      </c>
      <c r="AZ46" s="7" t="str">
        <f>IF(ISBLANK(AZ19),"NO DATA",IF(ISNUMBER(FIND(CODES!$A$12,AZ19)),CODES!$A$12,IF(OR(ISNUMBER(FIND(CODES!$A$10,AZ19)),ISNUMBER(FIND(CODES!$A$11,AZ19))),CODES!$A$13,IF(OR(AZ19&lt;AZ$39,ISNUMBER(AZ19)=FALSE),AZ$40,AZ19))))</f>
      </c>
      <c r="BA46" s="7" t="str">
        <f>IF(ISBLANK(BA19),"NO DATA",IF(ISNUMBER(FIND(CODES!$A$12,BA19)),CODES!$A$12,IF(OR(ISNUMBER(FIND(CODES!$A$10,BA19)),ISNUMBER(FIND(CODES!$A$11,BA19))),CODES!$A$13,IF(OR(BA19&lt;BA$39,ISNUMBER(BA19)=FALSE),BA$40,BA19))))</f>
      </c>
      <c r="BB46" s="7" t="str">
        <f>IF(ISBLANK(BB19),"NO DATA",IF(ISNUMBER(FIND(CODES!$A$12,BB19)),CODES!$A$12,IF(OR(ISNUMBER(FIND(CODES!$A$10,BB19)),ISNUMBER(FIND(CODES!$A$11,BB19))),CODES!$A$13,IF(OR(BB19&lt;BB$39,ISNUMBER(BB19)=FALSE),BB$40,BB19))))</f>
      </c>
      <c r="BC46" s="7" t="str">
        <f>IF(ISBLANK(BC19),"NO DATA",IF(ISNUMBER(FIND(CODES!$A$12,BC19)),CODES!$A$12,IF(OR(ISNUMBER(FIND(CODES!$A$10,BC19)),ISNUMBER(FIND(CODES!$A$11,BC19))),CODES!$A$13,IF(OR(BC19&lt;BC$39,ISNUMBER(BC19)=FALSE),BC$40,BC19))))</f>
      </c>
      <c r="BD46" s="7" t="str">
        <f>IF(ISBLANK(BD19),"NO DATA",IF(ISNUMBER(FIND(CODES!$A$12,BD19)),CODES!$A$12,IF(OR(ISNUMBER(FIND(CODES!$A$10,BD19)),ISNUMBER(FIND(CODES!$A$11,BD19))),CODES!$A$13,IF(OR(BD19&lt;BD$39,ISNUMBER(BD19)=FALSE),BD$40,BD19))))</f>
      </c>
      <c r="BE46" s="7" t="str">
        <f>IF(ISBLANK(BE19),"NO DATA",IF(ISNUMBER(FIND(CODES!$A$12,BE19)),CODES!$A$12,IF(OR(ISNUMBER(FIND(CODES!$A$10,BE19)),ISNUMBER(FIND(CODES!$A$11,BE19))),CODES!$A$13,IF(OR(BE19&lt;BE$39,ISNUMBER(BE19)=FALSE),BE$40,BE19))))</f>
      </c>
      <c r="BF46" s="7" t="str">
        <f>IF(ISBLANK(BF19),"NO DATA",IF(ISNUMBER(FIND(CODES!$A$12,BF19)),CODES!$A$12,IF(OR(ISNUMBER(FIND(CODES!$A$10,BF19)),ISNUMBER(FIND(CODES!$A$11,BF19))),CODES!$A$13,IF(OR(BF19&lt;BF$39,ISNUMBER(BF19)=FALSE),BF$40,BF19))))</f>
      </c>
      <c r="BG46" s="7" t="str">
        <f>IF(ISBLANK(BG19),"NO DATA",IF(ISNUMBER(FIND(CODES!$A$12,BG19)),CODES!$A$12,IF(OR(ISNUMBER(FIND(CODES!$A$10,BG19)),ISNUMBER(FIND(CODES!$A$11,BG19))),CODES!$A$13,IF(OR(BG19&lt;BG$39,ISNUMBER(BG19)=FALSE),BG$40,BG19))))</f>
      </c>
      <c r="BH46" s="7" t="str">
        <f>IF(ISBLANK(BH19),"NO DATA",IF(ISNUMBER(FIND(CODES!$A$12,BH19)),CODES!$A$12,IF(OR(ISNUMBER(FIND(CODES!$A$10,BH19)),ISNUMBER(FIND(CODES!$A$11,BH19))),CODES!$A$13,IF(OR(BH19&lt;BH$39,ISNUMBER(BH19)=FALSE),BH$40,BH19))))</f>
      </c>
      <c r="BI46" s="7" t="str">
        <f>IF(ISBLANK(BI19),"NO DATA",IF(ISNUMBER(FIND(CODES!$A$12,BI19)),CODES!$A$12,IF(OR(ISNUMBER(FIND(CODES!$A$10,BI19)),ISNUMBER(FIND(CODES!$A$11,BI19))),CODES!$A$13,IF(OR(BI19&lt;BI$39,ISNUMBER(BI19)=FALSE),BI$40,BI19))))</f>
      </c>
      <c r="BJ46" s="7" t="str">
        <f>IF(ISBLANK(BJ19),"NO DATA",IF(ISNUMBER(FIND(CODES!$A$12,BJ19)),CODES!$A$12,IF(OR(ISNUMBER(FIND(CODES!$A$10,BJ19)),ISNUMBER(FIND(CODES!$A$11,BJ19))),CODES!$A$13,IF(OR(BJ19&lt;BJ$39,ISNUMBER(BJ19)=FALSE),BJ$40,BJ19))))</f>
      </c>
      <c r="BK46" s="7" t="str">
        <f>IF(ISBLANK(BK19),"NO DATA",IF(ISNUMBER(FIND(CODES!$A$12,BK19)),CODES!$A$12,IF(OR(ISNUMBER(FIND(CODES!$A$10,BK19)),ISNUMBER(FIND(CODES!$A$11,BK19))),CODES!$A$13,IF(OR(BK19&lt;BK$39,ISNUMBER(BK19)=FALSE),BK$40,BK19))))</f>
      </c>
      <c r="BL46" s="7" t="str">
        <f>IF(ISBLANK(BL19),"NO DATA",IF(ISNUMBER(FIND(CODES!$A$12,BL19)),CODES!$A$12,IF(OR(ISNUMBER(FIND(CODES!$A$10,BL19)),ISNUMBER(FIND(CODES!$A$11,BL19))),CODES!$A$13,IF(OR(BL19&lt;BL$39,ISNUMBER(BL19)=FALSE),BL$40,BL19))))</f>
      </c>
      <c r="BM46" s="7" t="str">
        <f>IF(ISBLANK(BM19),"NO DATA",IF(ISNUMBER(FIND(CODES!$A$12,BM19)),CODES!$A$12,IF(OR(ISNUMBER(FIND(CODES!$A$10,BM19)),ISNUMBER(FIND(CODES!$A$11,BM19))),CODES!$A$13,IF(OR(BM19&lt;BM$39,ISNUMBER(BM19)=FALSE),BM$40,BM19))))</f>
      </c>
      <c r="BN46" s="7" t="str">
        <f>IF(ISBLANK(BN19),"NO DATA",IF(ISNUMBER(FIND(CODES!$A$12,BN19)),CODES!$A$12,IF(OR(ISNUMBER(FIND(CODES!$A$10,BN19)),ISNUMBER(FIND(CODES!$A$11,BN19))),CODES!$A$13,IF(OR(BN19&lt;BN$39,ISNUMBER(BN19)=FALSE),BN$40,BN19))))</f>
      </c>
      <c r="BO46" s="7" t="str">
        <f>IF(ISBLANK(BO19),"NO DATA",IF(ISNUMBER(FIND(CODES!$A$12,BO19)),CODES!$A$12,IF(OR(ISNUMBER(FIND(CODES!$A$10,BO19)),ISNUMBER(FIND(CODES!$A$11,BO19))),CODES!$A$13,IF(OR(BO19&lt;BO$39,ISNUMBER(BO19)=FALSE),BO$40,BO19))))</f>
      </c>
      <c r="BP46" s="7" t="str">
        <f>IF(ISBLANK(BP19),"NO DATA",IF(ISNUMBER(FIND(CODES!$A$12,BP19)),CODES!$A$12,IF(OR(ISNUMBER(FIND(CODES!$A$10,BP19)),ISNUMBER(FIND(CODES!$A$11,BP19))),CODES!$A$13,IF(OR(BP19&lt;BP$39,ISNUMBER(BP19)=FALSE),BP$40,BP19))))</f>
      </c>
      <c r="BQ46" s="7" t="str">
        <f>IF(ISBLANK(BQ19),"NO DATA",IF(ISNUMBER(FIND(CODES!$A$12,BQ19)),CODES!$A$12,IF(OR(ISNUMBER(FIND(CODES!$A$10,BQ19)),ISNUMBER(FIND(CODES!$A$11,BQ19))),CODES!$A$13,IF(OR(BQ19&lt;BQ$39,ISNUMBER(BQ19)=FALSE),BQ$40,BQ19))))</f>
      </c>
      <c r="BR46" s="7" t="str">
        <f>IF(ISBLANK(BR19),"NO DATA",IF(ISNUMBER(FIND(CODES!$A$12,BR19)),CODES!$A$12,IF(OR(ISNUMBER(FIND(CODES!$A$10,BR19)),ISNUMBER(FIND(CODES!$A$11,BR19))),CODES!$A$13,IF(OR(BR19&lt;BR$39,ISNUMBER(BR19)=FALSE),BR$40,BR19))))</f>
      </c>
      <c r="BS46" s="7" t="str">
        <f>IF(ISBLANK(BS19),"NO DATA",IF(ISNUMBER(FIND(CODES!$A$12,BS19)),CODES!$A$12,IF(OR(ISNUMBER(FIND(CODES!$A$10,BS19)),ISNUMBER(FIND(CODES!$A$11,BS19))),CODES!$A$13,IF(OR(BS19&lt;BS$39,ISNUMBER(BS19)=FALSE),BS$40,BS19))))</f>
      </c>
      <c r="BT46" s="7" t="str">
        <f>IF(ISBLANK(BT19),"NO DATA",IF(ISNUMBER(FIND(CODES!$A$12,BT19)),CODES!$A$12,IF(OR(ISNUMBER(FIND(CODES!$A$10,BT19)),ISNUMBER(FIND(CODES!$A$11,BT19))),CODES!$A$13,IF(OR(BT19&lt;BT$39,ISNUMBER(BT19)=FALSE),BT$40,BT19))))</f>
      </c>
      <c r="BU46" s="7" t="str">
        <f>IF(ISBLANK(BU19),"NO DATA",IF(ISNUMBER(FIND(CODES!$A$12,BU19)),CODES!$A$12,IF(OR(ISNUMBER(FIND(CODES!$A$10,BU19)),ISNUMBER(FIND(CODES!$A$11,BU19))),CODES!$A$13,IF(OR(BU19&lt;BU$39,ISNUMBER(BU19)=FALSE),BU$40,BU19))))</f>
      </c>
      <c r="BV46" s="7" t="str">
        <f>IF(ISBLANK(BV19),"NO DATA",IF(ISNUMBER(FIND(CODES!$A$12,BV19)),CODES!$A$12,IF(OR(ISNUMBER(FIND(CODES!$A$10,BV19)),ISNUMBER(FIND(CODES!$A$11,BV19))),CODES!$A$13,IF(OR(BV19&lt;BV$39,ISNUMBER(BV19)=FALSE),BV$40,BV19))))</f>
      </c>
      <c r="BW46" s="7" t="str">
        <f>IF(ISBLANK(BW19),"NO DATA",IF(ISNUMBER(FIND(CODES!$A$12,BW19)),CODES!$A$12,IF(OR(ISNUMBER(FIND(CODES!$A$10,BW19)),ISNUMBER(FIND(CODES!$A$11,BW19))),CODES!$A$13,IF(OR(BW19&lt;BW$39,ISNUMBER(BW19)=FALSE),BW$40,BW19))))</f>
      </c>
      <c r="BX46" s="7" t="str">
        <f>IF(ISBLANK(BX19),"NO DATA",IF(ISNUMBER(FIND(CODES!$A$12,BX19)),CODES!$A$12,IF(OR(ISNUMBER(FIND(CODES!$A$10,BX19)),ISNUMBER(FIND(CODES!$A$11,BX19))),CODES!$A$13,IF(OR(BX19&lt;BX$39,ISNUMBER(BX19)=FALSE),BX$40,BX19))))</f>
      </c>
      <c r="BY46" s="7" t="str">
        <f>IF(ISBLANK(BY19),"NO DATA",IF(ISNUMBER(FIND(CODES!$A$12,BY19)),CODES!$A$12,IF(OR(ISNUMBER(FIND(CODES!$A$10,BY19)),ISNUMBER(FIND(CODES!$A$11,BY19))),CODES!$A$13,IF(OR(BY19&lt;BY$39,ISNUMBER(BY19)=FALSE),BY$40,BY19))))</f>
      </c>
      <c r="BZ46" s="7" t="str">
        <f>IF(ISBLANK(BZ19),"NO DATA",IF(ISNUMBER(FIND(CODES!$A$12,BZ19)),CODES!$A$12,IF(OR(ISNUMBER(FIND(CODES!$A$10,BZ19)),ISNUMBER(FIND(CODES!$A$11,BZ19))),CODES!$A$13,IF(OR(BZ19&lt;BZ$39,ISNUMBER(BZ19)=FALSE),BZ$40,BZ19))))</f>
      </c>
      <c r="CA46" s="7" t="str">
        <f>IF(ISBLANK(CA19),"NO DATA",IF(ISNUMBER(FIND(CODES!$A$12,CA19)),CODES!$A$12,IF(OR(ISNUMBER(FIND(CODES!$A$10,CA19)),ISNUMBER(FIND(CODES!$A$11,CA19))),CODES!$A$13,IF(OR(CA19&lt;CA$39,ISNUMBER(CA19)=FALSE),CA$40,CA19))))</f>
      </c>
      <c r="CB46" s="7" t="str">
        <f>IF(ISBLANK(CB19),"NO DATA",IF(ISNUMBER(FIND(CODES!$A$12,CB19)),CODES!$A$12,IF(OR(ISNUMBER(FIND(CODES!$A$10,CB19)),ISNUMBER(FIND(CODES!$A$11,CB19))),CODES!$A$13,IF(OR(CB19&lt;CB$39,ISNUMBER(CB19)=FALSE),CB$40,CB19))))</f>
      </c>
      <c r="CC46" s="7" t="str">
        <f>IF(ISBLANK(CC19),"NO DATA",IF(ISNUMBER(FIND(CODES!$A$12,CC19)),CODES!$A$12,IF(OR(ISNUMBER(FIND(CODES!$A$10,CC19)),ISNUMBER(FIND(CODES!$A$11,CC19))),CODES!$A$13,IF(OR(CC19&lt;CC$39,ISNUMBER(CC19)=FALSE),CC$40,CC19))))</f>
      </c>
      <c r="CD46" s="7" t="str">
        <f>IF(ISBLANK(CD19),"NO DATA",IF(ISNUMBER(FIND(CODES!$A$12,CD19)),CODES!$A$12,IF(OR(ISNUMBER(FIND(CODES!$A$10,CD19)),ISNUMBER(FIND(CODES!$A$11,CD19))),CODES!$A$13,IF(OR(CD19&lt;CD$39,ISNUMBER(CD19)=FALSE),CD$40,CD19))))</f>
      </c>
      <c r="CE46" s="7" t="str">
        <f>IF(ISBLANK(CE19),"NO DATA",IF(ISNUMBER(FIND(CODES!$A$12,CE19)),CODES!$A$12,IF(OR(ISNUMBER(FIND(CODES!$A$10,CE19)),ISNUMBER(FIND(CODES!$A$11,CE19))),CODES!$A$13,IF(OR(CE19&lt;CE$39,ISNUMBER(CE19)=FALSE),CE$40,CE19))))</f>
      </c>
      <c r="CF46" s="7" t="str">
        <f>IF(ISBLANK(CF19),"NO DATA",IF(ISNUMBER(FIND(CODES!$A$12,CF19)),CODES!$A$12,IF(OR(ISNUMBER(FIND(CODES!$A$10,CF19)),ISNUMBER(FIND(CODES!$A$11,CF19))),CODES!$A$13,IF(OR(CF19&lt;CF$39,ISNUMBER(CF19)=FALSE),CF$40,CF19))))</f>
      </c>
      <c r="CG46" s="7" t="str">
        <f>IF(ISBLANK(CG19),"NO DATA",IF(ISNUMBER(FIND(CODES!$A$12,CG19)),CODES!$A$12,IF(OR(ISNUMBER(FIND(CODES!$A$10,CG19)),ISNUMBER(FIND(CODES!$A$11,CG19))),CODES!$A$13,IF(OR(CG19&lt;CG$39,ISNUMBER(CG19)=FALSE),CG$40,CG19))))</f>
      </c>
      <c r="CH46" s="7" t="str">
        <f>IF(ISBLANK(CH19),"NO DATA",IF(ISNUMBER(FIND(CODES!$A$12,CH19)),CODES!$A$12,IF(OR(ISNUMBER(FIND(CODES!$A$10,CH19)),ISNUMBER(FIND(CODES!$A$11,CH19))),CODES!$A$13,IF(OR(CH19&lt;CH$39,ISNUMBER(CH19)=FALSE),CH$40,CH19))))</f>
      </c>
      <c r="CI46" s="7" t="str">
        <f>IF(ISBLANK(CI19),"NO DATA",IF(ISNUMBER(FIND(CODES!$A$12,CI19)),CODES!$A$12,IF(OR(ISNUMBER(FIND(CODES!$A$10,CI19)),ISNUMBER(FIND(CODES!$A$11,CI19))),CODES!$A$13,IF(OR(CI19&lt;CI$39,ISNUMBER(CI19)=FALSE),CI$40,CI19))))</f>
      </c>
      <c r="CJ46" s="7" t="str">
        <f>IF(ISBLANK(CJ19),"NO DATA",IF(ISNUMBER(FIND(CODES!$A$12,CJ19)),CODES!$A$12,IF(OR(ISNUMBER(FIND(CODES!$A$10,CJ19)),ISNUMBER(FIND(CODES!$A$11,CJ19))),CODES!$A$13,IF(OR(CJ19&lt;CJ$39,ISNUMBER(CJ19)=FALSE),CJ$40,CJ19))))</f>
      </c>
      <c r="CK46" s="7" t="str">
        <f>IF(ISBLANK(CK19),"NO DATA",IF(ISNUMBER(FIND(CODES!$A$12,CK19)),CODES!$A$12,IF(OR(ISNUMBER(FIND(CODES!$A$10,CK19)),ISNUMBER(FIND(CODES!$A$11,CK19))),CODES!$A$13,IF(OR(CK19&lt;CK$39,ISNUMBER(CK19)=FALSE),CK$40,CK19))))</f>
      </c>
      <c r="CL46" s="7" t="str">
        <f>IF(ISBLANK(CL19),"NO DATA",IF(ISNUMBER(FIND(CODES!$A$12,CL19)),CODES!$A$12,IF(OR(ISNUMBER(FIND(CODES!$A$10,CL19)),ISNUMBER(FIND(CODES!$A$11,CL19))),CODES!$A$13,IF(OR(CL19&lt;CL$39,ISNUMBER(CL19)=FALSE),CL$40,CL19))))</f>
      </c>
      <c r="CM46" s="7" t="str">
        <f>IF(ISBLANK(CM19),"NO DATA",IF(ISNUMBER(FIND(CODES!$A$12,CM19)),CODES!$A$12,IF(OR(ISNUMBER(FIND(CODES!$A$10,CM19)),ISNUMBER(FIND(CODES!$A$11,CM19))),CODES!$A$13,IF(OR(CM19&lt;CM$39,ISNUMBER(CM19)=FALSE),CM$40,CM19))))</f>
      </c>
      <c r="CN46" s="7" t="str">
        <f>IF(ISBLANK(CN19),"NO DATA",IF(ISNUMBER(FIND(CODES!$A$12,CN19)),CODES!$A$12,IF(OR(ISNUMBER(FIND(CODES!$A$10,CN19)),ISNUMBER(FIND(CODES!$A$11,CN19))),CODES!$A$13,IF(OR(CN19&lt;CN$39,ISNUMBER(CN19)=FALSE),CN$40,CN19))))</f>
      </c>
      <c r="CO46" s="7" t="str">
        <f>IF(ISBLANK(CO19),"NO DATA",IF(ISNUMBER(FIND(CODES!$A$12,CO19)),CODES!$A$12,IF(OR(ISNUMBER(FIND(CODES!$A$10,CO19)),ISNUMBER(FIND(CODES!$A$11,CO19))),CODES!$A$13,IF(OR(CO19&lt;CO$39,ISNUMBER(CO19)=FALSE),CO$40,CO19))))</f>
      </c>
      <c r="CP46" s="7" t="str">
        <f>IF(ISBLANK(CP19),"NO DATA",IF(ISNUMBER(FIND(CODES!$A$12,CP19)),CODES!$A$12,IF(OR(ISNUMBER(FIND(CODES!$A$10,CP19)),ISNUMBER(FIND(CODES!$A$11,CP19))),CODES!$A$13,IF(OR(CP19&lt;CP$39,ISNUMBER(CP19)=FALSE),CP$40,CP19))))</f>
      </c>
      <c r="CQ46" s="7" t="str">
        <f>IF(ISBLANK(CQ19),"NO DATA",IF(ISNUMBER(FIND(CODES!$A$12,CQ19)),CODES!$A$12,IF(OR(ISNUMBER(FIND(CODES!$A$10,CQ19)),ISNUMBER(FIND(CODES!$A$11,CQ19))),CODES!$A$13,IF(OR(CQ19&lt;CQ$39,ISNUMBER(CQ19)=FALSE),CQ$40,CQ19))))</f>
      </c>
      <c r="CR46" s="7" t="str">
        <f>IF(ISBLANK(CR19),"NO DATA",IF(ISNUMBER(FIND(CODES!$A$12,CR19)),CODES!$A$12,IF(OR(ISNUMBER(FIND(CODES!$A$10,CR19)),ISNUMBER(FIND(CODES!$A$11,CR19))),CODES!$A$13,IF(OR(CR19&lt;CR$39,ISNUMBER(CR19)=FALSE),CR$40,CR19))))</f>
      </c>
      <c r="CS46" s="7" t="str">
        <f>IF(ISBLANK(CS19),"NO DATA",IF(ISNUMBER(FIND(CODES!$A$12,CS19)),CODES!$A$12,IF(OR(ISNUMBER(FIND(CODES!$A$10,CS19)),ISNUMBER(FIND(CODES!$A$11,CS19))),CODES!$A$13,IF(OR(CS19&lt;CS$39,ISNUMBER(CS19)=FALSE),CS$40,CS19))))</f>
      </c>
      <c r="CT46" s="7" t="str">
        <f>IF(ISBLANK(CT19),"NO DATA",IF(ISNUMBER(FIND(CODES!$A$12,CT19)),CODES!$A$12,IF(OR(ISNUMBER(FIND(CODES!$A$10,CT19)),ISNUMBER(FIND(CODES!$A$11,CT19))),CODES!$A$13,IF(OR(CT19&lt;CT$39,ISNUMBER(CT19)=FALSE),CT$40,CT19))))</f>
      </c>
      <c r="CU46" s="7" t="str">
        <f>IF(ISBLANK(CU19),"NO DATA",IF(ISNUMBER(FIND(CODES!$A$12,CU19)),CODES!$A$12,IF(OR(ISNUMBER(FIND(CODES!$A$10,CU19)),ISNUMBER(FIND(CODES!$A$11,CU19))),CODES!$A$13,IF(OR(CU19&lt;CU$39,ISNUMBER(CU19)=FALSE),CU$40,CU19))))</f>
      </c>
      <c r="CV46" s="7" t="str">
        <f>IF(ISBLANK(CV19),"NO DATA",IF(ISNUMBER(FIND(CODES!$A$12,CV19)),CODES!$A$12,IF(OR(ISNUMBER(FIND(CODES!$A$10,CV19)),ISNUMBER(FIND(CODES!$A$11,CV19))),CODES!$A$13,IF(OR(CV19&lt;CV$39,ISNUMBER(CV19)=FALSE),CV$40,CV19))))</f>
      </c>
      <c r="CW46" s="7" t="str">
        <f>IF(ISBLANK(CW19),"NO DATA",IF(ISNUMBER(FIND(CODES!$A$12,CW19)),CODES!$A$12,IF(OR(ISNUMBER(FIND(CODES!$A$10,CW19)),ISNUMBER(FIND(CODES!$A$11,CW19))),CODES!$A$13,IF(OR(CW19&lt;CW$39,ISNUMBER(CW19)=FALSE),CW$40,CW19))))</f>
      </c>
      <c r="CX46" s="7" t="str">
        <f>IF(ISBLANK(CX19),"NO DATA",IF(ISNUMBER(FIND(CODES!$A$12,CX19)),CODES!$A$12,IF(OR(ISNUMBER(FIND(CODES!$A$10,CX19)),ISNUMBER(FIND(CODES!$A$11,CX19))),CODES!$A$13,IF(OR(CX19&lt;CX$39,ISNUMBER(CX19)=FALSE),CX$40,CX19))))</f>
      </c>
      <c r="CY46" s="7">
        <f>IF(ISBLANK(CY19),"NO DATA",IF(ISNUMBER(FIND(CODES!$A$12,CY19)),CODES!$A$12,IF(OR(ISNUMBER(FIND(CODES!$A$10,CY19)),ISNUMBER(FIND(CODES!$A$11,CY19))),CODES!$A$13,IF(OR(CY19&lt;CY$39,ISNUMBER(CY19)=FALSE),CY$40,CY19))))</f>
      </c>
      <c r="CZ46" s="7" t="str">
        <f>IF(ISBLANK(CZ19),"NO DATA",IF(ISNUMBER(FIND(CODES!$A$12,CZ19)),CODES!$A$12,IF(OR(ISNUMBER(FIND(CODES!$A$10,CZ19)),ISNUMBER(FIND(CODES!$A$11,CZ19))),CODES!$A$13,IF(OR(CZ19&lt;CZ$39,ISNUMBER(CZ19)=FALSE),CZ$40,CZ19))))</f>
      </c>
      <c r="DA46" s="7" t="str">
        <f>IF(ISBLANK(DA19),"NO DATA",IF(ISNUMBER(FIND(CODES!$A$12,DA19)),CODES!$A$12,IF(OR(ISNUMBER(FIND(CODES!$A$10,DA19)),ISNUMBER(FIND(CODES!$A$11,DA19))),CODES!$A$13,IF(OR(DA19&lt;DA$39,ISNUMBER(DA19)=FALSE),DA$40,DA19))))</f>
      </c>
      <c r="DB46" s="7" t="str">
        <f>IF(ISBLANK(DB19),"NO DATA",IF(ISNUMBER(FIND(CODES!$A$12,DB19)),CODES!$A$12,IF(OR(ISNUMBER(FIND(CODES!$A$10,DB19)),ISNUMBER(FIND(CODES!$A$11,DB19))),CODES!$A$13,IF(OR(DB19&lt;DB$39,ISNUMBER(DB19)=FALSE),DB$40,DB19))))</f>
      </c>
      <c r="DC46" s="7" t="str">
        <f>IF(ISBLANK(DC19),"NO DATA",IF(ISNUMBER(FIND(CODES!$A$12,DC19)),CODES!$A$12,IF(OR(ISNUMBER(FIND(CODES!$A$10,DC19)),ISNUMBER(FIND(CODES!$A$11,DC19))),CODES!$A$13,IF(OR(DC19&lt;DC$39,ISNUMBER(DC19)=FALSE),DC$40,DC19))))</f>
      </c>
      <c r="DD46" s="7" t="str">
        <f>IF(ISBLANK(DD19),"NO DATA",IF(ISNUMBER(FIND(CODES!$A$12,DD19)),CODES!$A$12,IF(OR(ISNUMBER(FIND(CODES!$A$10,DD19)),ISNUMBER(FIND(CODES!$A$11,DD19))),CODES!$A$13,IF(OR(DD19&lt;DD$39,ISNUMBER(DD19)=FALSE),DD$40,DD19))))</f>
      </c>
      <c r="DE46" s="7" t="str">
        <f>IF(ISBLANK(DE19),"NO DATA",IF(ISNUMBER(FIND(CODES!$A$12,DE19)),CODES!$A$12,IF(OR(ISNUMBER(FIND(CODES!$A$10,DE19)),ISNUMBER(FIND(CODES!$A$11,DE19))),CODES!$A$13,IF(OR(DE19&lt;DE$39,ISNUMBER(DE19)=FALSE),DE$40,DE19))))</f>
      </c>
      <c r="DF46" s="7" t="str">
        <f>IF(ISBLANK(DF19),"NO DATA",IF(ISNUMBER(FIND(CODES!$A$12,DF19)),CODES!$A$12,IF(OR(ISNUMBER(FIND(CODES!$A$10,DF19)),ISNUMBER(FIND(CODES!$A$11,DF19))),CODES!$A$13,IF(OR(DF19&lt;DF$39,ISNUMBER(DF19)=FALSE),DF$40,DF19))))</f>
      </c>
      <c r="DG46" s="7" t="str">
        <f>IF(ISBLANK(DG19),"NO DATA",IF(ISNUMBER(FIND(CODES!$A$12,DG19)),CODES!$A$12,IF(OR(ISNUMBER(FIND(CODES!$A$10,DG19)),ISNUMBER(FIND(CODES!$A$11,DG19))),CODES!$A$13,IF(OR(DG19&lt;DG$39,ISNUMBER(DG19)=FALSE),DG$40,DG19))))</f>
      </c>
      <c r="DH46" s="7" t="str">
        <f>IF(ISBLANK(DH19),"NO DATA",IF(ISNUMBER(FIND(CODES!$A$12,DH19)),CODES!$A$12,IF(OR(ISNUMBER(FIND(CODES!$A$10,DH19)),ISNUMBER(FIND(CODES!$A$11,DH19))),CODES!$A$13,IF(OR(DH19&lt;DH$39,ISNUMBER(DH19)=FALSE),DH$40,DH19))))</f>
      </c>
      <c r="DI46" s="7" t="str">
        <f>IF(ISBLANK(DI19),"NO DATA",IF(ISNUMBER(FIND(CODES!$A$12,DI19)),CODES!$A$12,IF(OR(ISNUMBER(FIND(CODES!$A$10,DI19)),ISNUMBER(FIND(CODES!$A$11,DI19))),CODES!$A$13,IF(OR(DI19&lt;DI$39,ISNUMBER(DI19)=FALSE),DI$40,DI19))))</f>
      </c>
    </row>
    <row r="47" spans="1:209" x14ac:dyDescent="0.25">
      <c r="A47" s="16" t="str">
        <f t="shared" si="8"/>
      </c>
      <c r="B47" s="16" t="str">
        <f t="shared" si="8"/>
      </c>
      <c r="C47" s="7">
        <f>IF(ISBLANK(C20),"NO DATA",IF(ISNUMBER(FIND(CODES!$A$12,C20)),CODES!$A$12,IF(OR(ISNUMBER(FIND(CODES!$A$10,C20)),ISNUMBER(FIND(CODES!$A$11,C20))),CODES!$A$13,IF(OR(C20&lt;C$39,ISNUMBER(C20)=FALSE),C$40,C20))))</f>
      </c>
      <c r="D47" s="7">
        <f>IF(ISBLANK(D20),"NO DATA",IF(ISNUMBER(FIND(CODES!$A$12,D20)),CODES!$A$12,IF(OR(ISNUMBER(FIND(CODES!$A$10,D20)),ISNUMBER(FIND(CODES!$A$11,D20))),CODES!$A$13,IF(OR(D20&lt;D$39,ISNUMBER(D20)=FALSE),D$40,D20))))</f>
      </c>
      <c r="E47" s="7">
        <f>IF(ISBLANK(E20),"NO DATA",IF(ISNUMBER(FIND(CODES!$A$12,E20)),CODES!$A$12,IF(OR(ISNUMBER(FIND(CODES!$A$10,E20)),ISNUMBER(FIND(CODES!$A$11,E20))),CODES!$A$13,IF(OR(E20&lt;E$39,ISNUMBER(E20)=FALSE),E$40,E20))))</f>
      </c>
      <c r="F47" s="7">
        <f>IF(ISBLANK(F20),"NO DATA",IF(ISNUMBER(FIND(CODES!$A$12,F20)),CODES!$A$12,IF(OR(ISNUMBER(FIND(CODES!$A$10,F20)),ISNUMBER(FIND(CODES!$A$11,F20))),CODES!$A$13,IF(OR(F20&lt;F$39,ISNUMBER(F20)=FALSE),F$40,F20))))</f>
      </c>
      <c r="G47" s="7">
        <f>IF(ISBLANK(G20),"NO DATA",IF(ISNUMBER(FIND(CODES!$A$12,G20)),CODES!$A$12,IF(OR(ISNUMBER(FIND(CODES!$A$10,G20)),ISNUMBER(FIND(CODES!$A$11,G20))),CODES!$A$13,IF(OR(G20&lt;G$39,ISNUMBER(G20)=FALSE),G$40,G20))))</f>
      </c>
      <c r="H47" s="7">
        <f>IF(ISBLANK(H20),"NO DATA",IF(ISNUMBER(FIND(CODES!$A$12,H20)),CODES!$A$12,IF(OR(ISNUMBER(FIND(CODES!$A$10,H20)),ISNUMBER(FIND(CODES!$A$11,H20))),CODES!$A$13,IF(OR(H20&lt;H$39,ISNUMBER(H20)=FALSE),H$40,H20))))</f>
      </c>
      <c r="I47" s="7">
        <f>IF(ISBLANK(I20),"NO DATA",IF(ISNUMBER(FIND(CODES!$A$12,I20)),CODES!$A$12,IF(OR(ISNUMBER(FIND(CODES!$A$10,I20)),ISNUMBER(FIND(CODES!$A$11,I20))),CODES!$A$13,IF(OR(I20&lt;I$39,ISNUMBER(I20)=FALSE),I$40,I20))))</f>
      </c>
      <c r="J47" s="7">
        <f>IF(ISBLANK(J20),"NO DATA",IF(ISNUMBER(FIND(CODES!$A$12,J20)),CODES!$A$12,IF(OR(ISNUMBER(FIND(CODES!$A$10,J20)),ISNUMBER(FIND(CODES!$A$11,J20))),CODES!$A$13,IF(OR(J20&lt;J$39,ISNUMBER(J20)=FALSE),J$40,J20))))</f>
      </c>
      <c r="K47" s="7">
        <f>IF(ISBLANK(K20),"NO DATA",IF(ISNUMBER(FIND(CODES!$A$12,K20)),CODES!$A$12,IF(OR(ISNUMBER(FIND(CODES!$A$10,K20)),ISNUMBER(FIND(CODES!$A$11,K20))),CODES!$A$13,IF(OR(K20&lt;K$39,ISNUMBER(K20)=FALSE),K$40,K20))))</f>
      </c>
      <c r="L47" s="7">
        <f>IF(ISBLANK(L20),"NO DATA",IF(ISNUMBER(FIND(CODES!$A$12,L20)),CODES!$A$12,IF(OR(ISNUMBER(FIND(CODES!$A$10,L20)),ISNUMBER(FIND(CODES!$A$11,L20))),CODES!$A$13,IF(OR(L20&lt;L$39,ISNUMBER(L20)=FALSE),L$40,L20))))</f>
      </c>
      <c r="M47" s="7">
        <f>IF(ISBLANK(M20),"NO DATA",IF(ISNUMBER(FIND(CODES!$A$12,M20)),CODES!$A$12,IF(OR(ISNUMBER(FIND(CODES!$A$10,M20)),ISNUMBER(FIND(CODES!$A$11,M20))),CODES!$A$13,IF(OR(M20&lt;M$39,ISNUMBER(M20)=FALSE),M$40,M20))))</f>
      </c>
      <c r="N47" s="7" t="str">
        <f>IF(ISBLANK(N20),"NO DATA",IF(ISNUMBER(FIND(CODES!$A$12,N20)),CODES!$A$12,IF(OR(ISNUMBER(FIND(CODES!$A$10,N20)),ISNUMBER(FIND(CODES!$A$11,N20))),CODES!$A$13,IF(OR(N20&lt;N$39,ISNUMBER(N20)=FALSE),N$40,N20))))</f>
      </c>
      <c r="O47" s="7" t="str">
        <f>IF(ISBLANK(O20),"NO DATA",IF(ISNUMBER(FIND(CODES!$A$12,O20)),CODES!$A$12,IF(OR(ISNUMBER(FIND(CODES!$A$10,O20)),ISNUMBER(FIND(CODES!$A$11,O20))),CODES!$A$13,IF(OR(O20&lt;O$39,ISNUMBER(O20)=FALSE),O$40,O20))))</f>
      </c>
      <c r="P47" s="7">
        <f>IF(ISBLANK(P20),"NO DATA",IF(ISNUMBER(FIND(CODES!$A$12,P20)),CODES!$A$12,IF(OR(ISNUMBER(FIND(CODES!$A$10,P20)),ISNUMBER(FIND(CODES!$A$11,P20))),CODES!$A$13,IF(OR(P20&lt;P$39,ISNUMBER(P20)=FALSE),P$40,P20))))</f>
      </c>
      <c r="Q47" s="7">
        <f>IF(ISBLANK(Q20),"NO DATA",IF(ISNUMBER(FIND(CODES!$A$12,Q20)),CODES!$A$12,IF(OR(ISNUMBER(FIND(CODES!$A$10,Q20)),ISNUMBER(FIND(CODES!$A$11,Q20))),CODES!$A$13,IF(OR(Q20&lt;Q$39,ISNUMBER(Q20)=FALSE),Q$40,Q20))))</f>
      </c>
      <c r="R47" s="7">
        <f>IF(ISBLANK(R20),"NO DATA",IF(ISNUMBER(FIND(CODES!$A$12,R20)),CODES!$A$12,IF(OR(ISNUMBER(FIND(CODES!$A$10,R20)),ISNUMBER(FIND(CODES!$A$11,R20))),CODES!$A$13,IF(OR(R20&lt;R$39,ISNUMBER(R20)=FALSE),R$40,R20))))</f>
      </c>
      <c r="S47" s="7">
        <f>IF(ISBLANK(S20),"NO DATA",IF(ISNUMBER(FIND(CODES!$A$12,S20)),CODES!$A$12,IF(OR(ISNUMBER(FIND(CODES!$A$10,S20)),ISNUMBER(FIND(CODES!$A$11,S20))),CODES!$A$13,IF(OR(S20&lt;S$39,ISNUMBER(S20)=FALSE),S$40,S20))))</f>
      </c>
      <c r="T47" s="7">
        <f>IF(ISBLANK(T20),"NO DATA",IF(ISNUMBER(FIND(CODES!$A$12,T20)),CODES!$A$12,IF(OR(ISNUMBER(FIND(CODES!$A$10,T20)),ISNUMBER(FIND(CODES!$A$11,T20))),CODES!$A$13,IF(OR(T20&lt;T$39,ISNUMBER(T20)=FALSE),T$40,T20))))</f>
      </c>
      <c r="U47" s="7">
        <f>IF(ISBLANK(U20),"NO DATA",IF(ISNUMBER(FIND(CODES!$A$12,U20)),CODES!$A$12,IF(OR(ISNUMBER(FIND(CODES!$A$10,U20)),ISNUMBER(FIND(CODES!$A$11,U20))),CODES!$A$13,IF(OR(U20&lt;U$39,ISNUMBER(U20)=FALSE),U$40,U20))))</f>
      </c>
      <c r="V47" s="7">
        <f>IF(ISBLANK(V20),"NO DATA",IF(ISNUMBER(FIND(CODES!$A$12,V20)),CODES!$A$12,IF(OR(ISNUMBER(FIND(CODES!$A$10,V20)),ISNUMBER(FIND(CODES!$A$11,V20))),CODES!$A$13,IF(OR(V20&lt;V$39,ISNUMBER(V20)=FALSE),V$40,V20))))</f>
      </c>
      <c r="W47" s="7">
        <f>IF(ISBLANK(W20),"NO DATA",IF(ISNUMBER(FIND(CODES!$A$12,W20)),CODES!$A$12,IF(OR(ISNUMBER(FIND(CODES!$A$10,W20)),ISNUMBER(FIND(CODES!$A$11,W20))),CODES!$A$13,IF(OR(W20&lt;W$39,ISNUMBER(W20)=FALSE),W$40,W20))))</f>
      </c>
      <c r="X47" s="7">
        <f>IF(ISBLANK(X20),"NO DATA",IF(ISNUMBER(FIND(CODES!$A$12,X20)),CODES!$A$12,IF(OR(ISNUMBER(FIND(CODES!$A$10,X20)),ISNUMBER(FIND(CODES!$A$11,X20))),CODES!$A$13,IF(OR(X20&lt;X$39,ISNUMBER(X20)=FALSE),X$40,X20))))</f>
      </c>
      <c r="Y47" s="7">
        <f>IF(ISBLANK(Y20),"NO DATA",IF(ISNUMBER(FIND(CODES!$A$12,Y20)),CODES!$A$12,IF(OR(ISNUMBER(FIND(CODES!$A$10,Y20)),ISNUMBER(FIND(CODES!$A$11,Y20))),CODES!$A$13,IF(OR(Y20&lt;Y$39,ISNUMBER(Y20)=FALSE),Y$40,Y20))))</f>
      </c>
      <c r="Z47" s="7">
        <f>IF(ISBLANK(Z20),"NO DATA",IF(ISNUMBER(FIND(CODES!$A$12,Z20)),CODES!$A$12,IF(OR(ISNUMBER(FIND(CODES!$A$10,Z20)),ISNUMBER(FIND(CODES!$A$11,Z20))),CODES!$A$13,IF(OR(Z20&lt;Z$39,ISNUMBER(Z20)=FALSE),Z$40,Z20))))</f>
      </c>
      <c r="AA47" s="7">
        <f>IF(ISBLANK(AA20),"NO DATA",IF(ISNUMBER(FIND(CODES!$A$12,AA20)),CODES!$A$12,IF(OR(ISNUMBER(FIND(CODES!$A$10,AA20)),ISNUMBER(FIND(CODES!$A$11,AA20))),CODES!$A$13,IF(OR(AA20&lt;AA$39,ISNUMBER(AA20)=FALSE),AA$40,AA20))))</f>
      </c>
      <c r="AB47" s="7">
        <f>IF(ISBLANK(AB20),"NO DATA",IF(ISNUMBER(FIND(CODES!$A$12,AB20)),CODES!$A$12,IF(OR(ISNUMBER(FIND(CODES!$A$10,AB20)),ISNUMBER(FIND(CODES!$A$11,AB20))),CODES!$A$13,IF(OR(AB20&lt;AB$39,ISNUMBER(AB20)=FALSE),AB$40,AB20))))</f>
      </c>
      <c r="AC47" s="7">
        <f>IF(ISBLANK(AC20),"NO DATA",IF(ISNUMBER(FIND(CODES!$A$12,AC20)),CODES!$A$12,IF(OR(ISNUMBER(FIND(CODES!$A$10,AC20)),ISNUMBER(FIND(CODES!$A$11,AC20))),CODES!$A$13,IF(OR(AC20&lt;AC$39,ISNUMBER(AC20)=FALSE),AC$40,AC20))))</f>
      </c>
      <c r="AD47" s="7">
        <f>IF(ISBLANK(AD20),"NO DATA",IF(ISNUMBER(FIND(CODES!$A$12,AD20)),CODES!$A$12,IF(OR(ISNUMBER(FIND(CODES!$A$10,AD20)),ISNUMBER(FIND(CODES!$A$11,AD20))),CODES!$A$13,IF(OR(AD20&lt;AD$39,ISNUMBER(AD20)=FALSE),AD$40,AD20))))</f>
      </c>
      <c r="AE47" s="7">
        <f>IF(ISBLANK(AE20),"NO DATA",IF(ISNUMBER(FIND(CODES!$A$12,AE20)),CODES!$A$12,IF(OR(ISNUMBER(FIND(CODES!$A$10,AE20)),ISNUMBER(FIND(CODES!$A$11,AE20))),CODES!$A$13,IF(OR(AE20&lt;AE$39,ISNUMBER(AE20)=FALSE),AE$40,AE20))))</f>
      </c>
      <c r="AF47" s="7">
        <f>IF(ISBLANK(AF20),"NO DATA",IF(ISNUMBER(FIND(CODES!$A$12,AF20)),CODES!$A$12,IF(OR(ISNUMBER(FIND(CODES!$A$10,AF20)),ISNUMBER(FIND(CODES!$A$11,AF20))),CODES!$A$13,IF(OR(AF20&lt;AF$39,ISNUMBER(AF20)=FALSE),AF$40,AF20))))</f>
      </c>
      <c r="AG47" s="7">
        <f>IF(ISBLANK(AG20),"NO DATA",IF(ISNUMBER(FIND(CODES!$A$12,AG20)),CODES!$A$12,IF(OR(ISNUMBER(FIND(CODES!$A$10,AG20)),ISNUMBER(FIND(CODES!$A$11,AG20))),CODES!$A$13,IF(OR(AG20&lt;AG$39,ISNUMBER(AG20)=FALSE),AG$40,AG20))))</f>
      </c>
      <c r="AH47" s="7">
        <f>IF(ISBLANK(AH20),"NO DATA",IF(ISNUMBER(FIND(CODES!$A$12,AH20)),CODES!$A$12,IF(OR(ISNUMBER(FIND(CODES!$A$10,AH20)),ISNUMBER(FIND(CODES!$A$11,AH20))),CODES!$A$13,IF(OR(AH20&lt;AH$39,ISNUMBER(AH20)=FALSE),AH$40,AH20))))</f>
      </c>
      <c r="AI47" s="7">
        <f>IF(ISBLANK(AI20),"NO DATA",IF(ISNUMBER(FIND(CODES!$A$12,AI20)),CODES!$A$12,IF(OR(ISNUMBER(FIND(CODES!$A$10,AI20)),ISNUMBER(FIND(CODES!$A$11,AI20))),CODES!$A$13,IF(OR(AI20&lt;AI$39,ISNUMBER(AI20)=FALSE),AI$40,AI20))))</f>
      </c>
      <c r="AJ47" s="7">
        <f>IF(ISBLANK(AJ20),"NO DATA",IF(ISNUMBER(FIND(CODES!$A$12,AJ20)),CODES!$A$12,IF(OR(ISNUMBER(FIND(CODES!$A$10,AJ20)),ISNUMBER(FIND(CODES!$A$11,AJ20))),CODES!$A$13,IF(OR(AJ20&lt;AJ$39,ISNUMBER(AJ20)=FALSE),AJ$40,AJ20))))</f>
      </c>
      <c r="AK47" s="7">
        <f>IF(ISBLANK(AK20),"NO DATA",IF(ISNUMBER(FIND(CODES!$A$12,AK20)),CODES!$A$12,IF(OR(ISNUMBER(FIND(CODES!$A$10,AK20)),ISNUMBER(FIND(CODES!$A$11,AK20))),CODES!$A$13,IF(OR(AK20&lt;AK$39,ISNUMBER(AK20)=FALSE),AK$40,AK20))))</f>
      </c>
      <c r="AL47" s="7">
        <f>IF(ISBLANK(AL20),"NO DATA",IF(ISNUMBER(FIND(CODES!$A$12,AL20)),CODES!$A$12,IF(OR(ISNUMBER(FIND(CODES!$A$10,AL20)),ISNUMBER(FIND(CODES!$A$11,AL20))),CODES!$A$13,IF(OR(AL20&lt;AL$39,ISNUMBER(AL20)=FALSE),AL$40,AL20))))</f>
      </c>
      <c r="AM47" s="7">
        <f>IF(ISBLANK(AM20),"NO DATA",IF(ISNUMBER(FIND(CODES!$A$12,AM20)),CODES!$A$12,IF(OR(ISNUMBER(FIND(CODES!$A$10,AM20)),ISNUMBER(FIND(CODES!$A$11,AM20))),CODES!$A$13,IF(OR(AM20&lt;AM$39,ISNUMBER(AM20)=FALSE),AM$40,AM20))))</f>
      </c>
      <c r="AN47" s="7">
        <f>IF(ISBLANK(AN20),"NO DATA",IF(ISNUMBER(FIND(CODES!$A$12,AN20)),CODES!$A$12,IF(OR(ISNUMBER(FIND(CODES!$A$10,AN20)),ISNUMBER(FIND(CODES!$A$11,AN20))),CODES!$A$13,IF(OR(AN20&lt;AN$39,ISNUMBER(AN20)=FALSE),AN$40,AN20))))</f>
      </c>
      <c r="AO47" s="7">
        <f>IF(ISBLANK(AO20),"NO DATA",IF(ISNUMBER(FIND(CODES!$A$12,AO20)),CODES!$A$12,IF(OR(ISNUMBER(FIND(CODES!$A$10,AO20)),ISNUMBER(FIND(CODES!$A$11,AO20))),CODES!$A$13,IF(OR(AO20&lt;AO$39,ISNUMBER(AO20)=FALSE),AO$40,AO20))))</f>
      </c>
      <c r="AP47" s="7">
        <f>IF(ISBLANK(AP20),"NO DATA",IF(ISNUMBER(FIND(CODES!$A$12,AP20)),CODES!$A$12,IF(OR(ISNUMBER(FIND(CODES!$A$10,AP20)),ISNUMBER(FIND(CODES!$A$11,AP20))),CODES!$A$13,IF(OR(AP20&lt;AP$39,ISNUMBER(AP20)=FALSE),AP$40,AP20))))</f>
      </c>
      <c r="AQ47" s="7">
        <f>IF(ISBLANK(AQ20),"NO DATA",IF(ISNUMBER(FIND(CODES!$A$12,AQ20)),CODES!$A$12,IF(OR(ISNUMBER(FIND(CODES!$A$10,AQ20)),ISNUMBER(FIND(CODES!$A$11,AQ20))),CODES!$A$13,IF(OR(AQ20&lt;AQ$39,ISNUMBER(AQ20)=FALSE),AQ$40,AQ20))))</f>
      </c>
      <c r="AR47" s="7">
        <f>IF(ISBLANK(AR20),"NO DATA",IF(ISNUMBER(FIND(CODES!$A$12,AR20)),CODES!$A$12,IF(OR(ISNUMBER(FIND(CODES!$A$10,AR20)),ISNUMBER(FIND(CODES!$A$11,AR20))),CODES!$A$13,IF(OR(AR20&lt;AR$39,ISNUMBER(AR20)=FALSE),AR$40,AR20))))</f>
      </c>
      <c r="AS47" s="7">
        <f>IF(ISBLANK(AS20),"NO DATA",IF(ISNUMBER(FIND(CODES!$A$12,AS20)),CODES!$A$12,IF(OR(ISNUMBER(FIND(CODES!$A$10,AS20)),ISNUMBER(FIND(CODES!$A$11,AS20))),CODES!$A$13,IF(OR(AS20&lt;AS$39,ISNUMBER(AS20)=FALSE),AS$40,AS20))))</f>
      </c>
      <c r="AT47" s="7">
        <f>IF(ISBLANK(AT20),"NO DATA",IF(ISNUMBER(FIND(CODES!$A$12,AT20)),CODES!$A$12,IF(OR(ISNUMBER(FIND(CODES!$A$10,AT20)),ISNUMBER(FIND(CODES!$A$11,AT20))),CODES!$A$13,IF(OR(AT20&lt;AT$39,ISNUMBER(AT20)=FALSE),AT$40,AT20))))</f>
      </c>
      <c r="AU47" s="7">
        <f>IF(ISBLANK(AU20),"NO DATA",IF(ISNUMBER(FIND(CODES!$A$12,AU20)),CODES!$A$12,IF(OR(ISNUMBER(FIND(CODES!$A$10,AU20)),ISNUMBER(FIND(CODES!$A$11,AU20))),CODES!$A$13,IF(OR(AU20&lt;AU$39,ISNUMBER(AU20)=FALSE),AU$40,AU20))))</f>
      </c>
      <c r="AV47" s="7" t="str">
        <f>IF(ISBLANK(AV20),"NO DATA",IF(ISNUMBER(FIND(CODES!$A$12,AV20)),CODES!$A$12,IF(OR(ISNUMBER(FIND(CODES!$A$10,AV20)),ISNUMBER(FIND(CODES!$A$11,AV20))),CODES!$A$13,IF(OR(AV20&lt;AV$39,ISNUMBER(AV20)=FALSE),AV$40,AV20))))</f>
      </c>
      <c r="AW47" s="7" t="str">
        <f>IF(ISBLANK(AW20),"NO DATA",IF(ISNUMBER(FIND(CODES!$A$12,AW20)),CODES!$A$12,IF(OR(ISNUMBER(FIND(CODES!$A$10,AW20)),ISNUMBER(FIND(CODES!$A$11,AW20))),CODES!$A$13,IF(OR(AW20&lt;AW$39,ISNUMBER(AW20)=FALSE),AW$40,AW20))))</f>
      </c>
      <c r="AX47" s="7">
        <f>IF(ISBLANK(AX20),"NO DATA",IF(ISNUMBER(FIND(CODES!$A$12,AX20)),CODES!$A$12,IF(OR(ISNUMBER(FIND(CODES!$A$10,AX20)),ISNUMBER(FIND(CODES!$A$11,AX20))),CODES!$A$13,IF(OR(AX20&lt;AX$39,ISNUMBER(AX20)=FALSE),AX$40,AX20))))</f>
      </c>
      <c r="AY47" s="7">
        <f>IF(ISBLANK(AY20),"NO DATA",IF(ISNUMBER(FIND(CODES!$A$12,AY20)),CODES!$A$12,IF(OR(ISNUMBER(FIND(CODES!$A$10,AY20)),ISNUMBER(FIND(CODES!$A$11,AY20))),CODES!$A$13,IF(OR(AY20&lt;AY$39,ISNUMBER(AY20)=FALSE),AY$40,AY20))))</f>
      </c>
      <c r="AZ47" s="7">
        <f>IF(ISBLANK(AZ20),"NO DATA",IF(ISNUMBER(FIND(CODES!$A$12,AZ20)),CODES!$A$12,IF(OR(ISNUMBER(FIND(CODES!$A$10,AZ20)),ISNUMBER(FIND(CODES!$A$11,AZ20))),CODES!$A$13,IF(OR(AZ20&lt;AZ$39,ISNUMBER(AZ20)=FALSE),AZ$40,AZ20))))</f>
      </c>
      <c r="BA47" s="7">
        <f>IF(ISBLANK(BA20),"NO DATA",IF(ISNUMBER(FIND(CODES!$A$12,BA20)),CODES!$A$12,IF(OR(ISNUMBER(FIND(CODES!$A$10,BA20)),ISNUMBER(FIND(CODES!$A$11,BA20))),CODES!$A$13,IF(OR(BA20&lt;BA$39,ISNUMBER(BA20)=FALSE),BA$40,BA20))))</f>
      </c>
      <c r="BB47" s="7">
        <f>IF(ISBLANK(BB20),"NO DATA",IF(ISNUMBER(FIND(CODES!$A$12,BB20)),CODES!$A$12,IF(OR(ISNUMBER(FIND(CODES!$A$10,BB20)),ISNUMBER(FIND(CODES!$A$11,BB20))),CODES!$A$13,IF(OR(BB20&lt;BB$39,ISNUMBER(BB20)=FALSE),BB$40,BB20))))</f>
      </c>
      <c r="BC47" s="7">
        <f>IF(ISBLANK(BC20),"NO DATA",IF(ISNUMBER(FIND(CODES!$A$12,BC20)),CODES!$A$12,IF(OR(ISNUMBER(FIND(CODES!$A$10,BC20)),ISNUMBER(FIND(CODES!$A$11,BC20))),CODES!$A$13,IF(OR(BC20&lt;BC$39,ISNUMBER(BC20)=FALSE),BC$40,BC20))))</f>
      </c>
      <c r="BD47" s="7">
        <f>IF(ISBLANK(BD20),"NO DATA",IF(ISNUMBER(FIND(CODES!$A$12,BD20)),CODES!$A$12,IF(OR(ISNUMBER(FIND(CODES!$A$10,BD20)),ISNUMBER(FIND(CODES!$A$11,BD20))),CODES!$A$13,IF(OR(BD20&lt;BD$39,ISNUMBER(BD20)=FALSE),BD$40,BD20))))</f>
      </c>
      <c r="BE47" s="7">
        <f>IF(ISBLANK(BE20),"NO DATA",IF(ISNUMBER(FIND(CODES!$A$12,BE20)),CODES!$A$12,IF(OR(ISNUMBER(FIND(CODES!$A$10,BE20)),ISNUMBER(FIND(CODES!$A$11,BE20))),CODES!$A$13,IF(OR(BE20&lt;BE$39,ISNUMBER(BE20)=FALSE),BE$40,BE20))))</f>
      </c>
      <c r="BF47" s="7">
        <f>IF(ISBLANK(BF20),"NO DATA",IF(ISNUMBER(FIND(CODES!$A$12,BF20)),CODES!$A$12,IF(OR(ISNUMBER(FIND(CODES!$A$10,BF20)),ISNUMBER(FIND(CODES!$A$11,BF20))),CODES!$A$13,IF(OR(BF20&lt;BF$39,ISNUMBER(BF20)=FALSE),BF$40,BF20))))</f>
      </c>
      <c r="BG47" s="7">
        <f>IF(ISBLANK(BG20),"NO DATA",IF(ISNUMBER(FIND(CODES!$A$12,BG20)),CODES!$A$12,IF(OR(ISNUMBER(FIND(CODES!$A$10,BG20)),ISNUMBER(FIND(CODES!$A$11,BG20))),CODES!$A$13,IF(OR(BG20&lt;BG$39,ISNUMBER(BG20)=FALSE),BG$40,BG20))))</f>
      </c>
      <c r="BH47" s="7">
        <f>IF(ISBLANK(BH20),"NO DATA",IF(ISNUMBER(FIND(CODES!$A$12,BH20)),CODES!$A$12,IF(OR(ISNUMBER(FIND(CODES!$A$10,BH20)),ISNUMBER(FIND(CODES!$A$11,BH20))),CODES!$A$13,IF(OR(BH20&lt;BH$39,ISNUMBER(BH20)=FALSE),BH$40,BH20))))</f>
      </c>
      <c r="BI47" s="7">
        <f>IF(ISBLANK(BI20),"NO DATA",IF(ISNUMBER(FIND(CODES!$A$12,BI20)),CODES!$A$12,IF(OR(ISNUMBER(FIND(CODES!$A$10,BI20)),ISNUMBER(FIND(CODES!$A$11,BI20))),CODES!$A$13,IF(OR(BI20&lt;BI$39,ISNUMBER(BI20)=FALSE),BI$40,BI20))))</f>
      </c>
      <c r="BJ47" s="7">
        <f>IF(ISBLANK(BJ20),"NO DATA",IF(ISNUMBER(FIND(CODES!$A$12,BJ20)),CODES!$A$12,IF(OR(ISNUMBER(FIND(CODES!$A$10,BJ20)),ISNUMBER(FIND(CODES!$A$11,BJ20))),CODES!$A$13,IF(OR(BJ20&lt;BJ$39,ISNUMBER(BJ20)=FALSE),BJ$40,BJ20))))</f>
      </c>
      <c r="BK47" s="7">
        <f>IF(ISBLANK(BK20),"NO DATA",IF(ISNUMBER(FIND(CODES!$A$12,BK20)),CODES!$A$12,IF(OR(ISNUMBER(FIND(CODES!$A$10,BK20)),ISNUMBER(FIND(CODES!$A$11,BK20))),CODES!$A$13,IF(OR(BK20&lt;BK$39,ISNUMBER(BK20)=FALSE),BK$40,BK20))))</f>
      </c>
      <c r="BL47" s="7">
        <f>IF(ISBLANK(BL20),"NO DATA",IF(ISNUMBER(FIND(CODES!$A$12,BL20)),CODES!$A$12,IF(OR(ISNUMBER(FIND(CODES!$A$10,BL20)),ISNUMBER(FIND(CODES!$A$11,BL20))),CODES!$A$13,IF(OR(BL20&lt;BL$39,ISNUMBER(BL20)=FALSE),BL$40,BL20))))</f>
      </c>
      <c r="BM47" s="7">
        <f>IF(ISBLANK(BM20),"NO DATA",IF(ISNUMBER(FIND(CODES!$A$12,BM20)),CODES!$A$12,IF(OR(ISNUMBER(FIND(CODES!$A$10,BM20)),ISNUMBER(FIND(CODES!$A$11,BM20))),CODES!$A$13,IF(OR(BM20&lt;BM$39,ISNUMBER(BM20)=FALSE),BM$40,BM20))))</f>
      </c>
      <c r="BN47" s="7" t="str">
        <f>IF(ISBLANK(BN20),"NO DATA",IF(ISNUMBER(FIND(CODES!$A$12,BN20)),CODES!$A$12,IF(OR(ISNUMBER(FIND(CODES!$A$10,BN20)),ISNUMBER(FIND(CODES!$A$11,BN20))),CODES!$A$13,IF(OR(BN20&lt;BN$39,ISNUMBER(BN20)=FALSE),BN$40,BN20))))</f>
      </c>
      <c r="BO47" s="7" t="str">
        <f>IF(ISBLANK(BO20),"NO DATA",IF(ISNUMBER(FIND(CODES!$A$12,BO20)),CODES!$A$12,IF(OR(ISNUMBER(FIND(CODES!$A$10,BO20)),ISNUMBER(FIND(CODES!$A$11,BO20))),CODES!$A$13,IF(OR(BO20&lt;BO$39,ISNUMBER(BO20)=FALSE),BO$40,BO20))))</f>
      </c>
      <c r="BP47" s="7">
        <f>IF(ISBLANK(BP20),"NO DATA",IF(ISNUMBER(FIND(CODES!$A$12,BP20)),CODES!$A$12,IF(OR(ISNUMBER(FIND(CODES!$A$10,BP20)),ISNUMBER(FIND(CODES!$A$11,BP20))),CODES!$A$13,IF(OR(BP20&lt;BP$39,ISNUMBER(BP20)=FALSE),BP$40,BP20))))</f>
      </c>
      <c r="BQ47" s="7">
        <f>IF(ISBLANK(BQ20),"NO DATA",IF(ISNUMBER(FIND(CODES!$A$12,BQ20)),CODES!$A$12,IF(OR(ISNUMBER(FIND(CODES!$A$10,BQ20)),ISNUMBER(FIND(CODES!$A$11,BQ20))),CODES!$A$13,IF(OR(BQ20&lt;BQ$39,ISNUMBER(BQ20)=FALSE),BQ$40,BQ20))))</f>
      </c>
      <c r="BR47" s="7">
        <f>IF(ISBLANK(BR20),"NO DATA",IF(ISNUMBER(FIND(CODES!$A$12,BR20)),CODES!$A$12,IF(OR(ISNUMBER(FIND(CODES!$A$10,BR20)),ISNUMBER(FIND(CODES!$A$11,BR20))),CODES!$A$13,IF(OR(BR20&lt;BR$39,ISNUMBER(BR20)=FALSE),BR$40,BR20))))</f>
      </c>
      <c r="BS47" s="7">
        <f>IF(ISBLANK(BS20),"NO DATA",IF(ISNUMBER(FIND(CODES!$A$12,BS20)),CODES!$A$12,IF(OR(ISNUMBER(FIND(CODES!$A$10,BS20)),ISNUMBER(FIND(CODES!$A$11,BS20))),CODES!$A$13,IF(OR(BS20&lt;BS$39,ISNUMBER(BS20)=FALSE),BS$40,BS20))))</f>
      </c>
      <c r="BT47" s="7">
        <f>IF(ISBLANK(BT20),"NO DATA",IF(ISNUMBER(FIND(CODES!$A$12,BT20)),CODES!$A$12,IF(OR(ISNUMBER(FIND(CODES!$A$10,BT20)),ISNUMBER(FIND(CODES!$A$11,BT20))),CODES!$A$13,IF(OR(BT20&lt;BT$39,ISNUMBER(BT20)=FALSE),BT$40,BT20))))</f>
      </c>
      <c r="BU47" s="7">
        <f>IF(ISBLANK(BU20),"NO DATA",IF(ISNUMBER(FIND(CODES!$A$12,BU20)),CODES!$A$12,IF(OR(ISNUMBER(FIND(CODES!$A$10,BU20)),ISNUMBER(FIND(CODES!$A$11,BU20))),CODES!$A$13,IF(OR(BU20&lt;BU$39,ISNUMBER(BU20)=FALSE),BU$40,BU20))))</f>
      </c>
      <c r="BV47" s="7">
        <f>IF(ISBLANK(BV20),"NO DATA",IF(ISNUMBER(FIND(CODES!$A$12,BV20)),CODES!$A$12,IF(OR(ISNUMBER(FIND(CODES!$A$10,BV20)),ISNUMBER(FIND(CODES!$A$11,BV20))),CODES!$A$13,IF(OR(BV20&lt;BV$39,ISNUMBER(BV20)=FALSE),BV$40,BV20))))</f>
      </c>
      <c r="BW47" s="7" t="str">
        <f>IF(ISBLANK(BW20),"NO DATA",IF(ISNUMBER(FIND(CODES!$A$12,BW20)),CODES!$A$12,IF(OR(ISNUMBER(FIND(CODES!$A$10,BW20)),ISNUMBER(FIND(CODES!$A$11,BW20))),CODES!$A$13,IF(OR(BW20&lt;BW$39,ISNUMBER(BW20)=FALSE),BW$40,BW20))))</f>
      </c>
      <c r="BX47" s="7" t="str">
        <f>IF(ISBLANK(BX20),"NO DATA",IF(ISNUMBER(FIND(CODES!$A$12,BX20)),CODES!$A$12,IF(OR(ISNUMBER(FIND(CODES!$A$10,BX20)),ISNUMBER(FIND(CODES!$A$11,BX20))),CODES!$A$13,IF(OR(BX20&lt;BX$39,ISNUMBER(BX20)=FALSE),BX$40,BX20))))</f>
      </c>
      <c r="BY47" s="7">
        <f>IF(ISBLANK(BY20),"NO DATA",IF(ISNUMBER(FIND(CODES!$A$12,BY20)),CODES!$A$12,IF(OR(ISNUMBER(FIND(CODES!$A$10,BY20)),ISNUMBER(FIND(CODES!$A$11,BY20))),CODES!$A$13,IF(OR(BY20&lt;BY$39,ISNUMBER(BY20)=FALSE),BY$40,BY20))))</f>
      </c>
      <c r="BZ47" s="7">
        <f>IF(ISBLANK(BZ20),"NO DATA",IF(ISNUMBER(FIND(CODES!$A$12,BZ20)),CODES!$A$12,IF(OR(ISNUMBER(FIND(CODES!$A$10,BZ20)),ISNUMBER(FIND(CODES!$A$11,BZ20))),CODES!$A$13,IF(OR(BZ20&lt;BZ$39,ISNUMBER(BZ20)=FALSE),BZ$40,BZ20))))</f>
      </c>
      <c r="CA47" s="7">
        <f>IF(ISBLANK(CA20),"NO DATA",IF(ISNUMBER(FIND(CODES!$A$12,CA20)),CODES!$A$12,IF(OR(ISNUMBER(FIND(CODES!$A$10,CA20)),ISNUMBER(FIND(CODES!$A$11,CA20))),CODES!$A$13,IF(OR(CA20&lt;CA$39,ISNUMBER(CA20)=FALSE),CA$40,CA20))))</f>
      </c>
      <c r="CB47" s="7">
        <f>IF(ISBLANK(CB20),"NO DATA",IF(ISNUMBER(FIND(CODES!$A$12,CB20)),CODES!$A$12,IF(OR(ISNUMBER(FIND(CODES!$A$10,CB20)),ISNUMBER(FIND(CODES!$A$11,CB20))),CODES!$A$13,IF(OR(CB20&lt;CB$39,ISNUMBER(CB20)=FALSE),CB$40,CB20))))</f>
      </c>
      <c r="CC47" s="7">
        <f>IF(ISBLANK(CC20),"NO DATA",IF(ISNUMBER(FIND(CODES!$A$12,CC20)),CODES!$A$12,IF(OR(ISNUMBER(FIND(CODES!$A$10,CC20)),ISNUMBER(FIND(CODES!$A$11,CC20))),CODES!$A$13,IF(OR(CC20&lt;CC$39,ISNUMBER(CC20)=FALSE),CC$40,CC20))))</f>
      </c>
      <c r="CD47" s="7">
        <f>IF(ISBLANK(CD20),"NO DATA",IF(ISNUMBER(FIND(CODES!$A$12,CD20)),CODES!$A$12,IF(OR(ISNUMBER(FIND(CODES!$A$10,CD20)),ISNUMBER(FIND(CODES!$A$11,CD20))),CODES!$A$13,IF(OR(CD20&lt;CD$39,ISNUMBER(CD20)=FALSE),CD$40,CD20))))</f>
      </c>
      <c r="CE47" s="7">
        <f>IF(ISBLANK(CE20),"NO DATA",IF(ISNUMBER(FIND(CODES!$A$12,CE20)),CODES!$A$12,IF(OR(ISNUMBER(FIND(CODES!$A$10,CE20)),ISNUMBER(FIND(CODES!$A$11,CE20))),CODES!$A$13,IF(OR(CE20&lt;CE$39,ISNUMBER(CE20)=FALSE),CE$40,CE20))))</f>
      </c>
      <c r="CF47" s="7">
        <f>IF(ISBLANK(CF20),"NO DATA",IF(ISNUMBER(FIND(CODES!$A$12,CF20)),CODES!$A$12,IF(OR(ISNUMBER(FIND(CODES!$A$10,CF20)),ISNUMBER(FIND(CODES!$A$11,CF20))),CODES!$A$13,IF(OR(CF20&lt;CF$39,ISNUMBER(CF20)=FALSE),CF$40,CF20))))</f>
      </c>
      <c r="CG47" s="7">
        <f>IF(ISBLANK(CG20),"NO DATA",IF(ISNUMBER(FIND(CODES!$A$12,CG20)),CODES!$A$12,IF(OR(ISNUMBER(FIND(CODES!$A$10,CG20)),ISNUMBER(FIND(CODES!$A$11,CG20))),CODES!$A$13,IF(OR(CG20&lt;CG$39,ISNUMBER(CG20)=FALSE),CG$40,CG20))))</f>
      </c>
      <c r="CH47" s="7">
        <f>IF(ISBLANK(CH20),"NO DATA",IF(ISNUMBER(FIND(CODES!$A$12,CH20)),CODES!$A$12,IF(OR(ISNUMBER(FIND(CODES!$A$10,CH20)),ISNUMBER(FIND(CODES!$A$11,CH20))),CODES!$A$13,IF(OR(CH20&lt;CH$39,ISNUMBER(CH20)=FALSE),CH$40,CH20))))</f>
      </c>
      <c r="CI47" s="7">
        <f>IF(ISBLANK(CI20),"NO DATA",IF(ISNUMBER(FIND(CODES!$A$12,CI20)),CODES!$A$12,IF(OR(ISNUMBER(FIND(CODES!$A$10,CI20)),ISNUMBER(FIND(CODES!$A$11,CI20))),CODES!$A$13,IF(OR(CI20&lt;CI$39,ISNUMBER(CI20)=FALSE),CI$40,CI20))))</f>
      </c>
      <c r="CJ47" s="7">
        <f>IF(ISBLANK(CJ20),"NO DATA",IF(ISNUMBER(FIND(CODES!$A$12,CJ20)),CODES!$A$12,IF(OR(ISNUMBER(FIND(CODES!$A$10,CJ20)),ISNUMBER(FIND(CODES!$A$11,CJ20))),CODES!$A$13,IF(OR(CJ20&lt;CJ$39,ISNUMBER(CJ20)=FALSE),CJ$40,CJ20))))</f>
      </c>
      <c r="CK47" s="7">
        <f>IF(ISBLANK(CK20),"NO DATA",IF(ISNUMBER(FIND(CODES!$A$12,CK20)),CODES!$A$12,IF(OR(ISNUMBER(FIND(CODES!$A$10,CK20)),ISNUMBER(FIND(CODES!$A$11,CK20))),CODES!$A$13,IF(OR(CK20&lt;CK$39,ISNUMBER(CK20)=FALSE),CK$40,CK20))))</f>
      </c>
      <c r="CL47" s="7">
        <f>IF(ISBLANK(CL20),"NO DATA",IF(ISNUMBER(FIND(CODES!$A$12,CL20)),CODES!$A$12,IF(OR(ISNUMBER(FIND(CODES!$A$10,CL20)),ISNUMBER(FIND(CODES!$A$11,CL20))),CODES!$A$13,IF(OR(CL20&lt;CL$39,ISNUMBER(CL20)=FALSE),CL$40,CL20))))</f>
      </c>
      <c r="CM47" s="7">
        <f>IF(ISBLANK(CM20),"NO DATA",IF(ISNUMBER(FIND(CODES!$A$12,CM20)),CODES!$A$12,IF(OR(ISNUMBER(FIND(CODES!$A$10,CM20)),ISNUMBER(FIND(CODES!$A$11,CM20))),CODES!$A$13,IF(OR(CM20&lt;CM$39,ISNUMBER(CM20)=FALSE),CM$40,CM20))))</f>
      </c>
      <c r="CN47" s="7">
        <f>IF(ISBLANK(CN20),"NO DATA",IF(ISNUMBER(FIND(CODES!$A$12,CN20)),CODES!$A$12,IF(OR(ISNUMBER(FIND(CODES!$A$10,CN20)),ISNUMBER(FIND(CODES!$A$11,CN20))),CODES!$A$13,IF(OR(CN20&lt;CN$39,ISNUMBER(CN20)=FALSE),CN$40,CN20))))</f>
      </c>
      <c r="CO47" s="7">
        <f>IF(ISBLANK(CO20),"NO DATA",IF(ISNUMBER(FIND(CODES!$A$12,CO20)),CODES!$A$12,IF(OR(ISNUMBER(FIND(CODES!$A$10,CO20)),ISNUMBER(FIND(CODES!$A$11,CO20))),CODES!$A$13,IF(OR(CO20&lt;CO$39,ISNUMBER(CO20)=FALSE),CO$40,CO20))))</f>
      </c>
      <c r="CP47" s="7">
        <f>IF(ISBLANK(CP20),"NO DATA",IF(ISNUMBER(FIND(CODES!$A$12,CP20)),CODES!$A$12,IF(OR(ISNUMBER(FIND(CODES!$A$10,CP20)),ISNUMBER(FIND(CODES!$A$11,CP20))),CODES!$A$13,IF(OR(CP20&lt;CP$39,ISNUMBER(CP20)=FALSE),CP$40,CP20))))</f>
      </c>
      <c r="CQ47" s="7">
        <f>IF(ISBLANK(CQ20),"NO DATA",IF(ISNUMBER(FIND(CODES!$A$12,CQ20)),CODES!$A$12,IF(OR(ISNUMBER(FIND(CODES!$A$10,CQ20)),ISNUMBER(FIND(CODES!$A$11,CQ20))),CODES!$A$13,IF(OR(CQ20&lt;CQ$39,ISNUMBER(CQ20)=FALSE),CQ$40,CQ20))))</f>
      </c>
      <c r="CR47" s="7">
        <f>IF(ISBLANK(CR20),"NO DATA",IF(ISNUMBER(FIND(CODES!$A$12,CR20)),CODES!$A$12,IF(OR(ISNUMBER(FIND(CODES!$A$10,CR20)),ISNUMBER(FIND(CODES!$A$11,CR20))),CODES!$A$13,IF(OR(CR20&lt;CR$39,ISNUMBER(CR20)=FALSE),CR$40,CR20))))</f>
      </c>
      <c r="CS47" s="7">
        <f>IF(ISBLANK(CS20),"NO DATA",IF(ISNUMBER(FIND(CODES!$A$12,CS20)),CODES!$A$12,IF(OR(ISNUMBER(FIND(CODES!$A$10,CS20)),ISNUMBER(FIND(CODES!$A$11,CS20))),CODES!$A$13,IF(OR(CS20&lt;CS$39,ISNUMBER(CS20)=FALSE),CS$40,CS20))))</f>
      </c>
      <c r="CT47" s="7">
        <f>IF(ISBLANK(CT20),"NO DATA",IF(ISNUMBER(FIND(CODES!$A$12,CT20)),CODES!$A$12,IF(OR(ISNUMBER(FIND(CODES!$A$10,CT20)),ISNUMBER(FIND(CODES!$A$11,CT20))),CODES!$A$13,IF(OR(CT20&lt;CT$39,ISNUMBER(CT20)=FALSE),CT$40,CT20))))</f>
      </c>
      <c r="CU47" s="7">
        <f>IF(ISBLANK(CU20),"NO DATA",IF(ISNUMBER(FIND(CODES!$A$12,CU20)),CODES!$A$12,IF(OR(ISNUMBER(FIND(CODES!$A$10,CU20)),ISNUMBER(FIND(CODES!$A$11,CU20))),CODES!$A$13,IF(OR(CU20&lt;CU$39,ISNUMBER(CU20)=FALSE),CU$40,CU20))))</f>
      </c>
      <c r="CV47" s="7">
        <f>IF(ISBLANK(CV20),"NO DATA",IF(ISNUMBER(FIND(CODES!$A$12,CV20)),CODES!$A$12,IF(OR(ISNUMBER(FIND(CODES!$A$10,CV20)),ISNUMBER(FIND(CODES!$A$11,CV20))),CODES!$A$13,IF(OR(CV20&lt;CV$39,ISNUMBER(CV20)=FALSE),CV$40,CV20))))</f>
      </c>
      <c r="CW47" s="7">
        <f>IF(ISBLANK(CW20),"NO DATA",IF(ISNUMBER(FIND(CODES!$A$12,CW20)),CODES!$A$12,IF(OR(ISNUMBER(FIND(CODES!$A$10,CW20)),ISNUMBER(FIND(CODES!$A$11,CW20))),CODES!$A$13,IF(OR(CW20&lt;CW$39,ISNUMBER(CW20)=FALSE),CW$40,CW20))))</f>
      </c>
      <c r="CX47" s="7">
        <f>IF(ISBLANK(CX20),"NO DATA",IF(ISNUMBER(FIND(CODES!$A$12,CX20)),CODES!$A$12,IF(OR(ISNUMBER(FIND(CODES!$A$10,CX20)),ISNUMBER(FIND(CODES!$A$11,CX20))),CODES!$A$13,IF(OR(CX20&lt;CX$39,ISNUMBER(CX20)=FALSE),CX$40,CX20))))</f>
      </c>
      <c r="CY47" s="7">
        <f>IF(ISBLANK(CY20),"NO DATA",IF(ISNUMBER(FIND(CODES!$A$12,CY20)),CODES!$A$12,IF(OR(ISNUMBER(FIND(CODES!$A$10,CY20)),ISNUMBER(FIND(CODES!$A$11,CY20))),CODES!$A$13,IF(OR(CY20&lt;CY$39,ISNUMBER(CY20)=FALSE),CY$40,CY20))))</f>
      </c>
      <c r="CZ47" s="7">
        <f>IF(ISBLANK(CZ20),"NO DATA",IF(ISNUMBER(FIND(CODES!$A$12,CZ20)),CODES!$A$12,IF(OR(ISNUMBER(FIND(CODES!$A$10,CZ20)),ISNUMBER(FIND(CODES!$A$11,CZ20))),CODES!$A$13,IF(OR(CZ20&lt;CZ$39,ISNUMBER(CZ20)=FALSE),CZ$40,CZ20))))</f>
      </c>
      <c r="DA47" s="7">
        <f>IF(ISBLANK(DA20),"NO DATA",IF(ISNUMBER(FIND(CODES!$A$12,DA20)),CODES!$A$12,IF(OR(ISNUMBER(FIND(CODES!$A$10,DA20)),ISNUMBER(FIND(CODES!$A$11,DA20))),CODES!$A$13,IF(OR(DA20&lt;DA$39,ISNUMBER(DA20)=FALSE),DA$40,DA20))))</f>
      </c>
      <c r="DB47" s="7" t="str">
        <f>IF(ISBLANK(DB20),"NO DATA",IF(ISNUMBER(FIND(CODES!$A$12,DB20)),CODES!$A$12,IF(OR(ISNUMBER(FIND(CODES!$A$10,DB20)),ISNUMBER(FIND(CODES!$A$11,DB20))),CODES!$A$13,IF(OR(DB20&lt;DB$39,ISNUMBER(DB20)=FALSE),DB$40,DB20))))</f>
      </c>
      <c r="DC47" s="7" t="str">
        <f>IF(ISBLANK(DC20),"NO DATA",IF(ISNUMBER(FIND(CODES!$A$12,DC20)),CODES!$A$12,IF(OR(ISNUMBER(FIND(CODES!$A$10,DC20)),ISNUMBER(FIND(CODES!$A$11,DC20))),CODES!$A$13,IF(OR(DC20&lt;DC$39,ISNUMBER(DC20)=FALSE),DC$40,DC20))))</f>
      </c>
      <c r="DD47" s="7">
        <f>IF(ISBLANK(DD20),"NO DATA",IF(ISNUMBER(FIND(CODES!$A$12,DD20)),CODES!$A$12,IF(OR(ISNUMBER(FIND(CODES!$A$10,DD20)),ISNUMBER(FIND(CODES!$A$11,DD20))),CODES!$A$13,IF(OR(DD20&lt;DD$39,ISNUMBER(DD20)=FALSE),DD$40,DD20))))</f>
      </c>
      <c r="DE47" s="7">
        <f>IF(ISBLANK(DE20),"NO DATA",IF(ISNUMBER(FIND(CODES!$A$12,DE20)),CODES!$A$12,IF(OR(ISNUMBER(FIND(CODES!$A$10,DE20)),ISNUMBER(FIND(CODES!$A$11,DE20))),CODES!$A$13,IF(OR(DE20&lt;DE$39,ISNUMBER(DE20)=FALSE),DE$40,DE20))))</f>
      </c>
      <c r="DF47" s="7">
        <f>IF(ISBLANK(DF20),"NO DATA",IF(ISNUMBER(FIND(CODES!$A$12,DF20)),CODES!$A$12,IF(OR(ISNUMBER(FIND(CODES!$A$10,DF20)),ISNUMBER(FIND(CODES!$A$11,DF20))),CODES!$A$13,IF(OR(DF20&lt;DF$39,ISNUMBER(DF20)=FALSE),DF$40,DF20))))</f>
      </c>
      <c r="DG47" s="7">
        <f>IF(ISBLANK(DG20),"NO DATA",IF(ISNUMBER(FIND(CODES!$A$12,DG20)),CODES!$A$12,IF(OR(ISNUMBER(FIND(CODES!$A$10,DG20)),ISNUMBER(FIND(CODES!$A$11,DG20))),CODES!$A$13,IF(OR(DG20&lt;DG$39,ISNUMBER(DG20)=FALSE),DG$40,DG20))))</f>
      </c>
      <c r="DH47" s="7">
        <f>IF(ISBLANK(DH20),"NO DATA",IF(ISNUMBER(FIND(CODES!$A$12,DH20)),CODES!$A$12,IF(OR(ISNUMBER(FIND(CODES!$A$10,DH20)),ISNUMBER(FIND(CODES!$A$11,DH20))),CODES!$A$13,IF(OR(DH20&lt;DH$39,ISNUMBER(DH20)=FALSE),DH$40,DH20))))</f>
      </c>
      <c r="DI47" s="7">
        <f>IF(ISBLANK(DI20),"NO DATA",IF(ISNUMBER(FIND(CODES!$A$12,DI20)),CODES!$A$12,IF(OR(ISNUMBER(FIND(CODES!$A$10,DI20)),ISNUMBER(FIND(CODES!$A$11,DI20))),CODES!$A$13,IF(OR(DI20&lt;DI$39,ISNUMBER(DI20)=FALSE),DI$40,DI20))))</f>
      </c>
    </row>
    <row r="48" spans="1:209" x14ac:dyDescent="0.25">
      <c r="A48" s="16" t="str">
        <f t="shared" si="8"/>
      </c>
      <c r="B48" s="16" t="str">
        <f t="shared" si="8"/>
      </c>
      <c r="C48" s="7">
        <f>IF(ISBLANK(C21),"NO DATA",IF(ISNUMBER(FIND(CODES!$A$12,C21)),CODES!$A$12,IF(OR(ISNUMBER(FIND(CODES!$A$10,C21)),ISNUMBER(FIND(CODES!$A$11,C21))),CODES!$A$13,IF(OR(C21&lt;C$39,ISNUMBER(C21)=FALSE),C$40,C21))))</f>
      </c>
      <c r="D48" s="7">
        <f>IF(ISBLANK(D21),"NO DATA",IF(ISNUMBER(FIND(CODES!$A$12,D21)),CODES!$A$12,IF(OR(ISNUMBER(FIND(CODES!$A$10,D21)),ISNUMBER(FIND(CODES!$A$11,D21))),CODES!$A$13,IF(OR(D21&lt;D$39,ISNUMBER(D21)=FALSE),D$40,D21))))</f>
      </c>
      <c r="E48" s="7">
        <f>IF(ISBLANK(E21),"NO DATA",IF(ISNUMBER(FIND(CODES!$A$12,E21)),CODES!$A$12,IF(OR(ISNUMBER(FIND(CODES!$A$10,E21)),ISNUMBER(FIND(CODES!$A$11,E21))),CODES!$A$13,IF(OR(E21&lt;E$39,ISNUMBER(E21)=FALSE),E$40,E21))))</f>
      </c>
      <c r="F48" s="7">
        <f>IF(ISBLANK(F21),"NO DATA",IF(ISNUMBER(FIND(CODES!$A$12,F21)),CODES!$A$12,IF(OR(ISNUMBER(FIND(CODES!$A$10,F21)),ISNUMBER(FIND(CODES!$A$11,F21))),CODES!$A$13,IF(OR(F21&lt;F$39,ISNUMBER(F21)=FALSE),F$40,F21))))</f>
      </c>
      <c r="G48" s="7">
        <f>IF(ISBLANK(G21),"NO DATA",IF(ISNUMBER(FIND(CODES!$A$12,G21)),CODES!$A$12,IF(OR(ISNUMBER(FIND(CODES!$A$10,G21)),ISNUMBER(FIND(CODES!$A$11,G21))),CODES!$A$13,IF(OR(G21&lt;G$39,ISNUMBER(G21)=FALSE),G$40,G21))))</f>
      </c>
      <c r="H48" s="7">
        <f>IF(ISBLANK(H21),"NO DATA",IF(ISNUMBER(FIND(CODES!$A$12,H21)),CODES!$A$12,IF(OR(ISNUMBER(FIND(CODES!$A$10,H21)),ISNUMBER(FIND(CODES!$A$11,H21))),CODES!$A$13,IF(OR(H21&lt;H$39,ISNUMBER(H21)=FALSE),H$40,H21))))</f>
      </c>
      <c r="I48" s="7">
        <f>IF(ISBLANK(I21),"NO DATA",IF(ISNUMBER(FIND(CODES!$A$12,I21)),CODES!$A$12,IF(OR(ISNUMBER(FIND(CODES!$A$10,I21)),ISNUMBER(FIND(CODES!$A$11,I21))),CODES!$A$13,IF(OR(I21&lt;I$39,ISNUMBER(I21)=FALSE),I$40,I21))))</f>
      </c>
      <c r="J48" s="7">
        <f>IF(ISBLANK(J21),"NO DATA",IF(ISNUMBER(FIND(CODES!$A$12,J21)),CODES!$A$12,IF(OR(ISNUMBER(FIND(CODES!$A$10,J21)),ISNUMBER(FIND(CODES!$A$11,J21))),CODES!$A$13,IF(OR(J21&lt;J$39,ISNUMBER(J21)=FALSE),J$40,J21))))</f>
      </c>
      <c r="K48" s="7">
        <f>IF(ISBLANK(K21),"NO DATA",IF(ISNUMBER(FIND(CODES!$A$12,K21)),CODES!$A$12,IF(OR(ISNUMBER(FIND(CODES!$A$10,K21)),ISNUMBER(FIND(CODES!$A$11,K21))),CODES!$A$13,IF(OR(K21&lt;K$39,ISNUMBER(K21)=FALSE),K$40,K21))))</f>
      </c>
      <c r="L48" s="7">
        <f>IF(ISBLANK(L21),"NO DATA",IF(ISNUMBER(FIND(CODES!$A$12,L21)),CODES!$A$12,IF(OR(ISNUMBER(FIND(CODES!$A$10,L21)),ISNUMBER(FIND(CODES!$A$11,L21))),CODES!$A$13,IF(OR(L21&lt;L$39,ISNUMBER(L21)=FALSE),L$40,L21))))</f>
      </c>
      <c r="M48" s="7">
        <f>IF(ISBLANK(M21),"NO DATA",IF(ISNUMBER(FIND(CODES!$A$12,M21)),CODES!$A$12,IF(OR(ISNUMBER(FIND(CODES!$A$10,M21)),ISNUMBER(FIND(CODES!$A$11,M21))),CODES!$A$13,IF(OR(M21&lt;M$39,ISNUMBER(M21)=FALSE),M$40,M21))))</f>
      </c>
      <c r="N48" s="7" t="str">
        <f>IF(ISBLANK(N21),"NO DATA",IF(ISNUMBER(FIND(CODES!$A$12,N21)),CODES!$A$12,IF(OR(ISNUMBER(FIND(CODES!$A$10,N21)),ISNUMBER(FIND(CODES!$A$11,N21))),CODES!$A$13,IF(OR(N21&lt;N$39,ISNUMBER(N21)=FALSE),N$40,N21))))</f>
      </c>
      <c r="O48" s="7" t="str">
        <f>IF(ISBLANK(O21),"NO DATA",IF(ISNUMBER(FIND(CODES!$A$12,O21)),CODES!$A$12,IF(OR(ISNUMBER(FIND(CODES!$A$10,O21)),ISNUMBER(FIND(CODES!$A$11,O21))),CODES!$A$13,IF(OR(O21&lt;O$39,ISNUMBER(O21)=FALSE),O$40,O21))))</f>
      </c>
      <c r="P48" s="7">
        <f>IF(ISBLANK(P21),"NO DATA",IF(ISNUMBER(FIND(CODES!$A$12,P21)),CODES!$A$12,IF(OR(ISNUMBER(FIND(CODES!$A$10,P21)),ISNUMBER(FIND(CODES!$A$11,P21))),CODES!$A$13,IF(OR(P21&lt;P$39,ISNUMBER(P21)=FALSE),P$40,P21))))</f>
      </c>
      <c r="Q48" s="7">
        <f>IF(ISBLANK(Q21),"NO DATA",IF(ISNUMBER(FIND(CODES!$A$12,Q21)),CODES!$A$12,IF(OR(ISNUMBER(FIND(CODES!$A$10,Q21)),ISNUMBER(FIND(CODES!$A$11,Q21))),CODES!$A$13,IF(OR(Q21&lt;Q$39,ISNUMBER(Q21)=FALSE),Q$40,Q21))))</f>
      </c>
      <c r="R48" s="7">
        <f>IF(ISBLANK(R21),"NO DATA",IF(ISNUMBER(FIND(CODES!$A$12,R21)),CODES!$A$12,IF(OR(ISNUMBER(FIND(CODES!$A$10,R21)),ISNUMBER(FIND(CODES!$A$11,R21))),CODES!$A$13,IF(OR(R21&lt;R$39,ISNUMBER(R21)=FALSE),R$40,R21))))</f>
      </c>
      <c r="S48" s="7">
        <f>IF(ISBLANK(S21),"NO DATA",IF(ISNUMBER(FIND(CODES!$A$12,S21)),CODES!$A$12,IF(OR(ISNUMBER(FIND(CODES!$A$10,S21)),ISNUMBER(FIND(CODES!$A$11,S21))),CODES!$A$13,IF(OR(S21&lt;S$39,ISNUMBER(S21)=FALSE),S$40,S21))))</f>
      </c>
      <c r="T48" s="7">
        <f>IF(ISBLANK(T21),"NO DATA",IF(ISNUMBER(FIND(CODES!$A$12,T21)),CODES!$A$12,IF(OR(ISNUMBER(FIND(CODES!$A$10,T21)),ISNUMBER(FIND(CODES!$A$11,T21))),CODES!$A$13,IF(OR(T21&lt;T$39,ISNUMBER(T21)=FALSE),T$40,T21))))</f>
      </c>
      <c r="U48" s="7">
        <f>IF(ISBLANK(U21),"NO DATA",IF(ISNUMBER(FIND(CODES!$A$12,U21)),CODES!$A$12,IF(OR(ISNUMBER(FIND(CODES!$A$10,U21)),ISNUMBER(FIND(CODES!$A$11,U21))),CODES!$A$13,IF(OR(U21&lt;U$39,ISNUMBER(U21)=FALSE),U$40,U21))))</f>
      </c>
      <c r="V48" s="7">
        <f>IF(ISBLANK(V21),"NO DATA",IF(ISNUMBER(FIND(CODES!$A$12,V21)),CODES!$A$12,IF(OR(ISNUMBER(FIND(CODES!$A$10,V21)),ISNUMBER(FIND(CODES!$A$11,V21))),CODES!$A$13,IF(OR(V21&lt;V$39,ISNUMBER(V21)=FALSE),V$40,V21))))</f>
      </c>
      <c r="W48" s="7">
        <f>IF(ISBLANK(W21),"NO DATA",IF(ISNUMBER(FIND(CODES!$A$12,W21)),CODES!$A$12,IF(OR(ISNUMBER(FIND(CODES!$A$10,W21)),ISNUMBER(FIND(CODES!$A$11,W21))),CODES!$A$13,IF(OR(W21&lt;W$39,ISNUMBER(W21)=FALSE),W$40,W21))))</f>
      </c>
      <c r="X48" s="7">
        <f>IF(ISBLANK(X21),"NO DATA",IF(ISNUMBER(FIND(CODES!$A$12,X21)),CODES!$A$12,IF(OR(ISNUMBER(FIND(CODES!$A$10,X21)),ISNUMBER(FIND(CODES!$A$11,X21))),CODES!$A$13,IF(OR(X21&lt;X$39,ISNUMBER(X21)=FALSE),X$40,X21))))</f>
      </c>
      <c r="Y48" s="7">
        <f>IF(ISBLANK(Y21),"NO DATA",IF(ISNUMBER(FIND(CODES!$A$12,Y21)),CODES!$A$12,IF(OR(ISNUMBER(FIND(CODES!$A$10,Y21)),ISNUMBER(FIND(CODES!$A$11,Y21))),CODES!$A$13,IF(OR(Y21&lt;Y$39,ISNUMBER(Y21)=FALSE),Y$40,Y21))))</f>
      </c>
      <c r="Z48" s="7">
        <f>IF(ISBLANK(Z21),"NO DATA",IF(ISNUMBER(FIND(CODES!$A$12,Z21)),CODES!$A$12,IF(OR(ISNUMBER(FIND(CODES!$A$10,Z21)),ISNUMBER(FIND(CODES!$A$11,Z21))),CODES!$A$13,IF(OR(Z21&lt;Z$39,ISNUMBER(Z21)=FALSE),Z$40,Z21))))</f>
      </c>
      <c r="AA48" s="7">
        <f>IF(ISBLANK(AA21),"NO DATA",IF(ISNUMBER(FIND(CODES!$A$12,AA21)),CODES!$A$12,IF(OR(ISNUMBER(FIND(CODES!$A$10,AA21)),ISNUMBER(FIND(CODES!$A$11,AA21))),CODES!$A$13,IF(OR(AA21&lt;AA$39,ISNUMBER(AA21)=FALSE),AA$40,AA21))))</f>
      </c>
      <c r="AB48" s="7">
        <f>IF(ISBLANK(AB21),"NO DATA",IF(ISNUMBER(FIND(CODES!$A$12,AB21)),CODES!$A$12,IF(OR(ISNUMBER(FIND(CODES!$A$10,AB21)),ISNUMBER(FIND(CODES!$A$11,AB21))),CODES!$A$13,IF(OR(AB21&lt;AB$39,ISNUMBER(AB21)=FALSE),AB$40,AB21))))</f>
      </c>
      <c r="AC48" s="7">
        <f>IF(ISBLANK(AC21),"NO DATA",IF(ISNUMBER(FIND(CODES!$A$12,AC21)),CODES!$A$12,IF(OR(ISNUMBER(FIND(CODES!$A$10,AC21)),ISNUMBER(FIND(CODES!$A$11,AC21))),CODES!$A$13,IF(OR(AC21&lt;AC$39,ISNUMBER(AC21)=FALSE),AC$40,AC21))))</f>
      </c>
      <c r="AD48" s="7">
        <f>IF(ISBLANK(AD21),"NO DATA",IF(ISNUMBER(FIND(CODES!$A$12,AD21)),CODES!$A$12,IF(OR(ISNUMBER(FIND(CODES!$A$10,AD21)),ISNUMBER(FIND(CODES!$A$11,AD21))),CODES!$A$13,IF(OR(AD21&lt;AD$39,ISNUMBER(AD21)=FALSE),AD$40,AD21))))</f>
      </c>
      <c r="AE48" s="7">
        <f>IF(ISBLANK(AE21),"NO DATA",IF(ISNUMBER(FIND(CODES!$A$12,AE21)),CODES!$A$12,IF(OR(ISNUMBER(FIND(CODES!$A$10,AE21)),ISNUMBER(FIND(CODES!$A$11,AE21))),CODES!$A$13,IF(OR(AE21&lt;AE$39,ISNUMBER(AE21)=FALSE),AE$40,AE21))))</f>
      </c>
      <c r="AF48" s="7">
        <f>IF(ISBLANK(AF21),"NO DATA",IF(ISNUMBER(FIND(CODES!$A$12,AF21)),CODES!$A$12,IF(OR(ISNUMBER(FIND(CODES!$A$10,AF21)),ISNUMBER(FIND(CODES!$A$11,AF21))),CODES!$A$13,IF(OR(AF21&lt;AF$39,ISNUMBER(AF21)=FALSE),AF$40,AF21))))</f>
      </c>
      <c r="AG48" s="7">
        <f>IF(ISBLANK(AG21),"NO DATA",IF(ISNUMBER(FIND(CODES!$A$12,AG21)),CODES!$A$12,IF(OR(ISNUMBER(FIND(CODES!$A$10,AG21)),ISNUMBER(FIND(CODES!$A$11,AG21))),CODES!$A$13,IF(OR(AG21&lt;AG$39,ISNUMBER(AG21)=FALSE),AG$40,AG21))))</f>
      </c>
      <c r="AH48" s="7">
        <f>IF(ISBLANK(AH21),"NO DATA",IF(ISNUMBER(FIND(CODES!$A$12,AH21)),CODES!$A$12,IF(OR(ISNUMBER(FIND(CODES!$A$10,AH21)),ISNUMBER(FIND(CODES!$A$11,AH21))),CODES!$A$13,IF(OR(AH21&lt;AH$39,ISNUMBER(AH21)=FALSE),AH$40,AH21))))</f>
      </c>
      <c r="AI48" s="7">
        <f>IF(ISBLANK(AI21),"NO DATA",IF(ISNUMBER(FIND(CODES!$A$12,AI21)),CODES!$A$12,IF(OR(ISNUMBER(FIND(CODES!$A$10,AI21)),ISNUMBER(FIND(CODES!$A$11,AI21))),CODES!$A$13,IF(OR(AI21&lt;AI$39,ISNUMBER(AI21)=FALSE),AI$40,AI21))))</f>
      </c>
      <c r="AJ48" s="7">
        <f>IF(ISBLANK(AJ21),"NO DATA",IF(ISNUMBER(FIND(CODES!$A$12,AJ21)),CODES!$A$12,IF(OR(ISNUMBER(FIND(CODES!$A$10,AJ21)),ISNUMBER(FIND(CODES!$A$11,AJ21))),CODES!$A$13,IF(OR(AJ21&lt;AJ$39,ISNUMBER(AJ21)=FALSE),AJ$40,AJ21))))</f>
      </c>
      <c r="AK48" s="7">
        <f>IF(ISBLANK(AK21),"NO DATA",IF(ISNUMBER(FIND(CODES!$A$12,AK21)),CODES!$A$12,IF(OR(ISNUMBER(FIND(CODES!$A$10,AK21)),ISNUMBER(FIND(CODES!$A$11,AK21))),CODES!$A$13,IF(OR(AK21&lt;AK$39,ISNUMBER(AK21)=FALSE),AK$40,AK21))))</f>
      </c>
      <c r="AL48" s="7">
        <f>IF(ISBLANK(AL21),"NO DATA",IF(ISNUMBER(FIND(CODES!$A$12,AL21)),CODES!$A$12,IF(OR(ISNUMBER(FIND(CODES!$A$10,AL21)),ISNUMBER(FIND(CODES!$A$11,AL21))),CODES!$A$13,IF(OR(AL21&lt;AL$39,ISNUMBER(AL21)=FALSE),AL$40,AL21))))</f>
      </c>
      <c r="AM48" s="7">
        <f>IF(ISBLANK(AM21),"NO DATA",IF(ISNUMBER(FIND(CODES!$A$12,AM21)),CODES!$A$12,IF(OR(ISNUMBER(FIND(CODES!$A$10,AM21)),ISNUMBER(FIND(CODES!$A$11,AM21))),CODES!$A$13,IF(OR(AM21&lt;AM$39,ISNUMBER(AM21)=FALSE),AM$40,AM21))))</f>
      </c>
      <c r="AN48" s="7">
        <f>IF(ISBLANK(AN21),"NO DATA",IF(ISNUMBER(FIND(CODES!$A$12,AN21)),CODES!$A$12,IF(OR(ISNUMBER(FIND(CODES!$A$10,AN21)),ISNUMBER(FIND(CODES!$A$11,AN21))),CODES!$A$13,IF(OR(AN21&lt;AN$39,ISNUMBER(AN21)=FALSE),AN$40,AN21))))</f>
      </c>
      <c r="AO48" s="7">
        <f>IF(ISBLANK(AO21),"NO DATA",IF(ISNUMBER(FIND(CODES!$A$12,AO21)),CODES!$A$12,IF(OR(ISNUMBER(FIND(CODES!$A$10,AO21)),ISNUMBER(FIND(CODES!$A$11,AO21))),CODES!$A$13,IF(OR(AO21&lt;AO$39,ISNUMBER(AO21)=FALSE),AO$40,AO21))))</f>
      </c>
      <c r="AP48" s="7">
        <f>IF(ISBLANK(AP21),"NO DATA",IF(ISNUMBER(FIND(CODES!$A$12,AP21)),CODES!$A$12,IF(OR(ISNUMBER(FIND(CODES!$A$10,AP21)),ISNUMBER(FIND(CODES!$A$11,AP21))),CODES!$A$13,IF(OR(AP21&lt;AP$39,ISNUMBER(AP21)=FALSE),AP$40,AP21))))</f>
      </c>
      <c r="AQ48" s="7">
        <f>IF(ISBLANK(AQ21),"NO DATA",IF(ISNUMBER(FIND(CODES!$A$12,AQ21)),CODES!$A$12,IF(OR(ISNUMBER(FIND(CODES!$A$10,AQ21)),ISNUMBER(FIND(CODES!$A$11,AQ21))),CODES!$A$13,IF(OR(AQ21&lt;AQ$39,ISNUMBER(AQ21)=FALSE),AQ$40,AQ21))))</f>
      </c>
      <c r="AR48" s="7">
        <f>IF(ISBLANK(AR21),"NO DATA",IF(ISNUMBER(FIND(CODES!$A$12,AR21)),CODES!$A$12,IF(OR(ISNUMBER(FIND(CODES!$A$10,AR21)),ISNUMBER(FIND(CODES!$A$11,AR21))),CODES!$A$13,IF(OR(AR21&lt;AR$39,ISNUMBER(AR21)=FALSE),AR$40,AR21))))</f>
      </c>
      <c r="AS48" s="7">
        <f>IF(ISBLANK(AS21),"NO DATA",IF(ISNUMBER(FIND(CODES!$A$12,AS21)),CODES!$A$12,IF(OR(ISNUMBER(FIND(CODES!$A$10,AS21)),ISNUMBER(FIND(CODES!$A$11,AS21))),CODES!$A$13,IF(OR(AS21&lt;AS$39,ISNUMBER(AS21)=FALSE),AS$40,AS21))))</f>
      </c>
      <c r="AT48" s="7">
        <f>IF(ISBLANK(AT21),"NO DATA",IF(ISNUMBER(FIND(CODES!$A$12,AT21)),CODES!$A$12,IF(OR(ISNUMBER(FIND(CODES!$A$10,AT21)),ISNUMBER(FIND(CODES!$A$11,AT21))),CODES!$A$13,IF(OR(AT21&lt;AT$39,ISNUMBER(AT21)=FALSE),AT$40,AT21))))</f>
      </c>
      <c r="AU48" s="7">
        <f>IF(ISBLANK(AU21),"NO DATA",IF(ISNUMBER(FIND(CODES!$A$12,AU21)),CODES!$A$12,IF(OR(ISNUMBER(FIND(CODES!$A$10,AU21)),ISNUMBER(FIND(CODES!$A$11,AU21))),CODES!$A$13,IF(OR(AU21&lt;AU$39,ISNUMBER(AU21)=FALSE),AU$40,AU21))))</f>
      </c>
      <c r="AV48" s="7" t="str">
        <f>IF(ISBLANK(AV21),"NO DATA",IF(ISNUMBER(FIND(CODES!$A$12,AV21)),CODES!$A$12,IF(OR(ISNUMBER(FIND(CODES!$A$10,AV21)),ISNUMBER(FIND(CODES!$A$11,AV21))),CODES!$A$13,IF(OR(AV21&lt;AV$39,ISNUMBER(AV21)=FALSE),AV$40,AV21))))</f>
      </c>
      <c r="AW48" s="7" t="str">
        <f>IF(ISBLANK(AW21),"NO DATA",IF(ISNUMBER(FIND(CODES!$A$12,AW21)),CODES!$A$12,IF(OR(ISNUMBER(FIND(CODES!$A$10,AW21)),ISNUMBER(FIND(CODES!$A$11,AW21))),CODES!$A$13,IF(OR(AW21&lt;AW$39,ISNUMBER(AW21)=FALSE),AW$40,AW21))))</f>
      </c>
      <c r="AX48" s="7">
        <f>IF(ISBLANK(AX21),"NO DATA",IF(ISNUMBER(FIND(CODES!$A$12,AX21)),CODES!$A$12,IF(OR(ISNUMBER(FIND(CODES!$A$10,AX21)),ISNUMBER(FIND(CODES!$A$11,AX21))),CODES!$A$13,IF(OR(AX21&lt;AX$39,ISNUMBER(AX21)=FALSE),AX$40,AX21))))</f>
      </c>
      <c r="AY48" s="7">
        <f>IF(ISBLANK(AY21),"NO DATA",IF(ISNUMBER(FIND(CODES!$A$12,AY21)),CODES!$A$12,IF(OR(ISNUMBER(FIND(CODES!$A$10,AY21)),ISNUMBER(FIND(CODES!$A$11,AY21))),CODES!$A$13,IF(OR(AY21&lt;AY$39,ISNUMBER(AY21)=FALSE),AY$40,AY21))))</f>
      </c>
      <c r="AZ48" s="7">
        <f>IF(ISBLANK(AZ21),"NO DATA",IF(ISNUMBER(FIND(CODES!$A$12,AZ21)),CODES!$A$12,IF(OR(ISNUMBER(FIND(CODES!$A$10,AZ21)),ISNUMBER(FIND(CODES!$A$11,AZ21))),CODES!$A$13,IF(OR(AZ21&lt;AZ$39,ISNUMBER(AZ21)=FALSE),AZ$40,AZ21))))</f>
      </c>
      <c r="BA48" s="7">
        <f>IF(ISBLANK(BA21),"NO DATA",IF(ISNUMBER(FIND(CODES!$A$12,BA21)),CODES!$A$12,IF(OR(ISNUMBER(FIND(CODES!$A$10,BA21)),ISNUMBER(FIND(CODES!$A$11,BA21))),CODES!$A$13,IF(OR(BA21&lt;BA$39,ISNUMBER(BA21)=FALSE),BA$40,BA21))))</f>
      </c>
      <c r="BB48" s="7">
        <f>IF(ISBLANK(BB21),"NO DATA",IF(ISNUMBER(FIND(CODES!$A$12,BB21)),CODES!$A$12,IF(OR(ISNUMBER(FIND(CODES!$A$10,BB21)),ISNUMBER(FIND(CODES!$A$11,BB21))),CODES!$A$13,IF(OR(BB21&lt;BB$39,ISNUMBER(BB21)=FALSE),BB$40,BB21))))</f>
      </c>
      <c r="BC48" s="7">
        <f>IF(ISBLANK(BC21),"NO DATA",IF(ISNUMBER(FIND(CODES!$A$12,BC21)),CODES!$A$12,IF(OR(ISNUMBER(FIND(CODES!$A$10,BC21)),ISNUMBER(FIND(CODES!$A$11,BC21))),CODES!$A$13,IF(OR(BC21&lt;BC$39,ISNUMBER(BC21)=FALSE),BC$40,BC21))))</f>
      </c>
      <c r="BD48" s="7">
        <f>IF(ISBLANK(BD21),"NO DATA",IF(ISNUMBER(FIND(CODES!$A$12,BD21)),CODES!$A$12,IF(OR(ISNUMBER(FIND(CODES!$A$10,BD21)),ISNUMBER(FIND(CODES!$A$11,BD21))),CODES!$A$13,IF(OR(BD21&lt;BD$39,ISNUMBER(BD21)=FALSE),BD$40,BD21))))</f>
      </c>
      <c r="BE48" s="7">
        <f>IF(ISBLANK(BE21),"NO DATA",IF(ISNUMBER(FIND(CODES!$A$12,BE21)),CODES!$A$12,IF(OR(ISNUMBER(FIND(CODES!$A$10,BE21)),ISNUMBER(FIND(CODES!$A$11,BE21))),CODES!$A$13,IF(OR(BE21&lt;BE$39,ISNUMBER(BE21)=FALSE),BE$40,BE21))))</f>
      </c>
      <c r="BF48" s="7">
        <f>IF(ISBLANK(BF21),"NO DATA",IF(ISNUMBER(FIND(CODES!$A$12,BF21)),CODES!$A$12,IF(OR(ISNUMBER(FIND(CODES!$A$10,BF21)),ISNUMBER(FIND(CODES!$A$11,BF21))),CODES!$A$13,IF(OR(BF21&lt;BF$39,ISNUMBER(BF21)=FALSE),BF$40,BF21))))</f>
      </c>
      <c r="BG48" s="7">
        <f>IF(ISBLANK(BG21),"NO DATA",IF(ISNUMBER(FIND(CODES!$A$12,BG21)),CODES!$A$12,IF(OR(ISNUMBER(FIND(CODES!$A$10,BG21)),ISNUMBER(FIND(CODES!$A$11,BG21))),CODES!$A$13,IF(OR(BG21&lt;BG$39,ISNUMBER(BG21)=FALSE),BG$40,BG21))))</f>
      </c>
      <c r="BH48" s="7">
        <f>IF(ISBLANK(BH21),"NO DATA",IF(ISNUMBER(FIND(CODES!$A$12,BH21)),CODES!$A$12,IF(OR(ISNUMBER(FIND(CODES!$A$10,BH21)),ISNUMBER(FIND(CODES!$A$11,BH21))),CODES!$A$13,IF(OR(BH21&lt;BH$39,ISNUMBER(BH21)=FALSE),BH$40,BH21))))</f>
      </c>
      <c r="BI48" s="7">
        <f>IF(ISBLANK(BI21),"NO DATA",IF(ISNUMBER(FIND(CODES!$A$12,BI21)),CODES!$A$12,IF(OR(ISNUMBER(FIND(CODES!$A$10,BI21)),ISNUMBER(FIND(CODES!$A$11,BI21))),CODES!$A$13,IF(OR(BI21&lt;BI$39,ISNUMBER(BI21)=FALSE),BI$40,BI21))))</f>
      </c>
      <c r="BJ48" s="7">
        <f>IF(ISBLANK(BJ21),"NO DATA",IF(ISNUMBER(FIND(CODES!$A$12,BJ21)),CODES!$A$12,IF(OR(ISNUMBER(FIND(CODES!$A$10,BJ21)),ISNUMBER(FIND(CODES!$A$11,BJ21))),CODES!$A$13,IF(OR(BJ21&lt;BJ$39,ISNUMBER(BJ21)=FALSE),BJ$40,BJ21))))</f>
      </c>
      <c r="BK48" s="7">
        <f>IF(ISBLANK(BK21),"NO DATA",IF(ISNUMBER(FIND(CODES!$A$12,BK21)),CODES!$A$12,IF(OR(ISNUMBER(FIND(CODES!$A$10,BK21)),ISNUMBER(FIND(CODES!$A$11,BK21))),CODES!$A$13,IF(OR(BK21&lt;BK$39,ISNUMBER(BK21)=FALSE),BK$40,BK21))))</f>
      </c>
      <c r="BL48" s="7">
        <f>IF(ISBLANK(BL21),"NO DATA",IF(ISNUMBER(FIND(CODES!$A$12,BL21)),CODES!$A$12,IF(OR(ISNUMBER(FIND(CODES!$A$10,BL21)),ISNUMBER(FIND(CODES!$A$11,BL21))),CODES!$A$13,IF(OR(BL21&lt;BL$39,ISNUMBER(BL21)=FALSE),BL$40,BL21))))</f>
      </c>
      <c r="BM48" s="7">
        <f>IF(ISBLANK(BM21),"NO DATA",IF(ISNUMBER(FIND(CODES!$A$12,BM21)),CODES!$A$12,IF(OR(ISNUMBER(FIND(CODES!$A$10,BM21)),ISNUMBER(FIND(CODES!$A$11,BM21))),CODES!$A$13,IF(OR(BM21&lt;BM$39,ISNUMBER(BM21)=FALSE),BM$40,BM21))))</f>
      </c>
      <c r="BN48" s="7" t="str">
        <f>IF(ISBLANK(BN21),"NO DATA",IF(ISNUMBER(FIND(CODES!$A$12,BN21)),CODES!$A$12,IF(OR(ISNUMBER(FIND(CODES!$A$10,BN21)),ISNUMBER(FIND(CODES!$A$11,BN21))),CODES!$A$13,IF(OR(BN21&lt;BN$39,ISNUMBER(BN21)=FALSE),BN$40,BN21))))</f>
      </c>
      <c r="BO48" s="7" t="str">
        <f>IF(ISBLANK(BO21),"NO DATA",IF(ISNUMBER(FIND(CODES!$A$12,BO21)),CODES!$A$12,IF(OR(ISNUMBER(FIND(CODES!$A$10,BO21)),ISNUMBER(FIND(CODES!$A$11,BO21))),CODES!$A$13,IF(OR(BO21&lt;BO$39,ISNUMBER(BO21)=FALSE),BO$40,BO21))))</f>
      </c>
      <c r="BP48" s="7">
        <f>IF(ISBLANK(BP21),"NO DATA",IF(ISNUMBER(FIND(CODES!$A$12,BP21)),CODES!$A$12,IF(OR(ISNUMBER(FIND(CODES!$A$10,BP21)),ISNUMBER(FIND(CODES!$A$11,BP21))),CODES!$A$13,IF(OR(BP21&lt;BP$39,ISNUMBER(BP21)=FALSE),BP$40,BP21))))</f>
      </c>
      <c r="BQ48" s="7">
        <f>IF(ISBLANK(BQ21),"NO DATA",IF(ISNUMBER(FIND(CODES!$A$12,BQ21)),CODES!$A$12,IF(OR(ISNUMBER(FIND(CODES!$A$10,BQ21)),ISNUMBER(FIND(CODES!$A$11,BQ21))),CODES!$A$13,IF(OR(BQ21&lt;BQ$39,ISNUMBER(BQ21)=FALSE),BQ$40,BQ21))))</f>
      </c>
      <c r="BR48" s="7">
        <f>IF(ISBLANK(BR21),"NO DATA",IF(ISNUMBER(FIND(CODES!$A$12,BR21)),CODES!$A$12,IF(OR(ISNUMBER(FIND(CODES!$A$10,BR21)),ISNUMBER(FIND(CODES!$A$11,BR21))),CODES!$A$13,IF(OR(BR21&lt;BR$39,ISNUMBER(BR21)=FALSE),BR$40,BR21))))</f>
      </c>
      <c r="BS48" s="7">
        <f>IF(ISBLANK(BS21),"NO DATA",IF(ISNUMBER(FIND(CODES!$A$12,BS21)),CODES!$A$12,IF(OR(ISNUMBER(FIND(CODES!$A$10,BS21)),ISNUMBER(FIND(CODES!$A$11,BS21))),CODES!$A$13,IF(OR(BS21&lt;BS$39,ISNUMBER(BS21)=FALSE),BS$40,BS21))))</f>
      </c>
      <c r="BT48" s="7">
        <f>IF(ISBLANK(BT21),"NO DATA",IF(ISNUMBER(FIND(CODES!$A$12,BT21)),CODES!$A$12,IF(OR(ISNUMBER(FIND(CODES!$A$10,BT21)),ISNUMBER(FIND(CODES!$A$11,BT21))),CODES!$A$13,IF(OR(BT21&lt;BT$39,ISNUMBER(BT21)=FALSE),BT$40,BT21))))</f>
      </c>
      <c r="BU48" s="7">
        <f>IF(ISBLANK(BU21),"NO DATA",IF(ISNUMBER(FIND(CODES!$A$12,BU21)),CODES!$A$12,IF(OR(ISNUMBER(FIND(CODES!$A$10,BU21)),ISNUMBER(FIND(CODES!$A$11,BU21))),CODES!$A$13,IF(OR(BU21&lt;BU$39,ISNUMBER(BU21)=FALSE),BU$40,BU21))))</f>
      </c>
      <c r="BV48" s="7">
        <f>IF(ISBLANK(BV21),"NO DATA",IF(ISNUMBER(FIND(CODES!$A$12,BV21)),CODES!$A$12,IF(OR(ISNUMBER(FIND(CODES!$A$10,BV21)),ISNUMBER(FIND(CODES!$A$11,BV21))),CODES!$A$13,IF(OR(BV21&lt;BV$39,ISNUMBER(BV21)=FALSE),BV$40,BV21))))</f>
      </c>
      <c r="BW48" s="7" t="str">
        <f>IF(ISBLANK(BW21),"NO DATA",IF(ISNUMBER(FIND(CODES!$A$12,BW21)),CODES!$A$12,IF(OR(ISNUMBER(FIND(CODES!$A$10,BW21)),ISNUMBER(FIND(CODES!$A$11,BW21))),CODES!$A$13,IF(OR(BW21&lt;BW$39,ISNUMBER(BW21)=FALSE),BW$40,BW21))))</f>
      </c>
      <c r="BX48" s="7" t="str">
        <f>IF(ISBLANK(BX21),"NO DATA",IF(ISNUMBER(FIND(CODES!$A$12,BX21)),CODES!$A$12,IF(OR(ISNUMBER(FIND(CODES!$A$10,BX21)),ISNUMBER(FIND(CODES!$A$11,BX21))),CODES!$A$13,IF(OR(BX21&lt;BX$39,ISNUMBER(BX21)=FALSE),BX$40,BX21))))</f>
      </c>
      <c r="BY48" s="7">
        <f>IF(ISBLANK(BY21),"NO DATA",IF(ISNUMBER(FIND(CODES!$A$12,BY21)),CODES!$A$12,IF(OR(ISNUMBER(FIND(CODES!$A$10,BY21)),ISNUMBER(FIND(CODES!$A$11,BY21))),CODES!$A$13,IF(OR(BY21&lt;BY$39,ISNUMBER(BY21)=FALSE),BY$40,BY21))))</f>
      </c>
      <c r="BZ48" s="7">
        <f>IF(ISBLANK(BZ21),"NO DATA",IF(ISNUMBER(FIND(CODES!$A$12,BZ21)),CODES!$A$12,IF(OR(ISNUMBER(FIND(CODES!$A$10,BZ21)),ISNUMBER(FIND(CODES!$A$11,BZ21))),CODES!$A$13,IF(OR(BZ21&lt;BZ$39,ISNUMBER(BZ21)=FALSE),BZ$40,BZ21))))</f>
      </c>
      <c r="CA48" s="7">
        <f>IF(ISBLANK(CA21),"NO DATA",IF(ISNUMBER(FIND(CODES!$A$12,CA21)),CODES!$A$12,IF(OR(ISNUMBER(FIND(CODES!$A$10,CA21)),ISNUMBER(FIND(CODES!$A$11,CA21))),CODES!$A$13,IF(OR(CA21&lt;CA$39,ISNUMBER(CA21)=FALSE),CA$40,CA21))))</f>
      </c>
      <c r="CB48" s="7">
        <f>IF(ISBLANK(CB21),"NO DATA",IF(ISNUMBER(FIND(CODES!$A$12,CB21)),CODES!$A$12,IF(OR(ISNUMBER(FIND(CODES!$A$10,CB21)),ISNUMBER(FIND(CODES!$A$11,CB21))),CODES!$A$13,IF(OR(CB21&lt;CB$39,ISNUMBER(CB21)=FALSE),CB$40,CB21))))</f>
      </c>
      <c r="CC48" s="7">
        <f>IF(ISBLANK(CC21),"NO DATA",IF(ISNUMBER(FIND(CODES!$A$12,CC21)),CODES!$A$12,IF(OR(ISNUMBER(FIND(CODES!$A$10,CC21)),ISNUMBER(FIND(CODES!$A$11,CC21))),CODES!$A$13,IF(OR(CC21&lt;CC$39,ISNUMBER(CC21)=FALSE),CC$40,CC21))))</f>
      </c>
      <c r="CD48" s="7">
        <f>IF(ISBLANK(CD21),"NO DATA",IF(ISNUMBER(FIND(CODES!$A$12,CD21)),CODES!$A$12,IF(OR(ISNUMBER(FIND(CODES!$A$10,CD21)),ISNUMBER(FIND(CODES!$A$11,CD21))),CODES!$A$13,IF(OR(CD21&lt;CD$39,ISNUMBER(CD21)=FALSE),CD$40,CD21))))</f>
      </c>
      <c r="CE48" s="7">
        <f>IF(ISBLANK(CE21),"NO DATA",IF(ISNUMBER(FIND(CODES!$A$12,CE21)),CODES!$A$12,IF(OR(ISNUMBER(FIND(CODES!$A$10,CE21)),ISNUMBER(FIND(CODES!$A$11,CE21))),CODES!$A$13,IF(OR(CE21&lt;CE$39,ISNUMBER(CE21)=FALSE),CE$40,CE21))))</f>
      </c>
      <c r="CF48" s="7">
        <f>IF(ISBLANK(CF21),"NO DATA",IF(ISNUMBER(FIND(CODES!$A$12,CF21)),CODES!$A$12,IF(OR(ISNUMBER(FIND(CODES!$A$10,CF21)),ISNUMBER(FIND(CODES!$A$11,CF21))),CODES!$A$13,IF(OR(CF21&lt;CF$39,ISNUMBER(CF21)=FALSE),CF$40,CF21))))</f>
      </c>
      <c r="CG48" s="7">
        <f>IF(ISBLANK(CG21),"NO DATA",IF(ISNUMBER(FIND(CODES!$A$12,CG21)),CODES!$A$12,IF(OR(ISNUMBER(FIND(CODES!$A$10,CG21)),ISNUMBER(FIND(CODES!$A$11,CG21))),CODES!$A$13,IF(OR(CG21&lt;CG$39,ISNUMBER(CG21)=FALSE),CG$40,CG21))))</f>
      </c>
      <c r="CH48" s="7">
        <f>IF(ISBLANK(CH21),"NO DATA",IF(ISNUMBER(FIND(CODES!$A$12,CH21)),CODES!$A$12,IF(OR(ISNUMBER(FIND(CODES!$A$10,CH21)),ISNUMBER(FIND(CODES!$A$11,CH21))),CODES!$A$13,IF(OR(CH21&lt;CH$39,ISNUMBER(CH21)=FALSE),CH$40,CH21))))</f>
      </c>
      <c r="CI48" s="7">
        <f>IF(ISBLANK(CI21),"NO DATA",IF(ISNUMBER(FIND(CODES!$A$12,CI21)),CODES!$A$12,IF(OR(ISNUMBER(FIND(CODES!$A$10,CI21)),ISNUMBER(FIND(CODES!$A$11,CI21))),CODES!$A$13,IF(OR(CI21&lt;CI$39,ISNUMBER(CI21)=FALSE),CI$40,CI21))))</f>
      </c>
      <c r="CJ48" s="7">
        <f>IF(ISBLANK(CJ21),"NO DATA",IF(ISNUMBER(FIND(CODES!$A$12,CJ21)),CODES!$A$12,IF(OR(ISNUMBER(FIND(CODES!$A$10,CJ21)),ISNUMBER(FIND(CODES!$A$11,CJ21))),CODES!$A$13,IF(OR(CJ21&lt;CJ$39,ISNUMBER(CJ21)=FALSE),CJ$40,CJ21))))</f>
      </c>
      <c r="CK48" s="7">
        <f>IF(ISBLANK(CK21),"NO DATA",IF(ISNUMBER(FIND(CODES!$A$12,CK21)),CODES!$A$12,IF(OR(ISNUMBER(FIND(CODES!$A$10,CK21)),ISNUMBER(FIND(CODES!$A$11,CK21))),CODES!$A$13,IF(OR(CK21&lt;CK$39,ISNUMBER(CK21)=FALSE),CK$40,CK21))))</f>
      </c>
      <c r="CL48" s="7">
        <f>IF(ISBLANK(CL21),"NO DATA",IF(ISNUMBER(FIND(CODES!$A$12,CL21)),CODES!$A$12,IF(OR(ISNUMBER(FIND(CODES!$A$10,CL21)),ISNUMBER(FIND(CODES!$A$11,CL21))),CODES!$A$13,IF(OR(CL21&lt;CL$39,ISNUMBER(CL21)=FALSE),CL$40,CL21))))</f>
      </c>
      <c r="CM48" s="7">
        <f>IF(ISBLANK(CM21),"NO DATA",IF(ISNUMBER(FIND(CODES!$A$12,CM21)),CODES!$A$12,IF(OR(ISNUMBER(FIND(CODES!$A$10,CM21)),ISNUMBER(FIND(CODES!$A$11,CM21))),CODES!$A$13,IF(OR(CM21&lt;CM$39,ISNUMBER(CM21)=FALSE),CM$40,CM21))))</f>
      </c>
      <c r="CN48" s="7">
        <f>IF(ISBLANK(CN21),"NO DATA",IF(ISNUMBER(FIND(CODES!$A$12,CN21)),CODES!$A$12,IF(OR(ISNUMBER(FIND(CODES!$A$10,CN21)),ISNUMBER(FIND(CODES!$A$11,CN21))),CODES!$A$13,IF(OR(CN21&lt;CN$39,ISNUMBER(CN21)=FALSE),CN$40,CN21))))</f>
      </c>
      <c r="CO48" s="7">
        <f>IF(ISBLANK(CO21),"NO DATA",IF(ISNUMBER(FIND(CODES!$A$12,CO21)),CODES!$A$12,IF(OR(ISNUMBER(FIND(CODES!$A$10,CO21)),ISNUMBER(FIND(CODES!$A$11,CO21))),CODES!$A$13,IF(OR(CO21&lt;CO$39,ISNUMBER(CO21)=FALSE),CO$40,CO21))))</f>
      </c>
      <c r="CP48" s="7">
        <f>IF(ISBLANK(CP21),"NO DATA",IF(ISNUMBER(FIND(CODES!$A$12,CP21)),CODES!$A$12,IF(OR(ISNUMBER(FIND(CODES!$A$10,CP21)),ISNUMBER(FIND(CODES!$A$11,CP21))),CODES!$A$13,IF(OR(CP21&lt;CP$39,ISNUMBER(CP21)=FALSE),CP$40,CP21))))</f>
      </c>
      <c r="CQ48" s="7">
        <f>IF(ISBLANK(CQ21),"NO DATA",IF(ISNUMBER(FIND(CODES!$A$12,CQ21)),CODES!$A$12,IF(OR(ISNUMBER(FIND(CODES!$A$10,CQ21)),ISNUMBER(FIND(CODES!$A$11,CQ21))),CODES!$A$13,IF(OR(CQ21&lt;CQ$39,ISNUMBER(CQ21)=FALSE),CQ$40,CQ21))))</f>
      </c>
      <c r="CR48" s="7">
        <f>IF(ISBLANK(CR21),"NO DATA",IF(ISNUMBER(FIND(CODES!$A$12,CR21)),CODES!$A$12,IF(OR(ISNUMBER(FIND(CODES!$A$10,CR21)),ISNUMBER(FIND(CODES!$A$11,CR21))),CODES!$A$13,IF(OR(CR21&lt;CR$39,ISNUMBER(CR21)=FALSE),CR$40,CR21))))</f>
      </c>
      <c r="CS48" s="7">
        <f>IF(ISBLANK(CS21),"NO DATA",IF(ISNUMBER(FIND(CODES!$A$12,CS21)),CODES!$A$12,IF(OR(ISNUMBER(FIND(CODES!$A$10,CS21)),ISNUMBER(FIND(CODES!$A$11,CS21))),CODES!$A$13,IF(OR(CS21&lt;CS$39,ISNUMBER(CS21)=FALSE),CS$40,CS21))))</f>
      </c>
      <c r="CT48" s="7">
        <f>IF(ISBLANK(CT21),"NO DATA",IF(ISNUMBER(FIND(CODES!$A$12,CT21)),CODES!$A$12,IF(OR(ISNUMBER(FIND(CODES!$A$10,CT21)),ISNUMBER(FIND(CODES!$A$11,CT21))),CODES!$A$13,IF(OR(CT21&lt;CT$39,ISNUMBER(CT21)=FALSE),CT$40,CT21))))</f>
      </c>
      <c r="CU48" s="7">
        <f>IF(ISBLANK(CU21),"NO DATA",IF(ISNUMBER(FIND(CODES!$A$12,CU21)),CODES!$A$12,IF(OR(ISNUMBER(FIND(CODES!$A$10,CU21)),ISNUMBER(FIND(CODES!$A$11,CU21))),CODES!$A$13,IF(OR(CU21&lt;CU$39,ISNUMBER(CU21)=FALSE),CU$40,CU21))))</f>
      </c>
      <c r="CV48" s="7">
        <f>IF(ISBLANK(CV21),"NO DATA",IF(ISNUMBER(FIND(CODES!$A$12,CV21)),CODES!$A$12,IF(OR(ISNUMBER(FIND(CODES!$A$10,CV21)),ISNUMBER(FIND(CODES!$A$11,CV21))),CODES!$A$13,IF(OR(CV21&lt;CV$39,ISNUMBER(CV21)=FALSE),CV$40,CV21))))</f>
      </c>
      <c r="CW48" s="7">
        <f>IF(ISBLANK(CW21),"NO DATA",IF(ISNUMBER(FIND(CODES!$A$12,CW21)),CODES!$A$12,IF(OR(ISNUMBER(FIND(CODES!$A$10,CW21)),ISNUMBER(FIND(CODES!$A$11,CW21))),CODES!$A$13,IF(OR(CW21&lt;CW$39,ISNUMBER(CW21)=FALSE),CW$40,CW21))))</f>
      </c>
      <c r="CX48" s="7">
        <f>IF(ISBLANK(CX21),"NO DATA",IF(ISNUMBER(FIND(CODES!$A$12,CX21)),CODES!$A$12,IF(OR(ISNUMBER(FIND(CODES!$A$10,CX21)),ISNUMBER(FIND(CODES!$A$11,CX21))),CODES!$A$13,IF(OR(CX21&lt;CX$39,ISNUMBER(CX21)=FALSE),CX$40,CX21))))</f>
      </c>
      <c r="CY48" s="7">
        <f>IF(ISBLANK(CY21),"NO DATA",IF(ISNUMBER(FIND(CODES!$A$12,CY21)),CODES!$A$12,IF(OR(ISNUMBER(FIND(CODES!$A$10,CY21)),ISNUMBER(FIND(CODES!$A$11,CY21))),CODES!$A$13,IF(OR(CY21&lt;CY$39,ISNUMBER(CY21)=FALSE),CY$40,CY21))))</f>
      </c>
      <c r="CZ48" s="7">
        <f>IF(ISBLANK(CZ21),"NO DATA",IF(ISNUMBER(FIND(CODES!$A$12,CZ21)),CODES!$A$12,IF(OR(ISNUMBER(FIND(CODES!$A$10,CZ21)),ISNUMBER(FIND(CODES!$A$11,CZ21))),CODES!$A$13,IF(OR(CZ21&lt;CZ$39,ISNUMBER(CZ21)=FALSE),CZ$40,CZ21))))</f>
      </c>
      <c r="DA48" s="7">
        <f>IF(ISBLANK(DA21),"NO DATA",IF(ISNUMBER(FIND(CODES!$A$12,DA21)),CODES!$A$12,IF(OR(ISNUMBER(FIND(CODES!$A$10,DA21)),ISNUMBER(FIND(CODES!$A$11,DA21))),CODES!$A$13,IF(OR(DA21&lt;DA$39,ISNUMBER(DA21)=FALSE),DA$40,DA21))))</f>
      </c>
      <c r="DB48" s="7" t="str">
        <f>IF(ISBLANK(DB21),"NO DATA",IF(ISNUMBER(FIND(CODES!$A$12,DB21)),CODES!$A$12,IF(OR(ISNUMBER(FIND(CODES!$A$10,DB21)),ISNUMBER(FIND(CODES!$A$11,DB21))),CODES!$A$13,IF(OR(DB21&lt;DB$39,ISNUMBER(DB21)=FALSE),DB$40,DB21))))</f>
      </c>
      <c r="DC48" s="7" t="str">
        <f>IF(ISBLANK(DC21),"NO DATA",IF(ISNUMBER(FIND(CODES!$A$12,DC21)),CODES!$A$12,IF(OR(ISNUMBER(FIND(CODES!$A$10,DC21)),ISNUMBER(FIND(CODES!$A$11,DC21))),CODES!$A$13,IF(OR(DC21&lt;DC$39,ISNUMBER(DC21)=FALSE),DC$40,DC21))))</f>
      </c>
      <c r="DD48" s="7">
        <f>IF(ISBLANK(DD21),"NO DATA",IF(ISNUMBER(FIND(CODES!$A$12,DD21)),CODES!$A$12,IF(OR(ISNUMBER(FIND(CODES!$A$10,DD21)),ISNUMBER(FIND(CODES!$A$11,DD21))),CODES!$A$13,IF(OR(DD21&lt;DD$39,ISNUMBER(DD21)=FALSE),DD$40,DD21))))</f>
      </c>
      <c r="DE48" s="7">
        <f>IF(ISBLANK(DE21),"NO DATA",IF(ISNUMBER(FIND(CODES!$A$12,DE21)),CODES!$A$12,IF(OR(ISNUMBER(FIND(CODES!$A$10,DE21)),ISNUMBER(FIND(CODES!$A$11,DE21))),CODES!$A$13,IF(OR(DE21&lt;DE$39,ISNUMBER(DE21)=FALSE),DE$40,DE21))))</f>
      </c>
      <c r="DF48" s="7">
        <f>IF(ISBLANK(DF21),"NO DATA",IF(ISNUMBER(FIND(CODES!$A$12,DF21)),CODES!$A$12,IF(OR(ISNUMBER(FIND(CODES!$A$10,DF21)),ISNUMBER(FIND(CODES!$A$11,DF21))),CODES!$A$13,IF(OR(DF21&lt;DF$39,ISNUMBER(DF21)=FALSE),DF$40,DF21))))</f>
      </c>
      <c r="DG48" s="7">
        <f>IF(ISBLANK(DG21),"NO DATA",IF(ISNUMBER(FIND(CODES!$A$12,DG21)),CODES!$A$12,IF(OR(ISNUMBER(FIND(CODES!$A$10,DG21)),ISNUMBER(FIND(CODES!$A$11,DG21))),CODES!$A$13,IF(OR(DG21&lt;DG$39,ISNUMBER(DG21)=FALSE),DG$40,DG21))))</f>
      </c>
      <c r="DH48" s="7">
        <f>IF(ISBLANK(DH21),"NO DATA",IF(ISNUMBER(FIND(CODES!$A$12,DH21)),CODES!$A$12,IF(OR(ISNUMBER(FIND(CODES!$A$10,DH21)),ISNUMBER(FIND(CODES!$A$11,DH21))),CODES!$A$13,IF(OR(DH21&lt;DH$39,ISNUMBER(DH21)=FALSE),DH$40,DH21))))</f>
      </c>
      <c r="DI48" s="7">
        <f>IF(ISBLANK(DI21),"NO DATA",IF(ISNUMBER(FIND(CODES!$A$12,DI21)),CODES!$A$12,IF(OR(ISNUMBER(FIND(CODES!$A$10,DI21)),ISNUMBER(FIND(CODES!$A$11,DI21))),CODES!$A$13,IF(OR(DI21&lt;DI$39,ISNUMBER(DI21)=FALSE),DI$40,DI21))))</f>
      </c>
    </row>
    <row r="49" spans="1:113" x14ac:dyDescent="0.25">
      <c r="A49" s="16" t="str">
        <f t="shared" si="8"/>
      </c>
      <c r="B49" s="16" t="str">
        <f t="shared" si="8"/>
      </c>
      <c r="C49" s="7" t="str">
        <f>IF(ISBLANK(C22),"NO DATA",IF(ISNUMBER(FIND(CODES!$A$12,C22)),CODES!$A$12,IF(OR(ISNUMBER(FIND(CODES!$A$10,C22)),ISNUMBER(FIND(CODES!$A$11,C22))),CODES!$A$13,IF(OR(C22&lt;C$39,ISNUMBER(C22)=FALSE),C$40,C22))))</f>
      </c>
      <c r="D49" s="7" t="str">
        <f>IF(ISBLANK(D22),"NO DATA",IF(ISNUMBER(FIND(CODES!$A$12,D22)),CODES!$A$12,IF(OR(ISNUMBER(FIND(CODES!$A$10,D22)),ISNUMBER(FIND(CODES!$A$11,D22))),CODES!$A$13,IF(OR(D22&lt;D$39,ISNUMBER(D22)=FALSE),D$40,D22))))</f>
      </c>
      <c r="E49" s="7" t="str">
        <f>IF(ISBLANK(E22),"NO DATA",IF(ISNUMBER(FIND(CODES!$A$12,E22)),CODES!$A$12,IF(OR(ISNUMBER(FIND(CODES!$A$10,E22)),ISNUMBER(FIND(CODES!$A$11,E22))),CODES!$A$13,IF(OR(E22&lt;E$39,ISNUMBER(E22)=FALSE),E$40,E22))))</f>
      </c>
      <c r="F49" s="7" t="str">
        <f>IF(ISBLANK(F22),"NO DATA",IF(ISNUMBER(FIND(CODES!$A$12,F22)),CODES!$A$12,IF(OR(ISNUMBER(FIND(CODES!$A$10,F22)),ISNUMBER(FIND(CODES!$A$11,F22))),CODES!$A$13,IF(OR(F22&lt;F$39,ISNUMBER(F22)=FALSE),F$40,F22))))</f>
      </c>
      <c r="G49" s="7" t="str">
        <f>IF(ISBLANK(G22),"NO DATA",IF(ISNUMBER(FIND(CODES!$A$12,G22)),CODES!$A$12,IF(OR(ISNUMBER(FIND(CODES!$A$10,G22)),ISNUMBER(FIND(CODES!$A$11,G22))),CODES!$A$13,IF(OR(G22&lt;G$39,ISNUMBER(G22)=FALSE),G$40,G22))))</f>
      </c>
      <c r="H49" s="7" t="str">
        <f>IF(ISBLANK(H22),"NO DATA",IF(ISNUMBER(FIND(CODES!$A$12,H22)),CODES!$A$12,IF(OR(ISNUMBER(FIND(CODES!$A$10,H22)),ISNUMBER(FIND(CODES!$A$11,H22))),CODES!$A$13,IF(OR(H22&lt;H$39,ISNUMBER(H22)=FALSE),H$40,H22))))</f>
      </c>
      <c r="I49" s="7" t="str">
        <f>IF(ISBLANK(I22),"NO DATA",IF(ISNUMBER(FIND(CODES!$A$12,I22)),CODES!$A$12,IF(OR(ISNUMBER(FIND(CODES!$A$10,I22)),ISNUMBER(FIND(CODES!$A$11,I22))),CODES!$A$13,IF(OR(I22&lt;I$39,ISNUMBER(I22)=FALSE),I$40,I22))))</f>
      </c>
      <c r="J49" s="7" t="str">
        <f>IF(ISBLANK(J22),"NO DATA",IF(ISNUMBER(FIND(CODES!$A$12,J22)),CODES!$A$12,IF(OR(ISNUMBER(FIND(CODES!$A$10,J22)),ISNUMBER(FIND(CODES!$A$11,J22))),CODES!$A$13,IF(OR(J22&lt;J$39,ISNUMBER(J22)=FALSE),J$40,J22))))</f>
      </c>
      <c r="K49" s="7" t="str">
        <f>IF(ISBLANK(K22),"NO DATA",IF(ISNUMBER(FIND(CODES!$A$12,K22)),CODES!$A$12,IF(OR(ISNUMBER(FIND(CODES!$A$10,K22)),ISNUMBER(FIND(CODES!$A$11,K22))),CODES!$A$13,IF(OR(K22&lt;K$39,ISNUMBER(K22)=FALSE),K$40,K22))))</f>
      </c>
      <c r="L49" s="7" t="str">
        <f>IF(ISBLANK(L22),"NO DATA",IF(ISNUMBER(FIND(CODES!$A$12,L22)),CODES!$A$12,IF(OR(ISNUMBER(FIND(CODES!$A$10,L22)),ISNUMBER(FIND(CODES!$A$11,L22))),CODES!$A$13,IF(OR(L22&lt;L$39,ISNUMBER(L22)=FALSE),L$40,L22))))</f>
      </c>
      <c r="M49" s="7" t="str">
        <f>IF(ISBLANK(M22),"NO DATA",IF(ISNUMBER(FIND(CODES!$A$12,M22)),CODES!$A$12,IF(OR(ISNUMBER(FIND(CODES!$A$10,M22)),ISNUMBER(FIND(CODES!$A$11,M22))),CODES!$A$13,IF(OR(M22&lt;M$39,ISNUMBER(M22)=FALSE),M$40,M22))))</f>
      </c>
      <c r="N49" s="7" t="str">
        <f>IF(ISBLANK(N22),"NO DATA",IF(ISNUMBER(FIND(CODES!$A$12,N22)),CODES!$A$12,IF(OR(ISNUMBER(FIND(CODES!$A$10,N22)),ISNUMBER(FIND(CODES!$A$11,N22))),CODES!$A$13,IF(OR(N22&lt;N$39,ISNUMBER(N22)=FALSE),N$40,N22))))</f>
      </c>
      <c r="O49" s="7" t="str">
        <f>IF(ISBLANK(O22),"NO DATA",IF(ISNUMBER(FIND(CODES!$A$12,O22)),CODES!$A$12,IF(OR(ISNUMBER(FIND(CODES!$A$10,O22)),ISNUMBER(FIND(CODES!$A$11,O22))),CODES!$A$13,IF(OR(O22&lt;O$39,ISNUMBER(O22)=FALSE),O$40,O22))))</f>
      </c>
      <c r="P49" s="7" t="str">
        <f>IF(ISBLANK(P22),"NO DATA",IF(ISNUMBER(FIND(CODES!$A$12,P22)),CODES!$A$12,IF(OR(ISNUMBER(FIND(CODES!$A$10,P22)),ISNUMBER(FIND(CODES!$A$11,P22))),CODES!$A$13,IF(OR(P22&lt;P$39,ISNUMBER(P22)=FALSE),P$40,P22))))</f>
      </c>
      <c r="Q49" s="7" t="str">
        <f>IF(ISBLANK(Q22),"NO DATA",IF(ISNUMBER(FIND(CODES!$A$12,Q22)),CODES!$A$12,IF(OR(ISNUMBER(FIND(CODES!$A$10,Q22)),ISNUMBER(FIND(CODES!$A$11,Q22))),CODES!$A$13,IF(OR(Q22&lt;Q$39,ISNUMBER(Q22)=FALSE),Q$40,Q22))))</f>
      </c>
      <c r="R49" s="7" t="str">
        <f>IF(ISBLANK(R22),"NO DATA",IF(ISNUMBER(FIND(CODES!$A$12,R22)),CODES!$A$12,IF(OR(ISNUMBER(FIND(CODES!$A$10,R22)),ISNUMBER(FIND(CODES!$A$11,R22))),CODES!$A$13,IF(OR(R22&lt;R$39,ISNUMBER(R22)=FALSE),R$40,R22))))</f>
      </c>
      <c r="S49" s="7" t="str">
        <f>IF(ISBLANK(S22),"NO DATA",IF(ISNUMBER(FIND(CODES!$A$12,S22)),CODES!$A$12,IF(OR(ISNUMBER(FIND(CODES!$A$10,S22)),ISNUMBER(FIND(CODES!$A$11,S22))),CODES!$A$13,IF(OR(S22&lt;S$39,ISNUMBER(S22)=FALSE),S$40,S22))))</f>
      </c>
      <c r="T49" s="7" t="str">
        <f>IF(ISBLANK(T22),"NO DATA",IF(ISNUMBER(FIND(CODES!$A$12,T22)),CODES!$A$12,IF(OR(ISNUMBER(FIND(CODES!$A$10,T22)),ISNUMBER(FIND(CODES!$A$11,T22))),CODES!$A$13,IF(OR(T22&lt;T$39,ISNUMBER(T22)=FALSE),T$40,T22))))</f>
      </c>
      <c r="U49" s="7" t="str">
        <f>IF(ISBLANK(U22),"NO DATA",IF(ISNUMBER(FIND(CODES!$A$12,U22)),CODES!$A$12,IF(OR(ISNUMBER(FIND(CODES!$A$10,U22)),ISNUMBER(FIND(CODES!$A$11,U22))),CODES!$A$13,IF(OR(U22&lt;U$39,ISNUMBER(U22)=FALSE),U$40,U22))))</f>
      </c>
      <c r="V49" s="7" t="str">
        <f>IF(ISBLANK(V22),"NO DATA",IF(ISNUMBER(FIND(CODES!$A$12,V22)),CODES!$A$12,IF(OR(ISNUMBER(FIND(CODES!$A$10,V22)),ISNUMBER(FIND(CODES!$A$11,V22))),CODES!$A$13,IF(OR(V22&lt;V$39,ISNUMBER(V22)=FALSE),V$40,V22))))</f>
      </c>
      <c r="W49" s="7" t="str">
        <f>IF(ISBLANK(W22),"NO DATA",IF(ISNUMBER(FIND(CODES!$A$12,W22)),CODES!$A$12,IF(OR(ISNUMBER(FIND(CODES!$A$10,W22)),ISNUMBER(FIND(CODES!$A$11,W22))),CODES!$A$13,IF(OR(W22&lt;W$39,ISNUMBER(W22)=FALSE),W$40,W22))))</f>
      </c>
      <c r="X49" s="7" t="str">
        <f>IF(ISBLANK(X22),"NO DATA",IF(ISNUMBER(FIND(CODES!$A$12,X22)),CODES!$A$12,IF(OR(ISNUMBER(FIND(CODES!$A$10,X22)),ISNUMBER(FIND(CODES!$A$11,X22))),CODES!$A$13,IF(OR(X22&lt;X$39,ISNUMBER(X22)=FALSE),X$40,X22))))</f>
      </c>
      <c r="Y49" s="7" t="str">
        <f>IF(ISBLANK(Y22),"NO DATA",IF(ISNUMBER(FIND(CODES!$A$12,Y22)),CODES!$A$12,IF(OR(ISNUMBER(FIND(CODES!$A$10,Y22)),ISNUMBER(FIND(CODES!$A$11,Y22))),CODES!$A$13,IF(OR(Y22&lt;Y$39,ISNUMBER(Y22)=FALSE),Y$40,Y22))))</f>
      </c>
      <c r="Z49" s="7" t="str">
        <f>IF(ISBLANK(Z22),"NO DATA",IF(ISNUMBER(FIND(CODES!$A$12,Z22)),CODES!$A$12,IF(OR(ISNUMBER(FIND(CODES!$A$10,Z22)),ISNUMBER(FIND(CODES!$A$11,Z22))),CODES!$A$13,IF(OR(Z22&lt;Z$39,ISNUMBER(Z22)=FALSE),Z$40,Z22))))</f>
      </c>
      <c r="AA49" s="7" t="str">
        <f>IF(ISBLANK(AA22),"NO DATA",IF(ISNUMBER(FIND(CODES!$A$12,AA22)),CODES!$A$12,IF(OR(ISNUMBER(FIND(CODES!$A$10,AA22)),ISNUMBER(FIND(CODES!$A$11,AA22))),CODES!$A$13,IF(OR(AA22&lt;AA$39,ISNUMBER(AA22)=FALSE),AA$40,AA22))))</f>
      </c>
      <c r="AB49" s="7" t="str">
        <f>IF(ISBLANK(AB22),"NO DATA",IF(ISNUMBER(FIND(CODES!$A$12,AB22)),CODES!$A$12,IF(OR(ISNUMBER(FIND(CODES!$A$10,AB22)),ISNUMBER(FIND(CODES!$A$11,AB22))),CODES!$A$13,IF(OR(AB22&lt;AB$39,ISNUMBER(AB22)=FALSE),AB$40,AB22))))</f>
      </c>
      <c r="AC49" s="7" t="str">
        <f>IF(ISBLANK(AC22),"NO DATA",IF(ISNUMBER(FIND(CODES!$A$12,AC22)),CODES!$A$12,IF(OR(ISNUMBER(FIND(CODES!$A$10,AC22)),ISNUMBER(FIND(CODES!$A$11,AC22))),CODES!$A$13,IF(OR(AC22&lt;AC$39,ISNUMBER(AC22)=FALSE),AC$40,AC22))))</f>
      </c>
      <c r="AD49" s="7" t="str">
        <f>IF(ISBLANK(AD22),"NO DATA",IF(ISNUMBER(FIND(CODES!$A$12,AD22)),CODES!$A$12,IF(OR(ISNUMBER(FIND(CODES!$A$10,AD22)),ISNUMBER(FIND(CODES!$A$11,AD22))),CODES!$A$13,IF(OR(AD22&lt;AD$39,ISNUMBER(AD22)=FALSE),AD$40,AD22))))</f>
      </c>
      <c r="AE49" s="7" t="str">
        <f>IF(ISBLANK(AE22),"NO DATA",IF(ISNUMBER(FIND(CODES!$A$12,AE22)),CODES!$A$12,IF(OR(ISNUMBER(FIND(CODES!$A$10,AE22)),ISNUMBER(FIND(CODES!$A$11,AE22))),CODES!$A$13,IF(OR(AE22&lt;AE$39,ISNUMBER(AE22)=FALSE),AE$40,AE22))))</f>
      </c>
      <c r="AF49" s="7" t="str">
        <f>IF(ISBLANK(AF22),"NO DATA",IF(ISNUMBER(FIND(CODES!$A$12,AF22)),CODES!$A$12,IF(OR(ISNUMBER(FIND(CODES!$A$10,AF22)),ISNUMBER(FIND(CODES!$A$11,AF22))),CODES!$A$13,IF(OR(AF22&lt;AF$39,ISNUMBER(AF22)=FALSE),AF$40,AF22))))</f>
      </c>
      <c r="AG49" s="7" t="str">
        <f>IF(ISBLANK(AG22),"NO DATA",IF(ISNUMBER(FIND(CODES!$A$12,AG22)),CODES!$A$12,IF(OR(ISNUMBER(FIND(CODES!$A$10,AG22)),ISNUMBER(FIND(CODES!$A$11,AG22))),CODES!$A$13,IF(OR(AG22&lt;AG$39,ISNUMBER(AG22)=FALSE),AG$40,AG22))))</f>
      </c>
      <c r="AH49" s="7" t="str">
        <f>IF(ISBLANK(AH22),"NO DATA",IF(ISNUMBER(FIND(CODES!$A$12,AH22)),CODES!$A$12,IF(OR(ISNUMBER(FIND(CODES!$A$10,AH22)),ISNUMBER(FIND(CODES!$A$11,AH22))),CODES!$A$13,IF(OR(AH22&lt;AH$39,ISNUMBER(AH22)=FALSE),AH$40,AH22))))</f>
      </c>
      <c r="AI49" s="7" t="str">
        <f>IF(ISBLANK(AI22),"NO DATA",IF(ISNUMBER(FIND(CODES!$A$12,AI22)),CODES!$A$12,IF(OR(ISNUMBER(FIND(CODES!$A$10,AI22)),ISNUMBER(FIND(CODES!$A$11,AI22))),CODES!$A$13,IF(OR(AI22&lt;AI$39,ISNUMBER(AI22)=FALSE),AI$40,AI22))))</f>
      </c>
      <c r="AJ49" s="7" t="str">
        <f>IF(ISBLANK(AJ22),"NO DATA",IF(ISNUMBER(FIND(CODES!$A$12,AJ22)),CODES!$A$12,IF(OR(ISNUMBER(FIND(CODES!$A$10,AJ22)),ISNUMBER(FIND(CODES!$A$11,AJ22))),CODES!$A$13,IF(OR(AJ22&lt;AJ$39,ISNUMBER(AJ22)=FALSE),AJ$40,AJ22))))</f>
      </c>
      <c r="AK49" s="7" t="str">
        <f>IF(ISBLANK(AK22),"NO DATA",IF(ISNUMBER(FIND(CODES!$A$12,AK22)),CODES!$A$12,IF(OR(ISNUMBER(FIND(CODES!$A$10,AK22)),ISNUMBER(FIND(CODES!$A$11,AK22))),CODES!$A$13,IF(OR(AK22&lt;AK$39,ISNUMBER(AK22)=FALSE),AK$40,AK22))))</f>
      </c>
      <c r="AL49" s="7" t="str">
        <f>IF(ISBLANK(AL22),"NO DATA",IF(ISNUMBER(FIND(CODES!$A$12,AL22)),CODES!$A$12,IF(OR(ISNUMBER(FIND(CODES!$A$10,AL22)),ISNUMBER(FIND(CODES!$A$11,AL22))),CODES!$A$13,IF(OR(AL22&lt;AL$39,ISNUMBER(AL22)=FALSE),AL$40,AL22))))</f>
      </c>
      <c r="AM49" s="7" t="str">
        <f>IF(ISBLANK(AM22),"NO DATA",IF(ISNUMBER(FIND(CODES!$A$12,AM22)),CODES!$A$12,IF(OR(ISNUMBER(FIND(CODES!$A$10,AM22)),ISNUMBER(FIND(CODES!$A$11,AM22))),CODES!$A$13,IF(OR(AM22&lt;AM$39,ISNUMBER(AM22)=FALSE),AM$40,AM22))))</f>
      </c>
      <c r="AN49" s="7" t="str">
        <f>IF(ISBLANK(AN22),"NO DATA",IF(ISNUMBER(FIND(CODES!$A$12,AN22)),CODES!$A$12,IF(OR(ISNUMBER(FIND(CODES!$A$10,AN22)),ISNUMBER(FIND(CODES!$A$11,AN22))),CODES!$A$13,IF(OR(AN22&lt;AN$39,ISNUMBER(AN22)=FALSE),AN$40,AN22))))</f>
      </c>
      <c r="AO49" s="7" t="str">
        <f>IF(ISBLANK(AO22),"NO DATA",IF(ISNUMBER(FIND(CODES!$A$12,AO22)),CODES!$A$12,IF(OR(ISNUMBER(FIND(CODES!$A$10,AO22)),ISNUMBER(FIND(CODES!$A$11,AO22))),CODES!$A$13,IF(OR(AO22&lt;AO$39,ISNUMBER(AO22)=FALSE),AO$40,AO22))))</f>
      </c>
      <c r="AP49" s="7" t="str">
        <f>IF(ISBLANK(AP22),"NO DATA",IF(ISNUMBER(FIND(CODES!$A$12,AP22)),CODES!$A$12,IF(OR(ISNUMBER(FIND(CODES!$A$10,AP22)),ISNUMBER(FIND(CODES!$A$11,AP22))),CODES!$A$13,IF(OR(AP22&lt;AP$39,ISNUMBER(AP22)=FALSE),AP$40,AP22))))</f>
      </c>
      <c r="AQ49" s="7" t="str">
        <f>IF(ISBLANK(AQ22),"NO DATA",IF(ISNUMBER(FIND(CODES!$A$12,AQ22)),CODES!$A$12,IF(OR(ISNUMBER(FIND(CODES!$A$10,AQ22)),ISNUMBER(FIND(CODES!$A$11,AQ22))),CODES!$A$13,IF(OR(AQ22&lt;AQ$39,ISNUMBER(AQ22)=FALSE),AQ$40,AQ22))))</f>
      </c>
      <c r="AR49" s="7" t="str">
        <f>IF(ISBLANK(AR22),"NO DATA",IF(ISNUMBER(FIND(CODES!$A$12,AR22)),CODES!$A$12,IF(OR(ISNUMBER(FIND(CODES!$A$10,AR22)),ISNUMBER(FIND(CODES!$A$11,AR22))),CODES!$A$13,IF(OR(AR22&lt;AR$39,ISNUMBER(AR22)=FALSE),AR$40,AR22))))</f>
      </c>
      <c r="AS49" s="7" t="str">
        <f>IF(ISBLANK(AS22),"NO DATA",IF(ISNUMBER(FIND(CODES!$A$12,AS22)),CODES!$A$12,IF(OR(ISNUMBER(FIND(CODES!$A$10,AS22)),ISNUMBER(FIND(CODES!$A$11,AS22))),CODES!$A$13,IF(OR(AS22&lt;AS$39,ISNUMBER(AS22)=FALSE),AS$40,AS22))))</f>
      </c>
      <c r="AT49" s="7" t="str">
        <f>IF(ISBLANK(AT22),"NO DATA",IF(ISNUMBER(FIND(CODES!$A$12,AT22)),CODES!$A$12,IF(OR(ISNUMBER(FIND(CODES!$A$10,AT22)),ISNUMBER(FIND(CODES!$A$11,AT22))),CODES!$A$13,IF(OR(AT22&lt;AT$39,ISNUMBER(AT22)=FALSE),AT$40,AT22))))</f>
      </c>
      <c r="AU49" s="7" t="str">
        <f>IF(ISBLANK(AU22),"NO DATA",IF(ISNUMBER(FIND(CODES!$A$12,AU22)),CODES!$A$12,IF(OR(ISNUMBER(FIND(CODES!$A$10,AU22)),ISNUMBER(FIND(CODES!$A$11,AU22))),CODES!$A$13,IF(OR(AU22&lt;AU$39,ISNUMBER(AU22)=FALSE),AU$40,AU22))))</f>
      </c>
      <c r="AV49" s="7" t="str">
        <f>IF(ISBLANK(AV22),"NO DATA",IF(ISNUMBER(FIND(CODES!$A$12,AV22)),CODES!$A$12,IF(OR(ISNUMBER(FIND(CODES!$A$10,AV22)),ISNUMBER(FIND(CODES!$A$11,AV22))),CODES!$A$13,IF(OR(AV22&lt;AV$39,ISNUMBER(AV22)=FALSE),AV$40,AV22))))</f>
      </c>
      <c r="AW49" s="7" t="str">
        <f>IF(ISBLANK(AW22),"NO DATA",IF(ISNUMBER(FIND(CODES!$A$12,AW22)),CODES!$A$12,IF(OR(ISNUMBER(FIND(CODES!$A$10,AW22)),ISNUMBER(FIND(CODES!$A$11,AW22))),CODES!$A$13,IF(OR(AW22&lt;AW$39,ISNUMBER(AW22)=FALSE),AW$40,AW22))))</f>
      </c>
      <c r="AX49" s="7" t="str">
        <f>IF(ISBLANK(AX22),"NO DATA",IF(ISNUMBER(FIND(CODES!$A$12,AX22)),CODES!$A$12,IF(OR(ISNUMBER(FIND(CODES!$A$10,AX22)),ISNUMBER(FIND(CODES!$A$11,AX22))),CODES!$A$13,IF(OR(AX22&lt;AX$39,ISNUMBER(AX22)=FALSE),AX$40,AX22))))</f>
      </c>
      <c r="AY49" s="7" t="str">
        <f>IF(ISBLANK(AY22),"NO DATA",IF(ISNUMBER(FIND(CODES!$A$12,AY22)),CODES!$A$12,IF(OR(ISNUMBER(FIND(CODES!$A$10,AY22)),ISNUMBER(FIND(CODES!$A$11,AY22))),CODES!$A$13,IF(OR(AY22&lt;AY$39,ISNUMBER(AY22)=FALSE),AY$40,AY22))))</f>
      </c>
      <c r="AZ49" s="7" t="str">
        <f>IF(ISBLANK(AZ22),"NO DATA",IF(ISNUMBER(FIND(CODES!$A$12,AZ22)),CODES!$A$12,IF(OR(ISNUMBER(FIND(CODES!$A$10,AZ22)),ISNUMBER(FIND(CODES!$A$11,AZ22))),CODES!$A$13,IF(OR(AZ22&lt;AZ$39,ISNUMBER(AZ22)=FALSE),AZ$40,AZ22))))</f>
      </c>
      <c r="BA49" s="7" t="str">
        <f>IF(ISBLANK(BA22),"NO DATA",IF(ISNUMBER(FIND(CODES!$A$12,BA22)),CODES!$A$12,IF(OR(ISNUMBER(FIND(CODES!$A$10,BA22)),ISNUMBER(FIND(CODES!$A$11,BA22))),CODES!$A$13,IF(OR(BA22&lt;BA$39,ISNUMBER(BA22)=FALSE),BA$40,BA22))))</f>
      </c>
      <c r="BB49" s="7" t="str">
        <f>IF(ISBLANK(BB22),"NO DATA",IF(ISNUMBER(FIND(CODES!$A$12,BB22)),CODES!$A$12,IF(OR(ISNUMBER(FIND(CODES!$A$10,BB22)),ISNUMBER(FIND(CODES!$A$11,BB22))),CODES!$A$13,IF(OR(BB22&lt;BB$39,ISNUMBER(BB22)=FALSE),BB$40,BB22))))</f>
      </c>
      <c r="BC49" s="7" t="str">
        <f>IF(ISBLANK(BC22),"NO DATA",IF(ISNUMBER(FIND(CODES!$A$12,BC22)),CODES!$A$12,IF(OR(ISNUMBER(FIND(CODES!$A$10,BC22)),ISNUMBER(FIND(CODES!$A$11,BC22))),CODES!$A$13,IF(OR(BC22&lt;BC$39,ISNUMBER(BC22)=FALSE),BC$40,BC22))))</f>
      </c>
      <c r="BD49" s="7" t="str">
        <f>IF(ISBLANK(BD22),"NO DATA",IF(ISNUMBER(FIND(CODES!$A$12,BD22)),CODES!$A$12,IF(OR(ISNUMBER(FIND(CODES!$A$10,BD22)),ISNUMBER(FIND(CODES!$A$11,BD22))),CODES!$A$13,IF(OR(BD22&lt;BD$39,ISNUMBER(BD22)=FALSE),BD$40,BD22))))</f>
      </c>
      <c r="BE49" s="7" t="str">
        <f>IF(ISBLANK(BE22),"NO DATA",IF(ISNUMBER(FIND(CODES!$A$12,BE22)),CODES!$A$12,IF(OR(ISNUMBER(FIND(CODES!$A$10,BE22)),ISNUMBER(FIND(CODES!$A$11,BE22))),CODES!$A$13,IF(OR(BE22&lt;BE$39,ISNUMBER(BE22)=FALSE),BE$40,BE22))))</f>
      </c>
      <c r="BF49" s="7" t="str">
        <f>IF(ISBLANK(BF22),"NO DATA",IF(ISNUMBER(FIND(CODES!$A$12,BF22)),CODES!$A$12,IF(OR(ISNUMBER(FIND(CODES!$A$10,BF22)),ISNUMBER(FIND(CODES!$A$11,BF22))),CODES!$A$13,IF(OR(BF22&lt;BF$39,ISNUMBER(BF22)=FALSE),BF$40,BF22))))</f>
      </c>
      <c r="BG49" s="7">
        <f>IF(ISBLANK(BG22),"NO DATA",IF(ISNUMBER(FIND(CODES!$A$12,BG22)),CODES!$A$12,IF(OR(ISNUMBER(FIND(CODES!$A$10,BG22)),ISNUMBER(FIND(CODES!$A$11,BG22))),CODES!$A$13,IF(OR(BG22&lt;BG$39,ISNUMBER(BG22)=FALSE),BG$40,BG22))))</f>
      </c>
      <c r="BH49" s="7" t="str">
        <f>IF(ISBLANK(BH22),"NO DATA",IF(ISNUMBER(FIND(CODES!$A$12,BH22)),CODES!$A$12,IF(OR(ISNUMBER(FIND(CODES!$A$10,BH22)),ISNUMBER(FIND(CODES!$A$11,BH22))),CODES!$A$13,IF(OR(BH22&lt;BH$39,ISNUMBER(BH22)=FALSE),BH$40,BH22))))</f>
      </c>
      <c r="BI49" s="7" t="str">
        <f>IF(ISBLANK(BI22),"NO DATA",IF(ISNUMBER(FIND(CODES!$A$12,BI22)),CODES!$A$12,IF(OR(ISNUMBER(FIND(CODES!$A$10,BI22)),ISNUMBER(FIND(CODES!$A$11,BI22))),CODES!$A$13,IF(OR(BI22&lt;BI$39,ISNUMBER(BI22)=FALSE),BI$40,BI22))))</f>
      </c>
      <c r="BJ49" s="7" t="str">
        <f>IF(ISBLANK(BJ22),"NO DATA",IF(ISNUMBER(FIND(CODES!$A$12,BJ22)),CODES!$A$12,IF(OR(ISNUMBER(FIND(CODES!$A$10,BJ22)),ISNUMBER(FIND(CODES!$A$11,BJ22))),CODES!$A$13,IF(OR(BJ22&lt;BJ$39,ISNUMBER(BJ22)=FALSE),BJ$40,BJ22))))</f>
      </c>
      <c r="BK49" s="7" t="str">
        <f>IF(ISBLANK(BK22),"NO DATA",IF(ISNUMBER(FIND(CODES!$A$12,BK22)),CODES!$A$12,IF(OR(ISNUMBER(FIND(CODES!$A$10,BK22)),ISNUMBER(FIND(CODES!$A$11,BK22))),CODES!$A$13,IF(OR(BK22&lt;BK$39,ISNUMBER(BK22)=FALSE),BK$40,BK22))))</f>
      </c>
      <c r="BL49" s="7" t="str">
        <f>IF(ISBLANK(BL22),"NO DATA",IF(ISNUMBER(FIND(CODES!$A$12,BL22)),CODES!$A$12,IF(OR(ISNUMBER(FIND(CODES!$A$10,BL22)),ISNUMBER(FIND(CODES!$A$11,BL22))),CODES!$A$13,IF(OR(BL22&lt;BL$39,ISNUMBER(BL22)=FALSE),BL$40,BL22))))</f>
      </c>
      <c r="BM49" s="7" t="str">
        <f>IF(ISBLANK(BM22),"NO DATA",IF(ISNUMBER(FIND(CODES!$A$12,BM22)),CODES!$A$12,IF(OR(ISNUMBER(FIND(CODES!$A$10,BM22)),ISNUMBER(FIND(CODES!$A$11,BM22))),CODES!$A$13,IF(OR(BM22&lt;BM$39,ISNUMBER(BM22)=FALSE),BM$40,BM22))))</f>
      </c>
      <c r="BN49" s="7" t="str">
        <f>IF(ISBLANK(BN22),"NO DATA",IF(ISNUMBER(FIND(CODES!$A$12,BN22)),CODES!$A$12,IF(OR(ISNUMBER(FIND(CODES!$A$10,BN22)),ISNUMBER(FIND(CODES!$A$11,BN22))),CODES!$A$13,IF(OR(BN22&lt;BN$39,ISNUMBER(BN22)=FALSE),BN$40,BN22))))</f>
      </c>
      <c r="BO49" s="7" t="str">
        <f>IF(ISBLANK(BO22),"NO DATA",IF(ISNUMBER(FIND(CODES!$A$12,BO22)),CODES!$A$12,IF(OR(ISNUMBER(FIND(CODES!$A$10,BO22)),ISNUMBER(FIND(CODES!$A$11,BO22))),CODES!$A$13,IF(OR(BO22&lt;BO$39,ISNUMBER(BO22)=FALSE),BO$40,BO22))))</f>
      </c>
      <c r="BP49" s="7" t="str">
        <f>IF(ISBLANK(BP22),"NO DATA",IF(ISNUMBER(FIND(CODES!$A$12,BP22)),CODES!$A$12,IF(OR(ISNUMBER(FIND(CODES!$A$10,BP22)),ISNUMBER(FIND(CODES!$A$11,BP22))),CODES!$A$13,IF(OR(BP22&lt;BP$39,ISNUMBER(BP22)=FALSE),BP$40,BP22))))</f>
      </c>
      <c r="BQ49" s="7" t="str">
        <f>IF(ISBLANK(BQ22),"NO DATA",IF(ISNUMBER(FIND(CODES!$A$12,BQ22)),CODES!$A$12,IF(OR(ISNUMBER(FIND(CODES!$A$10,BQ22)),ISNUMBER(FIND(CODES!$A$11,BQ22))),CODES!$A$13,IF(OR(BQ22&lt;BQ$39,ISNUMBER(BQ22)=FALSE),BQ$40,BQ22))))</f>
      </c>
      <c r="BR49" s="7" t="str">
        <f>IF(ISBLANK(BR22),"NO DATA",IF(ISNUMBER(FIND(CODES!$A$12,BR22)),CODES!$A$12,IF(OR(ISNUMBER(FIND(CODES!$A$10,BR22)),ISNUMBER(FIND(CODES!$A$11,BR22))),CODES!$A$13,IF(OR(BR22&lt;BR$39,ISNUMBER(BR22)=FALSE),BR$40,BR22))))</f>
      </c>
      <c r="BS49" s="7" t="str">
        <f>IF(ISBLANK(BS22),"NO DATA",IF(ISNUMBER(FIND(CODES!$A$12,BS22)),CODES!$A$12,IF(OR(ISNUMBER(FIND(CODES!$A$10,BS22)),ISNUMBER(FIND(CODES!$A$11,BS22))),CODES!$A$13,IF(OR(BS22&lt;BS$39,ISNUMBER(BS22)=FALSE),BS$40,BS22))))</f>
      </c>
      <c r="BT49" s="7" t="str">
        <f>IF(ISBLANK(BT22),"NO DATA",IF(ISNUMBER(FIND(CODES!$A$12,BT22)),CODES!$A$12,IF(OR(ISNUMBER(FIND(CODES!$A$10,BT22)),ISNUMBER(FIND(CODES!$A$11,BT22))),CODES!$A$13,IF(OR(BT22&lt;BT$39,ISNUMBER(BT22)=FALSE),BT$40,BT22))))</f>
      </c>
      <c r="BU49" s="7" t="str">
        <f>IF(ISBLANK(BU22),"NO DATA",IF(ISNUMBER(FIND(CODES!$A$12,BU22)),CODES!$A$12,IF(OR(ISNUMBER(FIND(CODES!$A$10,BU22)),ISNUMBER(FIND(CODES!$A$11,BU22))),CODES!$A$13,IF(OR(BU22&lt;BU$39,ISNUMBER(BU22)=FALSE),BU$40,BU22))))</f>
      </c>
      <c r="BV49" s="7" t="str">
        <f>IF(ISBLANK(BV22),"NO DATA",IF(ISNUMBER(FIND(CODES!$A$12,BV22)),CODES!$A$12,IF(OR(ISNUMBER(FIND(CODES!$A$10,BV22)),ISNUMBER(FIND(CODES!$A$11,BV22))),CODES!$A$13,IF(OR(BV22&lt;BV$39,ISNUMBER(BV22)=FALSE),BV$40,BV22))))</f>
      </c>
      <c r="BW49" s="7" t="str">
        <f>IF(ISBLANK(BW22),"NO DATA",IF(ISNUMBER(FIND(CODES!$A$12,BW22)),CODES!$A$12,IF(OR(ISNUMBER(FIND(CODES!$A$10,BW22)),ISNUMBER(FIND(CODES!$A$11,BW22))),CODES!$A$13,IF(OR(BW22&lt;BW$39,ISNUMBER(BW22)=FALSE),BW$40,BW22))))</f>
      </c>
      <c r="BX49" s="7" t="str">
        <f>IF(ISBLANK(BX22),"NO DATA",IF(ISNUMBER(FIND(CODES!$A$12,BX22)),CODES!$A$12,IF(OR(ISNUMBER(FIND(CODES!$A$10,BX22)),ISNUMBER(FIND(CODES!$A$11,BX22))),CODES!$A$13,IF(OR(BX22&lt;BX$39,ISNUMBER(BX22)=FALSE),BX$40,BX22))))</f>
      </c>
      <c r="BY49" s="7" t="str">
        <f>IF(ISBLANK(BY22),"NO DATA",IF(ISNUMBER(FIND(CODES!$A$12,BY22)),CODES!$A$12,IF(OR(ISNUMBER(FIND(CODES!$A$10,BY22)),ISNUMBER(FIND(CODES!$A$11,BY22))),CODES!$A$13,IF(OR(BY22&lt;BY$39,ISNUMBER(BY22)=FALSE),BY$40,BY22))))</f>
      </c>
      <c r="BZ49" s="7" t="str">
        <f>IF(ISBLANK(BZ22),"NO DATA",IF(ISNUMBER(FIND(CODES!$A$12,BZ22)),CODES!$A$12,IF(OR(ISNUMBER(FIND(CODES!$A$10,BZ22)),ISNUMBER(FIND(CODES!$A$11,BZ22))),CODES!$A$13,IF(OR(BZ22&lt;BZ$39,ISNUMBER(BZ22)=FALSE),BZ$40,BZ22))))</f>
      </c>
      <c r="CA49" s="7">
        <f>IF(ISBLANK(CA22),"NO DATA",IF(ISNUMBER(FIND(CODES!$A$12,CA22)),CODES!$A$12,IF(OR(ISNUMBER(FIND(CODES!$A$10,CA22)),ISNUMBER(FIND(CODES!$A$11,CA22))),CODES!$A$13,IF(OR(CA22&lt;CA$39,ISNUMBER(CA22)=FALSE),CA$40,CA22))))</f>
      </c>
      <c r="CB49" s="7">
        <f>IF(ISBLANK(CB22),"NO DATA",IF(ISNUMBER(FIND(CODES!$A$12,CB22)),CODES!$A$12,IF(OR(ISNUMBER(FIND(CODES!$A$10,CB22)),ISNUMBER(FIND(CODES!$A$11,CB22))),CODES!$A$13,IF(OR(CB22&lt;CB$39,ISNUMBER(CB22)=FALSE),CB$40,CB22))))</f>
      </c>
      <c r="CC49" s="7" t="str">
        <f>IF(ISBLANK(CC22),"NO DATA",IF(ISNUMBER(FIND(CODES!$A$12,CC22)),CODES!$A$12,IF(OR(ISNUMBER(FIND(CODES!$A$10,CC22)),ISNUMBER(FIND(CODES!$A$11,CC22))),CODES!$A$13,IF(OR(CC22&lt;CC$39,ISNUMBER(CC22)=FALSE),CC$40,CC22))))</f>
      </c>
      <c r="CD49" s="7" t="str">
        <f>IF(ISBLANK(CD22),"NO DATA",IF(ISNUMBER(FIND(CODES!$A$12,CD22)),CODES!$A$12,IF(OR(ISNUMBER(FIND(CODES!$A$10,CD22)),ISNUMBER(FIND(CODES!$A$11,CD22))),CODES!$A$13,IF(OR(CD22&lt;CD$39,ISNUMBER(CD22)=FALSE),CD$40,CD22))))</f>
      </c>
      <c r="CE49" s="7" t="str">
        <f>IF(ISBLANK(CE22),"NO DATA",IF(ISNUMBER(FIND(CODES!$A$12,CE22)),CODES!$A$12,IF(OR(ISNUMBER(FIND(CODES!$A$10,CE22)),ISNUMBER(FIND(CODES!$A$11,CE22))),CODES!$A$13,IF(OR(CE22&lt;CE$39,ISNUMBER(CE22)=FALSE),CE$40,CE22))))</f>
      </c>
      <c r="CF49" s="7" t="str">
        <f>IF(ISBLANK(CF22),"NO DATA",IF(ISNUMBER(FIND(CODES!$A$12,CF22)),CODES!$A$12,IF(OR(ISNUMBER(FIND(CODES!$A$10,CF22)),ISNUMBER(FIND(CODES!$A$11,CF22))),CODES!$A$13,IF(OR(CF22&lt;CF$39,ISNUMBER(CF22)=FALSE),CF$40,CF22))))</f>
      </c>
      <c r="CG49" s="7" t="str">
        <f>IF(ISBLANK(CG22),"NO DATA",IF(ISNUMBER(FIND(CODES!$A$12,CG22)),CODES!$A$12,IF(OR(ISNUMBER(FIND(CODES!$A$10,CG22)),ISNUMBER(FIND(CODES!$A$11,CG22))),CODES!$A$13,IF(OR(CG22&lt;CG$39,ISNUMBER(CG22)=FALSE),CG$40,CG22))))</f>
      </c>
      <c r="CH49" s="7" t="str">
        <f>IF(ISBLANK(CH22),"NO DATA",IF(ISNUMBER(FIND(CODES!$A$12,CH22)),CODES!$A$12,IF(OR(ISNUMBER(FIND(CODES!$A$10,CH22)),ISNUMBER(FIND(CODES!$A$11,CH22))),CODES!$A$13,IF(OR(CH22&lt;CH$39,ISNUMBER(CH22)=FALSE),CH$40,CH22))))</f>
      </c>
      <c r="CI49" s="7" t="str">
        <f>IF(ISBLANK(CI22),"NO DATA",IF(ISNUMBER(FIND(CODES!$A$12,CI22)),CODES!$A$12,IF(OR(ISNUMBER(FIND(CODES!$A$10,CI22)),ISNUMBER(FIND(CODES!$A$11,CI22))),CODES!$A$13,IF(OR(CI22&lt;CI$39,ISNUMBER(CI22)=FALSE),CI$40,CI22))))</f>
      </c>
      <c r="CJ49" s="7" t="str">
        <f>IF(ISBLANK(CJ22),"NO DATA",IF(ISNUMBER(FIND(CODES!$A$12,CJ22)),CODES!$A$12,IF(OR(ISNUMBER(FIND(CODES!$A$10,CJ22)),ISNUMBER(FIND(CODES!$A$11,CJ22))),CODES!$A$13,IF(OR(CJ22&lt;CJ$39,ISNUMBER(CJ22)=FALSE),CJ$40,CJ22))))</f>
      </c>
      <c r="CK49" s="7" t="str">
        <f>IF(ISBLANK(CK22),"NO DATA",IF(ISNUMBER(FIND(CODES!$A$12,CK22)),CODES!$A$12,IF(OR(ISNUMBER(FIND(CODES!$A$10,CK22)),ISNUMBER(FIND(CODES!$A$11,CK22))),CODES!$A$13,IF(OR(CK22&lt;CK$39,ISNUMBER(CK22)=FALSE),CK$40,CK22))))</f>
      </c>
      <c r="CL49" s="7" t="str">
        <f>IF(ISBLANK(CL22),"NO DATA",IF(ISNUMBER(FIND(CODES!$A$12,CL22)),CODES!$A$12,IF(OR(ISNUMBER(FIND(CODES!$A$10,CL22)),ISNUMBER(FIND(CODES!$A$11,CL22))),CODES!$A$13,IF(OR(CL22&lt;CL$39,ISNUMBER(CL22)=FALSE),CL$40,CL22))))</f>
      </c>
      <c r="CM49" s="7" t="str">
        <f>IF(ISBLANK(CM22),"NO DATA",IF(ISNUMBER(FIND(CODES!$A$12,CM22)),CODES!$A$12,IF(OR(ISNUMBER(FIND(CODES!$A$10,CM22)),ISNUMBER(FIND(CODES!$A$11,CM22))),CODES!$A$13,IF(OR(CM22&lt;CM$39,ISNUMBER(CM22)=FALSE),CM$40,CM22))))</f>
      </c>
      <c r="CN49" s="7" t="str">
        <f>IF(ISBLANK(CN22),"NO DATA",IF(ISNUMBER(FIND(CODES!$A$12,CN22)),CODES!$A$12,IF(OR(ISNUMBER(FIND(CODES!$A$10,CN22)),ISNUMBER(FIND(CODES!$A$11,CN22))),CODES!$A$13,IF(OR(CN22&lt;CN$39,ISNUMBER(CN22)=FALSE),CN$40,CN22))))</f>
      </c>
      <c r="CO49" s="7" t="str">
        <f>IF(ISBLANK(CO22),"NO DATA",IF(ISNUMBER(FIND(CODES!$A$12,CO22)),CODES!$A$12,IF(OR(ISNUMBER(FIND(CODES!$A$10,CO22)),ISNUMBER(FIND(CODES!$A$11,CO22))),CODES!$A$13,IF(OR(CO22&lt;CO$39,ISNUMBER(CO22)=FALSE),CO$40,CO22))))</f>
      </c>
      <c r="CP49" s="7" t="str">
        <f>IF(ISBLANK(CP22),"NO DATA",IF(ISNUMBER(FIND(CODES!$A$12,CP22)),CODES!$A$12,IF(OR(ISNUMBER(FIND(CODES!$A$10,CP22)),ISNUMBER(FIND(CODES!$A$11,CP22))),CODES!$A$13,IF(OR(CP22&lt;CP$39,ISNUMBER(CP22)=FALSE),CP$40,CP22))))</f>
      </c>
      <c r="CQ49" s="7" t="str">
        <f>IF(ISBLANK(CQ22),"NO DATA",IF(ISNUMBER(FIND(CODES!$A$12,CQ22)),CODES!$A$12,IF(OR(ISNUMBER(FIND(CODES!$A$10,CQ22)),ISNUMBER(FIND(CODES!$A$11,CQ22))),CODES!$A$13,IF(OR(CQ22&lt;CQ$39,ISNUMBER(CQ22)=FALSE),CQ$40,CQ22))))</f>
      </c>
      <c r="CR49" s="7" t="str">
        <f>IF(ISBLANK(CR22),"NO DATA",IF(ISNUMBER(FIND(CODES!$A$12,CR22)),CODES!$A$12,IF(OR(ISNUMBER(FIND(CODES!$A$10,CR22)),ISNUMBER(FIND(CODES!$A$11,CR22))),CODES!$A$13,IF(OR(CR22&lt;CR$39,ISNUMBER(CR22)=FALSE),CR$40,CR22))))</f>
      </c>
      <c r="CS49" s="7" t="str">
        <f>IF(ISBLANK(CS22),"NO DATA",IF(ISNUMBER(FIND(CODES!$A$12,CS22)),CODES!$A$12,IF(OR(ISNUMBER(FIND(CODES!$A$10,CS22)),ISNUMBER(FIND(CODES!$A$11,CS22))),CODES!$A$13,IF(OR(CS22&lt;CS$39,ISNUMBER(CS22)=FALSE),CS$40,CS22))))</f>
      </c>
      <c r="CT49" s="7" t="str">
        <f>IF(ISBLANK(CT22),"NO DATA",IF(ISNUMBER(FIND(CODES!$A$12,CT22)),CODES!$A$12,IF(OR(ISNUMBER(FIND(CODES!$A$10,CT22)),ISNUMBER(FIND(CODES!$A$11,CT22))),CODES!$A$13,IF(OR(CT22&lt;CT$39,ISNUMBER(CT22)=FALSE),CT$40,CT22))))</f>
      </c>
      <c r="CU49" s="7" t="str">
        <f>IF(ISBLANK(CU22),"NO DATA",IF(ISNUMBER(FIND(CODES!$A$12,CU22)),CODES!$A$12,IF(OR(ISNUMBER(FIND(CODES!$A$10,CU22)),ISNUMBER(FIND(CODES!$A$11,CU22))),CODES!$A$13,IF(OR(CU22&lt;CU$39,ISNUMBER(CU22)=FALSE),CU$40,CU22))))</f>
      </c>
      <c r="CV49" s="7" t="str">
        <f>IF(ISBLANK(CV22),"NO DATA",IF(ISNUMBER(FIND(CODES!$A$12,CV22)),CODES!$A$12,IF(OR(ISNUMBER(FIND(CODES!$A$10,CV22)),ISNUMBER(FIND(CODES!$A$11,CV22))),CODES!$A$13,IF(OR(CV22&lt;CV$39,ISNUMBER(CV22)=FALSE),CV$40,CV22))))</f>
      </c>
      <c r="CW49" s="7" t="str">
        <f>IF(ISBLANK(CW22),"NO DATA",IF(ISNUMBER(FIND(CODES!$A$12,CW22)),CODES!$A$12,IF(OR(ISNUMBER(FIND(CODES!$A$10,CW22)),ISNUMBER(FIND(CODES!$A$11,CW22))),CODES!$A$13,IF(OR(CW22&lt;CW$39,ISNUMBER(CW22)=FALSE),CW$40,CW22))))</f>
      </c>
      <c r="CX49" s="7" t="str">
        <f>IF(ISBLANK(CX22),"NO DATA",IF(ISNUMBER(FIND(CODES!$A$12,CX22)),CODES!$A$12,IF(OR(ISNUMBER(FIND(CODES!$A$10,CX22)),ISNUMBER(FIND(CODES!$A$11,CX22))),CODES!$A$13,IF(OR(CX22&lt;CX$39,ISNUMBER(CX22)=FALSE),CX$40,CX22))))</f>
      </c>
      <c r="CY49" s="7">
        <f>IF(ISBLANK(CY22),"NO DATA",IF(ISNUMBER(FIND(CODES!$A$12,CY22)),CODES!$A$12,IF(OR(ISNUMBER(FIND(CODES!$A$10,CY22)),ISNUMBER(FIND(CODES!$A$11,CY22))),CODES!$A$13,IF(OR(CY22&lt;CY$39,ISNUMBER(CY22)=FALSE),CY$40,CY22))))</f>
      </c>
      <c r="CZ49" s="7" t="str">
        <f>IF(ISBLANK(CZ22),"NO DATA",IF(ISNUMBER(FIND(CODES!$A$12,CZ22)),CODES!$A$12,IF(OR(ISNUMBER(FIND(CODES!$A$10,CZ22)),ISNUMBER(FIND(CODES!$A$11,CZ22))),CODES!$A$13,IF(OR(CZ22&lt;CZ$39,ISNUMBER(CZ22)=FALSE),CZ$40,CZ22))))</f>
      </c>
      <c r="DA49" s="7" t="str">
        <f>IF(ISBLANK(DA22),"NO DATA",IF(ISNUMBER(FIND(CODES!$A$12,DA22)),CODES!$A$12,IF(OR(ISNUMBER(FIND(CODES!$A$10,DA22)),ISNUMBER(FIND(CODES!$A$11,DA22))),CODES!$A$13,IF(OR(DA22&lt;DA$39,ISNUMBER(DA22)=FALSE),DA$40,DA22))))</f>
      </c>
      <c r="DB49" s="7" t="str">
        <f>IF(ISBLANK(DB22),"NO DATA",IF(ISNUMBER(FIND(CODES!$A$12,DB22)),CODES!$A$12,IF(OR(ISNUMBER(FIND(CODES!$A$10,DB22)),ISNUMBER(FIND(CODES!$A$11,DB22))),CODES!$A$13,IF(OR(DB22&lt;DB$39,ISNUMBER(DB22)=FALSE),DB$40,DB22))))</f>
      </c>
      <c r="DC49" s="7" t="str">
        <f>IF(ISBLANK(DC22),"NO DATA",IF(ISNUMBER(FIND(CODES!$A$12,DC22)),CODES!$A$12,IF(OR(ISNUMBER(FIND(CODES!$A$10,DC22)),ISNUMBER(FIND(CODES!$A$11,DC22))),CODES!$A$13,IF(OR(DC22&lt;DC$39,ISNUMBER(DC22)=FALSE),DC$40,DC22))))</f>
      </c>
      <c r="DD49" s="7" t="str">
        <f>IF(ISBLANK(DD22),"NO DATA",IF(ISNUMBER(FIND(CODES!$A$12,DD22)),CODES!$A$12,IF(OR(ISNUMBER(FIND(CODES!$A$10,DD22)),ISNUMBER(FIND(CODES!$A$11,DD22))),CODES!$A$13,IF(OR(DD22&lt;DD$39,ISNUMBER(DD22)=FALSE),DD$40,DD22))))</f>
      </c>
      <c r="DE49" s="7" t="str">
        <f>IF(ISBLANK(DE22),"NO DATA",IF(ISNUMBER(FIND(CODES!$A$12,DE22)),CODES!$A$12,IF(OR(ISNUMBER(FIND(CODES!$A$10,DE22)),ISNUMBER(FIND(CODES!$A$11,DE22))),CODES!$A$13,IF(OR(DE22&lt;DE$39,ISNUMBER(DE22)=FALSE),DE$40,DE22))))</f>
      </c>
      <c r="DF49" s="7" t="str">
        <f>IF(ISBLANK(DF22),"NO DATA",IF(ISNUMBER(FIND(CODES!$A$12,DF22)),CODES!$A$12,IF(OR(ISNUMBER(FIND(CODES!$A$10,DF22)),ISNUMBER(FIND(CODES!$A$11,DF22))),CODES!$A$13,IF(OR(DF22&lt;DF$39,ISNUMBER(DF22)=FALSE),DF$40,DF22))))</f>
      </c>
      <c r="DG49" s="7" t="str">
        <f>IF(ISBLANK(DG22),"NO DATA",IF(ISNUMBER(FIND(CODES!$A$12,DG22)),CODES!$A$12,IF(OR(ISNUMBER(FIND(CODES!$A$10,DG22)),ISNUMBER(FIND(CODES!$A$11,DG22))),CODES!$A$13,IF(OR(DG22&lt;DG$39,ISNUMBER(DG22)=FALSE),DG$40,DG22))))</f>
      </c>
      <c r="DH49" s="7" t="str">
        <f>IF(ISBLANK(DH22),"NO DATA",IF(ISNUMBER(FIND(CODES!$A$12,DH22)),CODES!$A$12,IF(OR(ISNUMBER(FIND(CODES!$A$10,DH22)),ISNUMBER(FIND(CODES!$A$11,DH22))),CODES!$A$13,IF(OR(DH22&lt;DH$39,ISNUMBER(DH22)=FALSE),DH$40,DH22))))</f>
      </c>
      <c r="DI49" s="7" t="str">
        <f>IF(ISBLANK(DI22),"NO DATA",IF(ISNUMBER(FIND(CODES!$A$12,DI22)),CODES!$A$12,IF(OR(ISNUMBER(FIND(CODES!$A$10,DI22)),ISNUMBER(FIND(CODES!$A$11,DI22))),CODES!$A$13,IF(OR(DI22&lt;DI$39,ISNUMBER(DI22)=FALSE),DI$40,DI22))))</f>
      </c>
    </row>
    <row r="50" spans="1:113" x14ac:dyDescent="0.25">
      <c r="A50" s="16" t="str">
        <f t="shared" si="8"/>
      </c>
      <c r="B50" s="16" t="str">
        <f t="shared" si="8"/>
      </c>
      <c r="C50" s="7">
        <f>IF(ISBLANK(C23),"NO DATA",IF(ISNUMBER(FIND(CODES!$A$12,C23)),CODES!$A$12,IF(OR(ISNUMBER(FIND(CODES!$A$10,C23)),ISNUMBER(FIND(CODES!$A$11,C23))),CODES!$A$13,IF(OR(C23&lt;C$39,ISNUMBER(C23)=FALSE),C$40,C23))))</f>
      </c>
      <c r="D50" s="7">
        <f>IF(ISBLANK(D23),"NO DATA",IF(ISNUMBER(FIND(CODES!$A$12,D23)),CODES!$A$12,IF(OR(ISNUMBER(FIND(CODES!$A$10,D23)),ISNUMBER(FIND(CODES!$A$11,D23))),CODES!$A$13,IF(OR(D23&lt;D$39,ISNUMBER(D23)=FALSE),D$40,D23))))</f>
      </c>
      <c r="E50" s="7">
        <f>IF(ISBLANK(E23),"NO DATA",IF(ISNUMBER(FIND(CODES!$A$12,E23)),CODES!$A$12,IF(OR(ISNUMBER(FIND(CODES!$A$10,E23)),ISNUMBER(FIND(CODES!$A$11,E23))),CODES!$A$13,IF(OR(E23&lt;E$39,ISNUMBER(E23)=FALSE),E$40,E23))))</f>
      </c>
      <c r="F50" s="7">
        <f>IF(ISBLANK(F23),"NO DATA",IF(ISNUMBER(FIND(CODES!$A$12,F23)),CODES!$A$12,IF(OR(ISNUMBER(FIND(CODES!$A$10,F23)),ISNUMBER(FIND(CODES!$A$11,F23))),CODES!$A$13,IF(OR(F23&lt;F$39,ISNUMBER(F23)=FALSE),F$40,F23))))</f>
      </c>
      <c r="G50" s="7">
        <f>IF(ISBLANK(G23),"NO DATA",IF(ISNUMBER(FIND(CODES!$A$12,G23)),CODES!$A$12,IF(OR(ISNUMBER(FIND(CODES!$A$10,G23)),ISNUMBER(FIND(CODES!$A$11,G23))),CODES!$A$13,IF(OR(G23&lt;G$39,ISNUMBER(G23)=FALSE),G$40,G23))))</f>
      </c>
      <c r="H50" s="7">
        <f>IF(ISBLANK(H23),"NO DATA",IF(ISNUMBER(FIND(CODES!$A$12,H23)),CODES!$A$12,IF(OR(ISNUMBER(FIND(CODES!$A$10,H23)),ISNUMBER(FIND(CODES!$A$11,H23))),CODES!$A$13,IF(OR(H23&lt;H$39,ISNUMBER(H23)=FALSE),H$40,H23))))</f>
      </c>
      <c r="I50" s="7">
        <f>IF(ISBLANK(I23),"NO DATA",IF(ISNUMBER(FIND(CODES!$A$12,I23)),CODES!$A$12,IF(OR(ISNUMBER(FIND(CODES!$A$10,I23)),ISNUMBER(FIND(CODES!$A$11,I23))),CODES!$A$13,IF(OR(I23&lt;I$39,ISNUMBER(I23)=FALSE),I$40,I23))))</f>
      </c>
      <c r="J50" s="7">
        <f>IF(ISBLANK(J23),"NO DATA",IF(ISNUMBER(FIND(CODES!$A$12,J23)),CODES!$A$12,IF(OR(ISNUMBER(FIND(CODES!$A$10,J23)),ISNUMBER(FIND(CODES!$A$11,J23))),CODES!$A$13,IF(OR(J23&lt;J$39,ISNUMBER(J23)=FALSE),J$40,J23))))</f>
      </c>
      <c r="K50" s="7">
        <f>IF(ISBLANK(K23),"NO DATA",IF(ISNUMBER(FIND(CODES!$A$12,K23)),CODES!$A$12,IF(OR(ISNUMBER(FIND(CODES!$A$10,K23)),ISNUMBER(FIND(CODES!$A$11,K23))),CODES!$A$13,IF(OR(K23&lt;K$39,ISNUMBER(K23)=FALSE),K$40,K23))))</f>
      </c>
      <c r="L50" s="7">
        <f>IF(ISBLANK(L23),"NO DATA",IF(ISNUMBER(FIND(CODES!$A$12,L23)),CODES!$A$12,IF(OR(ISNUMBER(FIND(CODES!$A$10,L23)),ISNUMBER(FIND(CODES!$A$11,L23))),CODES!$A$13,IF(OR(L23&lt;L$39,ISNUMBER(L23)=FALSE),L$40,L23))))</f>
      </c>
      <c r="M50" s="7">
        <f>IF(ISBLANK(M23),"NO DATA",IF(ISNUMBER(FIND(CODES!$A$12,M23)),CODES!$A$12,IF(OR(ISNUMBER(FIND(CODES!$A$10,M23)),ISNUMBER(FIND(CODES!$A$11,M23))),CODES!$A$13,IF(OR(M23&lt;M$39,ISNUMBER(M23)=FALSE),M$40,M23))))</f>
      </c>
      <c r="N50" s="7" t="str">
        <f>IF(ISBLANK(N23),"NO DATA",IF(ISNUMBER(FIND(CODES!$A$12,N23)),CODES!$A$12,IF(OR(ISNUMBER(FIND(CODES!$A$10,N23)),ISNUMBER(FIND(CODES!$A$11,N23))),CODES!$A$13,IF(OR(N23&lt;N$39,ISNUMBER(N23)=FALSE),N$40,N23))))</f>
      </c>
      <c r="O50" s="7" t="str">
        <f>IF(ISBLANK(O23),"NO DATA",IF(ISNUMBER(FIND(CODES!$A$12,O23)),CODES!$A$12,IF(OR(ISNUMBER(FIND(CODES!$A$10,O23)),ISNUMBER(FIND(CODES!$A$11,O23))),CODES!$A$13,IF(OR(O23&lt;O$39,ISNUMBER(O23)=FALSE),O$40,O23))))</f>
      </c>
      <c r="P50" s="7">
        <f>IF(ISBLANK(P23),"NO DATA",IF(ISNUMBER(FIND(CODES!$A$12,P23)),CODES!$A$12,IF(OR(ISNUMBER(FIND(CODES!$A$10,P23)),ISNUMBER(FIND(CODES!$A$11,P23))),CODES!$A$13,IF(OR(P23&lt;P$39,ISNUMBER(P23)=FALSE),P$40,P23))))</f>
      </c>
      <c r="Q50" s="7">
        <f>IF(ISBLANK(Q23),"NO DATA",IF(ISNUMBER(FIND(CODES!$A$12,Q23)),CODES!$A$12,IF(OR(ISNUMBER(FIND(CODES!$A$10,Q23)),ISNUMBER(FIND(CODES!$A$11,Q23))),CODES!$A$13,IF(OR(Q23&lt;Q$39,ISNUMBER(Q23)=FALSE),Q$40,Q23))))</f>
      </c>
      <c r="R50" s="7">
        <f>IF(ISBLANK(R23),"NO DATA",IF(ISNUMBER(FIND(CODES!$A$12,R23)),CODES!$A$12,IF(OR(ISNUMBER(FIND(CODES!$A$10,R23)),ISNUMBER(FIND(CODES!$A$11,R23))),CODES!$A$13,IF(OR(R23&lt;R$39,ISNUMBER(R23)=FALSE),R$40,R23))))</f>
      </c>
      <c r="S50" s="7">
        <f>IF(ISBLANK(S23),"NO DATA",IF(ISNUMBER(FIND(CODES!$A$12,S23)),CODES!$A$12,IF(OR(ISNUMBER(FIND(CODES!$A$10,S23)),ISNUMBER(FIND(CODES!$A$11,S23))),CODES!$A$13,IF(OR(S23&lt;S$39,ISNUMBER(S23)=FALSE),S$40,S23))))</f>
      </c>
      <c r="T50" s="7">
        <f>IF(ISBLANK(T23),"NO DATA",IF(ISNUMBER(FIND(CODES!$A$12,T23)),CODES!$A$12,IF(OR(ISNUMBER(FIND(CODES!$A$10,T23)),ISNUMBER(FIND(CODES!$A$11,T23))),CODES!$A$13,IF(OR(T23&lt;T$39,ISNUMBER(T23)=FALSE),T$40,T23))))</f>
      </c>
      <c r="U50" s="7">
        <f>IF(ISBLANK(U23),"NO DATA",IF(ISNUMBER(FIND(CODES!$A$12,U23)),CODES!$A$12,IF(OR(ISNUMBER(FIND(CODES!$A$10,U23)),ISNUMBER(FIND(CODES!$A$11,U23))),CODES!$A$13,IF(OR(U23&lt;U$39,ISNUMBER(U23)=FALSE),U$40,U23))))</f>
      </c>
      <c r="V50" s="7">
        <f>IF(ISBLANK(V23),"NO DATA",IF(ISNUMBER(FIND(CODES!$A$12,V23)),CODES!$A$12,IF(OR(ISNUMBER(FIND(CODES!$A$10,V23)),ISNUMBER(FIND(CODES!$A$11,V23))),CODES!$A$13,IF(OR(V23&lt;V$39,ISNUMBER(V23)=FALSE),V$40,V23))))</f>
      </c>
      <c r="W50" s="7">
        <f>IF(ISBLANK(W23),"NO DATA",IF(ISNUMBER(FIND(CODES!$A$12,W23)),CODES!$A$12,IF(OR(ISNUMBER(FIND(CODES!$A$10,W23)),ISNUMBER(FIND(CODES!$A$11,W23))),CODES!$A$13,IF(OR(W23&lt;W$39,ISNUMBER(W23)=FALSE),W$40,W23))))</f>
      </c>
      <c r="X50" s="7">
        <f>IF(ISBLANK(X23),"NO DATA",IF(ISNUMBER(FIND(CODES!$A$12,X23)),CODES!$A$12,IF(OR(ISNUMBER(FIND(CODES!$A$10,X23)),ISNUMBER(FIND(CODES!$A$11,X23))),CODES!$A$13,IF(OR(X23&lt;X$39,ISNUMBER(X23)=FALSE),X$40,X23))))</f>
      </c>
      <c r="Y50" s="7">
        <f>IF(ISBLANK(Y23),"NO DATA",IF(ISNUMBER(FIND(CODES!$A$12,Y23)),CODES!$A$12,IF(OR(ISNUMBER(FIND(CODES!$A$10,Y23)),ISNUMBER(FIND(CODES!$A$11,Y23))),CODES!$A$13,IF(OR(Y23&lt;Y$39,ISNUMBER(Y23)=FALSE),Y$40,Y23))))</f>
      </c>
      <c r="Z50" s="7">
        <f>IF(ISBLANK(Z23),"NO DATA",IF(ISNUMBER(FIND(CODES!$A$12,Z23)),CODES!$A$12,IF(OR(ISNUMBER(FIND(CODES!$A$10,Z23)),ISNUMBER(FIND(CODES!$A$11,Z23))),CODES!$A$13,IF(OR(Z23&lt;Z$39,ISNUMBER(Z23)=FALSE),Z$40,Z23))))</f>
      </c>
      <c r="AA50" s="7">
        <f>IF(ISBLANK(AA23),"NO DATA",IF(ISNUMBER(FIND(CODES!$A$12,AA23)),CODES!$A$12,IF(OR(ISNUMBER(FIND(CODES!$A$10,AA23)),ISNUMBER(FIND(CODES!$A$11,AA23))),CODES!$A$13,IF(OR(AA23&lt;AA$39,ISNUMBER(AA23)=FALSE),AA$40,AA23))))</f>
      </c>
      <c r="AB50" s="7">
        <f>IF(ISBLANK(AB23),"NO DATA",IF(ISNUMBER(FIND(CODES!$A$12,AB23)),CODES!$A$12,IF(OR(ISNUMBER(FIND(CODES!$A$10,AB23)),ISNUMBER(FIND(CODES!$A$11,AB23))),CODES!$A$13,IF(OR(AB23&lt;AB$39,ISNUMBER(AB23)=FALSE),AB$40,AB23))))</f>
      </c>
      <c r="AC50" s="7">
        <f>IF(ISBLANK(AC23),"NO DATA",IF(ISNUMBER(FIND(CODES!$A$12,AC23)),CODES!$A$12,IF(OR(ISNUMBER(FIND(CODES!$A$10,AC23)),ISNUMBER(FIND(CODES!$A$11,AC23))),CODES!$A$13,IF(OR(AC23&lt;AC$39,ISNUMBER(AC23)=FALSE),AC$40,AC23))))</f>
      </c>
      <c r="AD50" s="7">
        <f>IF(ISBLANK(AD23),"NO DATA",IF(ISNUMBER(FIND(CODES!$A$12,AD23)),CODES!$A$12,IF(OR(ISNUMBER(FIND(CODES!$A$10,AD23)),ISNUMBER(FIND(CODES!$A$11,AD23))),CODES!$A$13,IF(OR(AD23&lt;AD$39,ISNUMBER(AD23)=FALSE),AD$40,AD23))))</f>
      </c>
      <c r="AE50" s="7">
        <f>IF(ISBLANK(AE23),"NO DATA",IF(ISNUMBER(FIND(CODES!$A$12,AE23)),CODES!$A$12,IF(OR(ISNUMBER(FIND(CODES!$A$10,AE23)),ISNUMBER(FIND(CODES!$A$11,AE23))),CODES!$A$13,IF(OR(AE23&lt;AE$39,ISNUMBER(AE23)=FALSE),AE$40,AE23))))</f>
      </c>
      <c r="AF50" s="7">
        <f>IF(ISBLANK(AF23),"NO DATA",IF(ISNUMBER(FIND(CODES!$A$12,AF23)),CODES!$A$12,IF(OR(ISNUMBER(FIND(CODES!$A$10,AF23)),ISNUMBER(FIND(CODES!$A$11,AF23))),CODES!$A$13,IF(OR(AF23&lt;AF$39,ISNUMBER(AF23)=FALSE),AF$40,AF23))))</f>
      </c>
      <c r="AG50" s="7">
        <f>IF(ISBLANK(AG23),"NO DATA",IF(ISNUMBER(FIND(CODES!$A$12,AG23)),CODES!$A$12,IF(OR(ISNUMBER(FIND(CODES!$A$10,AG23)),ISNUMBER(FIND(CODES!$A$11,AG23))),CODES!$A$13,IF(OR(AG23&lt;AG$39,ISNUMBER(AG23)=FALSE),AG$40,AG23))))</f>
      </c>
      <c r="AH50" s="7">
        <f>IF(ISBLANK(AH23),"NO DATA",IF(ISNUMBER(FIND(CODES!$A$12,AH23)),CODES!$A$12,IF(OR(ISNUMBER(FIND(CODES!$A$10,AH23)),ISNUMBER(FIND(CODES!$A$11,AH23))),CODES!$A$13,IF(OR(AH23&lt;AH$39,ISNUMBER(AH23)=FALSE),AH$40,AH23))))</f>
      </c>
      <c r="AI50" s="7">
        <f>IF(ISBLANK(AI23),"NO DATA",IF(ISNUMBER(FIND(CODES!$A$12,AI23)),CODES!$A$12,IF(OR(ISNUMBER(FIND(CODES!$A$10,AI23)),ISNUMBER(FIND(CODES!$A$11,AI23))),CODES!$A$13,IF(OR(AI23&lt;AI$39,ISNUMBER(AI23)=FALSE),AI$40,AI23))))</f>
      </c>
      <c r="AJ50" s="7">
        <f>IF(ISBLANK(AJ23),"NO DATA",IF(ISNUMBER(FIND(CODES!$A$12,AJ23)),CODES!$A$12,IF(OR(ISNUMBER(FIND(CODES!$A$10,AJ23)),ISNUMBER(FIND(CODES!$A$11,AJ23))),CODES!$A$13,IF(OR(AJ23&lt;AJ$39,ISNUMBER(AJ23)=FALSE),AJ$40,AJ23))))</f>
      </c>
      <c r="AK50" s="7">
        <f>IF(ISBLANK(AK23),"NO DATA",IF(ISNUMBER(FIND(CODES!$A$12,AK23)),CODES!$A$12,IF(OR(ISNUMBER(FIND(CODES!$A$10,AK23)),ISNUMBER(FIND(CODES!$A$11,AK23))),CODES!$A$13,IF(OR(AK23&lt;AK$39,ISNUMBER(AK23)=FALSE),AK$40,AK23))))</f>
      </c>
      <c r="AL50" s="7">
        <f>IF(ISBLANK(AL23),"NO DATA",IF(ISNUMBER(FIND(CODES!$A$12,AL23)),CODES!$A$12,IF(OR(ISNUMBER(FIND(CODES!$A$10,AL23)),ISNUMBER(FIND(CODES!$A$11,AL23))),CODES!$A$13,IF(OR(AL23&lt;AL$39,ISNUMBER(AL23)=FALSE),AL$40,AL23))))</f>
      </c>
      <c r="AM50" s="7">
        <f>IF(ISBLANK(AM23),"NO DATA",IF(ISNUMBER(FIND(CODES!$A$12,AM23)),CODES!$A$12,IF(OR(ISNUMBER(FIND(CODES!$A$10,AM23)),ISNUMBER(FIND(CODES!$A$11,AM23))),CODES!$A$13,IF(OR(AM23&lt;AM$39,ISNUMBER(AM23)=FALSE),AM$40,AM23))))</f>
      </c>
      <c r="AN50" s="7">
        <f>IF(ISBLANK(AN23),"NO DATA",IF(ISNUMBER(FIND(CODES!$A$12,AN23)),CODES!$A$12,IF(OR(ISNUMBER(FIND(CODES!$A$10,AN23)),ISNUMBER(FIND(CODES!$A$11,AN23))),CODES!$A$13,IF(OR(AN23&lt;AN$39,ISNUMBER(AN23)=FALSE),AN$40,AN23))))</f>
      </c>
      <c r="AO50" s="7">
        <f>IF(ISBLANK(AO23),"NO DATA",IF(ISNUMBER(FIND(CODES!$A$12,AO23)),CODES!$A$12,IF(OR(ISNUMBER(FIND(CODES!$A$10,AO23)),ISNUMBER(FIND(CODES!$A$11,AO23))),CODES!$A$13,IF(OR(AO23&lt;AO$39,ISNUMBER(AO23)=FALSE),AO$40,AO23))))</f>
      </c>
      <c r="AP50" s="7">
        <f>IF(ISBLANK(AP23),"NO DATA",IF(ISNUMBER(FIND(CODES!$A$12,AP23)),CODES!$A$12,IF(OR(ISNUMBER(FIND(CODES!$A$10,AP23)),ISNUMBER(FIND(CODES!$A$11,AP23))),CODES!$A$13,IF(OR(AP23&lt;AP$39,ISNUMBER(AP23)=FALSE),AP$40,AP23))))</f>
      </c>
      <c r="AQ50" s="7">
        <f>IF(ISBLANK(AQ23),"NO DATA",IF(ISNUMBER(FIND(CODES!$A$12,AQ23)),CODES!$A$12,IF(OR(ISNUMBER(FIND(CODES!$A$10,AQ23)),ISNUMBER(FIND(CODES!$A$11,AQ23))),CODES!$A$13,IF(OR(AQ23&lt;AQ$39,ISNUMBER(AQ23)=FALSE),AQ$40,AQ23))))</f>
      </c>
      <c r="AR50" s="7">
        <f>IF(ISBLANK(AR23),"NO DATA",IF(ISNUMBER(FIND(CODES!$A$12,AR23)),CODES!$A$12,IF(OR(ISNUMBER(FIND(CODES!$A$10,AR23)),ISNUMBER(FIND(CODES!$A$11,AR23))),CODES!$A$13,IF(OR(AR23&lt;AR$39,ISNUMBER(AR23)=FALSE),AR$40,AR23))))</f>
      </c>
      <c r="AS50" s="7">
        <f>IF(ISBLANK(AS23),"NO DATA",IF(ISNUMBER(FIND(CODES!$A$12,AS23)),CODES!$A$12,IF(OR(ISNUMBER(FIND(CODES!$A$10,AS23)),ISNUMBER(FIND(CODES!$A$11,AS23))),CODES!$A$13,IF(OR(AS23&lt;AS$39,ISNUMBER(AS23)=FALSE),AS$40,AS23))))</f>
      </c>
      <c r="AT50" s="7">
        <f>IF(ISBLANK(AT23),"NO DATA",IF(ISNUMBER(FIND(CODES!$A$12,AT23)),CODES!$A$12,IF(OR(ISNUMBER(FIND(CODES!$A$10,AT23)),ISNUMBER(FIND(CODES!$A$11,AT23))),CODES!$A$13,IF(OR(AT23&lt;AT$39,ISNUMBER(AT23)=FALSE),AT$40,AT23))))</f>
      </c>
      <c r="AU50" s="7">
        <f>IF(ISBLANK(AU23),"NO DATA",IF(ISNUMBER(FIND(CODES!$A$12,AU23)),CODES!$A$12,IF(OR(ISNUMBER(FIND(CODES!$A$10,AU23)),ISNUMBER(FIND(CODES!$A$11,AU23))),CODES!$A$13,IF(OR(AU23&lt;AU$39,ISNUMBER(AU23)=FALSE),AU$40,AU23))))</f>
      </c>
      <c r="AV50" s="7" t="str">
        <f>IF(ISBLANK(AV23),"NO DATA",IF(ISNUMBER(FIND(CODES!$A$12,AV23)),CODES!$A$12,IF(OR(ISNUMBER(FIND(CODES!$A$10,AV23)),ISNUMBER(FIND(CODES!$A$11,AV23))),CODES!$A$13,IF(OR(AV23&lt;AV$39,ISNUMBER(AV23)=FALSE),AV$40,AV23))))</f>
      </c>
      <c r="AW50" s="7" t="str">
        <f>IF(ISBLANK(AW23),"NO DATA",IF(ISNUMBER(FIND(CODES!$A$12,AW23)),CODES!$A$12,IF(OR(ISNUMBER(FIND(CODES!$A$10,AW23)),ISNUMBER(FIND(CODES!$A$11,AW23))),CODES!$A$13,IF(OR(AW23&lt;AW$39,ISNUMBER(AW23)=FALSE),AW$40,AW23))))</f>
      </c>
      <c r="AX50" s="7">
        <f>IF(ISBLANK(AX23),"NO DATA",IF(ISNUMBER(FIND(CODES!$A$12,AX23)),CODES!$A$12,IF(OR(ISNUMBER(FIND(CODES!$A$10,AX23)),ISNUMBER(FIND(CODES!$A$11,AX23))),CODES!$A$13,IF(OR(AX23&lt;AX$39,ISNUMBER(AX23)=FALSE),AX$40,AX23))))</f>
      </c>
      <c r="AY50" s="7">
        <f>IF(ISBLANK(AY23),"NO DATA",IF(ISNUMBER(FIND(CODES!$A$12,AY23)),CODES!$A$12,IF(OR(ISNUMBER(FIND(CODES!$A$10,AY23)),ISNUMBER(FIND(CODES!$A$11,AY23))),CODES!$A$13,IF(OR(AY23&lt;AY$39,ISNUMBER(AY23)=FALSE),AY$40,AY23))))</f>
      </c>
      <c r="AZ50" s="7">
        <f>IF(ISBLANK(AZ23),"NO DATA",IF(ISNUMBER(FIND(CODES!$A$12,AZ23)),CODES!$A$12,IF(OR(ISNUMBER(FIND(CODES!$A$10,AZ23)),ISNUMBER(FIND(CODES!$A$11,AZ23))),CODES!$A$13,IF(OR(AZ23&lt;AZ$39,ISNUMBER(AZ23)=FALSE),AZ$40,AZ23))))</f>
      </c>
      <c r="BA50" s="7">
        <f>IF(ISBLANK(BA23),"NO DATA",IF(ISNUMBER(FIND(CODES!$A$12,BA23)),CODES!$A$12,IF(OR(ISNUMBER(FIND(CODES!$A$10,BA23)),ISNUMBER(FIND(CODES!$A$11,BA23))),CODES!$A$13,IF(OR(BA23&lt;BA$39,ISNUMBER(BA23)=FALSE),BA$40,BA23))))</f>
      </c>
      <c r="BB50" s="7">
        <f>IF(ISBLANK(BB23),"NO DATA",IF(ISNUMBER(FIND(CODES!$A$12,BB23)),CODES!$A$12,IF(OR(ISNUMBER(FIND(CODES!$A$10,BB23)),ISNUMBER(FIND(CODES!$A$11,BB23))),CODES!$A$13,IF(OR(BB23&lt;BB$39,ISNUMBER(BB23)=FALSE),BB$40,BB23))))</f>
      </c>
      <c r="BC50" s="7">
        <f>IF(ISBLANK(BC23),"NO DATA",IF(ISNUMBER(FIND(CODES!$A$12,BC23)),CODES!$A$12,IF(OR(ISNUMBER(FIND(CODES!$A$10,BC23)),ISNUMBER(FIND(CODES!$A$11,BC23))),CODES!$A$13,IF(OR(BC23&lt;BC$39,ISNUMBER(BC23)=FALSE),BC$40,BC23))))</f>
      </c>
      <c r="BD50" s="7">
        <f>IF(ISBLANK(BD23),"NO DATA",IF(ISNUMBER(FIND(CODES!$A$12,BD23)),CODES!$A$12,IF(OR(ISNUMBER(FIND(CODES!$A$10,BD23)),ISNUMBER(FIND(CODES!$A$11,BD23))),CODES!$A$13,IF(OR(BD23&lt;BD$39,ISNUMBER(BD23)=FALSE),BD$40,BD23))))</f>
      </c>
      <c r="BE50" s="7">
        <f>IF(ISBLANK(BE23),"NO DATA",IF(ISNUMBER(FIND(CODES!$A$12,BE23)),CODES!$A$12,IF(OR(ISNUMBER(FIND(CODES!$A$10,BE23)),ISNUMBER(FIND(CODES!$A$11,BE23))),CODES!$A$13,IF(OR(BE23&lt;BE$39,ISNUMBER(BE23)=FALSE),BE$40,BE23))))</f>
      </c>
      <c r="BF50" s="7">
        <f>IF(ISBLANK(BF23),"NO DATA",IF(ISNUMBER(FIND(CODES!$A$12,BF23)),CODES!$A$12,IF(OR(ISNUMBER(FIND(CODES!$A$10,BF23)),ISNUMBER(FIND(CODES!$A$11,BF23))),CODES!$A$13,IF(OR(BF23&lt;BF$39,ISNUMBER(BF23)=FALSE),BF$40,BF23))))</f>
      </c>
      <c r="BG50" s="7">
        <f>IF(ISBLANK(BG23),"NO DATA",IF(ISNUMBER(FIND(CODES!$A$12,BG23)),CODES!$A$12,IF(OR(ISNUMBER(FIND(CODES!$A$10,BG23)),ISNUMBER(FIND(CODES!$A$11,BG23))),CODES!$A$13,IF(OR(BG23&lt;BG$39,ISNUMBER(BG23)=FALSE),BG$40,BG23))))</f>
      </c>
      <c r="BH50" s="7">
        <f>IF(ISBLANK(BH23),"NO DATA",IF(ISNUMBER(FIND(CODES!$A$12,BH23)),CODES!$A$12,IF(OR(ISNUMBER(FIND(CODES!$A$10,BH23)),ISNUMBER(FIND(CODES!$A$11,BH23))),CODES!$A$13,IF(OR(BH23&lt;BH$39,ISNUMBER(BH23)=FALSE),BH$40,BH23))))</f>
      </c>
      <c r="BI50" s="7">
        <f>IF(ISBLANK(BI23),"NO DATA",IF(ISNUMBER(FIND(CODES!$A$12,BI23)),CODES!$A$12,IF(OR(ISNUMBER(FIND(CODES!$A$10,BI23)),ISNUMBER(FIND(CODES!$A$11,BI23))),CODES!$A$13,IF(OR(BI23&lt;BI$39,ISNUMBER(BI23)=FALSE),BI$40,BI23))))</f>
      </c>
      <c r="BJ50" s="7">
        <f>IF(ISBLANK(BJ23),"NO DATA",IF(ISNUMBER(FIND(CODES!$A$12,BJ23)),CODES!$A$12,IF(OR(ISNUMBER(FIND(CODES!$A$10,BJ23)),ISNUMBER(FIND(CODES!$A$11,BJ23))),CODES!$A$13,IF(OR(BJ23&lt;BJ$39,ISNUMBER(BJ23)=FALSE),BJ$40,BJ23))))</f>
      </c>
      <c r="BK50" s="7">
        <f>IF(ISBLANK(BK23),"NO DATA",IF(ISNUMBER(FIND(CODES!$A$12,BK23)),CODES!$A$12,IF(OR(ISNUMBER(FIND(CODES!$A$10,BK23)),ISNUMBER(FIND(CODES!$A$11,BK23))),CODES!$A$13,IF(OR(BK23&lt;BK$39,ISNUMBER(BK23)=FALSE),BK$40,BK23))))</f>
      </c>
      <c r="BL50" s="7">
        <f>IF(ISBLANK(BL23),"NO DATA",IF(ISNUMBER(FIND(CODES!$A$12,BL23)),CODES!$A$12,IF(OR(ISNUMBER(FIND(CODES!$A$10,BL23)),ISNUMBER(FIND(CODES!$A$11,BL23))),CODES!$A$13,IF(OR(BL23&lt;BL$39,ISNUMBER(BL23)=FALSE),BL$40,BL23))))</f>
      </c>
      <c r="BM50" s="7">
        <f>IF(ISBLANK(BM23),"NO DATA",IF(ISNUMBER(FIND(CODES!$A$12,BM23)),CODES!$A$12,IF(OR(ISNUMBER(FIND(CODES!$A$10,BM23)),ISNUMBER(FIND(CODES!$A$11,BM23))),CODES!$A$13,IF(OR(BM23&lt;BM$39,ISNUMBER(BM23)=FALSE),BM$40,BM23))))</f>
      </c>
      <c r="BN50" s="7" t="str">
        <f>IF(ISBLANK(BN23),"NO DATA",IF(ISNUMBER(FIND(CODES!$A$12,BN23)),CODES!$A$12,IF(OR(ISNUMBER(FIND(CODES!$A$10,BN23)),ISNUMBER(FIND(CODES!$A$11,BN23))),CODES!$A$13,IF(OR(BN23&lt;BN$39,ISNUMBER(BN23)=FALSE),BN$40,BN23))))</f>
      </c>
      <c r="BO50" s="7" t="str">
        <f>IF(ISBLANK(BO23),"NO DATA",IF(ISNUMBER(FIND(CODES!$A$12,BO23)),CODES!$A$12,IF(OR(ISNUMBER(FIND(CODES!$A$10,BO23)),ISNUMBER(FIND(CODES!$A$11,BO23))),CODES!$A$13,IF(OR(BO23&lt;BO$39,ISNUMBER(BO23)=FALSE),BO$40,BO23))))</f>
      </c>
      <c r="BP50" s="7">
        <f>IF(ISBLANK(BP23),"NO DATA",IF(ISNUMBER(FIND(CODES!$A$12,BP23)),CODES!$A$12,IF(OR(ISNUMBER(FIND(CODES!$A$10,BP23)),ISNUMBER(FIND(CODES!$A$11,BP23))),CODES!$A$13,IF(OR(BP23&lt;BP$39,ISNUMBER(BP23)=FALSE),BP$40,BP23))))</f>
      </c>
      <c r="BQ50" s="7">
        <f>IF(ISBLANK(BQ23),"NO DATA",IF(ISNUMBER(FIND(CODES!$A$12,BQ23)),CODES!$A$12,IF(OR(ISNUMBER(FIND(CODES!$A$10,BQ23)),ISNUMBER(FIND(CODES!$A$11,BQ23))),CODES!$A$13,IF(OR(BQ23&lt;BQ$39,ISNUMBER(BQ23)=FALSE),BQ$40,BQ23))))</f>
      </c>
      <c r="BR50" s="7">
        <f>IF(ISBLANK(BR23),"NO DATA",IF(ISNUMBER(FIND(CODES!$A$12,BR23)),CODES!$A$12,IF(OR(ISNUMBER(FIND(CODES!$A$10,BR23)),ISNUMBER(FIND(CODES!$A$11,BR23))),CODES!$A$13,IF(OR(BR23&lt;BR$39,ISNUMBER(BR23)=FALSE),BR$40,BR23))))</f>
      </c>
      <c r="BS50" s="7">
        <f>IF(ISBLANK(BS23),"NO DATA",IF(ISNUMBER(FIND(CODES!$A$12,BS23)),CODES!$A$12,IF(OR(ISNUMBER(FIND(CODES!$A$10,BS23)),ISNUMBER(FIND(CODES!$A$11,BS23))),CODES!$A$13,IF(OR(BS23&lt;BS$39,ISNUMBER(BS23)=FALSE),BS$40,BS23))))</f>
      </c>
      <c r="BT50" s="7">
        <f>IF(ISBLANK(BT23),"NO DATA",IF(ISNUMBER(FIND(CODES!$A$12,BT23)),CODES!$A$12,IF(OR(ISNUMBER(FIND(CODES!$A$10,BT23)),ISNUMBER(FIND(CODES!$A$11,BT23))),CODES!$A$13,IF(OR(BT23&lt;BT$39,ISNUMBER(BT23)=FALSE),BT$40,BT23))))</f>
      </c>
      <c r="BU50" s="7">
        <f>IF(ISBLANK(BU23),"NO DATA",IF(ISNUMBER(FIND(CODES!$A$12,BU23)),CODES!$A$12,IF(OR(ISNUMBER(FIND(CODES!$A$10,BU23)),ISNUMBER(FIND(CODES!$A$11,BU23))),CODES!$A$13,IF(OR(BU23&lt;BU$39,ISNUMBER(BU23)=FALSE),BU$40,BU23))))</f>
      </c>
      <c r="BV50" s="7">
        <f>IF(ISBLANK(BV23),"NO DATA",IF(ISNUMBER(FIND(CODES!$A$12,BV23)),CODES!$A$12,IF(OR(ISNUMBER(FIND(CODES!$A$10,BV23)),ISNUMBER(FIND(CODES!$A$11,BV23))),CODES!$A$13,IF(OR(BV23&lt;BV$39,ISNUMBER(BV23)=FALSE),BV$40,BV23))))</f>
      </c>
      <c r="BW50" s="7" t="str">
        <f>IF(ISBLANK(BW23),"NO DATA",IF(ISNUMBER(FIND(CODES!$A$12,BW23)),CODES!$A$12,IF(OR(ISNUMBER(FIND(CODES!$A$10,BW23)),ISNUMBER(FIND(CODES!$A$11,BW23))),CODES!$A$13,IF(OR(BW23&lt;BW$39,ISNUMBER(BW23)=FALSE),BW$40,BW23))))</f>
      </c>
      <c r="BX50" s="7" t="str">
        <f>IF(ISBLANK(BX23),"NO DATA",IF(ISNUMBER(FIND(CODES!$A$12,BX23)),CODES!$A$12,IF(OR(ISNUMBER(FIND(CODES!$A$10,BX23)),ISNUMBER(FIND(CODES!$A$11,BX23))),CODES!$A$13,IF(OR(BX23&lt;BX$39,ISNUMBER(BX23)=FALSE),BX$40,BX23))))</f>
      </c>
      <c r="BY50" s="7">
        <f>IF(ISBLANK(BY23),"NO DATA",IF(ISNUMBER(FIND(CODES!$A$12,BY23)),CODES!$A$12,IF(OR(ISNUMBER(FIND(CODES!$A$10,BY23)),ISNUMBER(FIND(CODES!$A$11,BY23))),CODES!$A$13,IF(OR(BY23&lt;BY$39,ISNUMBER(BY23)=FALSE),BY$40,BY23))))</f>
      </c>
      <c r="BZ50" s="7">
        <f>IF(ISBLANK(BZ23),"NO DATA",IF(ISNUMBER(FIND(CODES!$A$12,BZ23)),CODES!$A$12,IF(OR(ISNUMBER(FIND(CODES!$A$10,BZ23)),ISNUMBER(FIND(CODES!$A$11,BZ23))),CODES!$A$13,IF(OR(BZ23&lt;BZ$39,ISNUMBER(BZ23)=FALSE),BZ$40,BZ23))))</f>
      </c>
      <c r="CA50" s="7">
        <f>IF(ISBLANK(CA23),"NO DATA",IF(ISNUMBER(FIND(CODES!$A$12,CA23)),CODES!$A$12,IF(OR(ISNUMBER(FIND(CODES!$A$10,CA23)),ISNUMBER(FIND(CODES!$A$11,CA23))),CODES!$A$13,IF(OR(CA23&lt;CA$39,ISNUMBER(CA23)=FALSE),CA$40,CA23))))</f>
      </c>
      <c r="CB50" s="7">
        <f>IF(ISBLANK(CB23),"NO DATA",IF(ISNUMBER(FIND(CODES!$A$12,CB23)),CODES!$A$12,IF(OR(ISNUMBER(FIND(CODES!$A$10,CB23)),ISNUMBER(FIND(CODES!$A$11,CB23))),CODES!$A$13,IF(OR(CB23&lt;CB$39,ISNUMBER(CB23)=FALSE),CB$40,CB23))))</f>
      </c>
      <c r="CC50" s="7">
        <f>IF(ISBLANK(CC23),"NO DATA",IF(ISNUMBER(FIND(CODES!$A$12,CC23)),CODES!$A$12,IF(OR(ISNUMBER(FIND(CODES!$A$10,CC23)),ISNUMBER(FIND(CODES!$A$11,CC23))),CODES!$A$13,IF(OR(CC23&lt;CC$39,ISNUMBER(CC23)=FALSE),CC$40,CC23))))</f>
      </c>
      <c r="CD50" s="7">
        <f>IF(ISBLANK(CD23),"NO DATA",IF(ISNUMBER(FIND(CODES!$A$12,CD23)),CODES!$A$12,IF(OR(ISNUMBER(FIND(CODES!$A$10,CD23)),ISNUMBER(FIND(CODES!$A$11,CD23))),CODES!$A$13,IF(OR(CD23&lt;CD$39,ISNUMBER(CD23)=FALSE),CD$40,CD23))))</f>
      </c>
      <c r="CE50" s="7">
        <f>IF(ISBLANK(CE23),"NO DATA",IF(ISNUMBER(FIND(CODES!$A$12,CE23)),CODES!$A$12,IF(OR(ISNUMBER(FIND(CODES!$A$10,CE23)),ISNUMBER(FIND(CODES!$A$11,CE23))),CODES!$A$13,IF(OR(CE23&lt;CE$39,ISNUMBER(CE23)=FALSE),CE$40,CE23))))</f>
      </c>
      <c r="CF50" s="7">
        <f>IF(ISBLANK(CF23),"NO DATA",IF(ISNUMBER(FIND(CODES!$A$12,CF23)),CODES!$A$12,IF(OR(ISNUMBER(FIND(CODES!$A$10,CF23)),ISNUMBER(FIND(CODES!$A$11,CF23))),CODES!$A$13,IF(OR(CF23&lt;CF$39,ISNUMBER(CF23)=FALSE),CF$40,CF23))))</f>
      </c>
      <c r="CG50" s="7">
        <f>IF(ISBLANK(CG23),"NO DATA",IF(ISNUMBER(FIND(CODES!$A$12,CG23)),CODES!$A$12,IF(OR(ISNUMBER(FIND(CODES!$A$10,CG23)),ISNUMBER(FIND(CODES!$A$11,CG23))),CODES!$A$13,IF(OR(CG23&lt;CG$39,ISNUMBER(CG23)=FALSE),CG$40,CG23))))</f>
      </c>
      <c r="CH50" s="7">
        <f>IF(ISBLANK(CH23),"NO DATA",IF(ISNUMBER(FIND(CODES!$A$12,CH23)),CODES!$A$12,IF(OR(ISNUMBER(FIND(CODES!$A$10,CH23)),ISNUMBER(FIND(CODES!$A$11,CH23))),CODES!$A$13,IF(OR(CH23&lt;CH$39,ISNUMBER(CH23)=FALSE),CH$40,CH23))))</f>
      </c>
      <c r="CI50" s="7">
        <f>IF(ISBLANK(CI23),"NO DATA",IF(ISNUMBER(FIND(CODES!$A$12,CI23)),CODES!$A$12,IF(OR(ISNUMBER(FIND(CODES!$A$10,CI23)),ISNUMBER(FIND(CODES!$A$11,CI23))),CODES!$A$13,IF(OR(CI23&lt;CI$39,ISNUMBER(CI23)=FALSE),CI$40,CI23))))</f>
      </c>
      <c r="CJ50" s="7">
        <f>IF(ISBLANK(CJ23),"NO DATA",IF(ISNUMBER(FIND(CODES!$A$12,CJ23)),CODES!$A$12,IF(OR(ISNUMBER(FIND(CODES!$A$10,CJ23)),ISNUMBER(FIND(CODES!$A$11,CJ23))),CODES!$A$13,IF(OR(CJ23&lt;CJ$39,ISNUMBER(CJ23)=FALSE),CJ$40,CJ23))))</f>
      </c>
      <c r="CK50" s="7" t="str">
        <f>IF(ISBLANK(CK23),"NO DATA",IF(ISNUMBER(FIND(CODES!$A$12,CK23)),CODES!$A$12,IF(OR(ISNUMBER(FIND(CODES!$A$10,CK23)),ISNUMBER(FIND(CODES!$A$11,CK23))),CODES!$A$13,IF(OR(CK23&lt;CK$39,ISNUMBER(CK23)=FALSE),CK$40,CK23))))</f>
      </c>
      <c r="CL50" s="7">
        <f>IF(ISBLANK(CL23),"NO DATA",IF(ISNUMBER(FIND(CODES!$A$12,CL23)),CODES!$A$12,IF(OR(ISNUMBER(FIND(CODES!$A$10,CL23)),ISNUMBER(FIND(CODES!$A$11,CL23))),CODES!$A$13,IF(OR(CL23&lt;CL$39,ISNUMBER(CL23)=FALSE),CL$40,CL23))))</f>
      </c>
      <c r="CM50" s="7">
        <f>IF(ISBLANK(CM23),"NO DATA",IF(ISNUMBER(FIND(CODES!$A$12,CM23)),CODES!$A$12,IF(OR(ISNUMBER(FIND(CODES!$A$10,CM23)),ISNUMBER(FIND(CODES!$A$11,CM23))),CODES!$A$13,IF(OR(CM23&lt;CM$39,ISNUMBER(CM23)=FALSE),CM$40,CM23))))</f>
      </c>
      <c r="CN50" s="7">
        <f>IF(ISBLANK(CN23),"NO DATA",IF(ISNUMBER(FIND(CODES!$A$12,CN23)),CODES!$A$12,IF(OR(ISNUMBER(FIND(CODES!$A$10,CN23)),ISNUMBER(FIND(CODES!$A$11,CN23))),CODES!$A$13,IF(OR(CN23&lt;CN$39,ISNUMBER(CN23)=FALSE),CN$40,CN23))))</f>
      </c>
      <c r="CO50" s="7">
        <f>IF(ISBLANK(CO23),"NO DATA",IF(ISNUMBER(FIND(CODES!$A$12,CO23)),CODES!$A$12,IF(OR(ISNUMBER(FIND(CODES!$A$10,CO23)),ISNUMBER(FIND(CODES!$A$11,CO23))),CODES!$A$13,IF(OR(CO23&lt;CO$39,ISNUMBER(CO23)=FALSE),CO$40,CO23))))</f>
      </c>
      <c r="CP50" s="7">
        <f>IF(ISBLANK(CP23),"NO DATA",IF(ISNUMBER(FIND(CODES!$A$12,CP23)),CODES!$A$12,IF(OR(ISNUMBER(FIND(CODES!$A$10,CP23)),ISNUMBER(FIND(CODES!$A$11,CP23))),CODES!$A$13,IF(OR(CP23&lt;CP$39,ISNUMBER(CP23)=FALSE),CP$40,CP23))))</f>
      </c>
      <c r="CQ50" s="7">
        <f>IF(ISBLANK(CQ23),"NO DATA",IF(ISNUMBER(FIND(CODES!$A$12,CQ23)),CODES!$A$12,IF(OR(ISNUMBER(FIND(CODES!$A$10,CQ23)),ISNUMBER(FIND(CODES!$A$11,CQ23))),CODES!$A$13,IF(OR(CQ23&lt;CQ$39,ISNUMBER(CQ23)=FALSE),CQ$40,CQ23))))</f>
      </c>
      <c r="CR50" s="7">
        <f>IF(ISBLANK(CR23),"NO DATA",IF(ISNUMBER(FIND(CODES!$A$12,CR23)),CODES!$A$12,IF(OR(ISNUMBER(FIND(CODES!$A$10,CR23)),ISNUMBER(FIND(CODES!$A$11,CR23))),CODES!$A$13,IF(OR(CR23&lt;CR$39,ISNUMBER(CR23)=FALSE),CR$40,CR23))))</f>
      </c>
      <c r="CS50" s="7">
        <f>IF(ISBLANK(CS23),"NO DATA",IF(ISNUMBER(FIND(CODES!$A$12,CS23)),CODES!$A$12,IF(OR(ISNUMBER(FIND(CODES!$A$10,CS23)),ISNUMBER(FIND(CODES!$A$11,CS23))),CODES!$A$13,IF(OR(CS23&lt;CS$39,ISNUMBER(CS23)=FALSE),CS$40,CS23))))</f>
      </c>
      <c r="CT50" s="7">
        <f>IF(ISBLANK(CT23),"NO DATA",IF(ISNUMBER(FIND(CODES!$A$12,CT23)),CODES!$A$12,IF(OR(ISNUMBER(FIND(CODES!$A$10,CT23)),ISNUMBER(FIND(CODES!$A$11,CT23))),CODES!$A$13,IF(OR(CT23&lt;CT$39,ISNUMBER(CT23)=FALSE),CT$40,CT23))))</f>
      </c>
      <c r="CU50" s="7">
        <f>IF(ISBLANK(CU23),"NO DATA",IF(ISNUMBER(FIND(CODES!$A$12,CU23)),CODES!$A$12,IF(OR(ISNUMBER(FIND(CODES!$A$10,CU23)),ISNUMBER(FIND(CODES!$A$11,CU23))),CODES!$A$13,IF(OR(CU23&lt;CU$39,ISNUMBER(CU23)=FALSE),CU$40,CU23))))</f>
      </c>
      <c r="CV50" s="7">
        <f>IF(ISBLANK(CV23),"NO DATA",IF(ISNUMBER(FIND(CODES!$A$12,CV23)),CODES!$A$12,IF(OR(ISNUMBER(FIND(CODES!$A$10,CV23)),ISNUMBER(FIND(CODES!$A$11,CV23))),CODES!$A$13,IF(OR(CV23&lt;CV$39,ISNUMBER(CV23)=FALSE),CV$40,CV23))))</f>
      </c>
      <c r="CW50" s="7">
        <f>IF(ISBLANK(CW23),"NO DATA",IF(ISNUMBER(FIND(CODES!$A$12,CW23)),CODES!$A$12,IF(OR(ISNUMBER(FIND(CODES!$A$10,CW23)),ISNUMBER(FIND(CODES!$A$11,CW23))),CODES!$A$13,IF(OR(CW23&lt;CW$39,ISNUMBER(CW23)=FALSE),CW$40,CW23))))</f>
      </c>
      <c r="CX50" s="7">
        <f>IF(ISBLANK(CX23),"NO DATA",IF(ISNUMBER(FIND(CODES!$A$12,CX23)),CODES!$A$12,IF(OR(ISNUMBER(FIND(CODES!$A$10,CX23)),ISNUMBER(FIND(CODES!$A$11,CX23))),CODES!$A$13,IF(OR(CX23&lt;CX$39,ISNUMBER(CX23)=FALSE),CX$40,CX23))))</f>
      </c>
      <c r="CY50" s="7">
        <f>IF(ISBLANK(CY23),"NO DATA",IF(ISNUMBER(FIND(CODES!$A$12,CY23)),CODES!$A$12,IF(OR(ISNUMBER(FIND(CODES!$A$10,CY23)),ISNUMBER(FIND(CODES!$A$11,CY23))),CODES!$A$13,IF(OR(CY23&lt;CY$39,ISNUMBER(CY23)=FALSE),CY$40,CY23))))</f>
      </c>
      <c r="CZ50" s="7">
        <f>IF(ISBLANK(CZ23),"NO DATA",IF(ISNUMBER(FIND(CODES!$A$12,CZ23)),CODES!$A$12,IF(OR(ISNUMBER(FIND(CODES!$A$10,CZ23)),ISNUMBER(FIND(CODES!$A$11,CZ23))),CODES!$A$13,IF(OR(CZ23&lt;CZ$39,ISNUMBER(CZ23)=FALSE),CZ$40,CZ23))))</f>
      </c>
      <c r="DA50" s="7">
        <f>IF(ISBLANK(DA23),"NO DATA",IF(ISNUMBER(FIND(CODES!$A$12,DA23)),CODES!$A$12,IF(OR(ISNUMBER(FIND(CODES!$A$10,DA23)),ISNUMBER(FIND(CODES!$A$11,DA23))),CODES!$A$13,IF(OR(DA23&lt;DA$39,ISNUMBER(DA23)=FALSE),DA$40,DA23))))</f>
      </c>
      <c r="DB50" s="7" t="str">
        <f>IF(ISBLANK(DB23),"NO DATA",IF(ISNUMBER(FIND(CODES!$A$12,DB23)),CODES!$A$12,IF(OR(ISNUMBER(FIND(CODES!$A$10,DB23)),ISNUMBER(FIND(CODES!$A$11,DB23))),CODES!$A$13,IF(OR(DB23&lt;DB$39,ISNUMBER(DB23)=FALSE),DB$40,DB23))))</f>
      </c>
      <c r="DC50" s="7" t="str">
        <f>IF(ISBLANK(DC23),"NO DATA",IF(ISNUMBER(FIND(CODES!$A$12,DC23)),CODES!$A$12,IF(OR(ISNUMBER(FIND(CODES!$A$10,DC23)),ISNUMBER(FIND(CODES!$A$11,DC23))),CODES!$A$13,IF(OR(DC23&lt;DC$39,ISNUMBER(DC23)=FALSE),DC$40,DC23))))</f>
      </c>
      <c r="DD50" s="7">
        <f>IF(ISBLANK(DD23),"NO DATA",IF(ISNUMBER(FIND(CODES!$A$12,DD23)),CODES!$A$12,IF(OR(ISNUMBER(FIND(CODES!$A$10,DD23)),ISNUMBER(FIND(CODES!$A$11,DD23))),CODES!$A$13,IF(OR(DD23&lt;DD$39,ISNUMBER(DD23)=FALSE),DD$40,DD23))))</f>
      </c>
      <c r="DE50" s="7">
        <f>IF(ISBLANK(DE23),"NO DATA",IF(ISNUMBER(FIND(CODES!$A$12,DE23)),CODES!$A$12,IF(OR(ISNUMBER(FIND(CODES!$A$10,DE23)),ISNUMBER(FIND(CODES!$A$11,DE23))),CODES!$A$13,IF(OR(DE23&lt;DE$39,ISNUMBER(DE23)=FALSE),DE$40,DE23))))</f>
      </c>
      <c r="DF50" s="7">
        <f>IF(ISBLANK(DF23),"NO DATA",IF(ISNUMBER(FIND(CODES!$A$12,DF23)),CODES!$A$12,IF(OR(ISNUMBER(FIND(CODES!$A$10,DF23)),ISNUMBER(FIND(CODES!$A$11,DF23))),CODES!$A$13,IF(OR(DF23&lt;DF$39,ISNUMBER(DF23)=FALSE),DF$40,DF23))))</f>
      </c>
      <c r="DG50" s="7">
        <f>IF(ISBLANK(DG23),"NO DATA",IF(ISNUMBER(FIND(CODES!$A$12,DG23)),CODES!$A$12,IF(OR(ISNUMBER(FIND(CODES!$A$10,DG23)),ISNUMBER(FIND(CODES!$A$11,DG23))),CODES!$A$13,IF(OR(DG23&lt;DG$39,ISNUMBER(DG23)=FALSE),DG$40,DG23))))</f>
      </c>
      <c r="DH50" s="7">
        <f>IF(ISBLANK(DH23),"NO DATA",IF(ISNUMBER(FIND(CODES!$A$12,DH23)),CODES!$A$12,IF(OR(ISNUMBER(FIND(CODES!$A$10,DH23)),ISNUMBER(FIND(CODES!$A$11,DH23))),CODES!$A$13,IF(OR(DH23&lt;DH$39,ISNUMBER(DH23)=FALSE),DH$40,DH23))))</f>
      </c>
      <c r="DI50" s="7">
        <f>IF(ISBLANK(DI23),"NO DATA",IF(ISNUMBER(FIND(CODES!$A$12,DI23)),CODES!$A$12,IF(OR(ISNUMBER(FIND(CODES!$A$10,DI23)),ISNUMBER(FIND(CODES!$A$11,DI23))),CODES!$A$13,IF(OR(DI23&lt;DI$39,ISNUMBER(DI23)=FALSE),DI$40,DI23))))</f>
      </c>
    </row>
    <row r="51" spans="1:113" x14ac:dyDescent="0.25">
      <c r="A51" s="16" t="str">
        <f t="shared" si="8"/>
      </c>
      <c r="B51" s="16" t="str">
        <f t="shared" si="8"/>
      </c>
      <c r="C51" s="7" t="str">
        <f>IF(ISBLANK(C24),"NO DATA",IF(ISNUMBER(FIND(CODES!$A$12,C24)),CODES!$A$12,IF(OR(ISNUMBER(FIND(CODES!$A$10,C24)),ISNUMBER(FIND(CODES!$A$11,C24))),CODES!$A$13,IF(OR(C24&lt;C$39,ISNUMBER(C24)=FALSE),C$40,C24))))</f>
      </c>
      <c r="D51" s="7" t="str">
        <f>IF(ISBLANK(D24),"NO DATA",IF(ISNUMBER(FIND(CODES!$A$12,D24)),CODES!$A$12,IF(OR(ISNUMBER(FIND(CODES!$A$10,D24)),ISNUMBER(FIND(CODES!$A$11,D24))),CODES!$A$13,IF(OR(D24&lt;D$39,ISNUMBER(D24)=FALSE),D$40,D24))))</f>
      </c>
      <c r="E51" s="7" t="str">
        <f>IF(ISBLANK(E24),"NO DATA",IF(ISNUMBER(FIND(CODES!$A$12,E24)),CODES!$A$12,IF(OR(ISNUMBER(FIND(CODES!$A$10,E24)),ISNUMBER(FIND(CODES!$A$11,E24))),CODES!$A$13,IF(OR(E24&lt;E$39,ISNUMBER(E24)=FALSE),E$40,E24))))</f>
      </c>
      <c r="F51" s="7" t="str">
        <f>IF(ISBLANK(F24),"NO DATA",IF(ISNUMBER(FIND(CODES!$A$12,F24)),CODES!$A$12,IF(OR(ISNUMBER(FIND(CODES!$A$10,F24)),ISNUMBER(FIND(CODES!$A$11,F24))),CODES!$A$13,IF(OR(F24&lt;F$39,ISNUMBER(F24)=FALSE),F$40,F24))))</f>
      </c>
      <c r="G51" s="7" t="str">
        <f>IF(ISBLANK(G24),"NO DATA",IF(ISNUMBER(FIND(CODES!$A$12,G24)),CODES!$A$12,IF(OR(ISNUMBER(FIND(CODES!$A$10,G24)),ISNUMBER(FIND(CODES!$A$11,G24))),CODES!$A$13,IF(OR(G24&lt;G$39,ISNUMBER(G24)=FALSE),G$40,G24))))</f>
      </c>
      <c r="H51" s="7">
        <f>IF(ISBLANK(H24),"NO DATA",IF(ISNUMBER(FIND(CODES!$A$12,H24)),CODES!$A$12,IF(OR(ISNUMBER(FIND(CODES!$A$10,H24)),ISNUMBER(FIND(CODES!$A$11,H24))),CODES!$A$13,IF(OR(H24&lt;H$39,ISNUMBER(H24)=FALSE),H$40,H24))))</f>
      </c>
      <c r="I51" s="7">
        <f>IF(ISBLANK(I24),"NO DATA",IF(ISNUMBER(FIND(CODES!$A$12,I24)),CODES!$A$12,IF(OR(ISNUMBER(FIND(CODES!$A$10,I24)),ISNUMBER(FIND(CODES!$A$11,I24))),CODES!$A$13,IF(OR(I24&lt;I$39,ISNUMBER(I24)=FALSE),I$40,I24))))</f>
      </c>
      <c r="J51" s="7">
        <f>IF(ISBLANK(J24),"NO DATA",IF(ISNUMBER(FIND(CODES!$A$12,J24)),CODES!$A$12,IF(OR(ISNUMBER(FIND(CODES!$A$10,J24)),ISNUMBER(FIND(CODES!$A$11,J24))),CODES!$A$13,IF(OR(J24&lt;J$39,ISNUMBER(J24)=FALSE),J$40,J24))))</f>
      </c>
      <c r="K51" s="7">
        <f>IF(ISBLANK(K24),"NO DATA",IF(ISNUMBER(FIND(CODES!$A$12,K24)),CODES!$A$12,IF(OR(ISNUMBER(FIND(CODES!$A$10,K24)),ISNUMBER(FIND(CODES!$A$11,K24))),CODES!$A$13,IF(OR(K24&lt;K$39,ISNUMBER(K24)=FALSE),K$40,K24))))</f>
      </c>
      <c r="L51" s="7" t="str">
        <f>IF(ISBLANK(L24),"NO DATA",IF(ISNUMBER(FIND(CODES!$A$12,L24)),CODES!$A$12,IF(OR(ISNUMBER(FIND(CODES!$A$10,L24)),ISNUMBER(FIND(CODES!$A$11,L24))),CODES!$A$13,IF(OR(L24&lt;L$39,ISNUMBER(L24)=FALSE),L$40,L24))))</f>
      </c>
      <c r="M51" s="7" t="str">
        <f>IF(ISBLANK(M24),"NO DATA",IF(ISNUMBER(FIND(CODES!$A$12,M24)),CODES!$A$12,IF(OR(ISNUMBER(FIND(CODES!$A$10,M24)),ISNUMBER(FIND(CODES!$A$11,M24))),CODES!$A$13,IF(OR(M24&lt;M$39,ISNUMBER(M24)=FALSE),M$40,M24))))</f>
      </c>
      <c r="N51" s="7" t="str">
        <f>IF(ISBLANK(N24),"NO DATA",IF(ISNUMBER(FIND(CODES!$A$12,N24)),CODES!$A$12,IF(OR(ISNUMBER(FIND(CODES!$A$10,N24)),ISNUMBER(FIND(CODES!$A$11,N24))),CODES!$A$13,IF(OR(N24&lt;N$39,ISNUMBER(N24)=FALSE),N$40,N24))))</f>
      </c>
      <c r="O51" s="7" t="str">
        <f>IF(ISBLANK(O24),"NO DATA",IF(ISNUMBER(FIND(CODES!$A$12,O24)),CODES!$A$12,IF(OR(ISNUMBER(FIND(CODES!$A$10,O24)),ISNUMBER(FIND(CODES!$A$11,O24))),CODES!$A$13,IF(OR(O24&lt;O$39,ISNUMBER(O24)=FALSE),O$40,O24))))</f>
      </c>
      <c r="P51" s="7">
        <f>IF(ISBLANK(P24),"NO DATA",IF(ISNUMBER(FIND(CODES!$A$12,P24)),CODES!$A$12,IF(OR(ISNUMBER(FIND(CODES!$A$10,P24)),ISNUMBER(FIND(CODES!$A$11,P24))),CODES!$A$13,IF(OR(P24&lt;P$39,ISNUMBER(P24)=FALSE),P$40,P24))))</f>
      </c>
      <c r="Q51" s="7">
        <f>IF(ISBLANK(Q24),"NO DATA",IF(ISNUMBER(FIND(CODES!$A$12,Q24)),CODES!$A$12,IF(OR(ISNUMBER(FIND(CODES!$A$10,Q24)),ISNUMBER(FIND(CODES!$A$11,Q24))),CODES!$A$13,IF(OR(Q24&lt;Q$39,ISNUMBER(Q24)=FALSE),Q$40,Q24))))</f>
      </c>
      <c r="R51" s="7" t="str">
        <f>IF(ISBLANK(R24),"NO DATA",IF(ISNUMBER(FIND(CODES!$A$12,R24)),CODES!$A$12,IF(OR(ISNUMBER(FIND(CODES!$A$10,R24)),ISNUMBER(FIND(CODES!$A$11,R24))),CODES!$A$13,IF(OR(R24&lt;R$39,ISNUMBER(R24)=FALSE),R$40,R24))))</f>
      </c>
      <c r="S51" s="7" t="str">
        <f>IF(ISBLANK(S24),"NO DATA",IF(ISNUMBER(FIND(CODES!$A$12,S24)),CODES!$A$12,IF(OR(ISNUMBER(FIND(CODES!$A$10,S24)),ISNUMBER(FIND(CODES!$A$11,S24))),CODES!$A$13,IF(OR(S24&lt;S$39,ISNUMBER(S24)=FALSE),S$40,S24))))</f>
      </c>
      <c r="T51" s="7" t="str">
        <f>IF(ISBLANK(T24),"NO DATA",IF(ISNUMBER(FIND(CODES!$A$12,T24)),CODES!$A$12,IF(OR(ISNUMBER(FIND(CODES!$A$10,T24)),ISNUMBER(FIND(CODES!$A$11,T24))),CODES!$A$13,IF(OR(T24&lt;T$39,ISNUMBER(T24)=FALSE),T$40,T24))))</f>
      </c>
      <c r="U51" s="7" t="str">
        <f>IF(ISBLANK(U24),"NO DATA",IF(ISNUMBER(FIND(CODES!$A$12,U24)),CODES!$A$12,IF(OR(ISNUMBER(FIND(CODES!$A$10,U24)),ISNUMBER(FIND(CODES!$A$11,U24))),CODES!$A$13,IF(OR(U24&lt;U$39,ISNUMBER(U24)=FALSE),U$40,U24))))</f>
      </c>
      <c r="V51" s="7" t="str">
        <f>IF(ISBLANK(V24),"NO DATA",IF(ISNUMBER(FIND(CODES!$A$12,V24)),CODES!$A$12,IF(OR(ISNUMBER(FIND(CODES!$A$10,V24)),ISNUMBER(FIND(CODES!$A$11,V24))),CODES!$A$13,IF(OR(V24&lt;V$39,ISNUMBER(V24)=FALSE),V$40,V24))))</f>
      </c>
      <c r="W51" s="7" t="str">
        <f>IF(ISBLANK(W24),"NO DATA",IF(ISNUMBER(FIND(CODES!$A$12,W24)),CODES!$A$12,IF(OR(ISNUMBER(FIND(CODES!$A$10,W24)),ISNUMBER(FIND(CODES!$A$11,W24))),CODES!$A$13,IF(OR(W24&lt;W$39,ISNUMBER(W24)=FALSE),W$40,W24))))</f>
      </c>
      <c r="X51" s="7" t="str">
        <f>IF(ISBLANK(X24),"NO DATA",IF(ISNUMBER(FIND(CODES!$A$12,X24)),CODES!$A$12,IF(OR(ISNUMBER(FIND(CODES!$A$10,X24)),ISNUMBER(FIND(CODES!$A$11,X24))),CODES!$A$13,IF(OR(X24&lt;X$39,ISNUMBER(X24)=FALSE),X$40,X24))))</f>
      </c>
      <c r="Y51" s="7" t="str">
        <f>IF(ISBLANK(Y24),"NO DATA",IF(ISNUMBER(FIND(CODES!$A$12,Y24)),CODES!$A$12,IF(OR(ISNUMBER(FIND(CODES!$A$10,Y24)),ISNUMBER(FIND(CODES!$A$11,Y24))),CODES!$A$13,IF(OR(Y24&lt;Y$39,ISNUMBER(Y24)=FALSE),Y$40,Y24))))</f>
      </c>
      <c r="Z51" s="7">
        <f>IF(ISBLANK(Z24),"NO DATA",IF(ISNUMBER(FIND(CODES!$A$12,Z24)),CODES!$A$12,IF(OR(ISNUMBER(FIND(CODES!$A$10,Z24)),ISNUMBER(FIND(CODES!$A$11,Z24))),CODES!$A$13,IF(OR(Z24&lt;Z$39,ISNUMBER(Z24)=FALSE),Z$40,Z24))))</f>
      </c>
      <c r="AA51" s="7" t="str">
        <f>IF(ISBLANK(AA24),"NO DATA",IF(ISNUMBER(FIND(CODES!$A$12,AA24)),CODES!$A$12,IF(OR(ISNUMBER(FIND(CODES!$A$10,AA24)),ISNUMBER(FIND(CODES!$A$11,AA24))),CODES!$A$13,IF(OR(AA24&lt;AA$39,ISNUMBER(AA24)=FALSE),AA$40,AA24))))</f>
      </c>
      <c r="AB51" s="7" t="str">
        <f>IF(ISBLANK(AB24),"NO DATA",IF(ISNUMBER(FIND(CODES!$A$12,AB24)),CODES!$A$12,IF(OR(ISNUMBER(FIND(CODES!$A$10,AB24)),ISNUMBER(FIND(CODES!$A$11,AB24))),CODES!$A$13,IF(OR(AB24&lt;AB$39,ISNUMBER(AB24)=FALSE),AB$40,AB24))))</f>
      </c>
      <c r="AC51" s="7" t="str">
        <f>IF(ISBLANK(AC24),"NO DATA",IF(ISNUMBER(FIND(CODES!$A$12,AC24)),CODES!$A$12,IF(OR(ISNUMBER(FIND(CODES!$A$10,AC24)),ISNUMBER(FIND(CODES!$A$11,AC24))),CODES!$A$13,IF(OR(AC24&lt;AC$39,ISNUMBER(AC24)=FALSE),AC$40,AC24))))</f>
      </c>
      <c r="AD51" s="7" t="str">
        <f>IF(ISBLANK(AD24),"NO DATA",IF(ISNUMBER(FIND(CODES!$A$12,AD24)),CODES!$A$12,IF(OR(ISNUMBER(FIND(CODES!$A$10,AD24)),ISNUMBER(FIND(CODES!$A$11,AD24))),CODES!$A$13,IF(OR(AD24&lt;AD$39,ISNUMBER(AD24)=FALSE),AD$40,AD24))))</f>
      </c>
      <c r="AE51" s="7" t="str">
        <f>IF(ISBLANK(AE24),"NO DATA",IF(ISNUMBER(FIND(CODES!$A$12,AE24)),CODES!$A$12,IF(OR(ISNUMBER(FIND(CODES!$A$10,AE24)),ISNUMBER(FIND(CODES!$A$11,AE24))),CODES!$A$13,IF(OR(AE24&lt;AE$39,ISNUMBER(AE24)=FALSE),AE$40,AE24))))</f>
      </c>
      <c r="AF51" s="7" t="str">
        <f>IF(ISBLANK(AF24),"NO DATA",IF(ISNUMBER(FIND(CODES!$A$12,AF24)),CODES!$A$12,IF(OR(ISNUMBER(FIND(CODES!$A$10,AF24)),ISNUMBER(FIND(CODES!$A$11,AF24))),CODES!$A$13,IF(OR(AF24&lt;AF$39,ISNUMBER(AF24)=FALSE),AF$40,AF24))))</f>
      </c>
      <c r="AG51" s="7">
        <f>IF(ISBLANK(AG24),"NO DATA",IF(ISNUMBER(FIND(CODES!$A$12,AG24)),CODES!$A$12,IF(OR(ISNUMBER(FIND(CODES!$A$10,AG24)),ISNUMBER(FIND(CODES!$A$11,AG24))),CODES!$A$13,IF(OR(AG24&lt;AG$39,ISNUMBER(AG24)=FALSE),AG$40,AG24))))</f>
      </c>
      <c r="AH51" s="7">
        <f>IF(ISBLANK(AH24),"NO DATA",IF(ISNUMBER(FIND(CODES!$A$12,AH24)),CODES!$A$12,IF(OR(ISNUMBER(FIND(CODES!$A$10,AH24)),ISNUMBER(FIND(CODES!$A$11,AH24))),CODES!$A$13,IF(OR(AH24&lt;AH$39,ISNUMBER(AH24)=FALSE),AH$40,AH24))))</f>
      </c>
      <c r="AI51" s="7" t="str">
        <f>IF(ISBLANK(AI24),"NO DATA",IF(ISNUMBER(FIND(CODES!$A$12,AI24)),CODES!$A$12,IF(OR(ISNUMBER(FIND(CODES!$A$10,AI24)),ISNUMBER(FIND(CODES!$A$11,AI24))),CODES!$A$13,IF(OR(AI24&lt;AI$39,ISNUMBER(AI24)=FALSE),AI$40,AI24))))</f>
      </c>
      <c r="AJ51" s="7" t="str">
        <f>IF(ISBLANK(AJ24),"NO DATA",IF(ISNUMBER(FIND(CODES!$A$12,AJ24)),CODES!$A$12,IF(OR(ISNUMBER(FIND(CODES!$A$10,AJ24)),ISNUMBER(FIND(CODES!$A$11,AJ24))),CODES!$A$13,IF(OR(AJ24&lt;AJ$39,ISNUMBER(AJ24)=FALSE),AJ$40,AJ24))))</f>
      </c>
      <c r="AK51" s="7">
        <f>IF(ISBLANK(AK24),"NO DATA",IF(ISNUMBER(FIND(CODES!$A$12,AK24)),CODES!$A$12,IF(OR(ISNUMBER(FIND(CODES!$A$10,AK24)),ISNUMBER(FIND(CODES!$A$11,AK24))),CODES!$A$13,IF(OR(AK24&lt;AK$39,ISNUMBER(AK24)=FALSE),AK$40,AK24))))</f>
      </c>
      <c r="AL51" s="7" t="str">
        <f>IF(ISBLANK(AL24),"NO DATA",IF(ISNUMBER(FIND(CODES!$A$12,AL24)),CODES!$A$12,IF(OR(ISNUMBER(FIND(CODES!$A$10,AL24)),ISNUMBER(FIND(CODES!$A$11,AL24))),CODES!$A$13,IF(OR(AL24&lt;AL$39,ISNUMBER(AL24)=FALSE),AL$40,AL24))))</f>
      </c>
      <c r="AM51" s="7" t="str">
        <f>IF(ISBLANK(AM24),"NO DATA",IF(ISNUMBER(FIND(CODES!$A$12,AM24)),CODES!$A$12,IF(OR(ISNUMBER(FIND(CODES!$A$10,AM24)),ISNUMBER(FIND(CODES!$A$11,AM24))),CODES!$A$13,IF(OR(AM24&lt;AM$39,ISNUMBER(AM24)=FALSE),AM$40,AM24))))</f>
      </c>
      <c r="AN51" s="7" t="str">
        <f>IF(ISBLANK(AN24),"NO DATA",IF(ISNUMBER(FIND(CODES!$A$12,AN24)),CODES!$A$12,IF(OR(ISNUMBER(FIND(CODES!$A$10,AN24)),ISNUMBER(FIND(CODES!$A$11,AN24))),CODES!$A$13,IF(OR(AN24&lt;AN$39,ISNUMBER(AN24)=FALSE),AN$40,AN24))))</f>
      </c>
      <c r="AO51" s="7" t="str">
        <f>IF(ISBLANK(AO24),"NO DATA",IF(ISNUMBER(FIND(CODES!$A$12,AO24)),CODES!$A$12,IF(OR(ISNUMBER(FIND(CODES!$A$10,AO24)),ISNUMBER(FIND(CODES!$A$11,AO24))),CODES!$A$13,IF(OR(AO24&lt;AO$39,ISNUMBER(AO24)=FALSE),AO$40,AO24))))</f>
      </c>
      <c r="AP51" s="7" t="str">
        <f>IF(ISBLANK(AP24),"NO DATA",IF(ISNUMBER(FIND(CODES!$A$12,AP24)),CODES!$A$12,IF(OR(ISNUMBER(FIND(CODES!$A$10,AP24)),ISNUMBER(FIND(CODES!$A$11,AP24))),CODES!$A$13,IF(OR(AP24&lt;AP$39,ISNUMBER(AP24)=FALSE),AP$40,AP24))))</f>
      </c>
      <c r="AQ51" s="7" t="str">
        <f>IF(ISBLANK(AQ24),"NO DATA",IF(ISNUMBER(FIND(CODES!$A$12,AQ24)),CODES!$A$12,IF(OR(ISNUMBER(FIND(CODES!$A$10,AQ24)),ISNUMBER(FIND(CODES!$A$11,AQ24))),CODES!$A$13,IF(OR(AQ24&lt;AQ$39,ISNUMBER(AQ24)=FALSE),AQ$40,AQ24))))</f>
      </c>
      <c r="AR51" s="7" t="str">
        <f>IF(ISBLANK(AR24),"NO DATA",IF(ISNUMBER(FIND(CODES!$A$12,AR24)),CODES!$A$12,IF(OR(ISNUMBER(FIND(CODES!$A$10,AR24)),ISNUMBER(FIND(CODES!$A$11,AR24))),CODES!$A$13,IF(OR(AR24&lt;AR$39,ISNUMBER(AR24)=FALSE),AR$40,AR24))))</f>
      </c>
      <c r="AS51" s="7">
        <f>IF(ISBLANK(AS24),"NO DATA",IF(ISNUMBER(FIND(CODES!$A$12,AS24)),CODES!$A$12,IF(OR(ISNUMBER(FIND(CODES!$A$10,AS24)),ISNUMBER(FIND(CODES!$A$11,AS24))),CODES!$A$13,IF(OR(AS24&lt;AS$39,ISNUMBER(AS24)=FALSE),AS$40,AS24))))</f>
      </c>
      <c r="AT51" s="7">
        <f>IF(ISBLANK(AT24),"NO DATA",IF(ISNUMBER(FIND(CODES!$A$12,AT24)),CODES!$A$12,IF(OR(ISNUMBER(FIND(CODES!$A$10,AT24)),ISNUMBER(FIND(CODES!$A$11,AT24))),CODES!$A$13,IF(OR(AT24&lt;AT$39,ISNUMBER(AT24)=FALSE),AT$40,AT24))))</f>
      </c>
      <c r="AU51" s="7" t="str">
        <f>IF(ISBLANK(AU24),"NO DATA",IF(ISNUMBER(FIND(CODES!$A$12,AU24)),CODES!$A$12,IF(OR(ISNUMBER(FIND(CODES!$A$10,AU24)),ISNUMBER(FIND(CODES!$A$11,AU24))),CODES!$A$13,IF(OR(AU24&lt;AU$39,ISNUMBER(AU24)=FALSE),AU$40,AU24))))</f>
      </c>
      <c r="AV51" s="7" t="str">
        <f>IF(ISBLANK(AV24),"NO DATA",IF(ISNUMBER(FIND(CODES!$A$12,AV24)),CODES!$A$12,IF(OR(ISNUMBER(FIND(CODES!$A$10,AV24)),ISNUMBER(FIND(CODES!$A$11,AV24))),CODES!$A$13,IF(OR(AV24&lt;AV$39,ISNUMBER(AV24)=FALSE),AV$40,AV24))))</f>
      </c>
      <c r="AW51" s="7" t="str">
        <f>IF(ISBLANK(AW24),"NO DATA",IF(ISNUMBER(FIND(CODES!$A$12,AW24)),CODES!$A$12,IF(OR(ISNUMBER(FIND(CODES!$A$10,AW24)),ISNUMBER(FIND(CODES!$A$11,AW24))),CODES!$A$13,IF(OR(AW24&lt;AW$39,ISNUMBER(AW24)=FALSE),AW$40,AW24))))</f>
      </c>
      <c r="AX51" s="7" t="str">
        <f>IF(ISBLANK(AX24),"NO DATA",IF(ISNUMBER(FIND(CODES!$A$12,AX24)),CODES!$A$12,IF(OR(ISNUMBER(FIND(CODES!$A$10,AX24)),ISNUMBER(FIND(CODES!$A$11,AX24))),CODES!$A$13,IF(OR(AX24&lt;AX$39,ISNUMBER(AX24)=FALSE),AX$40,AX24))))</f>
      </c>
      <c r="AY51" s="7" t="str">
        <f>IF(ISBLANK(AY24),"NO DATA",IF(ISNUMBER(FIND(CODES!$A$12,AY24)),CODES!$A$12,IF(OR(ISNUMBER(FIND(CODES!$A$10,AY24)),ISNUMBER(FIND(CODES!$A$11,AY24))),CODES!$A$13,IF(OR(AY24&lt;AY$39,ISNUMBER(AY24)=FALSE),AY$40,AY24))))</f>
      </c>
      <c r="AZ51" s="7">
        <f>IF(ISBLANK(AZ24),"NO DATA",IF(ISNUMBER(FIND(CODES!$A$12,AZ24)),CODES!$A$12,IF(OR(ISNUMBER(FIND(CODES!$A$10,AZ24)),ISNUMBER(FIND(CODES!$A$11,AZ24))),CODES!$A$13,IF(OR(AZ24&lt;AZ$39,ISNUMBER(AZ24)=FALSE),AZ$40,AZ24))))</f>
      </c>
      <c r="BA51" s="7">
        <f>IF(ISBLANK(BA24),"NO DATA",IF(ISNUMBER(FIND(CODES!$A$12,BA24)),CODES!$A$12,IF(OR(ISNUMBER(FIND(CODES!$A$10,BA24)),ISNUMBER(FIND(CODES!$A$11,BA24))),CODES!$A$13,IF(OR(BA24&lt;BA$39,ISNUMBER(BA24)=FALSE),BA$40,BA24))))</f>
      </c>
      <c r="BB51" s="36">
        <f>IF(ISBLANK(BB24),"NO DATA",IF(ISNUMBER(FIND(CODES!$A$12,BB24)),CODES!$A$12,IF(OR(ISNUMBER(FIND(CODES!$A$10,BB24)),ISNUMBER(FIND(CODES!$A$11,BB24))),CODES!$A$13,IF(OR(BB24&lt;BB$39,ISNUMBER(BB24)=FALSE),BB$40,BB24))))</f>
      </c>
      <c r="BC51" s="7">
        <f>IF(ISBLANK(BC24),"NO DATA",IF(ISNUMBER(FIND(CODES!$A$12,BC24)),CODES!$A$12,IF(OR(ISNUMBER(FIND(CODES!$A$10,BC24)),ISNUMBER(FIND(CODES!$A$11,BC24))),CODES!$A$13,IF(OR(BC24&lt;BC$39,ISNUMBER(BC24)=FALSE),BC$40,BC24))))</f>
      </c>
      <c r="BD51" s="7">
        <f>IF(ISBLANK(BD24),"NO DATA",IF(ISNUMBER(FIND(CODES!$A$12,BD24)),CODES!$A$12,IF(OR(ISNUMBER(FIND(CODES!$A$10,BD24)),ISNUMBER(FIND(CODES!$A$11,BD24))),CODES!$A$13,IF(OR(BD24&lt;BD$39,ISNUMBER(BD24)=FALSE),BD$40,BD24))))</f>
      </c>
      <c r="BE51" s="7" t="str">
        <f>IF(ISBLANK(BE24),"NO DATA",IF(ISNUMBER(FIND(CODES!$A$12,BE24)),CODES!$A$12,IF(OR(ISNUMBER(FIND(CODES!$A$10,BE24)),ISNUMBER(FIND(CODES!$A$11,BE24))),CODES!$A$13,IF(OR(BE24&lt;BE$39,ISNUMBER(BE24)=FALSE),BE$40,BE24))))</f>
      </c>
      <c r="BF51" s="7">
        <f>IF(ISBLANK(BF24),"NO DATA",IF(ISNUMBER(FIND(CODES!$A$12,BF24)),CODES!$A$12,IF(OR(ISNUMBER(FIND(CODES!$A$10,BF24)),ISNUMBER(FIND(CODES!$A$11,BF24))),CODES!$A$13,IF(OR(BF24&lt;BF$39,ISNUMBER(BF24)=FALSE),BF$40,BF24))))</f>
      </c>
      <c r="BG51" s="7">
        <f>IF(ISBLANK(BG24),"NO DATA",IF(ISNUMBER(FIND(CODES!$A$12,BG24)),CODES!$A$12,IF(OR(ISNUMBER(FIND(CODES!$A$10,BG24)),ISNUMBER(FIND(CODES!$A$11,BG24))),CODES!$A$13,IF(OR(BG24&lt;BG$39,ISNUMBER(BG24)=FALSE),BG$40,BG24))))</f>
      </c>
      <c r="BH51" s="7" t="str">
        <f>IF(ISBLANK(BH24),"NO DATA",IF(ISNUMBER(FIND(CODES!$A$12,BH24)),CODES!$A$12,IF(OR(ISNUMBER(FIND(CODES!$A$10,BH24)),ISNUMBER(FIND(CODES!$A$11,BH24))),CODES!$A$13,IF(OR(BH24&lt;BH$39,ISNUMBER(BH24)=FALSE),BH$40,BH24))))</f>
      </c>
      <c r="BI51" s="7" t="str">
        <f>IF(ISBLANK(BI24),"NO DATA",IF(ISNUMBER(FIND(CODES!$A$12,BI24)),CODES!$A$12,IF(OR(ISNUMBER(FIND(CODES!$A$10,BI24)),ISNUMBER(FIND(CODES!$A$11,BI24))),CODES!$A$13,IF(OR(BI24&lt;BI$39,ISNUMBER(BI24)=FALSE),BI$40,BI24))))</f>
      </c>
      <c r="BJ51" s="7" t="str">
        <f>IF(ISBLANK(BJ24),"NO DATA",IF(ISNUMBER(FIND(CODES!$A$12,BJ24)),CODES!$A$12,IF(OR(ISNUMBER(FIND(CODES!$A$10,BJ24)),ISNUMBER(FIND(CODES!$A$11,BJ24))),CODES!$A$13,IF(OR(BJ24&lt;BJ$39,ISNUMBER(BJ24)=FALSE),BJ$40,BJ24))))</f>
      </c>
      <c r="BK51" s="7" t="str">
        <f>IF(ISBLANK(BK24),"NO DATA",IF(ISNUMBER(FIND(CODES!$A$12,BK24)),CODES!$A$12,IF(OR(ISNUMBER(FIND(CODES!$A$10,BK24)),ISNUMBER(FIND(CODES!$A$11,BK24))),CODES!$A$13,IF(OR(BK24&lt;BK$39,ISNUMBER(BK24)=FALSE),BK$40,BK24))))</f>
      </c>
      <c r="BL51" s="7" t="str">
        <f>IF(ISBLANK(BL24),"NO DATA",IF(ISNUMBER(FIND(CODES!$A$12,BL24)),CODES!$A$12,IF(OR(ISNUMBER(FIND(CODES!$A$10,BL24)),ISNUMBER(FIND(CODES!$A$11,BL24))),CODES!$A$13,IF(OR(BL24&lt;BL$39,ISNUMBER(BL24)=FALSE),BL$40,BL24))))</f>
      </c>
      <c r="BM51" s="7" t="str">
        <f>IF(ISBLANK(BM24),"NO DATA",IF(ISNUMBER(FIND(CODES!$A$12,BM24)),CODES!$A$12,IF(OR(ISNUMBER(FIND(CODES!$A$10,BM24)),ISNUMBER(FIND(CODES!$A$11,BM24))),CODES!$A$13,IF(OR(BM24&lt;BM$39,ISNUMBER(BM24)=FALSE),BM$40,BM24))))</f>
      </c>
      <c r="BN51" s="7" t="str">
        <f>IF(ISBLANK(BN24),"NO DATA",IF(ISNUMBER(FIND(CODES!$A$12,BN24)),CODES!$A$12,IF(OR(ISNUMBER(FIND(CODES!$A$10,BN24)),ISNUMBER(FIND(CODES!$A$11,BN24))),CODES!$A$13,IF(OR(BN24&lt;BN$39,ISNUMBER(BN24)=FALSE),BN$40,BN24))))</f>
      </c>
      <c r="BO51" s="7" t="str">
        <f>IF(ISBLANK(BO24),"NO DATA",IF(ISNUMBER(FIND(CODES!$A$12,BO24)),CODES!$A$12,IF(OR(ISNUMBER(FIND(CODES!$A$10,BO24)),ISNUMBER(FIND(CODES!$A$11,BO24))),CODES!$A$13,IF(OR(BO24&lt;BO$39,ISNUMBER(BO24)=FALSE),BO$40,BO24))))</f>
      </c>
      <c r="BP51" s="7">
        <f>IF(ISBLANK(BP24),"NO DATA",IF(ISNUMBER(FIND(CODES!$A$12,BP24)),CODES!$A$12,IF(OR(ISNUMBER(FIND(CODES!$A$10,BP24)),ISNUMBER(FIND(CODES!$A$11,BP24))),CODES!$A$13,IF(OR(BP24&lt;BP$39,ISNUMBER(BP24)=FALSE),BP$40,BP24))))</f>
      </c>
      <c r="BQ51" s="7" t="str">
        <f>IF(ISBLANK(BQ24),"NO DATA",IF(ISNUMBER(FIND(CODES!$A$12,BQ24)),CODES!$A$12,IF(OR(ISNUMBER(FIND(CODES!$A$10,BQ24)),ISNUMBER(FIND(CODES!$A$11,BQ24))),CODES!$A$13,IF(OR(BQ24&lt;BQ$39,ISNUMBER(BQ24)=FALSE),BQ$40,BQ24))))</f>
      </c>
      <c r="BR51" s="7" t="str">
        <f>IF(ISBLANK(BR24),"NO DATA",IF(ISNUMBER(FIND(CODES!$A$12,BR24)),CODES!$A$12,IF(OR(ISNUMBER(FIND(CODES!$A$10,BR24)),ISNUMBER(FIND(CODES!$A$11,BR24))),CODES!$A$13,IF(OR(BR24&lt;BR$39,ISNUMBER(BR24)=FALSE),BR$40,BR24))))</f>
      </c>
      <c r="BS51" s="7">
        <f>IF(ISBLANK(BS24),"NO DATA",IF(ISNUMBER(FIND(CODES!$A$12,BS24)),CODES!$A$12,IF(OR(ISNUMBER(FIND(CODES!$A$10,BS24)),ISNUMBER(FIND(CODES!$A$11,BS24))),CODES!$A$13,IF(OR(BS24&lt;BS$39,ISNUMBER(BS24)=FALSE),BS$40,BS24))))</f>
      </c>
      <c r="BT51" s="7">
        <f>IF(ISBLANK(BT24),"NO DATA",IF(ISNUMBER(FIND(CODES!$A$12,BT24)),CODES!$A$12,IF(OR(ISNUMBER(FIND(CODES!$A$10,BT24)),ISNUMBER(FIND(CODES!$A$11,BT24))),CODES!$A$13,IF(OR(BT24&lt;BT$39,ISNUMBER(BT24)=FALSE),BT$40,BT24))))</f>
      </c>
      <c r="BU51" s="7" t="str">
        <f>IF(ISBLANK(BU24),"NO DATA",IF(ISNUMBER(FIND(CODES!$A$12,BU24)),CODES!$A$12,IF(OR(ISNUMBER(FIND(CODES!$A$10,BU24)),ISNUMBER(FIND(CODES!$A$11,BU24))),CODES!$A$13,IF(OR(BU24&lt;BU$39,ISNUMBER(BU24)=FALSE),BU$40,BU24))))</f>
      </c>
      <c r="BV51" s="7" t="str">
        <f>IF(ISBLANK(BV24),"NO DATA",IF(ISNUMBER(FIND(CODES!$A$12,BV24)),CODES!$A$12,IF(OR(ISNUMBER(FIND(CODES!$A$10,BV24)),ISNUMBER(FIND(CODES!$A$11,BV24))),CODES!$A$13,IF(OR(BV24&lt;BV$39,ISNUMBER(BV24)=FALSE),BV$40,BV24))))</f>
      </c>
      <c r="BW51" s="7" t="str">
        <f>IF(ISBLANK(BW24),"NO DATA",IF(ISNUMBER(FIND(CODES!$A$12,BW24)),CODES!$A$12,IF(OR(ISNUMBER(FIND(CODES!$A$10,BW24)),ISNUMBER(FIND(CODES!$A$11,BW24))),CODES!$A$13,IF(OR(BW24&lt;BW$39,ISNUMBER(BW24)=FALSE),BW$40,BW24))))</f>
      </c>
      <c r="BX51" s="7" t="str">
        <f>IF(ISBLANK(BX24),"NO DATA",IF(ISNUMBER(FIND(CODES!$A$12,BX24)),CODES!$A$12,IF(OR(ISNUMBER(FIND(CODES!$A$10,BX24)),ISNUMBER(FIND(CODES!$A$11,BX24))),CODES!$A$13,IF(OR(BX24&lt;BX$39,ISNUMBER(BX24)=FALSE),BX$40,BX24))))</f>
      </c>
      <c r="BY51" s="7" t="str">
        <f>IF(ISBLANK(BY24),"NO DATA",IF(ISNUMBER(FIND(CODES!$A$12,BY24)),CODES!$A$12,IF(OR(ISNUMBER(FIND(CODES!$A$10,BY24)),ISNUMBER(FIND(CODES!$A$11,BY24))),CODES!$A$13,IF(OR(BY24&lt;BY$39,ISNUMBER(BY24)=FALSE),BY$40,BY24))))</f>
      </c>
      <c r="BZ51" s="7" t="str">
        <f>IF(ISBLANK(BZ24),"NO DATA",IF(ISNUMBER(FIND(CODES!$A$12,BZ24)),CODES!$A$12,IF(OR(ISNUMBER(FIND(CODES!$A$10,BZ24)),ISNUMBER(FIND(CODES!$A$11,BZ24))),CODES!$A$13,IF(OR(BZ24&lt;BZ$39,ISNUMBER(BZ24)=FALSE),BZ$40,BZ24))))</f>
      </c>
      <c r="CA51" s="7" t="str">
        <f>IF(ISBLANK(CA24),"NO DATA",IF(ISNUMBER(FIND(CODES!$A$12,CA24)),CODES!$A$12,IF(OR(ISNUMBER(FIND(CODES!$A$10,CA24)),ISNUMBER(FIND(CODES!$A$11,CA24))),CODES!$A$13,IF(OR(CA24&lt;CA$39,ISNUMBER(CA24)=FALSE),CA$40,CA24))))</f>
      </c>
      <c r="CB51" s="7" t="str">
        <f>IF(ISBLANK(CB24),"NO DATA",IF(ISNUMBER(FIND(CODES!$A$12,CB24)),CODES!$A$12,IF(OR(ISNUMBER(FIND(CODES!$A$10,CB24)),ISNUMBER(FIND(CODES!$A$11,CB24))),CODES!$A$13,IF(OR(CB24&lt;CB$39,ISNUMBER(CB24)=FALSE),CB$40,CB24))))</f>
      </c>
      <c r="CC51" s="7" t="str">
        <f>IF(ISBLANK(CC24),"NO DATA",IF(ISNUMBER(FIND(CODES!$A$12,CC24)),CODES!$A$12,IF(OR(ISNUMBER(FIND(CODES!$A$10,CC24)),ISNUMBER(FIND(CODES!$A$11,CC24))),CODES!$A$13,IF(OR(CC24&lt;CC$39,ISNUMBER(CC24)=FALSE),CC$40,CC24))))</f>
      </c>
      <c r="CD51" s="7" t="str">
        <f>IF(ISBLANK(CD24),"NO DATA",IF(ISNUMBER(FIND(CODES!$A$12,CD24)),CODES!$A$12,IF(OR(ISNUMBER(FIND(CODES!$A$10,CD24)),ISNUMBER(FIND(CODES!$A$11,CD24))),CODES!$A$13,IF(OR(CD24&lt;CD$39,ISNUMBER(CD24)=FALSE),CD$40,CD24))))</f>
      </c>
      <c r="CE51" s="7" t="str">
        <f>IF(ISBLANK(CE24),"NO DATA",IF(ISNUMBER(FIND(CODES!$A$12,CE24)),CODES!$A$12,IF(OR(ISNUMBER(FIND(CODES!$A$10,CE24)),ISNUMBER(FIND(CODES!$A$11,CE24))),CODES!$A$13,IF(OR(CE24&lt;CE$39,ISNUMBER(CE24)=FALSE),CE$40,CE24))))</f>
      </c>
      <c r="CF51" s="7" t="str">
        <f>IF(ISBLANK(CF24),"NO DATA",IF(ISNUMBER(FIND(CODES!$A$12,CF24)),CODES!$A$12,IF(OR(ISNUMBER(FIND(CODES!$A$10,CF24)),ISNUMBER(FIND(CODES!$A$11,CF24))),CODES!$A$13,IF(OR(CF24&lt;CF$39,ISNUMBER(CF24)=FALSE),CF$40,CF24))))</f>
      </c>
      <c r="CG51" s="7">
        <f>IF(ISBLANK(CG24),"NO DATA",IF(ISNUMBER(FIND(CODES!$A$12,CG24)),CODES!$A$12,IF(OR(ISNUMBER(FIND(CODES!$A$10,CG24)),ISNUMBER(FIND(CODES!$A$11,CG24))),CODES!$A$13,IF(OR(CG24&lt;CG$39,ISNUMBER(CG24)=FALSE),CG$40,CG24))))</f>
      </c>
      <c r="CH51" s="7">
        <f>IF(ISBLANK(CH24),"NO DATA",IF(ISNUMBER(FIND(CODES!$A$12,CH24)),CODES!$A$12,IF(OR(ISNUMBER(FIND(CODES!$A$10,CH24)),ISNUMBER(FIND(CODES!$A$11,CH24))),CODES!$A$13,IF(OR(CH24&lt;CH$39,ISNUMBER(CH24)=FALSE),CH$40,CH24))))</f>
      </c>
      <c r="CI51" s="7" t="str">
        <f>IF(ISBLANK(CI24),"NO DATA",IF(ISNUMBER(FIND(CODES!$A$12,CI24)),CODES!$A$12,IF(OR(ISNUMBER(FIND(CODES!$A$10,CI24)),ISNUMBER(FIND(CODES!$A$11,CI24))),CODES!$A$13,IF(OR(CI24&lt;CI$39,ISNUMBER(CI24)=FALSE),CI$40,CI24))))</f>
      </c>
      <c r="CJ51" s="7" t="str">
        <f>IF(ISBLANK(CJ24),"NO DATA",IF(ISNUMBER(FIND(CODES!$A$12,CJ24)),CODES!$A$12,IF(OR(ISNUMBER(FIND(CODES!$A$10,CJ24)),ISNUMBER(FIND(CODES!$A$11,CJ24))),CODES!$A$13,IF(OR(CJ24&lt;CJ$39,ISNUMBER(CJ24)=FALSE),CJ$40,CJ24))))</f>
      </c>
      <c r="CK51" s="7" t="str">
        <f>IF(ISBLANK(CK24),"NO DATA",IF(ISNUMBER(FIND(CODES!$A$12,CK24)),CODES!$A$12,IF(OR(ISNUMBER(FIND(CODES!$A$10,CK24)),ISNUMBER(FIND(CODES!$A$11,CK24))),CODES!$A$13,IF(OR(CK24&lt;CK$39,ISNUMBER(CK24)=FALSE),CK$40,CK24))))</f>
      </c>
      <c r="CL51" s="7" t="str">
        <f>IF(ISBLANK(CL24),"NO DATA",IF(ISNUMBER(FIND(CODES!$A$12,CL24)),CODES!$A$12,IF(OR(ISNUMBER(FIND(CODES!$A$10,CL24)),ISNUMBER(FIND(CODES!$A$11,CL24))),CODES!$A$13,IF(OR(CL24&lt;CL$39,ISNUMBER(CL24)=FALSE),CL$40,CL24))))</f>
      </c>
      <c r="CM51" s="7" t="str">
        <f>IF(ISBLANK(CM24),"NO DATA",IF(ISNUMBER(FIND(CODES!$A$12,CM24)),CODES!$A$12,IF(OR(ISNUMBER(FIND(CODES!$A$10,CM24)),ISNUMBER(FIND(CODES!$A$11,CM24))),CODES!$A$13,IF(OR(CM24&lt;CM$39,ISNUMBER(CM24)=FALSE),CM$40,CM24))))</f>
      </c>
      <c r="CN51" s="7" t="str">
        <f>IF(ISBLANK(CN24),"NO DATA",IF(ISNUMBER(FIND(CODES!$A$12,CN24)),CODES!$A$12,IF(OR(ISNUMBER(FIND(CODES!$A$10,CN24)),ISNUMBER(FIND(CODES!$A$11,CN24))),CODES!$A$13,IF(OR(CN24&lt;CN$39,ISNUMBER(CN24)=FALSE),CN$40,CN24))))</f>
      </c>
      <c r="CO51" s="7" t="str">
        <f>IF(ISBLANK(CO24),"NO DATA",IF(ISNUMBER(FIND(CODES!$A$12,CO24)),CODES!$A$12,IF(OR(ISNUMBER(FIND(CODES!$A$10,CO24)),ISNUMBER(FIND(CODES!$A$11,CO24))),CODES!$A$13,IF(OR(CO24&lt;CO$39,ISNUMBER(CO24)=FALSE),CO$40,CO24))))</f>
      </c>
      <c r="CP51" s="7" t="str">
        <f>IF(ISBLANK(CP24),"NO DATA",IF(ISNUMBER(FIND(CODES!$A$12,CP24)),CODES!$A$12,IF(OR(ISNUMBER(FIND(CODES!$A$10,CP24)),ISNUMBER(FIND(CODES!$A$11,CP24))),CODES!$A$13,IF(OR(CP24&lt;CP$39,ISNUMBER(CP24)=FALSE),CP$40,CP24))))</f>
      </c>
      <c r="CQ51" s="7" t="str">
        <f>IF(ISBLANK(CQ24),"NO DATA",IF(ISNUMBER(FIND(CODES!$A$12,CQ24)),CODES!$A$12,IF(OR(ISNUMBER(FIND(CODES!$A$10,CQ24)),ISNUMBER(FIND(CODES!$A$11,CQ24))),CODES!$A$13,IF(OR(CQ24&lt;CQ$39,ISNUMBER(CQ24)=FALSE),CQ$40,CQ24))))</f>
      </c>
      <c r="CR51" s="7" t="str">
        <f>IF(ISBLANK(CR24),"NO DATA",IF(ISNUMBER(FIND(CODES!$A$12,CR24)),CODES!$A$12,IF(OR(ISNUMBER(FIND(CODES!$A$10,CR24)),ISNUMBER(FIND(CODES!$A$11,CR24))),CODES!$A$13,IF(OR(CR24&lt;CR$39,ISNUMBER(CR24)=FALSE),CR$40,CR24))))</f>
      </c>
      <c r="CS51" s="7" t="str">
        <f>IF(ISBLANK(CS24),"NO DATA",IF(ISNUMBER(FIND(CODES!$A$12,CS24)),CODES!$A$12,IF(OR(ISNUMBER(FIND(CODES!$A$10,CS24)),ISNUMBER(FIND(CODES!$A$11,CS24))),CODES!$A$13,IF(OR(CS24&lt;CS$39,ISNUMBER(CS24)=FALSE),CS$40,CS24))))</f>
      </c>
      <c r="CT51" s="7" t="str">
        <f>IF(ISBLANK(CT24),"NO DATA",IF(ISNUMBER(FIND(CODES!$A$12,CT24)),CODES!$A$12,IF(OR(ISNUMBER(FIND(CODES!$A$10,CT24)),ISNUMBER(FIND(CODES!$A$11,CT24))),CODES!$A$13,IF(OR(CT24&lt;CT$39,ISNUMBER(CT24)=FALSE),CT$40,CT24))))</f>
      </c>
      <c r="CU51" s="7" t="str">
        <f>IF(ISBLANK(CU24),"NO DATA",IF(ISNUMBER(FIND(CODES!$A$12,CU24)),CODES!$A$12,IF(OR(ISNUMBER(FIND(CODES!$A$10,CU24)),ISNUMBER(FIND(CODES!$A$11,CU24))),CODES!$A$13,IF(OR(CU24&lt;CU$39,ISNUMBER(CU24)=FALSE),CU$40,CU24))))</f>
      </c>
      <c r="CV51" s="7">
        <f>IF(ISBLANK(CV24),"NO DATA",IF(ISNUMBER(FIND(CODES!$A$12,CV24)),CODES!$A$12,IF(OR(ISNUMBER(FIND(CODES!$A$10,CV24)),ISNUMBER(FIND(CODES!$A$11,CV24))),CODES!$A$13,IF(OR(CV24&lt;CV$39,ISNUMBER(CV24)=FALSE),CV$40,CV24))))</f>
      </c>
      <c r="CW51" s="7" t="str">
        <f>IF(ISBLANK(CW24),"NO DATA",IF(ISNUMBER(FIND(CODES!$A$12,CW24)),CODES!$A$12,IF(OR(ISNUMBER(FIND(CODES!$A$10,CW24)),ISNUMBER(FIND(CODES!$A$11,CW24))),CODES!$A$13,IF(OR(CW24&lt;CW$39,ISNUMBER(CW24)=FALSE),CW$40,CW24))))</f>
      </c>
      <c r="CX51" s="7" t="str">
        <f>IF(ISBLANK(CX24),"NO DATA",IF(ISNUMBER(FIND(CODES!$A$12,CX24)),CODES!$A$12,IF(OR(ISNUMBER(FIND(CODES!$A$10,CX24)),ISNUMBER(FIND(CODES!$A$11,CX24))),CODES!$A$13,IF(OR(CX24&lt;CX$39,ISNUMBER(CX24)=FALSE),CX$40,CX24))))</f>
      </c>
      <c r="CY51" s="7">
        <f>IF(ISBLANK(CY24),"NO DATA",IF(ISNUMBER(FIND(CODES!$A$12,CY24)),CODES!$A$12,IF(OR(ISNUMBER(FIND(CODES!$A$10,CY24)),ISNUMBER(FIND(CODES!$A$11,CY24))),CODES!$A$13,IF(OR(CY24&lt;CY$39,ISNUMBER(CY24)=FALSE),CY$40,CY24))))</f>
      </c>
      <c r="CZ51" s="7" t="str">
        <f>IF(ISBLANK(CZ24),"NO DATA",IF(ISNUMBER(FIND(CODES!$A$12,CZ24)),CODES!$A$12,IF(OR(ISNUMBER(FIND(CODES!$A$10,CZ24)),ISNUMBER(FIND(CODES!$A$11,CZ24))),CODES!$A$13,IF(OR(CZ24&lt;CZ$39,ISNUMBER(CZ24)=FALSE),CZ$40,CZ24))))</f>
      </c>
      <c r="DA51" s="7" t="str">
        <f>IF(ISBLANK(DA24),"NO DATA",IF(ISNUMBER(FIND(CODES!$A$12,DA24)),CODES!$A$12,IF(OR(ISNUMBER(FIND(CODES!$A$10,DA24)),ISNUMBER(FIND(CODES!$A$11,DA24))),CODES!$A$13,IF(OR(DA24&lt;DA$39,ISNUMBER(DA24)=FALSE),DA$40,DA24))))</f>
      </c>
      <c r="DB51" s="7" t="str">
        <f>IF(ISBLANK(DB24),"NO DATA",IF(ISNUMBER(FIND(CODES!$A$12,DB24)),CODES!$A$12,IF(OR(ISNUMBER(FIND(CODES!$A$10,DB24)),ISNUMBER(FIND(CODES!$A$11,DB24))),CODES!$A$13,IF(OR(DB24&lt;DB$39,ISNUMBER(DB24)=FALSE),DB$40,DB24))))</f>
      </c>
      <c r="DC51" s="7" t="str">
        <f>IF(ISBLANK(DC24),"NO DATA",IF(ISNUMBER(FIND(CODES!$A$12,DC24)),CODES!$A$12,IF(OR(ISNUMBER(FIND(CODES!$A$10,DC24)),ISNUMBER(FIND(CODES!$A$11,DC24))),CODES!$A$13,IF(OR(DC24&lt;DC$39,ISNUMBER(DC24)=FALSE),DC$40,DC24))))</f>
      </c>
      <c r="DD51" s="7" t="str">
        <f>IF(ISBLANK(DD24),"NO DATA",IF(ISNUMBER(FIND(CODES!$A$12,DD24)),CODES!$A$12,IF(OR(ISNUMBER(FIND(CODES!$A$10,DD24)),ISNUMBER(FIND(CODES!$A$11,DD24))),CODES!$A$13,IF(OR(DD24&lt;DD$39,ISNUMBER(DD24)=FALSE),DD$40,DD24))))</f>
      </c>
      <c r="DE51" s="7" t="str">
        <f>IF(ISBLANK(DE24),"NO DATA",IF(ISNUMBER(FIND(CODES!$A$12,DE24)),CODES!$A$12,IF(OR(ISNUMBER(FIND(CODES!$A$10,DE24)),ISNUMBER(FIND(CODES!$A$11,DE24))),CODES!$A$13,IF(OR(DE24&lt;DE$39,ISNUMBER(DE24)=FALSE),DE$40,DE24))))</f>
      </c>
      <c r="DF51" s="7">
        <f>IF(ISBLANK(DF24),"NO DATA",IF(ISNUMBER(FIND(CODES!$A$12,DF24)),CODES!$A$12,IF(OR(ISNUMBER(FIND(CODES!$A$10,DF24)),ISNUMBER(FIND(CODES!$A$11,DF24))),CODES!$A$13,IF(OR(DF24&lt;DF$39,ISNUMBER(DF24)=FALSE),DF$40,DF24))))</f>
      </c>
      <c r="DG51" s="7">
        <f>IF(ISBLANK(DG24),"NO DATA",IF(ISNUMBER(FIND(CODES!$A$12,DG24)),CODES!$A$12,IF(OR(ISNUMBER(FIND(CODES!$A$10,DG24)),ISNUMBER(FIND(CODES!$A$11,DG24))),CODES!$A$13,IF(OR(DG24&lt;DG$39,ISNUMBER(DG24)=FALSE),DG$40,DG24))))</f>
      </c>
      <c r="DH51" s="7" t="str">
        <f>IF(ISBLANK(DH24),"NO DATA",IF(ISNUMBER(FIND(CODES!$A$12,DH24)),CODES!$A$12,IF(OR(ISNUMBER(FIND(CODES!$A$10,DH24)),ISNUMBER(FIND(CODES!$A$11,DH24))),CODES!$A$13,IF(OR(DH24&lt;DH$39,ISNUMBER(DH24)=FALSE),DH$40,DH24))))</f>
      </c>
      <c r="DI51" s="7" t="str">
        <f>IF(ISBLANK(DI24),"NO DATA",IF(ISNUMBER(FIND(CODES!$A$12,DI24)),CODES!$A$12,IF(OR(ISNUMBER(FIND(CODES!$A$10,DI24)),ISNUMBER(FIND(CODES!$A$11,DI24))),CODES!$A$13,IF(OR(DI24&lt;DI$39,ISNUMBER(DI24)=FALSE),DI$40,DI24))))</f>
      </c>
    </row>
    <row r="52" spans="1:113" x14ac:dyDescent="0.25">
      <c r="A52" s="16" t="str">
        <f t="shared" si="8"/>
      </c>
      <c r="B52" s="16" t="str">
        <f t="shared" si="8"/>
      </c>
      <c r="C52" s="7" t="str">
        <f>IF(ISBLANK(C25),"NO DATA",IF(ISNUMBER(FIND(CODES!$A$12,C25)),CODES!$A$12,IF(OR(ISNUMBER(FIND(CODES!$A$10,C25)),ISNUMBER(FIND(CODES!$A$11,C25))),CODES!$A$13,IF(OR(C25&lt;C$39,ISNUMBER(C25)=FALSE),C$40,C25))))</f>
      </c>
      <c r="D52" s="7" t="str">
        <f>IF(ISBLANK(D25),"NO DATA",IF(ISNUMBER(FIND(CODES!$A$12,D25)),CODES!$A$12,IF(OR(ISNUMBER(FIND(CODES!$A$10,D25)),ISNUMBER(FIND(CODES!$A$11,D25))),CODES!$A$13,IF(OR(D25&lt;D$39,ISNUMBER(D25)=FALSE),D$40,D25))))</f>
      </c>
      <c r="E52" s="7" t="str">
        <f>IF(ISBLANK(E25),"NO DATA",IF(ISNUMBER(FIND(CODES!$A$12,E25)),CODES!$A$12,IF(OR(ISNUMBER(FIND(CODES!$A$10,E25)),ISNUMBER(FIND(CODES!$A$11,E25))),CODES!$A$13,IF(OR(E25&lt;E$39,ISNUMBER(E25)=FALSE),E$40,E25))))</f>
      </c>
      <c r="F52" s="7" t="str">
        <f>IF(ISBLANK(F25),"NO DATA",IF(ISNUMBER(FIND(CODES!$A$12,F25)),CODES!$A$12,IF(OR(ISNUMBER(FIND(CODES!$A$10,F25)),ISNUMBER(FIND(CODES!$A$11,F25))),CODES!$A$13,IF(OR(F25&lt;F$39,ISNUMBER(F25)=FALSE),F$40,F25))))</f>
      </c>
      <c r="G52" s="7" t="str">
        <f>IF(ISBLANK(G25),"NO DATA",IF(ISNUMBER(FIND(CODES!$A$12,G25)),CODES!$A$12,IF(OR(ISNUMBER(FIND(CODES!$A$10,G25)),ISNUMBER(FIND(CODES!$A$11,G25))),CODES!$A$13,IF(OR(G25&lt;G$39,ISNUMBER(G25)=FALSE),G$40,G25))))</f>
      </c>
      <c r="H52" s="7">
        <f>IF(ISBLANK(H25),"NO DATA",IF(ISNUMBER(FIND(CODES!$A$12,H25)),CODES!$A$12,IF(OR(ISNUMBER(FIND(CODES!$A$10,H25)),ISNUMBER(FIND(CODES!$A$11,H25))),CODES!$A$13,IF(OR(H25&lt;H$39,ISNUMBER(H25)=FALSE),H$40,H25))))</f>
      </c>
      <c r="I52" s="7">
        <f>IF(ISBLANK(I25),"NO DATA",IF(ISNUMBER(FIND(CODES!$A$12,I25)),CODES!$A$12,IF(OR(ISNUMBER(FIND(CODES!$A$10,I25)),ISNUMBER(FIND(CODES!$A$11,I25))),CODES!$A$13,IF(OR(I25&lt;I$39,ISNUMBER(I25)=FALSE),I$40,I25))))</f>
      </c>
      <c r="J52" s="7">
        <f>IF(ISBLANK(J25),"NO DATA",IF(ISNUMBER(FIND(CODES!$A$12,J25)),CODES!$A$12,IF(OR(ISNUMBER(FIND(CODES!$A$10,J25)),ISNUMBER(FIND(CODES!$A$11,J25))),CODES!$A$13,IF(OR(J25&lt;J$39,ISNUMBER(J25)=FALSE),J$40,J25))))</f>
      </c>
      <c r="K52" s="7">
        <f>IF(ISBLANK(K25),"NO DATA",IF(ISNUMBER(FIND(CODES!$A$12,K25)),CODES!$A$12,IF(OR(ISNUMBER(FIND(CODES!$A$10,K25)),ISNUMBER(FIND(CODES!$A$11,K25))),CODES!$A$13,IF(OR(K25&lt;K$39,ISNUMBER(K25)=FALSE),K$40,K25))))</f>
      </c>
      <c r="L52" s="7" t="str">
        <f>IF(ISBLANK(L25),"NO DATA",IF(ISNUMBER(FIND(CODES!$A$12,L25)),CODES!$A$12,IF(OR(ISNUMBER(FIND(CODES!$A$10,L25)),ISNUMBER(FIND(CODES!$A$11,L25))),CODES!$A$13,IF(OR(L25&lt;L$39,ISNUMBER(L25)=FALSE),L$40,L25))))</f>
      </c>
      <c r="M52" s="7" t="str">
        <f>IF(ISBLANK(M25),"NO DATA",IF(ISNUMBER(FIND(CODES!$A$12,M25)),CODES!$A$12,IF(OR(ISNUMBER(FIND(CODES!$A$10,M25)),ISNUMBER(FIND(CODES!$A$11,M25))),CODES!$A$13,IF(OR(M25&lt;M$39,ISNUMBER(M25)=FALSE),M$40,M25))))</f>
      </c>
      <c r="N52" s="7" t="str">
        <f>IF(ISBLANK(N25),"NO DATA",IF(ISNUMBER(FIND(CODES!$A$12,N25)),CODES!$A$12,IF(OR(ISNUMBER(FIND(CODES!$A$10,N25)),ISNUMBER(FIND(CODES!$A$11,N25))),CODES!$A$13,IF(OR(N25&lt;N$39,ISNUMBER(N25)=FALSE),N$40,N25))))</f>
      </c>
      <c r="O52" s="7" t="str">
        <f>IF(ISBLANK(O25),"NO DATA",IF(ISNUMBER(FIND(CODES!$A$12,O25)),CODES!$A$12,IF(OR(ISNUMBER(FIND(CODES!$A$10,O25)),ISNUMBER(FIND(CODES!$A$11,O25))),CODES!$A$13,IF(OR(O25&lt;O$39,ISNUMBER(O25)=FALSE),O$40,O25))))</f>
      </c>
      <c r="P52" s="7">
        <f>IF(ISBLANK(P25),"NO DATA",IF(ISNUMBER(FIND(CODES!$A$12,P25)),CODES!$A$12,IF(OR(ISNUMBER(FIND(CODES!$A$10,P25)),ISNUMBER(FIND(CODES!$A$11,P25))),CODES!$A$13,IF(OR(P25&lt;P$39,ISNUMBER(P25)=FALSE),P$40,P25))))</f>
      </c>
      <c r="Q52" s="7">
        <f>IF(ISBLANK(Q25),"NO DATA",IF(ISNUMBER(FIND(CODES!$A$12,Q25)),CODES!$A$12,IF(OR(ISNUMBER(FIND(CODES!$A$10,Q25)),ISNUMBER(FIND(CODES!$A$11,Q25))),CODES!$A$13,IF(OR(Q25&lt;Q$39,ISNUMBER(Q25)=FALSE),Q$40,Q25))))</f>
      </c>
      <c r="R52" s="7" t="str">
        <f>IF(ISBLANK(R25),"NO DATA",IF(ISNUMBER(FIND(CODES!$A$12,R25)),CODES!$A$12,IF(OR(ISNUMBER(FIND(CODES!$A$10,R25)),ISNUMBER(FIND(CODES!$A$11,R25))),CODES!$A$13,IF(OR(R25&lt;R$39,ISNUMBER(R25)=FALSE),R$40,R25))))</f>
      </c>
      <c r="S52" s="7" t="str">
        <f>IF(ISBLANK(S25),"NO DATA",IF(ISNUMBER(FIND(CODES!$A$12,S25)),CODES!$A$12,IF(OR(ISNUMBER(FIND(CODES!$A$10,S25)),ISNUMBER(FIND(CODES!$A$11,S25))),CODES!$A$13,IF(OR(S25&lt;S$39,ISNUMBER(S25)=FALSE),S$40,S25))))</f>
      </c>
      <c r="T52" s="7" t="str">
        <f>IF(ISBLANK(T25),"NO DATA",IF(ISNUMBER(FIND(CODES!$A$12,T25)),CODES!$A$12,IF(OR(ISNUMBER(FIND(CODES!$A$10,T25)),ISNUMBER(FIND(CODES!$A$11,T25))),CODES!$A$13,IF(OR(T25&lt;T$39,ISNUMBER(T25)=FALSE),T$40,T25))))</f>
      </c>
      <c r="U52" s="7" t="str">
        <f>IF(ISBLANK(U25),"NO DATA",IF(ISNUMBER(FIND(CODES!$A$12,U25)),CODES!$A$12,IF(OR(ISNUMBER(FIND(CODES!$A$10,U25)),ISNUMBER(FIND(CODES!$A$11,U25))),CODES!$A$13,IF(OR(U25&lt;U$39,ISNUMBER(U25)=FALSE),U$40,U25))))</f>
      </c>
      <c r="V52" s="7" t="str">
        <f>IF(ISBLANK(V25),"NO DATA",IF(ISNUMBER(FIND(CODES!$A$12,V25)),CODES!$A$12,IF(OR(ISNUMBER(FIND(CODES!$A$10,V25)),ISNUMBER(FIND(CODES!$A$11,V25))),CODES!$A$13,IF(OR(V25&lt;V$39,ISNUMBER(V25)=FALSE),V$40,V25))))</f>
      </c>
      <c r="W52" s="7" t="str">
        <f>IF(ISBLANK(W25),"NO DATA",IF(ISNUMBER(FIND(CODES!$A$12,W25)),CODES!$A$12,IF(OR(ISNUMBER(FIND(CODES!$A$10,W25)),ISNUMBER(FIND(CODES!$A$11,W25))),CODES!$A$13,IF(OR(W25&lt;W$39,ISNUMBER(W25)=FALSE),W$40,W25))))</f>
      </c>
      <c r="X52" s="7" t="str">
        <f>IF(ISBLANK(X25),"NO DATA",IF(ISNUMBER(FIND(CODES!$A$12,X25)),CODES!$A$12,IF(OR(ISNUMBER(FIND(CODES!$A$10,X25)),ISNUMBER(FIND(CODES!$A$11,X25))),CODES!$A$13,IF(OR(X25&lt;X$39,ISNUMBER(X25)=FALSE),X$40,X25))))</f>
      </c>
      <c r="Y52" s="7" t="str">
        <f>IF(ISBLANK(Y25),"NO DATA",IF(ISNUMBER(FIND(CODES!$A$12,Y25)),CODES!$A$12,IF(OR(ISNUMBER(FIND(CODES!$A$10,Y25)),ISNUMBER(FIND(CODES!$A$11,Y25))),CODES!$A$13,IF(OR(Y25&lt;Y$39,ISNUMBER(Y25)=FALSE),Y$40,Y25))))</f>
      </c>
      <c r="Z52" s="7">
        <f>IF(ISBLANK(Z25),"NO DATA",IF(ISNUMBER(FIND(CODES!$A$12,Z25)),CODES!$A$12,IF(OR(ISNUMBER(FIND(CODES!$A$10,Z25)),ISNUMBER(FIND(CODES!$A$11,Z25))),CODES!$A$13,IF(OR(Z25&lt;Z$39,ISNUMBER(Z25)=FALSE),Z$40,Z25))))</f>
      </c>
      <c r="AA52" s="7" t="str">
        <f>IF(ISBLANK(AA25),"NO DATA",IF(ISNUMBER(FIND(CODES!$A$12,AA25)),CODES!$A$12,IF(OR(ISNUMBER(FIND(CODES!$A$10,AA25)),ISNUMBER(FIND(CODES!$A$11,AA25))),CODES!$A$13,IF(OR(AA25&lt;AA$39,ISNUMBER(AA25)=FALSE),AA$40,AA25))))</f>
      </c>
      <c r="AB52" s="7" t="str">
        <f>IF(ISBLANK(AB25),"NO DATA",IF(ISNUMBER(FIND(CODES!$A$12,AB25)),CODES!$A$12,IF(OR(ISNUMBER(FIND(CODES!$A$10,AB25)),ISNUMBER(FIND(CODES!$A$11,AB25))),CODES!$A$13,IF(OR(AB25&lt;AB$39,ISNUMBER(AB25)=FALSE),AB$40,AB25))))</f>
      </c>
      <c r="AC52" s="7" t="str">
        <f>IF(ISBLANK(AC25),"NO DATA",IF(ISNUMBER(FIND(CODES!$A$12,AC25)),CODES!$A$12,IF(OR(ISNUMBER(FIND(CODES!$A$10,AC25)),ISNUMBER(FIND(CODES!$A$11,AC25))),CODES!$A$13,IF(OR(AC25&lt;AC$39,ISNUMBER(AC25)=FALSE),AC$40,AC25))))</f>
      </c>
      <c r="AD52" s="7" t="str">
        <f>IF(ISBLANK(AD25),"NO DATA",IF(ISNUMBER(FIND(CODES!$A$12,AD25)),CODES!$A$12,IF(OR(ISNUMBER(FIND(CODES!$A$10,AD25)),ISNUMBER(FIND(CODES!$A$11,AD25))),CODES!$A$13,IF(OR(AD25&lt;AD$39,ISNUMBER(AD25)=FALSE),AD$40,AD25))))</f>
      </c>
      <c r="AE52" s="7" t="str">
        <f>IF(ISBLANK(AE25),"NO DATA",IF(ISNUMBER(FIND(CODES!$A$12,AE25)),CODES!$A$12,IF(OR(ISNUMBER(FIND(CODES!$A$10,AE25)),ISNUMBER(FIND(CODES!$A$11,AE25))),CODES!$A$13,IF(OR(AE25&lt;AE$39,ISNUMBER(AE25)=FALSE),AE$40,AE25))))</f>
      </c>
      <c r="AF52" s="7" t="str">
        <f>IF(ISBLANK(AF25),"NO DATA",IF(ISNUMBER(FIND(CODES!$A$12,AF25)),CODES!$A$12,IF(OR(ISNUMBER(FIND(CODES!$A$10,AF25)),ISNUMBER(FIND(CODES!$A$11,AF25))),CODES!$A$13,IF(OR(AF25&lt;AF$39,ISNUMBER(AF25)=FALSE),AF$40,AF25))))</f>
      </c>
      <c r="AG52" s="7">
        <f>IF(ISBLANK(AG25),"NO DATA",IF(ISNUMBER(FIND(CODES!$A$12,AG25)),CODES!$A$12,IF(OR(ISNUMBER(FIND(CODES!$A$10,AG25)),ISNUMBER(FIND(CODES!$A$11,AG25))),CODES!$A$13,IF(OR(AG25&lt;AG$39,ISNUMBER(AG25)=FALSE),AG$40,AG25))))</f>
      </c>
      <c r="AH52" s="7">
        <f>IF(ISBLANK(AH25),"NO DATA",IF(ISNUMBER(FIND(CODES!$A$12,AH25)),CODES!$A$12,IF(OR(ISNUMBER(FIND(CODES!$A$10,AH25)),ISNUMBER(FIND(CODES!$A$11,AH25))),CODES!$A$13,IF(OR(AH25&lt;AH$39,ISNUMBER(AH25)=FALSE),AH$40,AH25))))</f>
      </c>
      <c r="AI52" s="7" t="str">
        <f>IF(ISBLANK(AI25),"NO DATA",IF(ISNUMBER(FIND(CODES!$A$12,AI25)),CODES!$A$12,IF(OR(ISNUMBER(FIND(CODES!$A$10,AI25)),ISNUMBER(FIND(CODES!$A$11,AI25))),CODES!$A$13,IF(OR(AI25&lt;AI$39,ISNUMBER(AI25)=FALSE),AI$40,AI25))))</f>
      </c>
      <c r="AJ52" s="7" t="str">
        <f>IF(ISBLANK(AJ25),"NO DATA",IF(ISNUMBER(FIND(CODES!$A$12,AJ25)),CODES!$A$12,IF(OR(ISNUMBER(FIND(CODES!$A$10,AJ25)),ISNUMBER(FIND(CODES!$A$11,AJ25))),CODES!$A$13,IF(OR(AJ25&lt;AJ$39,ISNUMBER(AJ25)=FALSE),AJ$40,AJ25))))</f>
      </c>
      <c r="AK52" s="7">
        <f>IF(ISBLANK(AK25),"NO DATA",IF(ISNUMBER(FIND(CODES!$A$12,AK25)),CODES!$A$12,IF(OR(ISNUMBER(FIND(CODES!$A$10,AK25)),ISNUMBER(FIND(CODES!$A$11,AK25))),CODES!$A$13,IF(OR(AK25&lt;AK$39,ISNUMBER(AK25)=FALSE),AK$40,AK25))))</f>
      </c>
      <c r="AL52" s="7" t="str">
        <f>IF(ISBLANK(AL25),"NO DATA",IF(ISNUMBER(FIND(CODES!$A$12,AL25)),CODES!$A$12,IF(OR(ISNUMBER(FIND(CODES!$A$10,AL25)),ISNUMBER(FIND(CODES!$A$11,AL25))),CODES!$A$13,IF(OR(AL25&lt;AL$39,ISNUMBER(AL25)=FALSE),AL$40,AL25))))</f>
      </c>
      <c r="AM52" s="7" t="str">
        <f>IF(ISBLANK(AM25),"NO DATA",IF(ISNUMBER(FIND(CODES!$A$12,AM25)),CODES!$A$12,IF(OR(ISNUMBER(FIND(CODES!$A$10,AM25)),ISNUMBER(FIND(CODES!$A$11,AM25))),CODES!$A$13,IF(OR(AM25&lt;AM$39,ISNUMBER(AM25)=FALSE),AM$40,AM25))))</f>
      </c>
      <c r="AN52" s="7" t="str">
        <f>IF(ISBLANK(AN25),"NO DATA",IF(ISNUMBER(FIND(CODES!$A$12,AN25)),CODES!$A$12,IF(OR(ISNUMBER(FIND(CODES!$A$10,AN25)),ISNUMBER(FIND(CODES!$A$11,AN25))),CODES!$A$13,IF(OR(AN25&lt;AN$39,ISNUMBER(AN25)=FALSE),AN$40,AN25))))</f>
      </c>
      <c r="AO52" s="7" t="str">
        <f>IF(ISBLANK(AO25),"NO DATA",IF(ISNUMBER(FIND(CODES!$A$12,AO25)),CODES!$A$12,IF(OR(ISNUMBER(FIND(CODES!$A$10,AO25)),ISNUMBER(FIND(CODES!$A$11,AO25))),CODES!$A$13,IF(OR(AO25&lt;AO$39,ISNUMBER(AO25)=FALSE),AO$40,AO25))))</f>
      </c>
      <c r="AP52" s="7" t="str">
        <f>IF(ISBLANK(AP25),"NO DATA",IF(ISNUMBER(FIND(CODES!$A$12,AP25)),CODES!$A$12,IF(OR(ISNUMBER(FIND(CODES!$A$10,AP25)),ISNUMBER(FIND(CODES!$A$11,AP25))),CODES!$A$13,IF(OR(AP25&lt;AP$39,ISNUMBER(AP25)=FALSE),AP$40,AP25))))</f>
      </c>
      <c r="AQ52" s="7" t="str">
        <f>IF(ISBLANK(AQ25),"NO DATA",IF(ISNUMBER(FIND(CODES!$A$12,AQ25)),CODES!$A$12,IF(OR(ISNUMBER(FIND(CODES!$A$10,AQ25)),ISNUMBER(FIND(CODES!$A$11,AQ25))),CODES!$A$13,IF(OR(AQ25&lt;AQ$39,ISNUMBER(AQ25)=FALSE),AQ$40,AQ25))))</f>
      </c>
      <c r="AR52" s="7" t="str">
        <f>IF(ISBLANK(AR25),"NO DATA",IF(ISNUMBER(FIND(CODES!$A$12,AR25)),CODES!$A$12,IF(OR(ISNUMBER(FIND(CODES!$A$10,AR25)),ISNUMBER(FIND(CODES!$A$11,AR25))),CODES!$A$13,IF(OR(AR25&lt;AR$39,ISNUMBER(AR25)=FALSE),AR$40,AR25))))</f>
      </c>
      <c r="AS52" s="7">
        <f>IF(ISBLANK(AS25),"NO DATA",IF(ISNUMBER(FIND(CODES!$A$12,AS25)),CODES!$A$12,IF(OR(ISNUMBER(FIND(CODES!$A$10,AS25)),ISNUMBER(FIND(CODES!$A$11,AS25))),CODES!$A$13,IF(OR(AS25&lt;AS$39,ISNUMBER(AS25)=FALSE),AS$40,AS25))))</f>
      </c>
      <c r="AT52" s="7">
        <f>IF(ISBLANK(AT25),"NO DATA",IF(ISNUMBER(FIND(CODES!$A$12,AT25)),CODES!$A$12,IF(OR(ISNUMBER(FIND(CODES!$A$10,AT25)),ISNUMBER(FIND(CODES!$A$11,AT25))),CODES!$A$13,IF(OR(AT25&lt;AT$39,ISNUMBER(AT25)=FALSE),AT$40,AT25))))</f>
      </c>
      <c r="AU52" s="7" t="str">
        <f>IF(ISBLANK(AU25),"NO DATA",IF(ISNUMBER(FIND(CODES!$A$12,AU25)),CODES!$A$12,IF(OR(ISNUMBER(FIND(CODES!$A$10,AU25)),ISNUMBER(FIND(CODES!$A$11,AU25))),CODES!$A$13,IF(OR(AU25&lt;AU$39,ISNUMBER(AU25)=FALSE),AU$40,AU25))))</f>
      </c>
      <c r="AV52" s="7" t="str">
        <f>IF(ISBLANK(AV25),"NO DATA",IF(ISNUMBER(FIND(CODES!$A$12,AV25)),CODES!$A$12,IF(OR(ISNUMBER(FIND(CODES!$A$10,AV25)),ISNUMBER(FIND(CODES!$A$11,AV25))),CODES!$A$13,IF(OR(AV25&lt;AV$39,ISNUMBER(AV25)=FALSE),AV$40,AV25))))</f>
      </c>
      <c r="AW52" s="7" t="str">
        <f>IF(ISBLANK(AW25),"NO DATA",IF(ISNUMBER(FIND(CODES!$A$12,AW25)),CODES!$A$12,IF(OR(ISNUMBER(FIND(CODES!$A$10,AW25)),ISNUMBER(FIND(CODES!$A$11,AW25))),CODES!$A$13,IF(OR(AW25&lt;AW$39,ISNUMBER(AW25)=FALSE),AW$40,AW25))))</f>
      </c>
      <c r="AX52" s="7" t="str">
        <f>IF(ISBLANK(AX25),"NO DATA",IF(ISNUMBER(FIND(CODES!$A$12,AX25)),CODES!$A$12,IF(OR(ISNUMBER(FIND(CODES!$A$10,AX25)),ISNUMBER(FIND(CODES!$A$11,AX25))),CODES!$A$13,IF(OR(AX25&lt;AX$39,ISNUMBER(AX25)=FALSE),AX$40,AX25))))</f>
      </c>
      <c r="AY52" s="7" t="str">
        <f>IF(ISBLANK(AY25),"NO DATA",IF(ISNUMBER(FIND(CODES!$A$12,AY25)),CODES!$A$12,IF(OR(ISNUMBER(FIND(CODES!$A$10,AY25)),ISNUMBER(FIND(CODES!$A$11,AY25))),CODES!$A$13,IF(OR(AY25&lt;AY$39,ISNUMBER(AY25)=FALSE),AY$40,AY25))))</f>
      </c>
      <c r="AZ52" s="7">
        <f>IF(ISBLANK(AZ25),"NO DATA",IF(ISNUMBER(FIND(CODES!$A$12,AZ25)),CODES!$A$12,IF(OR(ISNUMBER(FIND(CODES!$A$10,AZ25)),ISNUMBER(FIND(CODES!$A$11,AZ25))),CODES!$A$13,IF(OR(AZ25&lt;AZ$39,ISNUMBER(AZ25)=FALSE),AZ$40,AZ25))))</f>
      </c>
      <c r="BA52" s="7">
        <f>IF(ISBLANK(BA25),"NO DATA",IF(ISNUMBER(FIND(CODES!$A$12,BA25)),CODES!$A$12,IF(OR(ISNUMBER(FIND(CODES!$A$10,BA25)),ISNUMBER(FIND(CODES!$A$11,BA25))),CODES!$A$13,IF(OR(BA25&lt;BA$39,ISNUMBER(BA25)=FALSE),BA$40,BA25))))</f>
      </c>
      <c r="BB52" s="36">
        <f>IF(ISBLANK(BB25),"NO DATA",IF(ISNUMBER(FIND(CODES!$A$12,BB25)),CODES!$A$12,IF(OR(ISNUMBER(FIND(CODES!$A$10,BB25)),ISNUMBER(FIND(CODES!$A$11,BB25))),CODES!$A$13,IF(OR(BB25&lt;BB$39,ISNUMBER(BB25)=FALSE),BB$40,BB25))))</f>
      </c>
      <c r="BC52" s="7">
        <f>IF(ISBLANK(BC25),"NO DATA",IF(ISNUMBER(FIND(CODES!$A$12,BC25)),CODES!$A$12,IF(OR(ISNUMBER(FIND(CODES!$A$10,BC25)),ISNUMBER(FIND(CODES!$A$11,BC25))),CODES!$A$13,IF(OR(BC25&lt;BC$39,ISNUMBER(BC25)=FALSE),BC$40,BC25))))</f>
      </c>
      <c r="BD52" s="7" t="str">
        <f>IF(ISBLANK(BD25),"NO DATA",IF(ISNUMBER(FIND(CODES!$A$12,BD25)),CODES!$A$12,IF(OR(ISNUMBER(FIND(CODES!$A$10,BD25)),ISNUMBER(FIND(CODES!$A$11,BD25))),CODES!$A$13,IF(OR(BD25&lt;BD$39,ISNUMBER(BD25)=FALSE),BD$40,BD25))))</f>
      </c>
      <c r="BE52" s="7" t="str">
        <f>IF(ISBLANK(BE25),"NO DATA",IF(ISNUMBER(FIND(CODES!$A$12,BE25)),CODES!$A$12,IF(OR(ISNUMBER(FIND(CODES!$A$10,BE25)),ISNUMBER(FIND(CODES!$A$11,BE25))),CODES!$A$13,IF(OR(BE25&lt;BE$39,ISNUMBER(BE25)=FALSE),BE$40,BE25))))</f>
      </c>
      <c r="BF52" s="7">
        <f>IF(ISBLANK(BF25),"NO DATA",IF(ISNUMBER(FIND(CODES!$A$12,BF25)),CODES!$A$12,IF(OR(ISNUMBER(FIND(CODES!$A$10,BF25)),ISNUMBER(FIND(CODES!$A$11,BF25))),CODES!$A$13,IF(OR(BF25&lt;BF$39,ISNUMBER(BF25)=FALSE),BF$40,BF25))))</f>
      </c>
      <c r="BG52" s="7">
        <f>IF(ISBLANK(BG25),"NO DATA",IF(ISNUMBER(FIND(CODES!$A$12,BG25)),CODES!$A$12,IF(OR(ISNUMBER(FIND(CODES!$A$10,BG25)),ISNUMBER(FIND(CODES!$A$11,BG25))),CODES!$A$13,IF(OR(BG25&lt;BG$39,ISNUMBER(BG25)=FALSE),BG$40,BG25))))</f>
      </c>
      <c r="BH52" s="7" t="str">
        <f>IF(ISBLANK(BH25),"NO DATA",IF(ISNUMBER(FIND(CODES!$A$12,BH25)),CODES!$A$12,IF(OR(ISNUMBER(FIND(CODES!$A$10,BH25)),ISNUMBER(FIND(CODES!$A$11,BH25))),CODES!$A$13,IF(OR(BH25&lt;BH$39,ISNUMBER(BH25)=FALSE),BH$40,BH25))))</f>
      </c>
      <c r="BI52" s="7" t="str">
        <f>IF(ISBLANK(BI25),"NO DATA",IF(ISNUMBER(FIND(CODES!$A$12,BI25)),CODES!$A$12,IF(OR(ISNUMBER(FIND(CODES!$A$10,BI25)),ISNUMBER(FIND(CODES!$A$11,BI25))),CODES!$A$13,IF(OR(BI25&lt;BI$39,ISNUMBER(BI25)=FALSE),BI$40,BI25))))</f>
      </c>
      <c r="BJ52" s="7" t="str">
        <f>IF(ISBLANK(BJ25),"NO DATA",IF(ISNUMBER(FIND(CODES!$A$12,BJ25)),CODES!$A$12,IF(OR(ISNUMBER(FIND(CODES!$A$10,BJ25)),ISNUMBER(FIND(CODES!$A$11,BJ25))),CODES!$A$13,IF(OR(BJ25&lt;BJ$39,ISNUMBER(BJ25)=FALSE),BJ$40,BJ25))))</f>
      </c>
      <c r="BK52" s="7" t="str">
        <f>IF(ISBLANK(BK25),"NO DATA",IF(ISNUMBER(FIND(CODES!$A$12,BK25)),CODES!$A$12,IF(OR(ISNUMBER(FIND(CODES!$A$10,BK25)),ISNUMBER(FIND(CODES!$A$11,BK25))),CODES!$A$13,IF(OR(BK25&lt;BK$39,ISNUMBER(BK25)=FALSE),BK$40,BK25))))</f>
      </c>
      <c r="BL52" s="7" t="str">
        <f>IF(ISBLANK(BL25),"NO DATA",IF(ISNUMBER(FIND(CODES!$A$12,BL25)),CODES!$A$12,IF(OR(ISNUMBER(FIND(CODES!$A$10,BL25)),ISNUMBER(FIND(CODES!$A$11,BL25))),CODES!$A$13,IF(OR(BL25&lt;BL$39,ISNUMBER(BL25)=FALSE),BL$40,BL25))))</f>
      </c>
      <c r="BM52" s="7" t="str">
        <f>IF(ISBLANK(BM25),"NO DATA",IF(ISNUMBER(FIND(CODES!$A$12,BM25)),CODES!$A$12,IF(OR(ISNUMBER(FIND(CODES!$A$10,BM25)),ISNUMBER(FIND(CODES!$A$11,BM25))),CODES!$A$13,IF(OR(BM25&lt;BM$39,ISNUMBER(BM25)=FALSE),BM$40,BM25))))</f>
      </c>
      <c r="BN52" s="7" t="str">
        <f>IF(ISBLANK(BN25),"NO DATA",IF(ISNUMBER(FIND(CODES!$A$12,BN25)),CODES!$A$12,IF(OR(ISNUMBER(FIND(CODES!$A$10,BN25)),ISNUMBER(FIND(CODES!$A$11,BN25))),CODES!$A$13,IF(OR(BN25&lt;BN$39,ISNUMBER(BN25)=FALSE),BN$40,BN25))))</f>
      </c>
      <c r="BO52" s="7" t="str">
        <f>IF(ISBLANK(BO25),"NO DATA",IF(ISNUMBER(FIND(CODES!$A$12,BO25)),CODES!$A$12,IF(OR(ISNUMBER(FIND(CODES!$A$10,BO25)),ISNUMBER(FIND(CODES!$A$11,BO25))),CODES!$A$13,IF(OR(BO25&lt;BO$39,ISNUMBER(BO25)=FALSE),BO$40,BO25))))</f>
      </c>
      <c r="BP52" s="7">
        <f>IF(ISBLANK(BP25),"NO DATA",IF(ISNUMBER(FIND(CODES!$A$12,BP25)),CODES!$A$12,IF(OR(ISNUMBER(FIND(CODES!$A$10,BP25)),ISNUMBER(FIND(CODES!$A$11,BP25))),CODES!$A$13,IF(OR(BP25&lt;BP$39,ISNUMBER(BP25)=FALSE),BP$40,BP25))))</f>
      </c>
      <c r="BQ52" s="7" t="str">
        <f>IF(ISBLANK(BQ25),"NO DATA",IF(ISNUMBER(FIND(CODES!$A$12,BQ25)),CODES!$A$12,IF(OR(ISNUMBER(FIND(CODES!$A$10,BQ25)),ISNUMBER(FIND(CODES!$A$11,BQ25))),CODES!$A$13,IF(OR(BQ25&lt;BQ$39,ISNUMBER(BQ25)=FALSE),BQ$40,BQ25))))</f>
      </c>
      <c r="BR52" s="7" t="str">
        <f>IF(ISBLANK(BR25),"NO DATA",IF(ISNUMBER(FIND(CODES!$A$12,BR25)),CODES!$A$12,IF(OR(ISNUMBER(FIND(CODES!$A$10,BR25)),ISNUMBER(FIND(CODES!$A$11,BR25))),CODES!$A$13,IF(OR(BR25&lt;BR$39,ISNUMBER(BR25)=FALSE),BR$40,BR25))))</f>
      </c>
      <c r="BS52" s="7">
        <f>IF(ISBLANK(BS25),"NO DATA",IF(ISNUMBER(FIND(CODES!$A$12,BS25)),CODES!$A$12,IF(OR(ISNUMBER(FIND(CODES!$A$10,BS25)),ISNUMBER(FIND(CODES!$A$11,BS25))),CODES!$A$13,IF(OR(BS25&lt;BS$39,ISNUMBER(BS25)=FALSE),BS$40,BS25))))</f>
      </c>
      <c r="BT52" s="7">
        <f>IF(ISBLANK(BT25),"NO DATA",IF(ISNUMBER(FIND(CODES!$A$12,BT25)),CODES!$A$12,IF(OR(ISNUMBER(FIND(CODES!$A$10,BT25)),ISNUMBER(FIND(CODES!$A$11,BT25))),CODES!$A$13,IF(OR(BT25&lt;BT$39,ISNUMBER(BT25)=FALSE),BT$40,BT25))))</f>
      </c>
      <c r="BU52" s="7" t="str">
        <f>IF(ISBLANK(BU25),"NO DATA",IF(ISNUMBER(FIND(CODES!$A$12,BU25)),CODES!$A$12,IF(OR(ISNUMBER(FIND(CODES!$A$10,BU25)),ISNUMBER(FIND(CODES!$A$11,BU25))),CODES!$A$13,IF(OR(BU25&lt;BU$39,ISNUMBER(BU25)=FALSE),BU$40,BU25))))</f>
      </c>
      <c r="BV52" s="7" t="str">
        <f>IF(ISBLANK(BV25),"NO DATA",IF(ISNUMBER(FIND(CODES!$A$12,BV25)),CODES!$A$12,IF(OR(ISNUMBER(FIND(CODES!$A$10,BV25)),ISNUMBER(FIND(CODES!$A$11,BV25))),CODES!$A$13,IF(OR(BV25&lt;BV$39,ISNUMBER(BV25)=FALSE),BV$40,BV25))))</f>
      </c>
      <c r="BW52" s="7" t="str">
        <f>IF(ISBLANK(BW25),"NO DATA",IF(ISNUMBER(FIND(CODES!$A$12,BW25)),CODES!$A$12,IF(OR(ISNUMBER(FIND(CODES!$A$10,BW25)),ISNUMBER(FIND(CODES!$A$11,BW25))),CODES!$A$13,IF(OR(BW25&lt;BW$39,ISNUMBER(BW25)=FALSE),BW$40,BW25))))</f>
      </c>
      <c r="BX52" s="7" t="str">
        <f>IF(ISBLANK(BX25),"NO DATA",IF(ISNUMBER(FIND(CODES!$A$12,BX25)),CODES!$A$12,IF(OR(ISNUMBER(FIND(CODES!$A$10,BX25)),ISNUMBER(FIND(CODES!$A$11,BX25))),CODES!$A$13,IF(OR(BX25&lt;BX$39,ISNUMBER(BX25)=FALSE),BX$40,BX25))))</f>
      </c>
      <c r="BY52" s="7" t="str">
        <f>IF(ISBLANK(BY25),"NO DATA",IF(ISNUMBER(FIND(CODES!$A$12,BY25)),CODES!$A$12,IF(OR(ISNUMBER(FIND(CODES!$A$10,BY25)),ISNUMBER(FIND(CODES!$A$11,BY25))),CODES!$A$13,IF(OR(BY25&lt;BY$39,ISNUMBER(BY25)=FALSE),BY$40,BY25))))</f>
      </c>
      <c r="BZ52" s="7" t="str">
        <f>IF(ISBLANK(BZ25),"NO DATA",IF(ISNUMBER(FIND(CODES!$A$12,BZ25)),CODES!$A$12,IF(OR(ISNUMBER(FIND(CODES!$A$10,BZ25)),ISNUMBER(FIND(CODES!$A$11,BZ25))),CODES!$A$13,IF(OR(BZ25&lt;BZ$39,ISNUMBER(BZ25)=FALSE),BZ$40,BZ25))))</f>
      </c>
      <c r="CA52" s="7" t="str">
        <f>IF(ISBLANK(CA25),"NO DATA",IF(ISNUMBER(FIND(CODES!$A$12,CA25)),CODES!$A$12,IF(OR(ISNUMBER(FIND(CODES!$A$10,CA25)),ISNUMBER(FIND(CODES!$A$11,CA25))),CODES!$A$13,IF(OR(CA25&lt;CA$39,ISNUMBER(CA25)=FALSE),CA$40,CA25))))</f>
      </c>
      <c r="CB52" s="7" t="str">
        <f>IF(ISBLANK(CB25),"NO DATA",IF(ISNUMBER(FIND(CODES!$A$12,CB25)),CODES!$A$12,IF(OR(ISNUMBER(FIND(CODES!$A$10,CB25)),ISNUMBER(FIND(CODES!$A$11,CB25))),CODES!$A$13,IF(OR(CB25&lt;CB$39,ISNUMBER(CB25)=FALSE),CB$40,CB25))))</f>
      </c>
      <c r="CC52" s="7" t="str">
        <f>IF(ISBLANK(CC25),"NO DATA",IF(ISNUMBER(FIND(CODES!$A$12,CC25)),CODES!$A$12,IF(OR(ISNUMBER(FIND(CODES!$A$10,CC25)),ISNUMBER(FIND(CODES!$A$11,CC25))),CODES!$A$13,IF(OR(CC25&lt;CC$39,ISNUMBER(CC25)=FALSE),CC$40,CC25))))</f>
      </c>
      <c r="CD52" s="7" t="str">
        <f>IF(ISBLANK(CD25),"NO DATA",IF(ISNUMBER(FIND(CODES!$A$12,CD25)),CODES!$A$12,IF(OR(ISNUMBER(FIND(CODES!$A$10,CD25)),ISNUMBER(FIND(CODES!$A$11,CD25))),CODES!$A$13,IF(OR(CD25&lt;CD$39,ISNUMBER(CD25)=FALSE),CD$40,CD25))))</f>
      </c>
      <c r="CE52" s="7" t="str">
        <f>IF(ISBLANK(CE25),"NO DATA",IF(ISNUMBER(FIND(CODES!$A$12,CE25)),CODES!$A$12,IF(OR(ISNUMBER(FIND(CODES!$A$10,CE25)),ISNUMBER(FIND(CODES!$A$11,CE25))),CODES!$A$13,IF(OR(CE25&lt;CE$39,ISNUMBER(CE25)=FALSE),CE$40,CE25))))</f>
      </c>
      <c r="CF52" s="7" t="str">
        <f>IF(ISBLANK(CF25),"NO DATA",IF(ISNUMBER(FIND(CODES!$A$12,CF25)),CODES!$A$12,IF(OR(ISNUMBER(FIND(CODES!$A$10,CF25)),ISNUMBER(FIND(CODES!$A$11,CF25))),CODES!$A$13,IF(OR(CF25&lt;CF$39,ISNUMBER(CF25)=FALSE),CF$40,CF25))))</f>
      </c>
      <c r="CG52" s="7">
        <f>IF(ISBLANK(CG25),"NO DATA",IF(ISNUMBER(FIND(CODES!$A$12,CG25)),CODES!$A$12,IF(OR(ISNUMBER(FIND(CODES!$A$10,CG25)),ISNUMBER(FIND(CODES!$A$11,CG25))),CODES!$A$13,IF(OR(CG25&lt;CG$39,ISNUMBER(CG25)=FALSE),CG$40,CG25))))</f>
      </c>
      <c r="CH52" s="7">
        <f>IF(ISBLANK(CH25),"NO DATA",IF(ISNUMBER(FIND(CODES!$A$12,CH25)),CODES!$A$12,IF(OR(ISNUMBER(FIND(CODES!$A$10,CH25)),ISNUMBER(FIND(CODES!$A$11,CH25))),CODES!$A$13,IF(OR(CH25&lt;CH$39,ISNUMBER(CH25)=FALSE),CH$40,CH25))))</f>
      </c>
      <c r="CI52" s="7" t="str">
        <f>IF(ISBLANK(CI25),"NO DATA",IF(ISNUMBER(FIND(CODES!$A$12,CI25)),CODES!$A$12,IF(OR(ISNUMBER(FIND(CODES!$A$10,CI25)),ISNUMBER(FIND(CODES!$A$11,CI25))),CODES!$A$13,IF(OR(CI25&lt;CI$39,ISNUMBER(CI25)=FALSE),CI$40,CI25))))</f>
      </c>
      <c r="CJ52" s="7" t="str">
        <f>IF(ISBLANK(CJ25),"NO DATA",IF(ISNUMBER(FIND(CODES!$A$12,CJ25)),CODES!$A$12,IF(OR(ISNUMBER(FIND(CODES!$A$10,CJ25)),ISNUMBER(FIND(CODES!$A$11,CJ25))),CODES!$A$13,IF(OR(CJ25&lt;CJ$39,ISNUMBER(CJ25)=FALSE),CJ$40,CJ25))))</f>
      </c>
      <c r="CK52" s="7" t="str">
        <f>IF(ISBLANK(CK25),"NO DATA",IF(ISNUMBER(FIND(CODES!$A$12,CK25)),CODES!$A$12,IF(OR(ISNUMBER(FIND(CODES!$A$10,CK25)),ISNUMBER(FIND(CODES!$A$11,CK25))),CODES!$A$13,IF(OR(CK25&lt;CK$39,ISNUMBER(CK25)=FALSE),CK$40,CK25))))</f>
      </c>
      <c r="CL52" s="7" t="str">
        <f>IF(ISBLANK(CL25),"NO DATA",IF(ISNUMBER(FIND(CODES!$A$12,CL25)),CODES!$A$12,IF(OR(ISNUMBER(FIND(CODES!$A$10,CL25)),ISNUMBER(FIND(CODES!$A$11,CL25))),CODES!$A$13,IF(OR(CL25&lt;CL$39,ISNUMBER(CL25)=FALSE),CL$40,CL25))))</f>
      </c>
      <c r="CM52" s="7" t="str">
        <f>IF(ISBLANK(CM25),"NO DATA",IF(ISNUMBER(FIND(CODES!$A$12,CM25)),CODES!$A$12,IF(OR(ISNUMBER(FIND(CODES!$A$10,CM25)),ISNUMBER(FIND(CODES!$A$11,CM25))),CODES!$A$13,IF(OR(CM25&lt;CM$39,ISNUMBER(CM25)=FALSE),CM$40,CM25))))</f>
      </c>
      <c r="CN52" s="7" t="str">
        <f>IF(ISBLANK(CN25),"NO DATA",IF(ISNUMBER(FIND(CODES!$A$12,CN25)),CODES!$A$12,IF(OR(ISNUMBER(FIND(CODES!$A$10,CN25)),ISNUMBER(FIND(CODES!$A$11,CN25))),CODES!$A$13,IF(OR(CN25&lt;CN$39,ISNUMBER(CN25)=FALSE),CN$40,CN25))))</f>
      </c>
      <c r="CO52" s="7" t="str">
        <f>IF(ISBLANK(CO25),"NO DATA",IF(ISNUMBER(FIND(CODES!$A$12,CO25)),CODES!$A$12,IF(OR(ISNUMBER(FIND(CODES!$A$10,CO25)),ISNUMBER(FIND(CODES!$A$11,CO25))),CODES!$A$13,IF(OR(CO25&lt;CO$39,ISNUMBER(CO25)=FALSE),CO$40,CO25))))</f>
      </c>
      <c r="CP52" s="7" t="str">
        <f>IF(ISBLANK(CP25),"NO DATA",IF(ISNUMBER(FIND(CODES!$A$12,CP25)),CODES!$A$12,IF(OR(ISNUMBER(FIND(CODES!$A$10,CP25)),ISNUMBER(FIND(CODES!$A$11,CP25))),CODES!$A$13,IF(OR(CP25&lt;CP$39,ISNUMBER(CP25)=FALSE),CP$40,CP25))))</f>
      </c>
      <c r="CQ52" s="7" t="str">
        <f>IF(ISBLANK(CQ25),"NO DATA",IF(ISNUMBER(FIND(CODES!$A$12,CQ25)),CODES!$A$12,IF(OR(ISNUMBER(FIND(CODES!$A$10,CQ25)),ISNUMBER(FIND(CODES!$A$11,CQ25))),CODES!$A$13,IF(OR(CQ25&lt;CQ$39,ISNUMBER(CQ25)=FALSE),CQ$40,CQ25))))</f>
      </c>
      <c r="CR52" s="7" t="str">
        <f>IF(ISBLANK(CR25),"NO DATA",IF(ISNUMBER(FIND(CODES!$A$12,CR25)),CODES!$A$12,IF(OR(ISNUMBER(FIND(CODES!$A$10,CR25)),ISNUMBER(FIND(CODES!$A$11,CR25))),CODES!$A$13,IF(OR(CR25&lt;CR$39,ISNUMBER(CR25)=FALSE),CR$40,CR25))))</f>
      </c>
      <c r="CS52" s="7" t="str">
        <f>IF(ISBLANK(CS25),"NO DATA",IF(ISNUMBER(FIND(CODES!$A$12,CS25)),CODES!$A$12,IF(OR(ISNUMBER(FIND(CODES!$A$10,CS25)),ISNUMBER(FIND(CODES!$A$11,CS25))),CODES!$A$13,IF(OR(CS25&lt;CS$39,ISNUMBER(CS25)=FALSE),CS$40,CS25))))</f>
      </c>
      <c r="CT52" s="7" t="str">
        <f>IF(ISBLANK(CT25),"NO DATA",IF(ISNUMBER(FIND(CODES!$A$12,CT25)),CODES!$A$12,IF(OR(ISNUMBER(FIND(CODES!$A$10,CT25)),ISNUMBER(FIND(CODES!$A$11,CT25))),CODES!$A$13,IF(OR(CT25&lt;CT$39,ISNUMBER(CT25)=FALSE),CT$40,CT25))))</f>
      </c>
      <c r="CU52" s="7" t="str">
        <f>IF(ISBLANK(CU25),"NO DATA",IF(ISNUMBER(FIND(CODES!$A$12,CU25)),CODES!$A$12,IF(OR(ISNUMBER(FIND(CODES!$A$10,CU25)),ISNUMBER(FIND(CODES!$A$11,CU25))),CODES!$A$13,IF(OR(CU25&lt;CU$39,ISNUMBER(CU25)=FALSE),CU$40,CU25))))</f>
      </c>
      <c r="CV52" s="7">
        <f>IF(ISBLANK(CV25),"NO DATA",IF(ISNUMBER(FIND(CODES!$A$12,CV25)),CODES!$A$12,IF(OR(ISNUMBER(FIND(CODES!$A$10,CV25)),ISNUMBER(FIND(CODES!$A$11,CV25))),CODES!$A$13,IF(OR(CV25&lt;CV$39,ISNUMBER(CV25)=FALSE),CV$40,CV25))))</f>
      </c>
      <c r="CW52" s="7" t="str">
        <f>IF(ISBLANK(CW25),"NO DATA",IF(ISNUMBER(FIND(CODES!$A$12,CW25)),CODES!$A$12,IF(OR(ISNUMBER(FIND(CODES!$A$10,CW25)),ISNUMBER(FIND(CODES!$A$11,CW25))),CODES!$A$13,IF(OR(CW25&lt;CW$39,ISNUMBER(CW25)=FALSE),CW$40,CW25))))</f>
      </c>
      <c r="CX52" s="7" t="str">
        <f>IF(ISBLANK(CX25),"NO DATA",IF(ISNUMBER(FIND(CODES!$A$12,CX25)),CODES!$A$12,IF(OR(ISNUMBER(FIND(CODES!$A$10,CX25)),ISNUMBER(FIND(CODES!$A$11,CX25))),CODES!$A$13,IF(OR(CX25&lt;CX$39,ISNUMBER(CX25)=FALSE),CX$40,CX25))))</f>
      </c>
      <c r="CY52" s="7">
        <f>IF(ISBLANK(CY25),"NO DATA",IF(ISNUMBER(FIND(CODES!$A$12,CY25)),CODES!$A$12,IF(OR(ISNUMBER(FIND(CODES!$A$10,CY25)),ISNUMBER(FIND(CODES!$A$11,CY25))),CODES!$A$13,IF(OR(CY25&lt;CY$39,ISNUMBER(CY25)=FALSE),CY$40,CY25))))</f>
      </c>
      <c r="CZ52" s="7" t="str">
        <f>IF(ISBLANK(CZ25),"NO DATA",IF(ISNUMBER(FIND(CODES!$A$12,CZ25)),CODES!$A$12,IF(OR(ISNUMBER(FIND(CODES!$A$10,CZ25)),ISNUMBER(FIND(CODES!$A$11,CZ25))),CODES!$A$13,IF(OR(CZ25&lt;CZ$39,ISNUMBER(CZ25)=FALSE),CZ$40,CZ25))))</f>
      </c>
      <c r="DA52" s="7" t="str">
        <f>IF(ISBLANK(DA25),"NO DATA",IF(ISNUMBER(FIND(CODES!$A$12,DA25)),CODES!$A$12,IF(OR(ISNUMBER(FIND(CODES!$A$10,DA25)),ISNUMBER(FIND(CODES!$A$11,DA25))),CODES!$A$13,IF(OR(DA25&lt;DA$39,ISNUMBER(DA25)=FALSE),DA$40,DA25))))</f>
      </c>
      <c r="DB52" s="7" t="str">
        <f>IF(ISBLANK(DB25),"NO DATA",IF(ISNUMBER(FIND(CODES!$A$12,DB25)),CODES!$A$12,IF(OR(ISNUMBER(FIND(CODES!$A$10,DB25)),ISNUMBER(FIND(CODES!$A$11,DB25))),CODES!$A$13,IF(OR(DB25&lt;DB$39,ISNUMBER(DB25)=FALSE),DB$40,DB25))))</f>
      </c>
      <c r="DC52" s="7" t="str">
        <f>IF(ISBLANK(DC25),"NO DATA",IF(ISNUMBER(FIND(CODES!$A$12,DC25)),CODES!$A$12,IF(OR(ISNUMBER(FIND(CODES!$A$10,DC25)),ISNUMBER(FIND(CODES!$A$11,DC25))),CODES!$A$13,IF(OR(DC25&lt;DC$39,ISNUMBER(DC25)=FALSE),DC$40,DC25))))</f>
      </c>
      <c r="DD52" s="7" t="str">
        <f>IF(ISBLANK(DD25),"NO DATA",IF(ISNUMBER(FIND(CODES!$A$12,DD25)),CODES!$A$12,IF(OR(ISNUMBER(FIND(CODES!$A$10,DD25)),ISNUMBER(FIND(CODES!$A$11,DD25))),CODES!$A$13,IF(OR(DD25&lt;DD$39,ISNUMBER(DD25)=FALSE),DD$40,DD25))))</f>
      </c>
      <c r="DE52" s="7" t="str">
        <f>IF(ISBLANK(DE25),"NO DATA",IF(ISNUMBER(FIND(CODES!$A$12,DE25)),CODES!$A$12,IF(OR(ISNUMBER(FIND(CODES!$A$10,DE25)),ISNUMBER(FIND(CODES!$A$11,DE25))),CODES!$A$13,IF(OR(DE25&lt;DE$39,ISNUMBER(DE25)=FALSE),DE$40,DE25))))</f>
      </c>
      <c r="DF52" s="7">
        <f>IF(ISBLANK(DF25),"NO DATA",IF(ISNUMBER(FIND(CODES!$A$12,DF25)),CODES!$A$12,IF(OR(ISNUMBER(FIND(CODES!$A$10,DF25)),ISNUMBER(FIND(CODES!$A$11,DF25))),CODES!$A$13,IF(OR(DF25&lt;DF$39,ISNUMBER(DF25)=FALSE),DF$40,DF25))))</f>
      </c>
      <c r="DG52" s="7">
        <f>IF(ISBLANK(DG25),"NO DATA",IF(ISNUMBER(FIND(CODES!$A$12,DG25)),CODES!$A$12,IF(OR(ISNUMBER(FIND(CODES!$A$10,DG25)),ISNUMBER(FIND(CODES!$A$11,DG25))),CODES!$A$13,IF(OR(DG25&lt;DG$39,ISNUMBER(DG25)=FALSE),DG$40,DG25))))</f>
      </c>
      <c r="DH52" s="7" t="str">
        <f>IF(ISBLANK(DH25),"NO DATA",IF(ISNUMBER(FIND(CODES!$A$12,DH25)),CODES!$A$12,IF(OR(ISNUMBER(FIND(CODES!$A$10,DH25)),ISNUMBER(FIND(CODES!$A$11,DH25))),CODES!$A$13,IF(OR(DH25&lt;DH$39,ISNUMBER(DH25)=FALSE),DH$40,DH25))))</f>
      </c>
      <c r="DI52" s="7" t="str">
        <f>IF(ISBLANK(DI25),"NO DATA",IF(ISNUMBER(FIND(CODES!$A$12,DI25)),CODES!$A$12,IF(OR(ISNUMBER(FIND(CODES!$A$10,DI25)),ISNUMBER(FIND(CODES!$A$11,DI25))),CODES!$A$13,IF(OR(DI25&lt;DI$39,ISNUMBER(DI25)=FALSE),DI$40,DI25))))</f>
      </c>
    </row>
    <row r="53" spans="1:113" x14ac:dyDescent="0.25">
      <c r="A53" s="16" t="str">
        <f t="shared" si="8"/>
      </c>
      <c r="B53" s="16" t="str">
        <f t="shared" si="8"/>
      </c>
      <c r="C53" s="7" t="str">
        <f>IF(ISBLANK(C26),"NO DATA",IF(ISNUMBER(FIND(CODES!$A$12,C26)),CODES!$A$12,IF(OR(ISNUMBER(FIND(CODES!$A$10,C26)),ISNUMBER(FIND(CODES!$A$11,C26))),CODES!$A$13,IF(OR(C26&lt;C$39,ISNUMBER(C26)=FALSE),C$40,C26))))</f>
      </c>
      <c r="D53" s="7" t="str">
        <f>IF(ISBLANK(D26),"NO DATA",IF(ISNUMBER(FIND(CODES!$A$12,D26)),CODES!$A$12,IF(OR(ISNUMBER(FIND(CODES!$A$10,D26)),ISNUMBER(FIND(CODES!$A$11,D26))),CODES!$A$13,IF(OR(D26&lt;D$39,ISNUMBER(D26)=FALSE),D$40,D26))))</f>
      </c>
      <c r="E53" s="7" t="str">
        <f>IF(ISBLANK(E26),"NO DATA",IF(ISNUMBER(FIND(CODES!$A$12,E26)),CODES!$A$12,IF(OR(ISNUMBER(FIND(CODES!$A$10,E26)),ISNUMBER(FIND(CODES!$A$11,E26))),CODES!$A$13,IF(OR(E26&lt;E$39,ISNUMBER(E26)=FALSE),E$40,E26))))</f>
      </c>
      <c r="F53" s="7" t="str">
        <f>IF(ISBLANK(F26),"NO DATA",IF(ISNUMBER(FIND(CODES!$A$12,F26)),CODES!$A$12,IF(OR(ISNUMBER(FIND(CODES!$A$10,F26)),ISNUMBER(FIND(CODES!$A$11,F26))),CODES!$A$13,IF(OR(F26&lt;F$39,ISNUMBER(F26)=FALSE),F$40,F26))))</f>
      </c>
      <c r="G53" s="7" t="str">
        <f>IF(ISBLANK(G26),"NO DATA",IF(ISNUMBER(FIND(CODES!$A$12,G26)),CODES!$A$12,IF(OR(ISNUMBER(FIND(CODES!$A$10,G26)),ISNUMBER(FIND(CODES!$A$11,G26))),CODES!$A$13,IF(OR(G26&lt;G$39,ISNUMBER(G26)=FALSE),G$40,G26))))</f>
      </c>
      <c r="H53" s="7" t="str">
        <f>IF(ISBLANK(H26),"NO DATA",IF(ISNUMBER(FIND(CODES!$A$12,H26)),CODES!$A$12,IF(OR(ISNUMBER(FIND(CODES!$A$10,H26)),ISNUMBER(FIND(CODES!$A$11,H26))),CODES!$A$13,IF(OR(H26&lt;H$39,ISNUMBER(H26)=FALSE),H$40,H26))))</f>
      </c>
      <c r="I53" s="7" t="str">
        <f>IF(ISBLANK(I26),"NO DATA",IF(ISNUMBER(FIND(CODES!$A$12,I26)),CODES!$A$12,IF(OR(ISNUMBER(FIND(CODES!$A$10,I26)),ISNUMBER(FIND(CODES!$A$11,I26))),CODES!$A$13,IF(OR(I26&lt;I$39,ISNUMBER(I26)=FALSE),I$40,I26))))</f>
      </c>
      <c r="J53" s="7">
        <f>IF(ISBLANK(J26),"NO DATA",IF(ISNUMBER(FIND(CODES!$A$12,J26)),CODES!$A$12,IF(OR(ISNUMBER(FIND(CODES!$A$10,J26)),ISNUMBER(FIND(CODES!$A$11,J26))),CODES!$A$13,IF(OR(J26&lt;J$39,ISNUMBER(J26)=FALSE),J$40,J26))))</f>
      </c>
      <c r="K53" s="7">
        <f>IF(ISBLANK(K26),"NO DATA",IF(ISNUMBER(FIND(CODES!$A$12,K26)),CODES!$A$12,IF(OR(ISNUMBER(FIND(CODES!$A$10,K26)),ISNUMBER(FIND(CODES!$A$11,K26))),CODES!$A$13,IF(OR(K26&lt;K$39,ISNUMBER(K26)=FALSE),K$40,K26))))</f>
      </c>
      <c r="L53" s="7" t="str">
        <f>IF(ISBLANK(L26),"NO DATA",IF(ISNUMBER(FIND(CODES!$A$12,L26)),CODES!$A$12,IF(OR(ISNUMBER(FIND(CODES!$A$10,L26)),ISNUMBER(FIND(CODES!$A$11,L26))),CODES!$A$13,IF(OR(L26&lt;L$39,ISNUMBER(L26)=FALSE),L$40,L26))))</f>
      </c>
      <c r="M53" s="7" t="str">
        <f>IF(ISBLANK(M26),"NO DATA",IF(ISNUMBER(FIND(CODES!$A$12,M26)),CODES!$A$12,IF(OR(ISNUMBER(FIND(CODES!$A$10,M26)),ISNUMBER(FIND(CODES!$A$11,M26))),CODES!$A$13,IF(OR(M26&lt;M$39,ISNUMBER(M26)=FALSE),M$40,M26))))</f>
      </c>
      <c r="N53" s="7" t="str">
        <f>IF(ISBLANK(N26),"NO DATA",IF(ISNUMBER(FIND(CODES!$A$12,N26)),CODES!$A$12,IF(OR(ISNUMBER(FIND(CODES!$A$10,N26)),ISNUMBER(FIND(CODES!$A$11,N26))),CODES!$A$13,IF(OR(N26&lt;N$39,ISNUMBER(N26)=FALSE),N$40,N26))))</f>
      </c>
      <c r="O53" s="7" t="str">
        <f>IF(ISBLANK(O26),"NO DATA",IF(ISNUMBER(FIND(CODES!$A$12,O26)),CODES!$A$12,IF(OR(ISNUMBER(FIND(CODES!$A$10,O26)),ISNUMBER(FIND(CODES!$A$11,O26))),CODES!$A$13,IF(OR(O26&lt;O$39,ISNUMBER(O26)=FALSE),O$40,O26))))</f>
      </c>
      <c r="P53" s="7">
        <f>IF(ISBLANK(P26),"NO DATA",IF(ISNUMBER(FIND(CODES!$A$12,P26)),CODES!$A$12,IF(OR(ISNUMBER(FIND(CODES!$A$10,P26)),ISNUMBER(FIND(CODES!$A$11,P26))),CODES!$A$13,IF(OR(P26&lt;P$39,ISNUMBER(P26)=FALSE),P$40,P26))))</f>
      </c>
      <c r="Q53" s="7">
        <f>IF(ISBLANK(Q26),"NO DATA",IF(ISNUMBER(FIND(CODES!$A$12,Q26)),CODES!$A$12,IF(OR(ISNUMBER(FIND(CODES!$A$10,Q26)),ISNUMBER(FIND(CODES!$A$11,Q26))),CODES!$A$13,IF(OR(Q26&lt;Q$39,ISNUMBER(Q26)=FALSE),Q$40,Q26))))</f>
      </c>
      <c r="R53" s="7" t="str">
        <f>IF(ISBLANK(R26),"NO DATA",IF(ISNUMBER(FIND(CODES!$A$12,R26)),CODES!$A$12,IF(OR(ISNUMBER(FIND(CODES!$A$10,R26)),ISNUMBER(FIND(CODES!$A$11,R26))),CODES!$A$13,IF(OR(R26&lt;R$39,ISNUMBER(R26)=FALSE),R$40,R26))))</f>
      </c>
      <c r="S53" s="7" t="str">
        <f>IF(ISBLANK(S26),"NO DATA",IF(ISNUMBER(FIND(CODES!$A$12,S26)),CODES!$A$12,IF(OR(ISNUMBER(FIND(CODES!$A$10,S26)),ISNUMBER(FIND(CODES!$A$11,S26))),CODES!$A$13,IF(OR(S26&lt;S$39,ISNUMBER(S26)=FALSE),S$40,S26))))</f>
      </c>
      <c r="T53" s="7" t="str">
        <f>IF(ISBLANK(T26),"NO DATA",IF(ISNUMBER(FIND(CODES!$A$12,T26)),CODES!$A$12,IF(OR(ISNUMBER(FIND(CODES!$A$10,T26)),ISNUMBER(FIND(CODES!$A$11,T26))),CODES!$A$13,IF(OR(T26&lt;T$39,ISNUMBER(T26)=FALSE),T$40,T26))))</f>
      </c>
      <c r="U53" s="7" t="str">
        <f>IF(ISBLANK(U26),"NO DATA",IF(ISNUMBER(FIND(CODES!$A$12,U26)),CODES!$A$12,IF(OR(ISNUMBER(FIND(CODES!$A$10,U26)),ISNUMBER(FIND(CODES!$A$11,U26))),CODES!$A$13,IF(OR(U26&lt;U$39,ISNUMBER(U26)=FALSE),U$40,U26))))</f>
      </c>
      <c r="V53" s="7" t="str">
        <f>IF(ISBLANK(V26),"NO DATA",IF(ISNUMBER(FIND(CODES!$A$12,V26)),CODES!$A$12,IF(OR(ISNUMBER(FIND(CODES!$A$10,V26)),ISNUMBER(FIND(CODES!$A$11,V26))),CODES!$A$13,IF(OR(V26&lt;V$39,ISNUMBER(V26)=FALSE),V$40,V26))))</f>
      </c>
      <c r="W53" s="7" t="str">
        <f>IF(ISBLANK(W26),"NO DATA",IF(ISNUMBER(FIND(CODES!$A$12,W26)),CODES!$A$12,IF(OR(ISNUMBER(FIND(CODES!$A$10,W26)),ISNUMBER(FIND(CODES!$A$11,W26))),CODES!$A$13,IF(OR(W26&lt;W$39,ISNUMBER(W26)=FALSE),W$40,W26))))</f>
      </c>
      <c r="X53" s="7" t="str">
        <f>IF(ISBLANK(X26),"NO DATA",IF(ISNUMBER(FIND(CODES!$A$12,X26)),CODES!$A$12,IF(OR(ISNUMBER(FIND(CODES!$A$10,X26)),ISNUMBER(FIND(CODES!$A$11,X26))),CODES!$A$13,IF(OR(X26&lt;X$39,ISNUMBER(X26)=FALSE),X$40,X26))))</f>
      </c>
      <c r="Y53" s="7" t="str">
        <f>IF(ISBLANK(Y26),"NO DATA",IF(ISNUMBER(FIND(CODES!$A$12,Y26)),CODES!$A$12,IF(OR(ISNUMBER(FIND(CODES!$A$10,Y26)),ISNUMBER(FIND(CODES!$A$11,Y26))),CODES!$A$13,IF(OR(Y26&lt;Y$39,ISNUMBER(Y26)=FALSE),Y$40,Y26))))</f>
      </c>
      <c r="Z53" s="7">
        <f>IF(ISBLANK(Z26),"NO DATA",IF(ISNUMBER(FIND(CODES!$A$12,Z26)),CODES!$A$12,IF(OR(ISNUMBER(FIND(CODES!$A$10,Z26)),ISNUMBER(FIND(CODES!$A$11,Z26))),CODES!$A$13,IF(OR(Z26&lt;Z$39,ISNUMBER(Z26)=FALSE),Z$40,Z26))))</f>
      </c>
      <c r="AA53" s="7" t="str">
        <f>IF(ISBLANK(AA26),"NO DATA",IF(ISNUMBER(FIND(CODES!$A$12,AA26)),CODES!$A$12,IF(OR(ISNUMBER(FIND(CODES!$A$10,AA26)),ISNUMBER(FIND(CODES!$A$11,AA26))),CODES!$A$13,IF(OR(AA26&lt;AA$39,ISNUMBER(AA26)=FALSE),AA$40,AA26))))</f>
      </c>
      <c r="AB53" s="7" t="str">
        <f>IF(ISBLANK(AB26),"NO DATA",IF(ISNUMBER(FIND(CODES!$A$12,AB26)),CODES!$A$12,IF(OR(ISNUMBER(FIND(CODES!$A$10,AB26)),ISNUMBER(FIND(CODES!$A$11,AB26))),CODES!$A$13,IF(OR(AB26&lt;AB$39,ISNUMBER(AB26)=FALSE),AB$40,AB26))))</f>
      </c>
      <c r="AC53" s="7" t="str">
        <f>IF(ISBLANK(AC26),"NO DATA",IF(ISNUMBER(FIND(CODES!$A$12,AC26)),CODES!$A$12,IF(OR(ISNUMBER(FIND(CODES!$A$10,AC26)),ISNUMBER(FIND(CODES!$A$11,AC26))),CODES!$A$13,IF(OR(AC26&lt;AC$39,ISNUMBER(AC26)=FALSE),AC$40,AC26))))</f>
      </c>
      <c r="AD53" s="7" t="str">
        <f>IF(ISBLANK(AD26),"NO DATA",IF(ISNUMBER(FIND(CODES!$A$12,AD26)),CODES!$A$12,IF(OR(ISNUMBER(FIND(CODES!$A$10,AD26)),ISNUMBER(FIND(CODES!$A$11,AD26))),CODES!$A$13,IF(OR(AD26&lt;AD$39,ISNUMBER(AD26)=FALSE),AD$40,AD26))))</f>
      </c>
      <c r="AE53" s="7" t="str">
        <f>IF(ISBLANK(AE26),"NO DATA",IF(ISNUMBER(FIND(CODES!$A$12,AE26)),CODES!$A$12,IF(OR(ISNUMBER(FIND(CODES!$A$10,AE26)),ISNUMBER(FIND(CODES!$A$11,AE26))),CODES!$A$13,IF(OR(AE26&lt;AE$39,ISNUMBER(AE26)=FALSE),AE$40,AE26))))</f>
      </c>
      <c r="AF53" s="7" t="str">
        <f>IF(ISBLANK(AF26),"NO DATA",IF(ISNUMBER(FIND(CODES!$A$12,AF26)),CODES!$A$12,IF(OR(ISNUMBER(FIND(CODES!$A$10,AF26)),ISNUMBER(FIND(CODES!$A$11,AF26))),CODES!$A$13,IF(OR(AF26&lt;AF$39,ISNUMBER(AF26)=FALSE),AF$40,AF26))))</f>
      </c>
      <c r="AG53" s="7" t="str">
        <f>IF(ISBLANK(AG26),"NO DATA",IF(ISNUMBER(FIND(CODES!$A$12,AG26)),CODES!$A$12,IF(OR(ISNUMBER(FIND(CODES!$A$10,AG26)),ISNUMBER(FIND(CODES!$A$11,AG26))),CODES!$A$13,IF(OR(AG26&lt;AG$39,ISNUMBER(AG26)=FALSE),AG$40,AG26))))</f>
      </c>
      <c r="AH53" s="7" t="str">
        <f>IF(ISBLANK(AH26),"NO DATA",IF(ISNUMBER(FIND(CODES!$A$12,AH26)),CODES!$A$12,IF(OR(ISNUMBER(FIND(CODES!$A$10,AH26)),ISNUMBER(FIND(CODES!$A$11,AH26))),CODES!$A$13,IF(OR(AH26&lt;AH$39,ISNUMBER(AH26)=FALSE),AH$40,AH26))))</f>
      </c>
      <c r="AI53" s="7" t="str">
        <f>IF(ISBLANK(AI26),"NO DATA",IF(ISNUMBER(FIND(CODES!$A$12,AI26)),CODES!$A$12,IF(OR(ISNUMBER(FIND(CODES!$A$10,AI26)),ISNUMBER(FIND(CODES!$A$11,AI26))),CODES!$A$13,IF(OR(AI26&lt;AI$39,ISNUMBER(AI26)=FALSE),AI$40,AI26))))</f>
      </c>
      <c r="AJ53" s="7" t="str">
        <f>IF(ISBLANK(AJ26),"NO DATA",IF(ISNUMBER(FIND(CODES!$A$12,AJ26)),CODES!$A$12,IF(OR(ISNUMBER(FIND(CODES!$A$10,AJ26)),ISNUMBER(FIND(CODES!$A$11,AJ26))),CODES!$A$13,IF(OR(AJ26&lt;AJ$39,ISNUMBER(AJ26)=FALSE),AJ$40,AJ26))))</f>
      </c>
      <c r="AK53" s="7" t="str">
        <f>IF(ISBLANK(AK26),"NO DATA",IF(ISNUMBER(FIND(CODES!$A$12,AK26)),CODES!$A$12,IF(OR(ISNUMBER(FIND(CODES!$A$10,AK26)),ISNUMBER(FIND(CODES!$A$11,AK26))),CODES!$A$13,IF(OR(AK26&lt;AK$39,ISNUMBER(AK26)=FALSE),AK$40,AK26))))</f>
      </c>
      <c r="AL53" s="7" t="str">
        <f>IF(ISBLANK(AL26),"NO DATA",IF(ISNUMBER(FIND(CODES!$A$12,AL26)),CODES!$A$12,IF(OR(ISNUMBER(FIND(CODES!$A$10,AL26)),ISNUMBER(FIND(CODES!$A$11,AL26))),CODES!$A$13,IF(OR(AL26&lt;AL$39,ISNUMBER(AL26)=FALSE),AL$40,AL26))))</f>
      </c>
      <c r="AM53" s="7" t="str">
        <f>IF(ISBLANK(AM26),"NO DATA",IF(ISNUMBER(FIND(CODES!$A$12,AM26)),CODES!$A$12,IF(OR(ISNUMBER(FIND(CODES!$A$10,AM26)),ISNUMBER(FIND(CODES!$A$11,AM26))),CODES!$A$13,IF(OR(AM26&lt;AM$39,ISNUMBER(AM26)=FALSE),AM$40,AM26))))</f>
      </c>
      <c r="AN53" s="7" t="str">
        <f>IF(ISBLANK(AN26),"NO DATA",IF(ISNUMBER(FIND(CODES!$A$12,AN26)),CODES!$A$12,IF(OR(ISNUMBER(FIND(CODES!$A$10,AN26)),ISNUMBER(FIND(CODES!$A$11,AN26))),CODES!$A$13,IF(OR(AN26&lt;AN$39,ISNUMBER(AN26)=FALSE),AN$40,AN26))))</f>
      </c>
      <c r="AO53" s="7" t="str">
        <f>IF(ISBLANK(AO26),"NO DATA",IF(ISNUMBER(FIND(CODES!$A$12,AO26)),CODES!$A$12,IF(OR(ISNUMBER(FIND(CODES!$A$10,AO26)),ISNUMBER(FIND(CODES!$A$11,AO26))),CODES!$A$13,IF(OR(AO26&lt;AO$39,ISNUMBER(AO26)=FALSE),AO$40,AO26))))</f>
      </c>
      <c r="AP53" s="7" t="str">
        <f>IF(ISBLANK(AP26),"NO DATA",IF(ISNUMBER(FIND(CODES!$A$12,AP26)),CODES!$A$12,IF(OR(ISNUMBER(FIND(CODES!$A$10,AP26)),ISNUMBER(FIND(CODES!$A$11,AP26))),CODES!$A$13,IF(OR(AP26&lt;AP$39,ISNUMBER(AP26)=FALSE),AP$40,AP26))))</f>
      </c>
      <c r="AQ53" s="7" t="str">
        <f>IF(ISBLANK(AQ26),"NO DATA",IF(ISNUMBER(FIND(CODES!$A$12,AQ26)),CODES!$A$12,IF(OR(ISNUMBER(FIND(CODES!$A$10,AQ26)),ISNUMBER(FIND(CODES!$A$11,AQ26))),CODES!$A$13,IF(OR(AQ26&lt;AQ$39,ISNUMBER(AQ26)=FALSE),AQ$40,AQ26))))</f>
      </c>
      <c r="AR53" s="7" t="str">
        <f>IF(ISBLANK(AR26),"NO DATA",IF(ISNUMBER(FIND(CODES!$A$12,AR26)),CODES!$A$12,IF(OR(ISNUMBER(FIND(CODES!$A$10,AR26)),ISNUMBER(FIND(CODES!$A$11,AR26))),CODES!$A$13,IF(OR(AR26&lt;AR$39,ISNUMBER(AR26)=FALSE),AR$40,AR26))))</f>
      </c>
      <c r="AS53" s="7">
        <f>IF(ISBLANK(AS26),"NO DATA",IF(ISNUMBER(FIND(CODES!$A$12,AS26)),CODES!$A$12,IF(OR(ISNUMBER(FIND(CODES!$A$10,AS26)),ISNUMBER(FIND(CODES!$A$11,AS26))),CODES!$A$13,IF(OR(AS26&lt;AS$39,ISNUMBER(AS26)=FALSE),AS$40,AS26))))</f>
      </c>
      <c r="AT53" s="7" t="str">
        <f>IF(ISBLANK(AT26),"NO DATA",IF(ISNUMBER(FIND(CODES!$A$12,AT26)),CODES!$A$12,IF(OR(ISNUMBER(FIND(CODES!$A$10,AT26)),ISNUMBER(FIND(CODES!$A$11,AT26))),CODES!$A$13,IF(OR(AT26&lt;AT$39,ISNUMBER(AT26)=FALSE),AT$40,AT26))))</f>
      </c>
      <c r="AU53" s="7" t="str">
        <f>IF(ISBLANK(AU26),"NO DATA",IF(ISNUMBER(FIND(CODES!$A$12,AU26)),CODES!$A$12,IF(OR(ISNUMBER(FIND(CODES!$A$10,AU26)),ISNUMBER(FIND(CODES!$A$11,AU26))),CODES!$A$13,IF(OR(AU26&lt;AU$39,ISNUMBER(AU26)=FALSE),AU$40,AU26))))</f>
      </c>
      <c r="AV53" s="7" t="str">
        <f>IF(ISBLANK(AV26),"NO DATA",IF(ISNUMBER(FIND(CODES!$A$12,AV26)),CODES!$A$12,IF(OR(ISNUMBER(FIND(CODES!$A$10,AV26)),ISNUMBER(FIND(CODES!$A$11,AV26))),CODES!$A$13,IF(OR(AV26&lt;AV$39,ISNUMBER(AV26)=FALSE),AV$40,AV26))))</f>
      </c>
      <c r="AW53" s="7" t="str">
        <f>IF(ISBLANK(AW26),"NO DATA",IF(ISNUMBER(FIND(CODES!$A$12,AW26)),CODES!$A$12,IF(OR(ISNUMBER(FIND(CODES!$A$10,AW26)),ISNUMBER(FIND(CODES!$A$11,AW26))),CODES!$A$13,IF(OR(AW26&lt;AW$39,ISNUMBER(AW26)=FALSE),AW$40,AW26))))</f>
      </c>
      <c r="AX53" s="7" t="str">
        <f>IF(ISBLANK(AX26),"NO DATA",IF(ISNUMBER(FIND(CODES!$A$12,AX26)),CODES!$A$12,IF(OR(ISNUMBER(FIND(CODES!$A$10,AX26)),ISNUMBER(FIND(CODES!$A$11,AX26))),CODES!$A$13,IF(OR(AX26&lt;AX$39,ISNUMBER(AX26)=FALSE),AX$40,AX26))))</f>
      </c>
      <c r="AY53" s="7" t="str">
        <f>IF(ISBLANK(AY26),"NO DATA",IF(ISNUMBER(FIND(CODES!$A$12,AY26)),CODES!$A$12,IF(OR(ISNUMBER(FIND(CODES!$A$10,AY26)),ISNUMBER(FIND(CODES!$A$11,AY26))),CODES!$A$13,IF(OR(AY26&lt;AY$39,ISNUMBER(AY26)=FALSE),AY$40,AY26))))</f>
      </c>
      <c r="AZ53" s="7">
        <f>IF(ISBLANK(AZ26),"NO DATA",IF(ISNUMBER(FIND(CODES!$A$12,AZ26)),CODES!$A$12,IF(OR(ISNUMBER(FIND(CODES!$A$10,AZ26)),ISNUMBER(FIND(CODES!$A$11,AZ26))),CODES!$A$13,IF(OR(AZ26&lt;AZ$39,ISNUMBER(AZ26)=FALSE),AZ$40,AZ26))))</f>
      </c>
      <c r="BA53" s="7">
        <f>IF(ISBLANK(BA26),"NO DATA",IF(ISNUMBER(FIND(CODES!$A$12,BA26)),CODES!$A$12,IF(OR(ISNUMBER(FIND(CODES!$A$10,BA26)),ISNUMBER(FIND(CODES!$A$11,BA26))),CODES!$A$13,IF(OR(BA26&lt;BA$39,ISNUMBER(BA26)=FALSE),BA$40,BA26))))</f>
      </c>
      <c r="BB53" s="7">
        <f>IF(ISBLANK(BB26),"NO DATA",IF(ISNUMBER(FIND(CODES!$A$12,BB26)),CODES!$A$12,IF(OR(ISNUMBER(FIND(CODES!$A$10,BB26)),ISNUMBER(FIND(CODES!$A$11,BB26))),CODES!$A$13,IF(OR(BB26&lt;BB$39,ISNUMBER(BB26)=FALSE),BB$40,BB26))))</f>
      </c>
      <c r="BC53" s="7" t="str">
        <f>IF(ISBLANK(BC26),"NO DATA",IF(ISNUMBER(FIND(CODES!$A$12,BC26)),CODES!$A$12,IF(OR(ISNUMBER(FIND(CODES!$A$10,BC26)),ISNUMBER(FIND(CODES!$A$11,BC26))),CODES!$A$13,IF(OR(BC26&lt;BC$39,ISNUMBER(BC26)=FALSE),BC$40,BC26))))</f>
      </c>
      <c r="BD53" s="7" t="str">
        <f>IF(ISBLANK(BD26),"NO DATA",IF(ISNUMBER(FIND(CODES!$A$12,BD26)),CODES!$A$12,IF(OR(ISNUMBER(FIND(CODES!$A$10,BD26)),ISNUMBER(FIND(CODES!$A$11,BD26))),CODES!$A$13,IF(OR(BD26&lt;BD$39,ISNUMBER(BD26)=FALSE),BD$40,BD26))))</f>
      </c>
      <c r="BE53" s="7" t="str">
        <f>IF(ISBLANK(BE26),"NO DATA",IF(ISNUMBER(FIND(CODES!$A$12,BE26)),CODES!$A$12,IF(OR(ISNUMBER(FIND(CODES!$A$10,BE26)),ISNUMBER(FIND(CODES!$A$11,BE26))),CODES!$A$13,IF(OR(BE26&lt;BE$39,ISNUMBER(BE26)=FALSE),BE$40,BE26))))</f>
      </c>
      <c r="BF53" s="7">
        <f>IF(ISBLANK(BF26),"NO DATA",IF(ISNUMBER(FIND(CODES!$A$12,BF26)),CODES!$A$12,IF(OR(ISNUMBER(FIND(CODES!$A$10,BF26)),ISNUMBER(FIND(CODES!$A$11,BF26))),CODES!$A$13,IF(OR(BF26&lt;BF$39,ISNUMBER(BF26)=FALSE),BF$40,BF26))))</f>
      </c>
      <c r="BG53" s="7">
        <f>IF(ISBLANK(BG26),"NO DATA",IF(ISNUMBER(FIND(CODES!$A$12,BG26)),CODES!$A$12,IF(OR(ISNUMBER(FIND(CODES!$A$10,BG26)),ISNUMBER(FIND(CODES!$A$11,BG26))),CODES!$A$13,IF(OR(BG26&lt;BG$39,ISNUMBER(BG26)=FALSE),BG$40,BG26))))</f>
      </c>
      <c r="BH53" s="7" t="str">
        <f>IF(ISBLANK(BH26),"NO DATA",IF(ISNUMBER(FIND(CODES!$A$12,BH26)),CODES!$A$12,IF(OR(ISNUMBER(FIND(CODES!$A$10,BH26)),ISNUMBER(FIND(CODES!$A$11,BH26))),CODES!$A$13,IF(OR(BH26&lt;BH$39,ISNUMBER(BH26)=FALSE),BH$40,BH26))))</f>
      </c>
      <c r="BI53" s="7" t="str">
        <f>IF(ISBLANK(BI26),"NO DATA",IF(ISNUMBER(FIND(CODES!$A$12,BI26)),CODES!$A$12,IF(OR(ISNUMBER(FIND(CODES!$A$10,BI26)),ISNUMBER(FIND(CODES!$A$11,BI26))),CODES!$A$13,IF(OR(BI26&lt;BI$39,ISNUMBER(BI26)=FALSE),BI$40,BI26))))</f>
      </c>
      <c r="BJ53" s="7" t="str">
        <f>IF(ISBLANK(BJ26),"NO DATA",IF(ISNUMBER(FIND(CODES!$A$12,BJ26)),CODES!$A$12,IF(OR(ISNUMBER(FIND(CODES!$A$10,BJ26)),ISNUMBER(FIND(CODES!$A$11,BJ26))),CODES!$A$13,IF(OR(BJ26&lt;BJ$39,ISNUMBER(BJ26)=FALSE),BJ$40,BJ26))))</f>
      </c>
      <c r="BK53" s="7" t="str">
        <f>IF(ISBLANK(BK26),"NO DATA",IF(ISNUMBER(FIND(CODES!$A$12,BK26)),CODES!$A$12,IF(OR(ISNUMBER(FIND(CODES!$A$10,BK26)),ISNUMBER(FIND(CODES!$A$11,BK26))),CODES!$A$13,IF(OR(BK26&lt;BK$39,ISNUMBER(BK26)=FALSE),BK$40,BK26))))</f>
      </c>
      <c r="BL53" s="7" t="str">
        <f>IF(ISBLANK(BL26),"NO DATA",IF(ISNUMBER(FIND(CODES!$A$12,BL26)),CODES!$A$12,IF(OR(ISNUMBER(FIND(CODES!$A$10,BL26)),ISNUMBER(FIND(CODES!$A$11,BL26))),CODES!$A$13,IF(OR(BL26&lt;BL$39,ISNUMBER(BL26)=FALSE),BL$40,BL26))))</f>
      </c>
      <c r="BM53" s="7" t="str">
        <f>IF(ISBLANK(BM26),"NO DATA",IF(ISNUMBER(FIND(CODES!$A$12,BM26)),CODES!$A$12,IF(OR(ISNUMBER(FIND(CODES!$A$10,BM26)),ISNUMBER(FIND(CODES!$A$11,BM26))),CODES!$A$13,IF(OR(BM26&lt;BM$39,ISNUMBER(BM26)=FALSE),BM$40,BM26))))</f>
      </c>
      <c r="BN53" s="7" t="str">
        <f>IF(ISBLANK(BN26),"NO DATA",IF(ISNUMBER(FIND(CODES!$A$12,BN26)),CODES!$A$12,IF(OR(ISNUMBER(FIND(CODES!$A$10,BN26)),ISNUMBER(FIND(CODES!$A$11,BN26))),CODES!$A$13,IF(OR(BN26&lt;BN$39,ISNUMBER(BN26)=FALSE),BN$40,BN26))))</f>
      </c>
      <c r="BO53" s="7" t="str">
        <f>IF(ISBLANK(BO26),"NO DATA",IF(ISNUMBER(FIND(CODES!$A$12,BO26)),CODES!$A$12,IF(OR(ISNUMBER(FIND(CODES!$A$10,BO26)),ISNUMBER(FIND(CODES!$A$11,BO26))),CODES!$A$13,IF(OR(BO26&lt;BO$39,ISNUMBER(BO26)=FALSE),BO$40,BO26))))</f>
      </c>
      <c r="BP53" s="7" t="str">
        <f>IF(ISBLANK(BP26),"NO DATA",IF(ISNUMBER(FIND(CODES!$A$12,BP26)),CODES!$A$12,IF(OR(ISNUMBER(FIND(CODES!$A$10,BP26)),ISNUMBER(FIND(CODES!$A$11,BP26))),CODES!$A$13,IF(OR(BP26&lt;BP$39,ISNUMBER(BP26)=FALSE),BP$40,BP26))))</f>
      </c>
      <c r="BQ53" s="7" t="str">
        <f>IF(ISBLANK(BQ26),"NO DATA",IF(ISNUMBER(FIND(CODES!$A$12,BQ26)),CODES!$A$12,IF(OR(ISNUMBER(FIND(CODES!$A$10,BQ26)),ISNUMBER(FIND(CODES!$A$11,BQ26))),CODES!$A$13,IF(OR(BQ26&lt;BQ$39,ISNUMBER(BQ26)=FALSE),BQ$40,BQ26))))</f>
      </c>
      <c r="BR53" s="7" t="str">
        <f>IF(ISBLANK(BR26),"NO DATA",IF(ISNUMBER(FIND(CODES!$A$12,BR26)),CODES!$A$12,IF(OR(ISNUMBER(FIND(CODES!$A$10,BR26)),ISNUMBER(FIND(CODES!$A$11,BR26))),CODES!$A$13,IF(OR(BR26&lt;BR$39,ISNUMBER(BR26)=FALSE),BR$40,BR26))))</f>
      </c>
      <c r="BS53" s="7">
        <f>IF(ISBLANK(BS26),"NO DATA",IF(ISNUMBER(FIND(CODES!$A$12,BS26)),CODES!$A$12,IF(OR(ISNUMBER(FIND(CODES!$A$10,BS26)),ISNUMBER(FIND(CODES!$A$11,BS26))),CODES!$A$13,IF(OR(BS26&lt;BS$39,ISNUMBER(BS26)=FALSE),BS$40,BS26))))</f>
      </c>
      <c r="BT53" s="7">
        <f>IF(ISBLANK(BT26),"NO DATA",IF(ISNUMBER(FIND(CODES!$A$12,BT26)),CODES!$A$12,IF(OR(ISNUMBER(FIND(CODES!$A$10,BT26)),ISNUMBER(FIND(CODES!$A$11,BT26))),CODES!$A$13,IF(OR(BT26&lt;BT$39,ISNUMBER(BT26)=FALSE),BT$40,BT26))))</f>
      </c>
      <c r="BU53" s="7" t="str">
        <f>IF(ISBLANK(BU26),"NO DATA",IF(ISNUMBER(FIND(CODES!$A$12,BU26)),CODES!$A$12,IF(OR(ISNUMBER(FIND(CODES!$A$10,BU26)),ISNUMBER(FIND(CODES!$A$11,BU26))),CODES!$A$13,IF(OR(BU26&lt;BU$39,ISNUMBER(BU26)=FALSE),BU$40,BU26))))</f>
      </c>
      <c r="BV53" s="7" t="str">
        <f>IF(ISBLANK(BV26),"NO DATA",IF(ISNUMBER(FIND(CODES!$A$12,BV26)),CODES!$A$12,IF(OR(ISNUMBER(FIND(CODES!$A$10,BV26)),ISNUMBER(FIND(CODES!$A$11,BV26))),CODES!$A$13,IF(OR(BV26&lt;BV$39,ISNUMBER(BV26)=FALSE),BV$40,BV26))))</f>
      </c>
      <c r="BW53" s="7" t="str">
        <f>IF(ISBLANK(BW26),"NO DATA",IF(ISNUMBER(FIND(CODES!$A$12,BW26)),CODES!$A$12,IF(OR(ISNUMBER(FIND(CODES!$A$10,BW26)),ISNUMBER(FIND(CODES!$A$11,BW26))),CODES!$A$13,IF(OR(BW26&lt;BW$39,ISNUMBER(BW26)=FALSE),BW$40,BW26))))</f>
      </c>
      <c r="BX53" s="7" t="str">
        <f>IF(ISBLANK(BX26),"NO DATA",IF(ISNUMBER(FIND(CODES!$A$12,BX26)),CODES!$A$12,IF(OR(ISNUMBER(FIND(CODES!$A$10,BX26)),ISNUMBER(FIND(CODES!$A$11,BX26))),CODES!$A$13,IF(OR(BX26&lt;BX$39,ISNUMBER(BX26)=FALSE),BX$40,BX26))))</f>
      </c>
      <c r="BY53" s="7" t="str">
        <f>IF(ISBLANK(BY26),"NO DATA",IF(ISNUMBER(FIND(CODES!$A$12,BY26)),CODES!$A$12,IF(OR(ISNUMBER(FIND(CODES!$A$10,BY26)),ISNUMBER(FIND(CODES!$A$11,BY26))),CODES!$A$13,IF(OR(BY26&lt;BY$39,ISNUMBER(BY26)=FALSE),BY$40,BY26))))</f>
      </c>
      <c r="BZ53" s="7" t="str">
        <f>IF(ISBLANK(BZ26),"NO DATA",IF(ISNUMBER(FIND(CODES!$A$12,BZ26)),CODES!$A$12,IF(OR(ISNUMBER(FIND(CODES!$A$10,BZ26)),ISNUMBER(FIND(CODES!$A$11,BZ26))),CODES!$A$13,IF(OR(BZ26&lt;BZ$39,ISNUMBER(BZ26)=FALSE),BZ$40,BZ26))))</f>
      </c>
      <c r="CA53" s="7">
        <f>IF(ISBLANK(CA26),"NO DATA",IF(ISNUMBER(FIND(CODES!$A$12,CA26)),CODES!$A$12,IF(OR(ISNUMBER(FIND(CODES!$A$10,CA26)),ISNUMBER(FIND(CODES!$A$11,CA26))),CODES!$A$13,IF(OR(CA26&lt;CA$39,ISNUMBER(CA26)=FALSE),CA$40,CA26))))</f>
      </c>
      <c r="CB53" s="7">
        <f>IF(ISBLANK(CB26),"NO DATA",IF(ISNUMBER(FIND(CODES!$A$12,CB26)),CODES!$A$12,IF(OR(ISNUMBER(FIND(CODES!$A$10,CB26)),ISNUMBER(FIND(CODES!$A$11,CB26))),CODES!$A$13,IF(OR(CB26&lt;CB$39,ISNUMBER(CB26)=FALSE),CB$40,CB26))))</f>
      </c>
      <c r="CC53" s="7" t="str">
        <f>IF(ISBLANK(CC26),"NO DATA",IF(ISNUMBER(FIND(CODES!$A$12,CC26)),CODES!$A$12,IF(OR(ISNUMBER(FIND(CODES!$A$10,CC26)),ISNUMBER(FIND(CODES!$A$11,CC26))),CODES!$A$13,IF(OR(CC26&lt;CC$39,ISNUMBER(CC26)=FALSE),CC$40,CC26))))</f>
      </c>
      <c r="CD53" s="7" t="str">
        <f>IF(ISBLANK(CD26),"NO DATA",IF(ISNUMBER(FIND(CODES!$A$12,CD26)),CODES!$A$12,IF(OR(ISNUMBER(FIND(CODES!$A$10,CD26)),ISNUMBER(FIND(CODES!$A$11,CD26))),CODES!$A$13,IF(OR(CD26&lt;CD$39,ISNUMBER(CD26)=FALSE),CD$40,CD26))))</f>
      </c>
      <c r="CE53" s="7" t="str">
        <f>IF(ISBLANK(CE26),"NO DATA",IF(ISNUMBER(FIND(CODES!$A$12,CE26)),CODES!$A$12,IF(OR(ISNUMBER(FIND(CODES!$A$10,CE26)),ISNUMBER(FIND(CODES!$A$11,CE26))),CODES!$A$13,IF(OR(CE26&lt;CE$39,ISNUMBER(CE26)=FALSE),CE$40,CE26))))</f>
      </c>
      <c r="CF53" s="7" t="str">
        <f>IF(ISBLANK(CF26),"NO DATA",IF(ISNUMBER(FIND(CODES!$A$12,CF26)),CODES!$A$12,IF(OR(ISNUMBER(FIND(CODES!$A$10,CF26)),ISNUMBER(FIND(CODES!$A$11,CF26))),CODES!$A$13,IF(OR(CF26&lt;CF$39,ISNUMBER(CF26)=FALSE),CF$40,CF26))))</f>
      </c>
      <c r="CG53" s="7">
        <f>IF(ISBLANK(CG26),"NO DATA",IF(ISNUMBER(FIND(CODES!$A$12,CG26)),CODES!$A$12,IF(OR(ISNUMBER(FIND(CODES!$A$10,CG26)),ISNUMBER(FIND(CODES!$A$11,CG26))),CODES!$A$13,IF(OR(CG26&lt;CG$39,ISNUMBER(CG26)=FALSE),CG$40,CG26))))</f>
      </c>
      <c r="CH53" s="7">
        <f>IF(ISBLANK(CH26),"NO DATA",IF(ISNUMBER(FIND(CODES!$A$12,CH26)),CODES!$A$12,IF(OR(ISNUMBER(FIND(CODES!$A$10,CH26)),ISNUMBER(FIND(CODES!$A$11,CH26))),CODES!$A$13,IF(OR(CH26&lt;CH$39,ISNUMBER(CH26)=FALSE),CH$40,CH26))))</f>
      </c>
      <c r="CI53" s="7" t="str">
        <f>IF(ISBLANK(CI26),"NO DATA",IF(ISNUMBER(FIND(CODES!$A$12,CI26)),CODES!$A$12,IF(OR(ISNUMBER(FIND(CODES!$A$10,CI26)),ISNUMBER(FIND(CODES!$A$11,CI26))),CODES!$A$13,IF(OR(CI26&lt;CI$39,ISNUMBER(CI26)=FALSE),CI$40,CI26))))</f>
      </c>
      <c r="CJ53" s="7" t="str">
        <f>IF(ISBLANK(CJ26),"NO DATA",IF(ISNUMBER(FIND(CODES!$A$12,CJ26)),CODES!$A$12,IF(OR(ISNUMBER(FIND(CODES!$A$10,CJ26)),ISNUMBER(FIND(CODES!$A$11,CJ26))),CODES!$A$13,IF(OR(CJ26&lt;CJ$39,ISNUMBER(CJ26)=FALSE),CJ$40,CJ26))))</f>
      </c>
      <c r="CK53" s="7" t="str">
        <f>IF(ISBLANK(CK26),"NO DATA",IF(ISNUMBER(FIND(CODES!$A$12,CK26)),CODES!$A$12,IF(OR(ISNUMBER(FIND(CODES!$A$10,CK26)),ISNUMBER(FIND(CODES!$A$11,CK26))),CODES!$A$13,IF(OR(CK26&lt;CK$39,ISNUMBER(CK26)=FALSE),CK$40,CK26))))</f>
      </c>
      <c r="CL53" s="7" t="str">
        <f>IF(ISBLANK(CL26),"NO DATA",IF(ISNUMBER(FIND(CODES!$A$12,CL26)),CODES!$A$12,IF(OR(ISNUMBER(FIND(CODES!$A$10,CL26)),ISNUMBER(FIND(CODES!$A$11,CL26))),CODES!$A$13,IF(OR(CL26&lt;CL$39,ISNUMBER(CL26)=FALSE),CL$40,CL26))))</f>
      </c>
      <c r="CM53" s="7" t="str">
        <f>IF(ISBLANK(CM26),"NO DATA",IF(ISNUMBER(FIND(CODES!$A$12,CM26)),CODES!$A$12,IF(OR(ISNUMBER(FIND(CODES!$A$10,CM26)),ISNUMBER(FIND(CODES!$A$11,CM26))),CODES!$A$13,IF(OR(CM26&lt;CM$39,ISNUMBER(CM26)=FALSE),CM$40,CM26))))</f>
      </c>
      <c r="CN53" s="7" t="str">
        <f>IF(ISBLANK(CN26),"NO DATA",IF(ISNUMBER(FIND(CODES!$A$12,CN26)),CODES!$A$12,IF(OR(ISNUMBER(FIND(CODES!$A$10,CN26)),ISNUMBER(FIND(CODES!$A$11,CN26))),CODES!$A$13,IF(OR(CN26&lt;CN$39,ISNUMBER(CN26)=FALSE),CN$40,CN26))))</f>
      </c>
      <c r="CO53" s="7" t="str">
        <f>IF(ISBLANK(CO26),"NO DATA",IF(ISNUMBER(FIND(CODES!$A$12,CO26)),CODES!$A$12,IF(OR(ISNUMBER(FIND(CODES!$A$10,CO26)),ISNUMBER(FIND(CODES!$A$11,CO26))),CODES!$A$13,IF(OR(CO26&lt;CO$39,ISNUMBER(CO26)=FALSE),CO$40,CO26))))</f>
      </c>
      <c r="CP53" s="7" t="str">
        <f>IF(ISBLANK(CP26),"NO DATA",IF(ISNUMBER(FIND(CODES!$A$12,CP26)),CODES!$A$12,IF(OR(ISNUMBER(FIND(CODES!$A$10,CP26)),ISNUMBER(FIND(CODES!$A$11,CP26))),CODES!$A$13,IF(OR(CP26&lt;CP$39,ISNUMBER(CP26)=FALSE),CP$40,CP26))))</f>
      </c>
      <c r="CQ53" s="7" t="str">
        <f>IF(ISBLANK(CQ26),"NO DATA",IF(ISNUMBER(FIND(CODES!$A$12,CQ26)),CODES!$A$12,IF(OR(ISNUMBER(FIND(CODES!$A$10,CQ26)),ISNUMBER(FIND(CODES!$A$11,CQ26))),CODES!$A$13,IF(OR(CQ26&lt;CQ$39,ISNUMBER(CQ26)=FALSE),CQ$40,CQ26))))</f>
      </c>
      <c r="CR53" s="7" t="str">
        <f>IF(ISBLANK(CR26),"NO DATA",IF(ISNUMBER(FIND(CODES!$A$12,CR26)),CODES!$A$12,IF(OR(ISNUMBER(FIND(CODES!$A$10,CR26)),ISNUMBER(FIND(CODES!$A$11,CR26))),CODES!$A$13,IF(OR(CR26&lt;CR$39,ISNUMBER(CR26)=FALSE),CR$40,CR26))))</f>
      </c>
      <c r="CS53" s="7" t="str">
        <f>IF(ISBLANK(CS26),"NO DATA",IF(ISNUMBER(FIND(CODES!$A$12,CS26)),CODES!$A$12,IF(OR(ISNUMBER(FIND(CODES!$A$10,CS26)),ISNUMBER(FIND(CODES!$A$11,CS26))),CODES!$A$13,IF(OR(CS26&lt;CS$39,ISNUMBER(CS26)=FALSE),CS$40,CS26))))</f>
      </c>
      <c r="CT53" s="7" t="str">
        <f>IF(ISBLANK(CT26),"NO DATA",IF(ISNUMBER(FIND(CODES!$A$12,CT26)),CODES!$A$12,IF(OR(ISNUMBER(FIND(CODES!$A$10,CT26)),ISNUMBER(FIND(CODES!$A$11,CT26))),CODES!$A$13,IF(OR(CT26&lt;CT$39,ISNUMBER(CT26)=FALSE),CT$40,CT26))))</f>
      </c>
      <c r="CU53" s="7" t="str">
        <f>IF(ISBLANK(CU26),"NO DATA",IF(ISNUMBER(FIND(CODES!$A$12,CU26)),CODES!$A$12,IF(OR(ISNUMBER(FIND(CODES!$A$10,CU26)),ISNUMBER(FIND(CODES!$A$11,CU26))),CODES!$A$13,IF(OR(CU26&lt;CU$39,ISNUMBER(CU26)=FALSE),CU$40,CU26))))</f>
      </c>
      <c r="CV53" s="7" t="str">
        <f>IF(ISBLANK(CV26),"NO DATA",IF(ISNUMBER(FIND(CODES!$A$12,CV26)),CODES!$A$12,IF(OR(ISNUMBER(FIND(CODES!$A$10,CV26)),ISNUMBER(FIND(CODES!$A$11,CV26))),CODES!$A$13,IF(OR(CV26&lt;CV$39,ISNUMBER(CV26)=FALSE),CV$40,CV26))))</f>
      </c>
      <c r="CW53" s="7" t="str">
        <f>IF(ISBLANK(CW26),"NO DATA",IF(ISNUMBER(FIND(CODES!$A$12,CW26)),CODES!$A$12,IF(OR(ISNUMBER(FIND(CODES!$A$10,CW26)),ISNUMBER(FIND(CODES!$A$11,CW26))),CODES!$A$13,IF(OR(CW26&lt;CW$39,ISNUMBER(CW26)=FALSE),CW$40,CW26))))</f>
      </c>
      <c r="CX53" s="7" t="str">
        <f>IF(ISBLANK(CX26),"NO DATA",IF(ISNUMBER(FIND(CODES!$A$12,CX26)),CODES!$A$12,IF(OR(ISNUMBER(FIND(CODES!$A$10,CX26)),ISNUMBER(FIND(CODES!$A$11,CX26))),CODES!$A$13,IF(OR(CX26&lt;CX$39,ISNUMBER(CX26)=FALSE),CX$40,CX26))))</f>
      </c>
      <c r="CY53" s="7">
        <f>IF(ISBLANK(CY26),"NO DATA",IF(ISNUMBER(FIND(CODES!$A$12,CY26)),CODES!$A$12,IF(OR(ISNUMBER(FIND(CODES!$A$10,CY26)),ISNUMBER(FIND(CODES!$A$11,CY26))),CODES!$A$13,IF(OR(CY26&lt;CY$39,ISNUMBER(CY26)=FALSE),CY$40,CY26))))</f>
      </c>
      <c r="CZ53" s="7" t="str">
        <f>IF(ISBLANK(CZ26),"NO DATA",IF(ISNUMBER(FIND(CODES!$A$12,CZ26)),CODES!$A$12,IF(OR(ISNUMBER(FIND(CODES!$A$10,CZ26)),ISNUMBER(FIND(CODES!$A$11,CZ26))),CODES!$A$13,IF(OR(CZ26&lt;CZ$39,ISNUMBER(CZ26)=FALSE),CZ$40,CZ26))))</f>
      </c>
      <c r="DA53" s="7" t="str">
        <f>IF(ISBLANK(DA26),"NO DATA",IF(ISNUMBER(FIND(CODES!$A$12,DA26)),CODES!$A$12,IF(OR(ISNUMBER(FIND(CODES!$A$10,DA26)),ISNUMBER(FIND(CODES!$A$11,DA26))),CODES!$A$13,IF(OR(DA26&lt;DA$39,ISNUMBER(DA26)=FALSE),DA$40,DA26))))</f>
      </c>
      <c r="DB53" s="7" t="str">
        <f>IF(ISBLANK(DB26),"NO DATA",IF(ISNUMBER(FIND(CODES!$A$12,DB26)),CODES!$A$12,IF(OR(ISNUMBER(FIND(CODES!$A$10,DB26)),ISNUMBER(FIND(CODES!$A$11,DB26))),CODES!$A$13,IF(OR(DB26&lt;DB$39,ISNUMBER(DB26)=FALSE),DB$40,DB26))))</f>
      </c>
      <c r="DC53" s="7" t="str">
        <f>IF(ISBLANK(DC26),"NO DATA",IF(ISNUMBER(FIND(CODES!$A$12,DC26)),CODES!$A$12,IF(OR(ISNUMBER(FIND(CODES!$A$10,DC26)),ISNUMBER(FIND(CODES!$A$11,DC26))),CODES!$A$13,IF(OR(DC26&lt;DC$39,ISNUMBER(DC26)=FALSE),DC$40,DC26))))</f>
      </c>
      <c r="DD53" s="7" t="str">
        <f>IF(ISBLANK(DD26),"NO DATA",IF(ISNUMBER(FIND(CODES!$A$12,DD26)),CODES!$A$12,IF(OR(ISNUMBER(FIND(CODES!$A$10,DD26)),ISNUMBER(FIND(CODES!$A$11,DD26))),CODES!$A$13,IF(OR(DD26&lt;DD$39,ISNUMBER(DD26)=FALSE),DD$40,DD26))))</f>
      </c>
      <c r="DE53" s="7" t="str">
        <f>IF(ISBLANK(DE26),"NO DATA",IF(ISNUMBER(FIND(CODES!$A$12,DE26)),CODES!$A$12,IF(OR(ISNUMBER(FIND(CODES!$A$10,DE26)),ISNUMBER(FIND(CODES!$A$11,DE26))),CODES!$A$13,IF(OR(DE26&lt;DE$39,ISNUMBER(DE26)=FALSE),DE$40,DE26))))</f>
      </c>
      <c r="DF53" s="7" t="str">
        <f>IF(ISBLANK(DF26),"NO DATA",IF(ISNUMBER(FIND(CODES!$A$12,DF26)),CODES!$A$12,IF(OR(ISNUMBER(FIND(CODES!$A$10,DF26)),ISNUMBER(FIND(CODES!$A$11,DF26))),CODES!$A$13,IF(OR(DF26&lt;DF$39,ISNUMBER(DF26)=FALSE),DF$40,DF26))))</f>
      </c>
      <c r="DG53" s="7" t="str">
        <f>IF(ISBLANK(DG26),"NO DATA",IF(ISNUMBER(FIND(CODES!$A$12,DG26)),CODES!$A$12,IF(OR(ISNUMBER(FIND(CODES!$A$10,DG26)),ISNUMBER(FIND(CODES!$A$11,DG26))),CODES!$A$13,IF(OR(DG26&lt;DG$39,ISNUMBER(DG26)=FALSE),DG$40,DG26))))</f>
      </c>
      <c r="DH53" s="7" t="str">
        <f>IF(ISBLANK(DH26),"NO DATA",IF(ISNUMBER(FIND(CODES!$A$12,DH26)),CODES!$A$12,IF(OR(ISNUMBER(FIND(CODES!$A$10,DH26)),ISNUMBER(FIND(CODES!$A$11,DH26))),CODES!$A$13,IF(OR(DH26&lt;DH$39,ISNUMBER(DH26)=FALSE),DH$40,DH26))))</f>
      </c>
      <c r="DI53" s="7" t="str">
        <f>IF(ISBLANK(DI26),"NO DATA",IF(ISNUMBER(FIND(CODES!$A$12,DI26)),CODES!$A$12,IF(OR(ISNUMBER(FIND(CODES!$A$10,DI26)),ISNUMBER(FIND(CODES!$A$11,DI26))),CODES!$A$13,IF(OR(DI26&lt;DI$39,ISNUMBER(DI26)=FALSE),DI$40,DI26))))</f>
      </c>
    </row>
    <row r="54" spans="1:113" x14ac:dyDescent="0.25">
      <c r="A54" s="16" t="str">
        <f t="shared" si="8"/>
      </c>
      <c r="B54" s="16" t="str">
        <f t="shared" si="8"/>
      </c>
      <c r="C54" s="7">
        <f>IF(ISBLANK(C27),"NO DATA",IF(ISNUMBER(FIND(CODES!$A$12,C27)),CODES!$A$12,IF(OR(ISNUMBER(FIND(CODES!$A$10,C27)),ISNUMBER(FIND(CODES!$A$11,C27))),CODES!$A$13,IF(OR(C27&lt;C$39,ISNUMBER(C27)=FALSE),C$40,C27))))</f>
      </c>
      <c r="D54" s="7">
        <f>IF(ISBLANK(D27),"NO DATA",IF(ISNUMBER(FIND(CODES!$A$12,D27)),CODES!$A$12,IF(OR(ISNUMBER(FIND(CODES!$A$10,D27)),ISNUMBER(FIND(CODES!$A$11,D27))),CODES!$A$13,IF(OR(D27&lt;D$39,ISNUMBER(D27)=FALSE),D$40,D27))))</f>
      </c>
      <c r="E54" s="7">
        <f>IF(ISBLANK(E27),"NO DATA",IF(ISNUMBER(FIND(CODES!$A$12,E27)),CODES!$A$12,IF(OR(ISNUMBER(FIND(CODES!$A$10,E27)),ISNUMBER(FIND(CODES!$A$11,E27))),CODES!$A$13,IF(OR(E27&lt;E$39,ISNUMBER(E27)=FALSE),E$40,E27))))</f>
      </c>
      <c r="F54" s="7">
        <f>IF(ISBLANK(F27),"NO DATA",IF(ISNUMBER(FIND(CODES!$A$12,F27)),CODES!$A$12,IF(OR(ISNUMBER(FIND(CODES!$A$10,F27)),ISNUMBER(FIND(CODES!$A$11,F27))),CODES!$A$13,IF(OR(F27&lt;F$39,ISNUMBER(F27)=FALSE),F$40,F27))))</f>
      </c>
      <c r="G54" s="7">
        <f>IF(ISBLANK(G27),"NO DATA",IF(ISNUMBER(FIND(CODES!$A$12,G27)),CODES!$A$12,IF(OR(ISNUMBER(FIND(CODES!$A$10,G27)),ISNUMBER(FIND(CODES!$A$11,G27))),CODES!$A$13,IF(OR(G27&lt;G$39,ISNUMBER(G27)=FALSE),G$40,G27))))</f>
      </c>
      <c r="H54" s="7">
        <f>IF(ISBLANK(H27),"NO DATA",IF(ISNUMBER(FIND(CODES!$A$12,H27)),CODES!$A$12,IF(OR(ISNUMBER(FIND(CODES!$A$10,H27)),ISNUMBER(FIND(CODES!$A$11,H27))),CODES!$A$13,IF(OR(H27&lt;H$39,ISNUMBER(H27)=FALSE),H$40,H27))))</f>
      </c>
      <c r="I54" s="7">
        <f>IF(ISBLANK(I27),"NO DATA",IF(ISNUMBER(FIND(CODES!$A$12,I27)),CODES!$A$12,IF(OR(ISNUMBER(FIND(CODES!$A$10,I27)),ISNUMBER(FIND(CODES!$A$11,I27))),CODES!$A$13,IF(OR(I27&lt;I$39,ISNUMBER(I27)=FALSE),I$40,I27))))</f>
      </c>
      <c r="J54" s="7">
        <f>IF(ISBLANK(J27),"NO DATA",IF(ISNUMBER(FIND(CODES!$A$12,J27)),CODES!$A$12,IF(OR(ISNUMBER(FIND(CODES!$A$10,J27)),ISNUMBER(FIND(CODES!$A$11,J27))),CODES!$A$13,IF(OR(J27&lt;J$39,ISNUMBER(J27)=FALSE),J$40,J27))))</f>
      </c>
      <c r="K54" s="7">
        <f>IF(ISBLANK(K27),"NO DATA",IF(ISNUMBER(FIND(CODES!$A$12,K27)),CODES!$A$12,IF(OR(ISNUMBER(FIND(CODES!$A$10,K27)),ISNUMBER(FIND(CODES!$A$11,K27))),CODES!$A$13,IF(OR(K27&lt;K$39,ISNUMBER(K27)=FALSE),K$40,K27))))</f>
      </c>
      <c r="L54" s="7">
        <f>IF(ISBLANK(L27),"NO DATA",IF(ISNUMBER(FIND(CODES!$A$12,L27)),CODES!$A$12,IF(OR(ISNUMBER(FIND(CODES!$A$10,L27)),ISNUMBER(FIND(CODES!$A$11,L27))),CODES!$A$13,IF(OR(L27&lt;L$39,ISNUMBER(L27)=FALSE),L$40,L27))))</f>
      </c>
      <c r="M54" s="7">
        <f>IF(ISBLANK(M27),"NO DATA",IF(ISNUMBER(FIND(CODES!$A$12,M27)),CODES!$A$12,IF(OR(ISNUMBER(FIND(CODES!$A$10,M27)),ISNUMBER(FIND(CODES!$A$11,M27))),CODES!$A$13,IF(OR(M27&lt;M$39,ISNUMBER(M27)=FALSE),M$40,M27))))</f>
      </c>
      <c r="N54" s="7" t="str">
        <f>IF(ISBLANK(N27),"NO DATA",IF(ISNUMBER(FIND(CODES!$A$12,N27)),CODES!$A$12,IF(OR(ISNUMBER(FIND(CODES!$A$10,N27)),ISNUMBER(FIND(CODES!$A$11,N27))),CODES!$A$13,IF(OR(N27&lt;N$39,ISNUMBER(N27)=FALSE),N$40,N27))))</f>
      </c>
      <c r="O54" s="7" t="str">
        <f>IF(ISBLANK(O27),"NO DATA",IF(ISNUMBER(FIND(CODES!$A$12,O27)),CODES!$A$12,IF(OR(ISNUMBER(FIND(CODES!$A$10,O27)),ISNUMBER(FIND(CODES!$A$11,O27))),CODES!$A$13,IF(OR(O27&lt;O$39,ISNUMBER(O27)=FALSE),O$40,O27))))</f>
      </c>
      <c r="P54" s="7">
        <f>IF(ISBLANK(P27),"NO DATA",IF(ISNUMBER(FIND(CODES!$A$12,P27)),CODES!$A$12,IF(OR(ISNUMBER(FIND(CODES!$A$10,P27)),ISNUMBER(FIND(CODES!$A$11,P27))),CODES!$A$13,IF(OR(P27&lt;P$39,ISNUMBER(P27)=FALSE),P$40,P27))))</f>
      </c>
      <c r="Q54" s="7">
        <f>IF(ISBLANK(Q27),"NO DATA",IF(ISNUMBER(FIND(CODES!$A$12,Q27)),CODES!$A$12,IF(OR(ISNUMBER(FIND(CODES!$A$10,Q27)),ISNUMBER(FIND(CODES!$A$11,Q27))),CODES!$A$13,IF(OR(Q27&lt;Q$39,ISNUMBER(Q27)=FALSE),Q$40,Q27))))</f>
      </c>
      <c r="R54" s="7">
        <f>IF(ISBLANK(R27),"NO DATA",IF(ISNUMBER(FIND(CODES!$A$12,R27)),CODES!$A$12,IF(OR(ISNUMBER(FIND(CODES!$A$10,R27)),ISNUMBER(FIND(CODES!$A$11,R27))),CODES!$A$13,IF(OR(R27&lt;R$39,ISNUMBER(R27)=FALSE),R$40,R27))))</f>
      </c>
      <c r="S54" s="7">
        <f>IF(ISBLANK(S27),"NO DATA",IF(ISNUMBER(FIND(CODES!$A$12,S27)),CODES!$A$12,IF(OR(ISNUMBER(FIND(CODES!$A$10,S27)),ISNUMBER(FIND(CODES!$A$11,S27))),CODES!$A$13,IF(OR(S27&lt;S$39,ISNUMBER(S27)=FALSE),S$40,S27))))</f>
      </c>
      <c r="T54" s="7">
        <f>IF(ISBLANK(T27),"NO DATA",IF(ISNUMBER(FIND(CODES!$A$12,T27)),CODES!$A$12,IF(OR(ISNUMBER(FIND(CODES!$A$10,T27)),ISNUMBER(FIND(CODES!$A$11,T27))),CODES!$A$13,IF(OR(T27&lt;T$39,ISNUMBER(T27)=FALSE),T$40,T27))))</f>
      </c>
      <c r="U54" s="7">
        <f>IF(ISBLANK(U27),"NO DATA",IF(ISNUMBER(FIND(CODES!$A$12,U27)),CODES!$A$12,IF(OR(ISNUMBER(FIND(CODES!$A$10,U27)),ISNUMBER(FIND(CODES!$A$11,U27))),CODES!$A$13,IF(OR(U27&lt;U$39,ISNUMBER(U27)=FALSE),U$40,U27))))</f>
      </c>
      <c r="V54" s="7">
        <f>IF(ISBLANK(V27),"NO DATA",IF(ISNUMBER(FIND(CODES!$A$12,V27)),CODES!$A$12,IF(OR(ISNUMBER(FIND(CODES!$A$10,V27)),ISNUMBER(FIND(CODES!$A$11,V27))),CODES!$A$13,IF(OR(V27&lt;V$39,ISNUMBER(V27)=FALSE),V$40,V27))))</f>
      </c>
      <c r="W54" s="7">
        <f>IF(ISBLANK(W27),"NO DATA",IF(ISNUMBER(FIND(CODES!$A$12,W27)),CODES!$A$12,IF(OR(ISNUMBER(FIND(CODES!$A$10,W27)),ISNUMBER(FIND(CODES!$A$11,W27))),CODES!$A$13,IF(OR(W27&lt;W$39,ISNUMBER(W27)=FALSE),W$40,W27))))</f>
      </c>
      <c r="X54" s="7">
        <f>IF(ISBLANK(X27),"NO DATA",IF(ISNUMBER(FIND(CODES!$A$12,X27)),CODES!$A$12,IF(OR(ISNUMBER(FIND(CODES!$A$10,X27)),ISNUMBER(FIND(CODES!$A$11,X27))),CODES!$A$13,IF(OR(X27&lt;X$39,ISNUMBER(X27)=FALSE),X$40,X27))))</f>
      </c>
      <c r="Y54" s="7">
        <f>IF(ISBLANK(Y27),"NO DATA",IF(ISNUMBER(FIND(CODES!$A$12,Y27)),CODES!$A$12,IF(OR(ISNUMBER(FIND(CODES!$A$10,Y27)),ISNUMBER(FIND(CODES!$A$11,Y27))),CODES!$A$13,IF(OR(Y27&lt;Y$39,ISNUMBER(Y27)=FALSE),Y$40,Y27))))</f>
      </c>
      <c r="Z54" s="7">
        <f>IF(ISBLANK(Z27),"NO DATA",IF(ISNUMBER(FIND(CODES!$A$12,Z27)),CODES!$A$12,IF(OR(ISNUMBER(FIND(CODES!$A$10,Z27)),ISNUMBER(FIND(CODES!$A$11,Z27))),CODES!$A$13,IF(OR(Z27&lt;Z$39,ISNUMBER(Z27)=FALSE),Z$40,Z27))))</f>
      </c>
      <c r="AA54" s="7">
        <f>IF(ISBLANK(AA27),"NO DATA",IF(ISNUMBER(FIND(CODES!$A$12,AA27)),CODES!$A$12,IF(OR(ISNUMBER(FIND(CODES!$A$10,AA27)),ISNUMBER(FIND(CODES!$A$11,AA27))),CODES!$A$13,IF(OR(AA27&lt;AA$39,ISNUMBER(AA27)=FALSE),AA$40,AA27))))</f>
      </c>
      <c r="AB54" s="7">
        <f>IF(ISBLANK(AB27),"NO DATA",IF(ISNUMBER(FIND(CODES!$A$12,AB27)),CODES!$A$12,IF(OR(ISNUMBER(FIND(CODES!$A$10,AB27)),ISNUMBER(FIND(CODES!$A$11,AB27))),CODES!$A$13,IF(OR(AB27&lt;AB$39,ISNUMBER(AB27)=FALSE),AB$40,AB27))))</f>
      </c>
      <c r="AC54" s="7">
        <f>IF(ISBLANK(AC27),"NO DATA",IF(ISNUMBER(FIND(CODES!$A$12,AC27)),CODES!$A$12,IF(OR(ISNUMBER(FIND(CODES!$A$10,AC27)),ISNUMBER(FIND(CODES!$A$11,AC27))),CODES!$A$13,IF(OR(AC27&lt;AC$39,ISNUMBER(AC27)=FALSE),AC$40,AC27))))</f>
      </c>
      <c r="AD54" s="7">
        <f>IF(ISBLANK(AD27),"NO DATA",IF(ISNUMBER(FIND(CODES!$A$12,AD27)),CODES!$A$12,IF(OR(ISNUMBER(FIND(CODES!$A$10,AD27)),ISNUMBER(FIND(CODES!$A$11,AD27))),CODES!$A$13,IF(OR(AD27&lt;AD$39,ISNUMBER(AD27)=FALSE),AD$40,AD27))))</f>
      </c>
      <c r="AE54" s="7">
        <f>IF(ISBLANK(AE27),"NO DATA",IF(ISNUMBER(FIND(CODES!$A$12,AE27)),CODES!$A$12,IF(OR(ISNUMBER(FIND(CODES!$A$10,AE27)),ISNUMBER(FIND(CODES!$A$11,AE27))),CODES!$A$13,IF(OR(AE27&lt;AE$39,ISNUMBER(AE27)=FALSE),AE$40,AE27))))</f>
      </c>
      <c r="AF54" s="7">
        <f>IF(ISBLANK(AF27),"NO DATA",IF(ISNUMBER(FIND(CODES!$A$12,AF27)),CODES!$A$12,IF(OR(ISNUMBER(FIND(CODES!$A$10,AF27)),ISNUMBER(FIND(CODES!$A$11,AF27))),CODES!$A$13,IF(OR(AF27&lt;AF$39,ISNUMBER(AF27)=FALSE),AF$40,AF27))))</f>
      </c>
      <c r="AG54" s="7">
        <f>IF(ISBLANK(AG27),"NO DATA",IF(ISNUMBER(FIND(CODES!$A$12,AG27)),CODES!$A$12,IF(OR(ISNUMBER(FIND(CODES!$A$10,AG27)),ISNUMBER(FIND(CODES!$A$11,AG27))),CODES!$A$13,IF(OR(AG27&lt;AG$39,ISNUMBER(AG27)=FALSE),AG$40,AG27))))</f>
      </c>
      <c r="AH54" s="7">
        <f>IF(ISBLANK(AH27),"NO DATA",IF(ISNUMBER(FIND(CODES!$A$12,AH27)),CODES!$A$12,IF(OR(ISNUMBER(FIND(CODES!$A$10,AH27)),ISNUMBER(FIND(CODES!$A$11,AH27))),CODES!$A$13,IF(OR(AH27&lt;AH$39,ISNUMBER(AH27)=FALSE),AH$40,AH27))))</f>
      </c>
      <c r="AI54" s="7">
        <f>IF(ISBLANK(AI27),"NO DATA",IF(ISNUMBER(FIND(CODES!$A$12,AI27)),CODES!$A$12,IF(OR(ISNUMBER(FIND(CODES!$A$10,AI27)),ISNUMBER(FIND(CODES!$A$11,AI27))),CODES!$A$13,IF(OR(AI27&lt;AI$39,ISNUMBER(AI27)=FALSE),AI$40,AI27))))</f>
      </c>
      <c r="AJ54" s="7">
        <f>IF(ISBLANK(AJ27),"NO DATA",IF(ISNUMBER(FIND(CODES!$A$12,AJ27)),CODES!$A$12,IF(OR(ISNUMBER(FIND(CODES!$A$10,AJ27)),ISNUMBER(FIND(CODES!$A$11,AJ27))),CODES!$A$13,IF(OR(AJ27&lt;AJ$39,ISNUMBER(AJ27)=FALSE),AJ$40,AJ27))))</f>
      </c>
      <c r="AK54" s="7">
        <f>IF(ISBLANK(AK27),"NO DATA",IF(ISNUMBER(FIND(CODES!$A$12,AK27)),CODES!$A$12,IF(OR(ISNUMBER(FIND(CODES!$A$10,AK27)),ISNUMBER(FIND(CODES!$A$11,AK27))),CODES!$A$13,IF(OR(AK27&lt;AK$39,ISNUMBER(AK27)=FALSE),AK$40,AK27))))</f>
      </c>
      <c r="AL54" s="7">
        <f>IF(ISBLANK(AL27),"NO DATA",IF(ISNUMBER(FIND(CODES!$A$12,AL27)),CODES!$A$12,IF(OR(ISNUMBER(FIND(CODES!$A$10,AL27)),ISNUMBER(FIND(CODES!$A$11,AL27))),CODES!$A$13,IF(OR(AL27&lt;AL$39,ISNUMBER(AL27)=FALSE),AL$40,AL27))))</f>
      </c>
      <c r="AM54" s="7">
        <f>IF(ISBLANK(AM27),"NO DATA",IF(ISNUMBER(FIND(CODES!$A$12,AM27)),CODES!$A$12,IF(OR(ISNUMBER(FIND(CODES!$A$10,AM27)),ISNUMBER(FIND(CODES!$A$11,AM27))),CODES!$A$13,IF(OR(AM27&lt;AM$39,ISNUMBER(AM27)=FALSE),AM$40,AM27))))</f>
      </c>
      <c r="AN54" s="7">
        <f>IF(ISBLANK(AN27),"NO DATA",IF(ISNUMBER(FIND(CODES!$A$12,AN27)),CODES!$A$12,IF(OR(ISNUMBER(FIND(CODES!$A$10,AN27)),ISNUMBER(FIND(CODES!$A$11,AN27))),CODES!$A$13,IF(OR(AN27&lt;AN$39,ISNUMBER(AN27)=FALSE),AN$40,AN27))))</f>
      </c>
      <c r="AO54" s="7">
        <f>IF(ISBLANK(AO27),"NO DATA",IF(ISNUMBER(FIND(CODES!$A$12,AO27)),CODES!$A$12,IF(OR(ISNUMBER(FIND(CODES!$A$10,AO27)),ISNUMBER(FIND(CODES!$A$11,AO27))),CODES!$A$13,IF(OR(AO27&lt;AO$39,ISNUMBER(AO27)=FALSE),AO$40,AO27))))</f>
      </c>
      <c r="AP54" s="7">
        <f>IF(ISBLANK(AP27),"NO DATA",IF(ISNUMBER(FIND(CODES!$A$12,AP27)),CODES!$A$12,IF(OR(ISNUMBER(FIND(CODES!$A$10,AP27)),ISNUMBER(FIND(CODES!$A$11,AP27))),CODES!$A$13,IF(OR(AP27&lt;AP$39,ISNUMBER(AP27)=FALSE),AP$40,AP27))))</f>
      </c>
      <c r="AQ54" s="7">
        <f>IF(ISBLANK(AQ27),"NO DATA",IF(ISNUMBER(FIND(CODES!$A$12,AQ27)),CODES!$A$12,IF(OR(ISNUMBER(FIND(CODES!$A$10,AQ27)),ISNUMBER(FIND(CODES!$A$11,AQ27))),CODES!$A$13,IF(OR(AQ27&lt;AQ$39,ISNUMBER(AQ27)=FALSE),AQ$40,AQ27))))</f>
      </c>
      <c r="AR54" s="7">
        <f>IF(ISBLANK(AR27),"NO DATA",IF(ISNUMBER(FIND(CODES!$A$12,AR27)),CODES!$A$12,IF(OR(ISNUMBER(FIND(CODES!$A$10,AR27)),ISNUMBER(FIND(CODES!$A$11,AR27))),CODES!$A$13,IF(OR(AR27&lt;AR$39,ISNUMBER(AR27)=FALSE),AR$40,AR27))))</f>
      </c>
      <c r="AS54" s="7">
        <f>IF(ISBLANK(AS27),"NO DATA",IF(ISNUMBER(FIND(CODES!$A$12,AS27)),CODES!$A$12,IF(OR(ISNUMBER(FIND(CODES!$A$10,AS27)),ISNUMBER(FIND(CODES!$A$11,AS27))),CODES!$A$13,IF(OR(AS27&lt;AS$39,ISNUMBER(AS27)=FALSE),AS$40,AS27))))</f>
      </c>
      <c r="AT54" s="7">
        <f>IF(ISBLANK(AT27),"NO DATA",IF(ISNUMBER(FIND(CODES!$A$12,AT27)),CODES!$A$12,IF(OR(ISNUMBER(FIND(CODES!$A$10,AT27)),ISNUMBER(FIND(CODES!$A$11,AT27))),CODES!$A$13,IF(OR(AT27&lt;AT$39,ISNUMBER(AT27)=FALSE),AT$40,AT27))))</f>
      </c>
      <c r="AU54" s="7">
        <f>IF(ISBLANK(AU27),"NO DATA",IF(ISNUMBER(FIND(CODES!$A$12,AU27)),CODES!$A$12,IF(OR(ISNUMBER(FIND(CODES!$A$10,AU27)),ISNUMBER(FIND(CODES!$A$11,AU27))),CODES!$A$13,IF(OR(AU27&lt;AU$39,ISNUMBER(AU27)=FALSE),AU$40,AU27))))</f>
      </c>
      <c r="AV54" s="7" t="str">
        <f>IF(ISBLANK(AV27),"NO DATA",IF(ISNUMBER(FIND(CODES!$A$12,AV27)),CODES!$A$12,IF(OR(ISNUMBER(FIND(CODES!$A$10,AV27)),ISNUMBER(FIND(CODES!$A$11,AV27))),CODES!$A$13,IF(OR(AV27&lt;AV$39,ISNUMBER(AV27)=FALSE),AV$40,AV27))))</f>
      </c>
      <c r="AW54" s="7" t="str">
        <f>IF(ISBLANK(AW27),"NO DATA",IF(ISNUMBER(FIND(CODES!$A$12,AW27)),CODES!$A$12,IF(OR(ISNUMBER(FIND(CODES!$A$10,AW27)),ISNUMBER(FIND(CODES!$A$11,AW27))),CODES!$A$13,IF(OR(AW27&lt;AW$39,ISNUMBER(AW27)=FALSE),AW$40,AW27))))</f>
      </c>
      <c r="AX54" s="7">
        <f>IF(ISBLANK(AX27),"NO DATA",IF(ISNUMBER(FIND(CODES!$A$12,AX27)),CODES!$A$12,IF(OR(ISNUMBER(FIND(CODES!$A$10,AX27)),ISNUMBER(FIND(CODES!$A$11,AX27))),CODES!$A$13,IF(OR(AX27&lt;AX$39,ISNUMBER(AX27)=FALSE),AX$40,AX27))))</f>
      </c>
      <c r="AY54" s="7">
        <f>IF(ISBLANK(AY27),"NO DATA",IF(ISNUMBER(FIND(CODES!$A$12,AY27)),CODES!$A$12,IF(OR(ISNUMBER(FIND(CODES!$A$10,AY27)),ISNUMBER(FIND(CODES!$A$11,AY27))),CODES!$A$13,IF(OR(AY27&lt;AY$39,ISNUMBER(AY27)=FALSE),AY$40,AY27))))</f>
      </c>
      <c r="AZ54" s="7">
        <f>IF(ISBLANK(AZ27),"NO DATA",IF(ISNUMBER(FIND(CODES!$A$12,AZ27)),CODES!$A$12,IF(OR(ISNUMBER(FIND(CODES!$A$10,AZ27)),ISNUMBER(FIND(CODES!$A$11,AZ27))),CODES!$A$13,IF(OR(AZ27&lt;AZ$39,ISNUMBER(AZ27)=FALSE),AZ$40,AZ27))))</f>
      </c>
      <c r="BA54" s="7">
        <f>IF(ISBLANK(BA27),"NO DATA",IF(ISNUMBER(FIND(CODES!$A$12,BA27)),CODES!$A$12,IF(OR(ISNUMBER(FIND(CODES!$A$10,BA27)),ISNUMBER(FIND(CODES!$A$11,BA27))),CODES!$A$13,IF(OR(BA27&lt;BA$39,ISNUMBER(BA27)=FALSE),BA$40,BA27))))</f>
      </c>
      <c r="BB54" s="7">
        <f>IF(ISBLANK(BB27),"NO DATA",IF(ISNUMBER(FIND(CODES!$A$12,BB27)),CODES!$A$12,IF(OR(ISNUMBER(FIND(CODES!$A$10,BB27)),ISNUMBER(FIND(CODES!$A$11,BB27))),CODES!$A$13,IF(OR(BB27&lt;BB$39,ISNUMBER(BB27)=FALSE),BB$40,BB27))))</f>
      </c>
      <c r="BC54" s="7">
        <f>IF(ISBLANK(BC27),"NO DATA",IF(ISNUMBER(FIND(CODES!$A$12,BC27)),CODES!$A$12,IF(OR(ISNUMBER(FIND(CODES!$A$10,BC27)),ISNUMBER(FIND(CODES!$A$11,BC27))),CODES!$A$13,IF(OR(BC27&lt;BC$39,ISNUMBER(BC27)=FALSE),BC$40,BC27))))</f>
      </c>
      <c r="BD54" s="7">
        <f>IF(ISBLANK(BD27),"NO DATA",IF(ISNUMBER(FIND(CODES!$A$12,BD27)),CODES!$A$12,IF(OR(ISNUMBER(FIND(CODES!$A$10,BD27)),ISNUMBER(FIND(CODES!$A$11,BD27))),CODES!$A$13,IF(OR(BD27&lt;BD$39,ISNUMBER(BD27)=FALSE),BD$40,BD27))))</f>
      </c>
      <c r="BE54" s="7">
        <f>IF(ISBLANK(BE27),"NO DATA",IF(ISNUMBER(FIND(CODES!$A$12,BE27)),CODES!$A$12,IF(OR(ISNUMBER(FIND(CODES!$A$10,BE27)),ISNUMBER(FIND(CODES!$A$11,BE27))),CODES!$A$13,IF(OR(BE27&lt;BE$39,ISNUMBER(BE27)=FALSE),BE$40,BE27))))</f>
      </c>
      <c r="BF54" s="7">
        <f>IF(ISBLANK(BF27),"NO DATA",IF(ISNUMBER(FIND(CODES!$A$12,BF27)),CODES!$A$12,IF(OR(ISNUMBER(FIND(CODES!$A$10,BF27)),ISNUMBER(FIND(CODES!$A$11,BF27))),CODES!$A$13,IF(OR(BF27&lt;BF$39,ISNUMBER(BF27)=FALSE),BF$40,BF27))))</f>
      </c>
      <c r="BG54" s="7">
        <f>IF(ISBLANK(BG27),"NO DATA",IF(ISNUMBER(FIND(CODES!$A$12,BG27)),CODES!$A$12,IF(OR(ISNUMBER(FIND(CODES!$A$10,BG27)),ISNUMBER(FIND(CODES!$A$11,BG27))),CODES!$A$13,IF(OR(BG27&lt;BG$39,ISNUMBER(BG27)=FALSE),BG$40,BG27))))</f>
      </c>
      <c r="BH54" s="7">
        <f>IF(ISBLANK(BH27),"NO DATA",IF(ISNUMBER(FIND(CODES!$A$12,BH27)),CODES!$A$12,IF(OR(ISNUMBER(FIND(CODES!$A$10,BH27)),ISNUMBER(FIND(CODES!$A$11,BH27))),CODES!$A$13,IF(OR(BH27&lt;BH$39,ISNUMBER(BH27)=FALSE),BH$40,BH27))))</f>
      </c>
      <c r="BI54" s="7">
        <f>IF(ISBLANK(BI27),"NO DATA",IF(ISNUMBER(FIND(CODES!$A$12,BI27)),CODES!$A$12,IF(OR(ISNUMBER(FIND(CODES!$A$10,BI27)),ISNUMBER(FIND(CODES!$A$11,BI27))),CODES!$A$13,IF(OR(BI27&lt;BI$39,ISNUMBER(BI27)=FALSE),BI$40,BI27))))</f>
      </c>
      <c r="BJ54" s="7">
        <f>IF(ISBLANK(BJ27),"NO DATA",IF(ISNUMBER(FIND(CODES!$A$12,BJ27)),CODES!$A$12,IF(OR(ISNUMBER(FIND(CODES!$A$10,BJ27)),ISNUMBER(FIND(CODES!$A$11,BJ27))),CODES!$A$13,IF(OR(BJ27&lt;BJ$39,ISNUMBER(BJ27)=FALSE),BJ$40,BJ27))))</f>
      </c>
      <c r="BK54" s="7">
        <f>IF(ISBLANK(BK27),"NO DATA",IF(ISNUMBER(FIND(CODES!$A$12,BK27)),CODES!$A$12,IF(OR(ISNUMBER(FIND(CODES!$A$10,BK27)),ISNUMBER(FIND(CODES!$A$11,BK27))),CODES!$A$13,IF(OR(BK27&lt;BK$39,ISNUMBER(BK27)=FALSE),BK$40,BK27))))</f>
      </c>
      <c r="BL54" s="7">
        <f>IF(ISBLANK(BL27),"NO DATA",IF(ISNUMBER(FIND(CODES!$A$12,BL27)),CODES!$A$12,IF(OR(ISNUMBER(FIND(CODES!$A$10,BL27)),ISNUMBER(FIND(CODES!$A$11,BL27))),CODES!$A$13,IF(OR(BL27&lt;BL$39,ISNUMBER(BL27)=FALSE),BL$40,BL27))))</f>
      </c>
      <c r="BM54" s="7">
        <f>IF(ISBLANK(BM27),"NO DATA",IF(ISNUMBER(FIND(CODES!$A$12,BM27)),CODES!$A$12,IF(OR(ISNUMBER(FIND(CODES!$A$10,BM27)),ISNUMBER(FIND(CODES!$A$11,BM27))),CODES!$A$13,IF(OR(BM27&lt;BM$39,ISNUMBER(BM27)=FALSE),BM$40,BM27))))</f>
      </c>
      <c r="BN54" s="7" t="str">
        <f>IF(ISBLANK(BN27),"NO DATA",IF(ISNUMBER(FIND(CODES!$A$12,BN27)),CODES!$A$12,IF(OR(ISNUMBER(FIND(CODES!$A$10,BN27)),ISNUMBER(FIND(CODES!$A$11,BN27))),CODES!$A$13,IF(OR(BN27&lt;BN$39,ISNUMBER(BN27)=FALSE),BN$40,BN27))))</f>
      </c>
      <c r="BO54" s="7" t="str">
        <f>IF(ISBLANK(BO27),"NO DATA",IF(ISNUMBER(FIND(CODES!$A$12,BO27)),CODES!$A$12,IF(OR(ISNUMBER(FIND(CODES!$A$10,BO27)),ISNUMBER(FIND(CODES!$A$11,BO27))),CODES!$A$13,IF(OR(BO27&lt;BO$39,ISNUMBER(BO27)=FALSE),BO$40,BO27))))</f>
      </c>
      <c r="BP54" s="7">
        <f>IF(ISBLANK(BP27),"NO DATA",IF(ISNUMBER(FIND(CODES!$A$12,BP27)),CODES!$A$12,IF(OR(ISNUMBER(FIND(CODES!$A$10,BP27)),ISNUMBER(FIND(CODES!$A$11,BP27))),CODES!$A$13,IF(OR(BP27&lt;BP$39,ISNUMBER(BP27)=FALSE),BP$40,BP27))))</f>
      </c>
      <c r="BQ54" s="7">
        <f>IF(ISBLANK(BQ27),"NO DATA",IF(ISNUMBER(FIND(CODES!$A$12,BQ27)),CODES!$A$12,IF(OR(ISNUMBER(FIND(CODES!$A$10,BQ27)),ISNUMBER(FIND(CODES!$A$11,BQ27))),CODES!$A$13,IF(OR(BQ27&lt;BQ$39,ISNUMBER(BQ27)=FALSE),BQ$40,BQ27))))</f>
      </c>
      <c r="BR54" s="7">
        <f>IF(ISBLANK(BR27),"NO DATA",IF(ISNUMBER(FIND(CODES!$A$12,BR27)),CODES!$A$12,IF(OR(ISNUMBER(FIND(CODES!$A$10,BR27)),ISNUMBER(FIND(CODES!$A$11,BR27))),CODES!$A$13,IF(OR(BR27&lt;BR$39,ISNUMBER(BR27)=FALSE),BR$40,BR27))))</f>
      </c>
      <c r="BS54" s="7">
        <f>IF(ISBLANK(BS27),"NO DATA",IF(ISNUMBER(FIND(CODES!$A$12,BS27)),CODES!$A$12,IF(OR(ISNUMBER(FIND(CODES!$A$10,BS27)),ISNUMBER(FIND(CODES!$A$11,BS27))),CODES!$A$13,IF(OR(BS27&lt;BS$39,ISNUMBER(BS27)=FALSE),BS$40,BS27))))</f>
      </c>
      <c r="BT54" s="7">
        <f>IF(ISBLANK(BT27),"NO DATA",IF(ISNUMBER(FIND(CODES!$A$12,BT27)),CODES!$A$12,IF(OR(ISNUMBER(FIND(CODES!$A$10,BT27)),ISNUMBER(FIND(CODES!$A$11,BT27))),CODES!$A$13,IF(OR(BT27&lt;BT$39,ISNUMBER(BT27)=FALSE),BT$40,BT27))))</f>
      </c>
      <c r="BU54" s="7">
        <f>IF(ISBLANK(BU27),"NO DATA",IF(ISNUMBER(FIND(CODES!$A$12,BU27)),CODES!$A$12,IF(OR(ISNUMBER(FIND(CODES!$A$10,BU27)),ISNUMBER(FIND(CODES!$A$11,BU27))),CODES!$A$13,IF(OR(BU27&lt;BU$39,ISNUMBER(BU27)=FALSE),BU$40,BU27))))</f>
      </c>
      <c r="BV54" s="7">
        <f>IF(ISBLANK(BV27),"NO DATA",IF(ISNUMBER(FIND(CODES!$A$12,BV27)),CODES!$A$12,IF(OR(ISNUMBER(FIND(CODES!$A$10,BV27)),ISNUMBER(FIND(CODES!$A$11,BV27))),CODES!$A$13,IF(OR(BV27&lt;BV$39,ISNUMBER(BV27)=FALSE),BV$40,BV27))))</f>
      </c>
      <c r="BW54" s="7" t="str">
        <f>IF(ISBLANK(BW27),"NO DATA",IF(ISNUMBER(FIND(CODES!$A$12,BW27)),CODES!$A$12,IF(OR(ISNUMBER(FIND(CODES!$A$10,BW27)),ISNUMBER(FIND(CODES!$A$11,BW27))),CODES!$A$13,IF(OR(BW27&lt;BW$39,ISNUMBER(BW27)=FALSE),BW$40,BW27))))</f>
      </c>
      <c r="BX54" s="7" t="str">
        <f>IF(ISBLANK(BX27),"NO DATA",IF(ISNUMBER(FIND(CODES!$A$12,BX27)),CODES!$A$12,IF(OR(ISNUMBER(FIND(CODES!$A$10,BX27)),ISNUMBER(FIND(CODES!$A$11,BX27))),CODES!$A$13,IF(OR(BX27&lt;BX$39,ISNUMBER(BX27)=FALSE),BX$40,BX27))))</f>
      </c>
      <c r="BY54" s="7">
        <f>IF(ISBLANK(BY27),"NO DATA",IF(ISNUMBER(FIND(CODES!$A$12,BY27)),CODES!$A$12,IF(OR(ISNUMBER(FIND(CODES!$A$10,BY27)),ISNUMBER(FIND(CODES!$A$11,BY27))),CODES!$A$13,IF(OR(BY27&lt;BY$39,ISNUMBER(BY27)=FALSE),BY$40,BY27))))</f>
      </c>
      <c r="BZ54" s="7">
        <f>IF(ISBLANK(BZ27),"NO DATA",IF(ISNUMBER(FIND(CODES!$A$12,BZ27)),CODES!$A$12,IF(OR(ISNUMBER(FIND(CODES!$A$10,BZ27)),ISNUMBER(FIND(CODES!$A$11,BZ27))),CODES!$A$13,IF(OR(BZ27&lt;BZ$39,ISNUMBER(BZ27)=FALSE),BZ$40,BZ27))))</f>
      </c>
      <c r="CA54" s="7">
        <f>IF(ISBLANK(CA27),"NO DATA",IF(ISNUMBER(FIND(CODES!$A$12,CA27)),CODES!$A$12,IF(OR(ISNUMBER(FIND(CODES!$A$10,CA27)),ISNUMBER(FIND(CODES!$A$11,CA27))),CODES!$A$13,IF(OR(CA27&lt;CA$39,ISNUMBER(CA27)=FALSE),CA$40,CA27))))</f>
      </c>
      <c r="CB54" s="7">
        <f>IF(ISBLANK(CB27),"NO DATA",IF(ISNUMBER(FIND(CODES!$A$12,CB27)),CODES!$A$12,IF(OR(ISNUMBER(FIND(CODES!$A$10,CB27)),ISNUMBER(FIND(CODES!$A$11,CB27))),CODES!$A$13,IF(OR(CB27&lt;CB$39,ISNUMBER(CB27)=FALSE),CB$40,CB27))))</f>
      </c>
      <c r="CC54" s="7">
        <f>IF(ISBLANK(CC27),"NO DATA",IF(ISNUMBER(FIND(CODES!$A$12,CC27)),CODES!$A$12,IF(OR(ISNUMBER(FIND(CODES!$A$10,CC27)),ISNUMBER(FIND(CODES!$A$11,CC27))),CODES!$A$13,IF(OR(CC27&lt;CC$39,ISNUMBER(CC27)=FALSE),CC$40,CC27))))</f>
      </c>
      <c r="CD54" s="7">
        <f>IF(ISBLANK(CD27),"NO DATA",IF(ISNUMBER(FIND(CODES!$A$12,CD27)),CODES!$A$12,IF(OR(ISNUMBER(FIND(CODES!$A$10,CD27)),ISNUMBER(FIND(CODES!$A$11,CD27))),CODES!$A$13,IF(OR(CD27&lt;CD$39,ISNUMBER(CD27)=FALSE),CD$40,CD27))))</f>
      </c>
      <c r="CE54" s="7">
        <f>IF(ISBLANK(CE27),"NO DATA",IF(ISNUMBER(FIND(CODES!$A$12,CE27)),CODES!$A$12,IF(OR(ISNUMBER(FIND(CODES!$A$10,CE27)),ISNUMBER(FIND(CODES!$A$11,CE27))),CODES!$A$13,IF(OR(CE27&lt;CE$39,ISNUMBER(CE27)=FALSE),CE$40,CE27))))</f>
      </c>
      <c r="CF54" s="7">
        <f>IF(ISBLANK(CF27),"NO DATA",IF(ISNUMBER(FIND(CODES!$A$12,CF27)),CODES!$A$12,IF(OR(ISNUMBER(FIND(CODES!$A$10,CF27)),ISNUMBER(FIND(CODES!$A$11,CF27))),CODES!$A$13,IF(OR(CF27&lt;CF$39,ISNUMBER(CF27)=FALSE),CF$40,CF27))))</f>
      </c>
      <c r="CG54" s="7">
        <f>IF(ISBLANK(CG27),"NO DATA",IF(ISNUMBER(FIND(CODES!$A$12,CG27)),CODES!$A$12,IF(OR(ISNUMBER(FIND(CODES!$A$10,CG27)),ISNUMBER(FIND(CODES!$A$11,CG27))),CODES!$A$13,IF(OR(CG27&lt;CG$39,ISNUMBER(CG27)=FALSE),CG$40,CG27))))</f>
      </c>
      <c r="CH54" s="7">
        <f>IF(ISBLANK(CH27),"NO DATA",IF(ISNUMBER(FIND(CODES!$A$12,CH27)),CODES!$A$12,IF(OR(ISNUMBER(FIND(CODES!$A$10,CH27)),ISNUMBER(FIND(CODES!$A$11,CH27))),CODES!$A$13,IF(OR(CH27&lt;CH$39,ISNUMBER(CH27)=FALSE),CH$40,CH27))))</f>
      </c>
      <c r="CI54" s="7">
        <f>IF(ISBLANK(CI27),"NO DATA",IF(ISNUMBER(FIND(CODES!$A$12,CI27)),CODES!$A$12,IF(OR(ISNUMBER(FIND(CODES!$A$10,CI27)),ISNUMBER(FIND(CODES!$A$11,CI27))),CODES!$A$13,IF(OR(CI27&lt;CI$39,ISNUMBER(CI27)=FALSE),CI$40,CI27))))</f>
      </c>
      <c r="CJ54" s="7">
        <f>IF(ISBLANK(CJ27),"NO DATA",IF(ISNUMBER(FIND(CODES!$A$12,CJ27)),CODES!$A$12,IF(OR(ISNUMBER(FIND(CODES!$A$10,CJ27)),ISNUMBER(FIND(CODES!$A$11,CJ27))),CODES!$A$13,IF(OR(CJ27&lt;CJ$39,ISNUMBER(CJ27)=FALSE),CJ$40,CJ27))))</f>
      </c>
      <c r="CK54" s="7">
        <f>IF(ISBLANK(CK27),"NO DATA",IF(ISNUMBER(FIND(CODES!$A$12,CK27)),CODES!$A$12,IF(OR(ISNUMBER(FIND(CODES!$A$10,CK27)),ISNUMBER(FIND(CODES!$A$11,CK27))),CODES!$A$13,IF(OR(CK27&lt;CK$39,ISNUMBER(CK27)=FALSE),CK$40,CK27))))</f>
      </c>
      <c r="CL54" s="7">
        <f>IF(ISBLANK(CL27),"NO DATA",IF(ISNUMBER(FIND(CODES!$A$12,CL27)),CODES!$A$12,IF(OR(ISNUMBER(FIND(CODES!$A$10,CL27)),ISNUMBER(FIND(CODES!$A$11,CL27))),CODES!$A$13,IF(OR(CL27&lt;CL$39,ISNUMBER(CL27)=FALSE),CL$40,CL27))))</f>
      </c>
      <c r="CM54" s="7">
        <f>IF(ISBLANK(CM27),"NO DATA",IF(ISNUMBER(FIND(CODES!$A$12,CM27)),CODES!$A$12,IF(OR(ISNUMBER(FIND(CODES!$A$10,CM27)),ISNUMBER(FIND(CODES!$A$11,CM27))),CODES!$A$13,IF(OR(CM27&lt;CM$39,ISNUMBER(CM27)=FALSE),CM$40,CM27))))</f>
      </c>
      <c r="CN54" s="7">
        <f>IF(ISBLANK(CN27),"NO DATA",IF(ISNUMBER(FIND(CODES!$A$12,CN27)),CODES!$A$12,IF(OR(ISNUMBER(FIND(CODES!$A$10,CN27)),ISNUMBER(FIND(CODES!$A$11,CN27))),CODES!$A$13,IF(OR(CN27&lt;CN$39,ISNUMBER(CN27)=FALSE),CN$40,CN27))))</f>
      </c>
      <c r="CO54" s="7">
        <f>IF(ISBLANK(CO27),"NO DATA",IF(ISNUMBER(FIND(CODES!$A$12,CO27)),CODES!$A$12,IF(OR(ISNUMBER(FIND(CODES!$A$10,CO27)),ISNUMBER(FIND(CODES!$A$11,CO27))),CODES!$A$13,IF(OR(CO27&lt;CO$39,ISNUMBER(CO27)=FALSE),CO$40,CO27))))</f>
      </c>
      <c r="CP54" s="7">
        <f>IF(ISBLANK(CP27),"NO DATA",IF(ISNUMBER(FIND(CODES!$A$12,CP27)),CODES!$A$12,IF(OR(ISNUMBER(FIND(CODES!$A$10,CP27)),ISNUMBER(FIND(CODES!$A$11,CP27))),CODES!$A$13,IF(OR(CP27&lt;CP$39,ISNUMBER(CP27)=FALSE),CP$40,CP27))))</f>
      </c>
      <c r="CQ54" s="7">
        <f>IF(ISBLANK(CQ27),"NO DATA",IF(ISNUMBER(FIND(CODES!$A$12,CQ27)),CODES!$A$12,IF(OR(ISNUMBER(FIND(CODES!$A$10,CQ27)),ISNUMBER(FIND(CODES!$A$11,CQ27))),CODES!$A$13,IF(OR(CQ27&lt;CQ$39,ISNUMBER(CQ27)=FALSE),CQ$40,CQ27))))</f>
      </c>
      <c r="CR54" s="7">
        <f>IF(ISBLANK(CR27),"NO DATA",IF(ISNUMBER(FIND(CODES!$A$12,CR27)),CODES!$A$12,IF(OR(ISNUMBER(FIND(CODES!$A$10,CR27)),ISNUMBER(FIND(CODES!$A$11,CR27))),CODES!$A$13,IF(OR(CR27&lt;CR$39,ISNUMBER(CR27)=FALSE),CR$40,CR27))))</f>
      </c>
      <c r="CS54" s="7">
        <f>IF(ISBLANK(CS27),"NO DATA",IF(ISNUMBER(FIND(CODES!$A$12,CS27)),CODES!$A$12,IF(OR(ISNUMBER(FIND(CODES!$A$10,CS27)),ISNUMBER(FIND(CODES!$A$11,CS27))),CODES!$A$13,IF(OR(CS27&lt;CS$39,ISNUMBER(CS27)=FALSE),CS$40,CS27))))</f>
      </c>
      <c r="CT54" s="7">
        <f>IF(ISBLANK(CT27),"NO DATA",IF(ISNUMBER(FIND(CODES!$A$12,CT27)),CODES!$A$12,IF(OR(ISNUMBER(FIND(CODES!$A$10,CT27)),ISNUMBER(FIND(CODES!$A$11,CT27))),CODES!$A$13,IF(OR(CT27&lt;CT$39,ISNUMBER(CT27)=FALSE),CT$40,CT27))))</f>
      </c>
      <c r="CU54" s="7">
        <f>IF(ISBLANK(CU27),"NO DATA",IF(ISNUMBER(FIND(CODES!$A$12,CU27)),CODES!$A$12,IF(OR(ISNUMBER(FIND(CODES!$A$10,CU27)),ISNUMBER(FIND(CODES!$A$11,CU27))),CODES!$A$13,IF(OR(CU27&lt;CU$39,ISNUMBER(CU27)=FALSE),CU$40,CU27))))</f>
      </c>
      <c r="CV54" s="7">
        <f>IF(ISBLANK(CV27),"NO DATA",IF(ISNUMBER(FIND(CODES!$A$12,CV27)),CODES!$A$12,IF(OR(ISNUMBER(FIND(CODES!$A$10,CV27)),ISNUMBER(FIND(CODES!$A$11,CV27))),CODES!$A$13,IF(OR(CV27&lt;CV$39,ISNUMBER(CV27)=FALSE),CV$40,CV27))))</f>
      </c>
      <c r="CW54" s="7">
        <f>IF(ISBLANK(CW27),"NO DATA",IF(ISNUMBER(FIND(CODES!$A$12,CW27)),CODES!$A$12,IF(OR(ISNUMBER(FIND(CODES!$A$10,CW27)),ISNUMBER(FIND(CODES!$A$11,CW27))),CODES!$A$13,IF(OR(CW27&lt;CW$39,ISNUMBER(CW27)=FALSE),CW$40,CW27))))</f>
      </c>
      <c r="CX54" s="7">
        <f>IF(ISBLANK(CX27),"NO DATA",IF(ISNUMBER(FIND(CODES!$A$12,CX27)),CODES!$A$12,IF(OR(ISNUMBER(FIND(CODES!$A$10,CX27)),ISNUMBER(FIND(CODES!$A$11,CX27))),CODES!$A$13,IF(OR(CX27&lt;CX$39,ISNUMBER(CX27)=FALSE),CX$40,CX27))))</f>
      </c>
      <c r="CY54" s="7">
        <f>IF(ISBLANK(CY27),"NO DATA",IF(ISNUMBER(FIND(CODES!$A$12,CY27)),CODES!$A$12,IF(OR(ISNUMBER(FIND(CODES!$A$10,CY27)),ISNUMBER(FIND(CODES!$A$11,CY27))),CODES!$A$13,IF(OR(CY27&lt;CY$39,ISNUMBER(CY27)=FALSE),CY$40,CY27))))</f>
      </c>
      <c r="CZ54" s="7">
        <f>IF(ISBLANK(CZ27),"NO DATA",IF(ISNUMBER(FIND(CODES!$A$12,CZ27)),CODES!$A$12,IF(OR(ISNUMBER(FIND(CODES!$A$10,CZ27)),ISNUMBER(FIND(CODES!$A$11,CZ27))),CODES!$A$13,IF(OR(CZ27&lt;CZ$39,ISNUMBER(CZ27)=FALSE),CZ$40,CZ27))))</f>
      </c>
      <c r="DA54" s="7">
        <f>IF(ISBLANK(DA27),"NO DATA",IF(ISNUMBER(FIND(CODES!$A$12,DA27)),CODES!$A$12,IF(OR(ISNUMBER(FIND(CODES!$A$10,DA27)),ISNUMBER(FIND(CODES!$A$11,DA27))),CODES!$A$13,IF(OR(DA27&lt;DA$39,ISNUMBER(DA27)=FALSE),DA$40,DA27))))</f>
      </c>
      <c r="DB54" s="7" t="str">
        <f>IF(ISBLANK(DB27),"NO DATA",IF(ISNUMBER(FIND(CODES!$A$12,DB27)),CODES!$A$12,IF(OR(ISNUMBER(FIND(CODES!$A$10,DB27)),ISNUMBER(FIND(CODES!$A$11,DB27))),CODES!$A$13,IF(OR(DB27&lt;DB$39,ISNUMBER(DB27)=FALSE),DB$40,DB27))))</f>
      </c>
      <c r="DC54" s="7" t="str">
        <f>IF(ISBLANK(DC27),"NO DATA",IF(ISNUMBER(FIND(CODES!$A$12,DC27)),CODES!$A$12,IF(OR(ISNUMBER(FIND(CODES!$A$10,DC27)),ISNUMBER(FIND(CODES!$A$11,DC27))),CODES!$A$13,IF(OR(DC27&lt;DC$39,ISNUMBER(DC27)=FALSE),DC$40,DC27))))</f>
      </c>
      <c r="DD54" s="7">
        <f>IF(ISBLANK(DD27),"NO DATA",IF(ISNUMBER(FIND(CODES!$A$12,DD27)),CODES!$A$12,IF(OR(ISNUMBER(FIND(CODES!$A$10,DD27)),ISNUMBER(FIND(CODES!$A$11,DD27))),CODES!$A$13,IF(OR(DD27&lt;DD$39,ISNUMBER(DD27)=FALSE),DD$40,DD27))))</f>
      </c>
      <c r="DE54" s="7">
        <f>IF(ISBLANK(DE27),"NO DATA",IF(ISNUMBER(FIND(CODES!$A$12,DE27)),CODES!$A$12,IF(OR(ISNUMBER(FIND(CODES!$A$10,DE27)),ISNUMBER(FIND(CODES!$A$11,DE27))),CODES!$A$13,IF(OR(DE27&lt;DE$39,ISNUMBER(DE27)=FALSE),DE$40,DE27))))</f>
      </c>
      <c r="DF54" s="7">
        <f>IF(ISBLANK(DF27),"NO DATA",IF(ISNUMBER(FIND(CODES!$A$12,DF27)),CODES!$A$12,IF(OR(ISNUMBER(FIND(CODES!$A$10,DF27)),ISNUMBER(FIND(CODES!$A$11,DF27))),CODES!$A$13,IF(OR(DF27&lt;DF$39,ISNUMBER(DF27)=FALSE),DF$40,DF27))))</f>
      </c>
      <c r="DG54" s="7">
        <f>IF(ISBLANK(DG27),"NO DATA",IF(ISNUMBER(FIND(CODES!$A$12,DG27)),CODES!$A$12,IF(OR(ISNUMBER(FIND(CODES!$A$10,DG27)),ISNUMBER(FIND(CODES!$A$11,DG27))),CODES!$A$13,IF(OR(DG27&lt;DG$39,ISNUMBER(DG27)=FALSE),DG$40,DG27))))</f>
      </c>
      <c r="DH54" s="7">
        <f>IF(ISBLANK(DH27),"NO DATA",IF(ISNUMBER(FIND(CODES!$A$12,DH27)),CODES!$A$12,IF(OR(ISNUMBER(FIND(CODES!$A$10,DH27)),ISNUMBER(FIND(CODES!$A$11,DH27))),CODES!$A$13,IF(OR(DH27&lt;DH$39,ISNUMBER(DH27)=FALSE),DH$40,DH27))))</f>
      </c>
      <c r="DI54" s="7">
        <f>IF(ISBLANK(DI27),"NO DATA",IF(ISNUMBER(FIND(CODES!$A$12,DI27)),CODES!$A$12,IF(OR(ISNUMBER(FIND(CODES!$A$10,DI27)),ISNUMBER(FIND(CODES!$A$11,DI27))),CODES!$A$13,IF(OR(DI27&lt;DI$39,ISNUMBER(DI27)=FALSE),DI$40,DI27))))</f>
      </c>
    </row>
    <row r="55" spans="1:113" x14ac:dyDescent="0.25">
      <c r="A55" s="16" t="str">
        <f t="shared" si="8"/>
      </c>
      <c r="B55" s="16" t="str">
        <f t="shared" si="8"/>
      </c>
      <c r="C55" s="7">
        <f>IF(ISBLANK(C28),"NO DATA",IF(ISNUMBER(FIND(CODES!$A$12,C28)),CODES!$A$12,IF(OR(ISNUMBER(FIND(CODES!$A$10,C28)),ISNUMBER(FIND(CODES!$A$11,C28))),CODES!$A$13,IF(OR(C28&lt;C$39,ISNUMBER(C28)=FALSE),C$40,C28))))</f>
      </c>
      <c r="D55" s="7">
        <f>IF(ISBLANK(D28),"NO DATA",IF(ISNUMBER(FIND(CODES!$A$12,D28)),CODES!$A$12,IF(OR(ISNUMBER(FIND(CODES!$A$10,D28)),ISNUMBER(FIND(CODES!$A$11,D28))),CODES!$A$13,IF(OR(D28&lt;D$39,ISNUMBER(D28)=FALSE),D$40,D28))))</f>
      </c>
      <c r="E55" s="7">
        <f>IF(ISBLANK(E28),"NO DATA",IF(ISNUMBER(FIND(CODES!$A$12,E28)),CODES!$A$12,IF(OR(ISNUMBER(FIND(CODES!$A$10,E28)),ISNUMBER(FIND(CODES!$A$11,E28))),CODES!$A$13,IF(OR(E28&lt;E$39,ISNUMBER(E28)=FALSE),E$40,E28))))</f>
      </c>
      <c r="F55" s="7">
        <f>IF(ISBLANK(F28),"NO DATA",IF(ISNUMBER(FIND(CODES!$A$12,F28)),CODES!$A$12,IF(OR(ISNUMBER(FIND(CODES!$A$10,F28)),ISNUMBER(FIND(CODES!$A$11,F28))),CODES!$A$13,IF(OR(F28&lt;F$39,ISNUMBER(F28)=FALSE),F$40,F28))))</f>
      </c>
      <c r="G55" s="7">
        <f>IF(ISBLANK(G28),"NO DATA",IF(ISNUMBER(FIND(CODES!$A$12,G28)),CODES!$A$12,IF(OR(ISNUMBER(FIND(CODES!$A$10,G28)),ISNUMBER(FIND(CODES!$A$11,G28))),CODES!$A$13,IF(OR(G28&lt;G$39,ISNUMBER(G28)=FALSE),G$40,G28))))</f>
      </c>
      <c r="H55" s="7">
        <f>IF(ISBLANK(H28),"NO DATA",IF(ISNUMBER(FIND(CODES!$A$12,H28)),CODES!$A$12,IF(OR(ISNUMBER(FIND(CODES!$A$10,H28)),ISNUMBER(FIND(CODES!$A$11,H28))),CODES!$A$13,IF(OR(H28&lt;H$39,ISNUMBER(H28)=FALSE),H$40,H28))))</f>
      </c>
      <c r="I55" s="7">
        <f>IF(ISBLANK(I28),"NO DATA",IF(ISNUMBER(FIND(CODES!$A$12,I28)),CODES!$A$12,IF(OR(ISNUMBER(FIND(CODES!$A$10,I28)),ISNUMBER(FIND(CODES!$A$11,I28))),CODES!$A$13,IF(OR(I28&lt;I$39,ISNUMBER(I28)=FALSE),I$40,I28))))</f>
      </c>
      <c r="J55" s="7">
        <f>IF(ISBLANK(J28),"NO DATA",IF(ISNUMBER(FIND(CODES!$A$12,J28)),CODES!$A$12,IF(OR(ISNUMBER(FIND(CODES!$A$10,J28)),ISNUMBER(FIND(CODES!$A$11,J28))),CODES!$A$13,IF(OR(J28&lt;J$39,ISNUMBER(J28)=FALSE),J$40,J28))))</f>
      </c>
      <c r="K55" s="7">
        <f>IF(ISBLANK(K28),"NO DATA",IF(ISNUMBER(FIND(CODES!$A$12,K28)),CODES!$A$12,IF(OR(ISNUMBER(FIND(CODES!$A$10,K28)),ISNUMBER(FIND(CODES!$A$11,K28))),CODES!$A$13,IF(OR(K28&lt;K$39,ISNUMBER(K28)=FALSE),K$40,K28))))</f>
      </c>
      <c r="L55" s="7">
        <f>IF(ISBLANK(L28),"NO DATA",IF(ISNUMBER(FIND(CODES!$A$12,L28)),CODES!$A$12,IF(OR(ISNUMBER(FIND(CODES!$A$10,L28)),ISNUMBER(FIND(CODES!$A$11,L28))),CODES!$A$13,IF(OR(L28&lt;L$39,ISNUMBER(L28)=FALSE),L$40,L28))))</f>
      </c>
      <c r="M55" s="7">
        <f>IF(ISBLANK(M28),"NO DATA",IF(ISNUMBER(FIND(CODES!$A$12,M28)),CODES!$A$12,IF(OR(ISNUMBER(FIND(CODES!$A$10,M28)),ISNUMBER(FIND(CODES!$A$11,M28))),CODES!$A$13,IF(OR(M28&lt;M$39,ISNUMBER(M28)=FALSE),M$40,M28))))</f>
      </c>
      <c r="N55" s="7" t="str">
        <f>IF(ISBLANK(N28),"NO DATA",IF(ISNUMBER(FIND(CODES!$A$12,N28)),CODES!$A$12,IF(OR(ISNUMBER(FIND(CODES!$A$10,N28)),ISNUMBER(FIND(CODES!$A$11,N28))),CODES!$A$13,IF(OR(N28&lt;N$39,ISNUMBER(N28)=FALSE),N$40,N28))))</f>
      </c>
      <c r="O55" s="7" t="str">
        <f>IF(ISBLANK(O28),"NO DATA",IF(ISNUMBER(FIND(CODES!$A$12,O28)),CODES!$A$12,IF(OR(ISNUMBER(FIND(CODES!$A$10,O28)),ISNUMBER(FIND(CODES!$A$11,O28))),CODES!$A$13,IF(OR(O28&lt;O$39,ISNUMBER(O28)=FALSE),O$40,O28))))</f>
      </c>
      <c r="P55" s="7">
        <f>IF(ISBLANK(P28),"NO DATA",IF(ISNUMBER(FIND(CODES!$A$12,P28)),CODES!$A$12,IF(OR(ISNUMBER(FIND(CODES!$A$10,P28)),ISNUMBER(FIND(CODES!$A$11,P28))),CODES!$A$13,IF(OR(P28&lt;P$39,ISNUMBER(P28)=FALSE),P$40,P28))))</f>
      </c>
      <c r="Q55" s="7">
        <f>IF(ISBLANK(Q28),"NO DATA",IF(ISNUMBER(FIND(CODES!$A$12,Q28)),CODES!$A$12,IF(OR(ISNUMBER(FIND(CODES!$A$10,Q28)),ISNUMBER(FIND(CODES!$A$11,Q28))),CODES!$A$13,IF(OR(Q28&lt;Q$39,ISNUMBER(Q28)=FALSE),Q$40,Q28))))</f>
      </c>
      <c r="R55" s="7">
        <f>IF(ISBLANK(R28),"NO DATA",IF(ISNUMBER(FIND(CODES!$A$12,R28)),CODES!$A$12,IF(OR(ISNUMBER(FIND(CODES!$A$10,R28)),ISNUMBER(FIND(CODES!$A$11,R28))),CODES!$A$13,IF(OR(R28&lt;R$39,ISNUMBER(R28)=FALSE),R$40,R28))))</f>
      </c>
      <c r="S55" s="7">
        <f>IF(ISBLANK(S28),"NO DATA",IF(ISNUMBER(FIND(CODES!$A$12,S28)),CODES!$A$12,IF(OR(ISNUMBER(FIND(CODES!$A$10,S28)),ISNUMBER(FIND(CODES!$A$11,S28))),CODES!$A$13,IF(OR(S28&lt;S$39,ISNUMBER(S28)=FALSE),S$40,S28))))</f>
      </c>
      <c r="T55" s="7">
        <f>IF(ISBLANK(T28),"NO DATA",IF(ISNUMBER(FIND(CODES!$A$12,T28)),CODES!$A$12,IF(OR(ISNUMBER(FIND(CODES!$A$10,T28)),ISNUMBER(FIND(CODES!$A$11,T28))),CODES!$A$13,IF(OR(T28&lt;T$39,ISNUMBER(T28)=FALSE),T$40,T28))))</f>
      </c>
      <c r="U55" s="7">
        <f>IF(ISBLANK(U28),"NO DATA",IF(ISNUMBER(FIND(CODES!$A$12,U28)),CODES!$A$12,IF(OR(ISNUMBER(FIND(CODES!$A$10,U28)),ISNUMBER(FIND(CODES!$A$11,U28))),CODES!$A$13,IF(OR(U28&lt;U$39,ISNUMBER(U28)=FALSE),U$40,U28))))</f>
      </c>
      <c r="V55" s="7">
        <f>IF(ISBLANK(V28),"NO DATA",IF(ISNUMBER(FIND(CODES!$A$12,V28)),CODES!$A$12,IF(OR(ISNUMBER(FIND(CODES!$A$10,V28)),ISNUMBER(FIND(CODES!$A$11,V28))),CODES!$A$13,IF(OR(V28&lt;V$39,ISNUMBER(V28)=FALSE),V$40,V28))))</f>
      </c>
      <c r="W55" s="7">
        <f>IF(ISBLANK(W28),"NO DATA",IF(ISNUMBER(FIND(CODES!$A$12,W28)),CODES!$A$12,IF(OR(ISNUMBER(FIND(CODES!$A$10,W28)),ISNUMBER(FIND(CODES!$A$11,W28))),CODES!$A$13,IF(OR(W28&lt;W$39,ISNUMBER(W28)=FALSE),W$40,W28))))</f>
      </c>
      <c r="X55" s="7">
        <f>IF(ISBLANK(X28),"NO DATA",IF(ISNUMBER(FIND(CODES!$A$12,X28)),CODES!$A$12,IF(OR(ISNUMBER(FIND(CODES!$A$10,X28)),ISNUMBER(FIND(CODES!$A$11,X28))),CODES!$A$13,IF(OR(X28&lt;X$39,ISNUMBER(X28)=FALSE),X$40,X28))))</f>
      </c>
      <c r="Y55" s="7">
        <f>IF(ISBLANK(Y28),"NO DATA",IF(ISNUMBER(FIND(CODES!$A$12,Y28)),CODES!$A$12,IF(OR(ISNUMBER(FIND(CODES!$A$10,Y28)),ISNUMBER(FIND(CODES!$A$11,Y28))),CODES!$A$13,IF(OR(Y28&lt;Y$39,ISNUMBER(Y28)=FALSE),Y$40,Y28))))</f>
      </c>
      <c r="Z55" s="7">
        <f>IF(ISBLANK(Z28),"NO DATA",IF(ISNUMBER(FIND(CODES!$A$12,Z28)),CODES!$A$12,IF(OR(ISNUMBER(FIND(CODES!$A$10,Z28)),ISNUMBER(FIND(CODES!$A$11,Z28))),CODES!$A$13,IF(OR(Z28&lt;Z$39,ISNUMBER(Z28)=FALSE),Z$40,Z28))))</f>
      </c>
      <c r="AA55" s="7">
        <f>IF(ISBLANK(AA28),"NO DATA",IF(ISNUMBER(FIND(CODES!$A$12,AA28)),CODES!$A$12,IF(OR(ISNUMBER(FIND(CODES!$A$10,AA28)),ISNUMBER(FIND(CODES!$A$11,AA28))),CODES!$A$13,IF(OR(AA28&lt;AA$39,ISNUMBER(AA28)=FALSE),AA$40,AA28))))</f>
      </c>
      <c r="AB55" s="7">
        <f>IF(ISBLANK(AB28),"NO DATA",IF(ISNUMBER(FIND(CODES!$A$12,AB28)),CODES!$A$12,IF(OR(ISNUMBER(FIND(CODES!$A$10,AB28)),ISNUMBER(FIND(CODES!$A$11,AB28))),CODES!$A$13,IF(OR(AB28&lt;AB$39,ISNUMBER(AB28)=FALSE),AB$40,AB28))))</f>
      </c>
      <c r="AC55" s="7">
        <f>IF(ISBLANK(AC28),"NO DATA",IF(ISNUMBER(FIND(CODES!$A$12,AC28)),CODES!$A$12,IF(OR(ISNUMBER(FIND(CODES!$A$10,AC28)),ISNUMBER(FIND(CODES!$A$11,AC28))),CODES!$A$13,IF(OR(AC28&lt;AC$39,ISNUMBER(AC28)=FALSE),AC$40,AC28))))</f>
      </c>
      <c r="AD55" s="7">
        <f>IF(ISBLANK(AD28),"NO DATA",IF(ISNUMBER(FIND(CODES!$A$12,AD28)),CODES!$A$12,IF(OR(ISNUMBER(FIND(CODES!$A$10,AD28)),ISNUMBER(FIND(CODES!$A$11,AD28))),CODES!$A$13,IF(OR(AD28&lt;AD$39,ISNUMBER(AD28)=FALSE),AD$40,AD28))))</f>
      </c>
      <c r="AE55" s="7">
        <f>IF(ISBLANK(AE28),"NO DATA",IF(ISNUMBER(FIND(CODES!$A$12,AE28)),CODES!$A$12,IF(OR(ISNUMBER(FIND(CODES!$A$10,AE28)),ISNUMBER(FIND(CODES!$A$11,AE28))),CODES!$A$13,IF(OR(AE28&lt;AE$39,ISNUMBER(AE28)=FALSE),AE$40,AE28))))</f>
      </c>
      <c r="AF55" s="7">
        <f>IF(ISBLANK(AF28),"NO DATA",IF(ISNUMBER(FIND(CODES!$A$12,AF28)),CODES!$A$12,IF(OR(ISNUMBER(FIND(CODES!$A$10,AF28)),ISNUMBER(FIND(CODES!$A$11,AF28))),CODES!$A$13,IF(OR(AF28&lt;AF$39,ISNUMBER(AF28)=FALSE),AF$40,AF28))))</f>
      </c>
      <c r="AG55" s="7">
        <f>IF(ISBLANK(AG28),"NO DATA",IF(ISNUMBER(FIND(CODES!$A$12,AG28)),CODES!$A$12,IF(OR(ISNUMBER(FIND(CODES!$A$10,AG28)),ISNUMBER(FIND(CODES!$A$11,AG28))),CODES!$A$13,IF(OR(AG28&lt;AG$39,ISNUMBER(AG28)=FALSE),AG$40,AG28))))</f>
      </c>
      <c r="AH55" s="7">
        <f>IF(ISBLANK(AH28),"NO DATA",IF(ISNUMBER(FIND(CODES!$A$12,AH28)),CODES!$A$12,IF(OR(ISNUMBER(FIND(CODES!$A$10,AH28)),ISNUMBER(FIND(CODES!$A$11,AH28))),CODES!$A$13,IF(OR(AH28&lt;AH$39,ISNUMBER(AH28)=FALSE),AH$40,AH28))))</f>
      </c>
      <c r="AI55" s="7">
        <f>IF(ISBLANK(AI28),"NO DATA",IF(ISNUMBER(FIND(CODES!$A$12,AI28)),CODES!$A$12,IF(OR(ISNUMBER(FIND(CODES!$A$10,AI28)),ISNUMBER(FIND(CODES!$A$11,AI28))),CODES!$A$13,IF(OR(AI28&lt;AI$39,ISNUMBER(AI28)=FALSE),AI$40,AI28))))</f>
      </c>
      <c r="AJ55" s="7">
        <f>IF(ISBLANK(AJ28),"NO DATA",IF(ISNUMBER(FIND(CODES!$A$12,AJ28)),CODES!$A$12,IF(OR(ISNUMBER(FIND(CODES!$A$10,AJ28)),ISNUMBER(FIND(CODES!$A$11,AJ28))),CODES!$A$13,IF(OR(AJ28&lt;AJ$39,ISNUMBER(AJ28)=FALSE),AJ$40,AJ28))))</f>
      </c>
      <c r="AK55" s="7">
        <f>IF(ISBLANK(AK28),"NO DATA",IF(ISNUMBER(FIND(CODES!$A$12,AK28)),CODES!$A$12,IF(OR(ISNUMBER(FIND(CODES!$A$10,AK28)),ISNUMBER(FIND(CODES!$A$11,AK28))),CODES!$A$13,IF(OR(AK28&lt;AK$39,ISNUMBER(AK28)=FALSE),AK$40,AK28))))</f>
      </c>
      <c r="AL55" s="7">
        <f>IF(ISBLANK(AL28),"NO DATA",IF(ISNUMBER(FIND(CODES!$A$12,AL28)),CODES!$A$12,IF(OR(ISNUMBER(FIND(CODES!$A$10,AL28)),ISNUMBER(FIND(CODES!$A$11,AL28))),CODES!$A$13,IF(OR(AL28&lt;AL$39,ISNUMBER(AL28)=FALSE),AL$40,AL28))))</f>
      </c>
      <c r="AM55" s="7">
        <f>IF(ISBLANK(AM28),"NO DATA",IF(ISNUMBER(FIND(CODES!$A$12,AM28)),CODES!$A$12,IF(OR(ISNUMBER(FIND(CODES!$A$10,AM28)),ISNUMBER(FIND(CODES!$A$11,AM28))),CODES!$A$13,IF(OR(AM28&lt;AM$39,ISNUMBER(AM28)=FALSE),AM$40,AM28))))</f>
      </c>
      <c r="AN55" s="7">
        <f>IF(ISBLANK(AN28),"NO DATA",IF(ISNUMBER(FIND(CODES!$A$12,AN28)),CODES!$A$12,IF(OR(ISNUMBER(FIND(CODES!$A$10,AN28)),ISNUMBER(FIND(CODES!$A$11,AN28))),CODES!$A$13,IF(OR(AN28&lt;AN$39,ISNUMBER(AN28)=FALSE),AN$40,AN28))))</f>
      </c>
      <c r="AO55" s="7">
        <f>IF(ISBLANK(AO28),"NO DATA",IF(ISNUMBER(FIND(CODES!$A$12,AO28)),CODES!$A$12,IF(OR(ISNUMBER(FIND(CODES!$A$10,AO28)),ISNUMBER(FIND(CODES!$A$11,AO28))),CODES!$A$13,IF(OR(AO28&lt;AO$39,ISNUMBER(AO28)=FALSE),AO$40,AO28))))</f>
      </c>
      <c r="AP55" s="7">
        <f>IF(ISBLANK(AP28),"NO DATA",IF(ISNUMBER(FIND(CODES!$A$12,AP28)),CODES!$A$12,IF(OR(ISNUMBER(FIND(CODES!$A$10,AP28)),ISNUMBER(FIND(CODES!$A$11,AP28))),CODES!$A$13,IF(OR(AP28&lt;AP$39,ISNUMBER(AP28)=FALSE),AP$40,AP28))))</f>
      </c>
      <c r="AQ55" s="7">
        <f>IF(ISBLANK(AQ28),"NO DATA",IF(ISNUMBER(FIND(CODES!$A$12,AQ28)),CODES!$A$12,IF(OR(ISNUMBER(FIND(CODES!$A$10,AQ28)),ISNUMBER(FIND(CODES!$A$11,AQ28))),CODES!$A$13,IF(OR(AQ28&lt;AQ$39,ISNUMBER(AQ28)=FALSE),AQ$40,AQ28))))</f>
      </c>
      <c r="AR55" s="7">
        <f>IF(ISBLANK(AR28),"NO DATA",IF(ISNUMBER(FIND(CODES!$A$12,AR28)),CODES!$A$12,IF(OR(ISNUMBER(FIND(CODES!$A$10,AR28)),ISNUMBER(FIND(CODES!$A$11,AR28))),CODES!$A$13,IF(OR(AR28&lt;AR$39,ISNUMBER(AR28)=FALSE),AR$40,AR28))))</f>
      </c>
      <c r="AS55" s="7">
        <f>IF(ISBLANK(AS28),"NO DATA",IF(ISNUMBER(FIND(CODES!$A$12,AS28)),CODES!$A$12,IF(OR(ISNUMBER(FIND(CODES!$A$10,AS28)),ISNUMBER(FIND(CODES!$A$11,AS28))),CODES!$A$13,IF(OR(AS28&lt;AS$39,ISNUMBER(AS28)=FALSE),AS$40,AS28))))</f>
      </c>
      <c r="AT55" s="7">
        <f>IF(ISBLANK(AT28),"NO DATA",IF(ISNUMBER(FIND(CODES!$A$12,AT28)),CODES!$A$12,IF(OR(ISNUMBER(FIND(CODES!$A$10,AT28)),ISNUMBER(FIND(CODES!$A$11,AT28))),CODES!$A$13,IF(OR(AT28&lt;AT$39,ISNUMBER(AT28)=FALSE),AT$40,AT28))))</f>
      </c>
      <c r="AU55" s="7">
        <f>IF(ISBLANK(AU28),"NO DATA",IF(ISNUMBER(FIND(CODES!$A$12,AU28)),CODES!$A$12,IF(OR(ISNUMBER(FIND(CODES!$A$10,AU28)),ISNUMBER(FIND(CODES!$A$11,AU28))),CODES!$A$13,IF(OR(AU28&lt;AU$39,ISNUMBER(AU28)=FALSE),AU$40,AU28))))</f>
      </c>
      <c r="AV55" s="7" t="str">
        <f>IF(ISBLANK(AV28),"NO DATA",IF(ISNUMBER(FIND(CODES!$A$12,AV28)),CODES!$A$12,IF(OR(ISNUMBER(FIND(CODES!$A$10,AV28)),ISNUMBER(FIND(CODES!$A$11,AV28))),CODES!$A$13,IF(OR(AV28&lt;AV$39,ISNUMBER(AV28)=FALSE),AV$40,AV28))))</f>
      </c>
      <c r="AW55" s="7" t="str">
        <f>IF(ISBLANK(AW28),"NO DATA",IF(ISNUMBER(FIND(CODES!$A$12,AW28)),CODES!$A$12,IF(OR(ISNUMBER(FIND(CODES!$A$10,AW28)),ISNUMBER(FIND(CODES!$A$11,AW28))),CODES!$A$13,IF(OR(AW28&lt;AW$39,ISNUMBER(AW28)=FALSE),AW$40,AW28))))</f>
      </c>
      <c r="AX55" s="7">
        <f>IF(ISBLANK(AX28),"NO DATA",IF(ISNUMBER(FIND(CODES!$A$12,AX28)),CODES!$A$12,IF(OR(ISNUMBER(FIND(CODES!$A$10,AX28)),ISNUMBER(FIND(CODES!$A$11,AX28))),CODES!$A$13,IF(OR(AX28&lt;AX$39,ISNUMBER(AX28)=FALSE),AX$40,AX28))))</f>
      </c>
      <c r="AY55" s="7">
        <f>IF(ISBLANK(AY28),"NO DATA",IF(ISNUMBER(FIND(CODES!$A$12,AY28)),CODES!$A$12,IF(OR(ISNUMBER(FIND(CODES!$A$10,AY28)),ISNUMBER(FIND(CODES!$A$11,AY28))),CODES!$A$13,IF(OR(AY28&lt;AY$39,ISNUMBER(AY28)=FALSE),AY$40,AY28))))</f>
      </c>
      <c r="AZ55" s="7">
        <f>IF(ISBLANK(AZ28),"NO DATA",IF(ISNUMBER(FIND(CODES!$A$12,AZ28)),CODES!$A$12,IF(OR(ISNUMBER(FIND(CODES!$A$10,AZ28)),ISNUMBER(FIND(CODES!$A$11,AZ28))),CODES!$A$13,IF(OR(AZ28&lt;AZ$39,ISNUMBER(AZ28)=FALSE),AZ$40,AZ28))))</f>
      </c>
      <c r="BA55" s="7">
        <f>IF(ISBLANK(BA28),"NO DATA",IF(ISNUMBER(FIND(CODES!$A$12,BA28)),CODES!$A$12,IF(OR(ISNUMBER(FIND(CODES!$A$10,BA28)),ISNUMBER(FIND(CODES!$A$11,BA28))),CODES!$A$13,IF(OR(BA28&lt;BA$39,ISNUMBER(BA28)=FALSE),BA$40,BA28))))</f>
      </c>
      <c r="BB55" s="7">
        <f>IF(ISBLANK(BB28),"NO DATA",IF(ISNUMBER(FIND(CODES!$A$12,BB28)),CODES!$A$12,IF(OR(ISNUMBER(FIND(CODES!$A$10,BB28)),ISNUMBER(FIND(CODES!$A$11,BB28))),CODES!$A$13,IF(OR(BB28&lt;BB$39,ISNUMBER(BB28)=FALSE),BB$40,BB28))))</f>
      </c>
      <c r="BC55" s="7">
        <f>IF(ISBLANK(BC28),"NO DATA",IF(ISNUMBER(FIND(CODES!$A$12,BC28)),CODES!$A$12,IF(OR(ISNUMBER(FIND(CODES!$A$10,BC28)),ISNUMBER(FIND(CODES!$A$11,BC28))),CODES!$A$13,IF(OR(BC28&lt;BC$39,ISNUMBER(BC28)=FALSE),BC$40,BC28))))</f>
      </c>
      <c r="BD55" s="7">
        <f>IF(ISBLANK(BD28),"NO DATA",IF(ISNUMBER(FIND(CODES!$A$12,BD28)),CODES!$A$12,IF(OR(ISNUMBER(FIND(CODES!$A$10,BD28)),ISNUMBER(FIND(CODES!$A$11,BD28))),CODES!$A$13,IF(OR(BD28&lt;BD$39,ISNUMBER(BD28)=FALSE),BD$40,BD28))))</f>
      </c>
      <c r="BE55" s="7">
        <f>IF(ISBLANK(BE28),"NO DATA",IF(ISNUMBER(FIND(CODES!$A$12,BE28)),CODES!$A$12,IF(OR(ISNUMBER(FIND(CODES!$A$10,BE28)),ISNUMBER(FIND(CODES!$A$11,BE28))),CODES!$A$13,IF(OR(BE28&lt;BE$39,ISNUMBER(BE28)=FALSE),BE$40,BE28))))</f>
      </c>
      <c r="BF55" s="7">
        <f>IF(ISBLANK(BF28),"NO DATA",IF(ISNUMBER(FIND(CODES!$A$12,BF28)),CODES!$A$12,IF(OR(ISNUMBER(FIND(CODES!$A$10,BF28)),ISNUMBER(FIND(CODES!$A$11,BF28))),CODES!$A$13,IF(OR(BF28&lt;BF$39,ISNUMBER(BF28)=FALSE),BF$40,BF28))))</f>
      </c>
      <c r="BG55" s="7">
        <f>IF(ISBLANK(BG28),"NO DATA",IF(ISNUMBER(FIND(CODES!$A$12,BG28)),CODES!$A$12,IF(OR(ISNUMBER(FIND(CODES!$A$10,BG28)),ISNUMBER(FIND(CODES!$A$11,BG28))),CODES!$A$13,IF(OR(BG28&lt;BG$39,ISNUMBER(BG28)=FALSE),BG$40,BG28))))</f>
      </c>
      <c r="BH55" s="7">
        <f>IF(ISBLANK(BH28),"NO DATA",IF(ISNUMBER(FIND(CODES!$A$12,BH28)),CODES!$A$12,IF(OR(ISNUMBER(FIND(CODES!$A$10,BH28)),ISNUMBER(FIND(CODES!$A$11,BH28))),CODES!$A$13,IF(OR(BH28&lt;BH$39,ISNUMBER(BH28)=FALSE),BH$40,BH28))))</f>
      </c>
      <c r="BI55" s="7" t="str">
        <f>IF(ISBLANK(BI28),"NO DATA",IF(ISNUMBER(FIND(CODES!$A$12,BI28)),CODES!$A$12,IF(OR(ISNUMBER(FIND(CODES!$A$10,BI28)),ISNUMBER(FIND(CODES!$A$11,BI28))),CODES!$A$13,IF(OR(BI28&lt;BI$39,ISNUMBER(BI28)=FALSE),BI$40,BI28))))</f>
      </c>
      <c r="BJ55" s="7">
        <f>IF(ISBLANK(BJ28),"NO DATA",IF(ISNUMBER(FIND(CODES!$A$12,BJ28)),CODES!$A$12,IF(OR(ISNUMBER(FIND(CODES!$A$10,BJ28)),ISNUMBER(FIND(CODES!$A$11,BJ28))),CODES!$A$13,IF(OR(BJ28&lt;BJ$39,ISNUMBER(BJ28)=FALSE),BJ$40,BJ28))))</f>
      </c>
      <c r="BK55" s="7">
        <f>IF(ISBLANK(BK28),"NO DATA",IF(ISNUMBER(FIND(CODES!$A$12,BK28)),CODES!$A$12,IF(OR(ISNUMBER(FIND(CODES!$A$10,BK28)),ISNUMBER(FIND(CODES!$A$11,BK28))),CODES!$A$13,IF(OR(BK28&lt;BK$39,ISNUMBER(BK28)=FALSE),BK$40,BK28))))</f>
      </c>
      <c r="BL55" s="7">
        <f>IF(ISBLANK(BL28),"NO DATA",IF(ISNUMBER(FIND(CODES!$A$12,BL28)),CODES!$A$12,IF(OR(ISNUMBER(FIND(CODES!$A$10,BL28)),ISNUMBER(FIND(CODES!$A$11,BL28))),CODES!$A$13,IF(OR(BL28&lt;BL$39,ISNUMBER(BL28)=FALSE),BL$40,BL28))))</f>
      </c>
      <c r="BM55" s="7">
        <f>IF(ISBLANK(BM28),"NO DATA",IF(ISNUMBER(FIND(CODES!$A$12,BM28)),CODES!$A$12,IF(OR(ISNUMBER(FIND(CODES!$A$10,BM28)),ISNUMBER(FIND(CODES!$A$11,BM28))),CODES!$A$13,IF(OR(BM28&lt;BM$39,ISNUMBER(BM28)=FALSE),BM$40,BM28))))</f>
      </c>
      <c r="BN55" s="7" t="str">
        <f>IF(ISBLANK(BN28),"NO DATA",IF(ISNUMBER(FIND(CODES!$A$12,BN28)),CODES!$A$12,IF(OR(ISNUMBER(FIND(CODES!$A$10,BN28)),ISNUMBER(FIND(CODES!$A$11,BN28))),CODES!$A$13,IF(OR(BN28&lt;BN$39,ISNUMBER(BN28)=FALSE),BN$40,BN28))))</f>
      </c>
      <c r="BO55" s="7" t="str">
        <f>IF(ISBLANK(BO28),"NO DATA",IF(ISNUMBER(FIND(CODES!$A$12,BO28)),CODES!$A$12,IF(OR(ISNUMBER(FIND(CODES!$A$10,BO28)),ISNUMBER(FIND(CODES!$A$11,BO28))),CODES!$A$13,IF(OR(BO28&lt;BO$39,ISNUMBER(BO28)=FALSE),BO$40,BO28))))</f>
      </c>
      <c r="BP55" s="7">
        <f>IF(ISBLANK(BP28),"NO DATA",IF(ISNUMBER(FIND(CODES!$A$12,BP28)),CODES!$A$12,IF(OR(ISNUMBER(FIND(CODES!$A$10,BP28)),ISNUMBER(FIND(CODES!$A$11,BP28))),CODES!$A$13,IF(OR(BP28&lt;BP$39,ISNUMBER(BP28)=FALSE),BP$40,BP28))))</f>
      </c>
      <c r="BQ55" s="7">
        <f>IF(ISBLANK(BQ28),"NO DATA",IF(ISNUMBER(FIND(CODES!$A$12,BQ28)),CODES!$A$12,IF(OR(ISNUMBER(FIND(CODES!$A$10,BQ28)),ISNUMBER(FIND(CODES!$A$11,BQ28))),CODES!$A$13,IF(OR(BQ28&lt;BQ$39,ISNUMBER(BQ28)=FALSE),BQ$40,BQ28))))</f>
      </c>
      <c r="BR55" s="7">
        <f>IF(ISBLANK(BR28),"NO DATA",IF(ISNUMBER(FIND(CODES!$A$12,BR28)),CODES!$A$12,IF(OR(ISNUMBER(FIND(CODES!$A$10,BR28)),ISNUMBER(FIND(CODES!$A$11,BR28))),CODES!$A$13,IF(OR(BR28&lt;BR$39,ISNUMBER(BR28)=FALSE),BR$40,BR28))))</f>
      </c>
      <c r="BS55" s="7">
        <f>IF(ISBLANK(BS28),"NO DATA",IF(ISNUMBER(FIND(CODES!$A$12,BS28)),CODES!$A$12,IF(OR(ISNUMBER(FIND(CODES!$A$10,BS28)),ISNUMBER(FIND(CODES!$A$11,BS28))),CODES!$A$13,IF(OR(BS28&lt;BS$39,ISNUMBER(BS28)=FALSE),BS$40,BS28))))</f>
      </c>
      <c r="BT55" s="7">
        <f>IF(ISBLANK(BT28),"NO DATA",IF(ISNUMBER(FIND(CODES!$A$12,BT28)),CODES!$A$12,IF(OR(ISNUMBER(FIND(CODES!$A$10,BT28)),ISNUMBER(FIND(CODES!$A$11,BT28))),CODES!$A$13,IF(OR(BT28&lt;BT$39,ISNUMBER(BT28)=FALSE),BT$40,BT28))))</f>
      </c>
      <c r="BU55" s="7">
        <f>IF(ISBLANK(BU28),"NO DATA",IF(ISNUMBER(FIND(CODES!$A$12,BU28)),CODES!$A$12,IF(OR(ISNUMBER(FIND(CODES!$A$10,BU28)),ISNUMBER(FIND(CODES!$A$11,BU28))),CODES!$A$13,IF(OR(BU28&lt;BU$39,ISNUMBER(BU28)=FALSE),BU$40,BU28))))</f>
      </c>
      <c r="BV55" s="7">
        <f>IF(ISBLANK(BV28),"NO DATA",IF(ISNUMBER(FIND(CODES!$A$12,BV28)),CODES!$A$12,IF(OR(ISNUMBER(FIND(CODES!$A$10,BV28)),ISNUMBER(FIND(CODES!$A$11,BV28))),CODES!$A$13,IF(OR(BV28&lt;BV$39,ISNUMBER(BV28)=FALSE),BV$40,BV28))))</f>
      </c>
      <c r="BW55" s="7" t="str">
        <f>IF(ISBLANK(BW28),"NO DATA",IF(ISNUMBER(FIND(CODES!$A$12,BW28)),CODES!$A$12,IF(OR(ISNUMBER(FIND(CODES!$A$10,BW28)),ISNUMBER(FIND(CODES!$A$11,BW28))),CODES!$A$13,IF(OR(BW28&lt;BW$39,ISNUMBER(BW28)=FALSE),BW$40,BW28))))</f>
      </c>
      <c r="BX55" s="7" t="str">
        <f>IF(ISBLANK(BX28),"NO DATA",IF(ISNUMBER(FIND(CODES!$A$12,BX28)),CODES!$A$12,IF(OR(ISNUMBER(FIND(CODES!$A$10,BX28)),ISNUMBER(FIND(CODES!$A$11,BX28))),CODES!$A$13,IF(OR(BX28&lt;BX$39,ISNUMBER(BX28)=FALSE),BX$40,BX28))))</f>
      </c>
      <c r="BY55" s="7">
        <f>IF(ISBLANK(BY28),"NO DATA",IF(ISNUMBER(FIND(CODES!$A$12,BY28)),CODES!$A$12,IF(OR(ISNUMBER(FIND(CODES!$A$10,BY28)),ISNUMBER(FIND(CODES!$A$11,BY28))),CODES!$A$13,IF(OR(BY28&lt;BY$39,ISNUMBER(BY28)=FALSE),BY$40,BY28))))</f>
      </c>
      <c r="BZ55" s="7">
        <f>IF(ISBLANK(BZ28),"NO DATA",IF(ISNUMBER(FIND(CODES!$A$12,BZ28)),CODES!$A$12,IF(OR(ISNUMBER(FIND(CODES!$A$10,BZ28)),ISNUMBER(FIND(CODES!$A$11,BZ28))),CODES!$A$13,IF(OR(BZ28&lt;BZ$39,ISNUMBER(BZ28)=FALSE),BZ$40,BZ28))))</f>
      </c>
      <c r="CA55" s="7">
        <f>IF(ISBLANK(CA28),"NO DATA",IF(ISNUMBER(FIND(CODES!$A$12,CA28)),CODES!$A$12,IF(OR(ISNUMBER(FIND(CODES!$A$10,CA28)),ISNUMBER(FIND(CODES!$A$11,CA28))),CODES!$A$13,IF(OR(CA28&lt;CA$39,ISNUMBER(CA28)=FALSE),CA$40,CA28))))</f>
      </c>
      <c r="CB55" s="7">
        <f>IF(ISBLANK(CB28),"NO DATA",IF(ISNUMBER(FIND(CODES!$A$12,CB28)),CODES!$A$12,IF(OR(ISNUMBER(FIND(CODES!$A$10,CB28)),ISNUMBER(FIND(CODES!$A$11,CB28))),CODES!$A$13,IF(OR(CB28&lt;CB$39,ISNUMBER(CB28)=FALSE),CB$40,CB28))))</f>
      </c>
      <c r="CC55" s="7">
        <f>IF(ISBLANK(CC28),"NO DATA",IF(ISNUMBER(FIND(CODES!$A$12,CC28)),CODES!$A$12,IF(OR(ISNUMBER(FIND(CODES!$A$10,CC28)),ISNUMBER(FIND(CODES!$A$11,CC28))),CODES!$A$13,IF(OR(CC28&lt;CC$39,ISNUMBER(CC28)=FALSE),CC$40,CC28))))</f>
      </c>
      <c r="CD55" s="7">
        <f>IF(ISBLANK(CD28),"NO DATA",IF(ISNUMBER(FIND(CODES!$A$12,CD28)),CODES!$A$12,IF(OR(ISNUMBER(FIND(CODES!$A$10,CD28)),ISNUMBER(FIND(CODES!$A$11,CD28))),CODES!$A$13,IF(OR(CD28&lt;CD$39,ISNUMBER(CD28)=FALSE),CD$40,CD28))))</f>
      </c>
      <c r="CE55" s="7">
        <f>IF(ISBLANK(CE28),"NO DATA",IF(ISNUMBER(FIND(CODES!$A$12,CE28)),CODES!$A$12,IF(OR(ISNUMBER(FIND(CODES!$A$10,CE28)),ISNUMBER(FIND(CODES!$A$11,CE28))),CODES!$A$13,IF(OR(CE28&lt;CE$39,ISNUMBER(CE28)=FALSE),CE$40,CE28))))</f>
      </c>
      <c r="CF55" s="7">
        <f>IF(ISBLANK(CF28),"NO DATA",IF(ISNUMBER(FIND(CODES!$A$12,CF28)),CODES!$A$12,IF(OR(ISNUMBER(FIND(CODES!$A$10,CF28)),ISNUMBER(FIND(CODES!$A$11,CF28))),CODES!$A$13,IF(OR(CF28&lt;CF$39,ISNUMBER(CF28)=FALSE),CF$40,CF28))))</f>
      </c>
      <c r="CG55" s="7">
        <f>IF(ISBLANK(CG28),"NO DATA",IF(ISNUMBER(FIND(CODES!$A$12,CG28)),CODES!$A$12,IF(OR(ISNUMBER(FIND(CODES!$A$10,CG28)),ISNUMBER(FIND(CODES!$A$11,CG28))),CODES!$A$13,IF(OR(CG28&lt;CG$39,ISNUMBER(CG28)=FALSE),CG$40,CG28))))</f>
      </c>
      <c r="CH55" s="7">
        <f>IF(ISBLANK(CH28),"NO DATA",IF(ISNUMBER(FIND(CODES!$A$12,CH28)),CODES!$A$12,IF(OR(ISNUMBER(FIND(CODES!$A$10,CH28)),ISNUMBER(FIND(CODES!$A$11,CH28))),CODES!$A$13,IF(OR(CH28&lt;CH$39,ISNUMBER(CH28)=FALSE),CH$40,CH28))))</f>
      </c>
      <c r="CI55" s="7">
        <f>IF(ISBLANK(CI28),"NO DATA",IF(ISNUMBER(FIND(CODES!$A$12,CI28)),CODES!$A$12,IF(OR(ISNUMBER(FIND(CODES!$A$10,CI28)),ISNUMBER(FIND(CODES!$A$11,CI28))),CODES!$A$13,IF(OR(CI28&lt;CI$39,ISNUMBER(CI28)=FALSE),CI$40,CI28))))</f>
      </c>
      <c r="CJ55" s="7">
        <f>IF(ISBLANK(CJ28),"NO DATA",IF(ISNUMBER(FIND(CODES!$A$12,CJ28)),CODES!$A$12,IF(OR(ISNUMBER(FIND(CODES!$A$10,CJ28)),ISNUMBER(FIND(CODES!$A$11,CJ28))),CODES!$A$13,IF(OR(CJ28&lt;CJ$39,ISNUMBER(CJ28)=FALSE),CJ$40,CJ28))))</f>
      </c>
      <c r="CK55" s="7">
        <f>IF(ISBLANK(CK28),"NO DATA",IF(ISNUMBER(FIND(CODES!$A$12,CK28)),CODES!$A$12,IF(OR(ISNUMBER(FIND(CODES!$A$10,CK28)),ISNUMBER(FIND(CODES!$A$11,CK28))),CODES!$A$13,IF(OR(CK28&lt;CK$39,ISNUMBER(CK28)=FALSE),CK$40,CK28))))</f>
      </c>
      <c r="CL55" s="7">
        <f>IF(ISBLANK(CL28),"NO DATA",IF(ISNUMBER(FIND(CODES!$A$12,CL28)),CODES!$A$12,IF(OR(ISNUMBER(FIND(CODES!$A$10,CL28)),ISNUMBER(FIND(CODES!$A$11,CL28))),CODES!$A$13,IF(OR(CL28&lt;CL$39,ISNUMBER(CL28)=FALSE),CL$40,CL28))))</f>
      </c>
      <c r="CM55" s="7">
        <f>IF(ISBLANK(CM28),"NO DATA",IF(ISNUMBER(FIND(CODES!$A$12,CM28)),CODES!$A$12,IF(OR(ISNUMBER(FIND(CODES!$A$10,CM28)),ISNUMBER(FIND(CODES!$A$11,CM28))),CODES!$A$13,IF(OR(CM28&lt;CM$39,ISNUMBER(CM28)=FALSE),CM$40,CM28))))</f>
      </c>
      <c r="CN55" s="7">
        <f>IF(ISBLANK(CN28),"NO DATA",IF(ISNUMBER(FIND(CODES!$A$12,CN28)),CODES!$A$12,IF(OR(ISNUMBER(FIND(CODES!$A$10,CN28)),ISNUMBER(FIND(CODES!$A$11,CN28))),CODES!$A$13,IF(OR(CN28&lt;CN$39,ISNUMBER(CN28)=FALSE),CN$40,CN28))))</f>
      </c>
      <c r="CO55" s="7">
        <f>IF(ISBLANK(CO28),"NO DATA",IF(ISNUMBER(FIND(CODES!$A$12,CO28)),CODES!$A$12,IF(OR(ISNUMBER(FIND(CODES!$A$10,CO28)),ISNUMBER(FIND(CODES!$A$11,CO28))),CODES!$A$13,IF(OR(CO28&lt;CO$39,ISNUMBER(CO28)=FALSE),CO$40,CO28))))</f>
      </c>
      <c r="CP55" s="7">
        <f>IF(ISBLANK(CP28),"NO DATA",IF(ISNUMBER(FIND(CODES!$A$12,CP28)),CODES!$A$12,IF(OR(ISNUMBER(FIND(CODES!$A$10,CP28)),ISNUMBER(FIND(CODES!$A$11,CP28))),CODES!$A$13,IF(OR(CP28&lt;CP$39,ISNUMBER(CP28)=FALSE),CP$40,CP28))))</f>
      </c>
      <c r="CQ55" s="7">
        <f>IF(ISBLANK(CQ28),"NO DATA",IF(ISNUMBER(FIND(CODES!$A$12,CQ28)),CODES!$A$12,IF(OR(ISNUMBER(FIND(CODES!$A$10,CQ28)),ISNUMBER(FIND(CODES!$A$11,CQ28))),CODES!$A$13,IF(OR(CQ28&lt;CQ$39,ISNUMBER(CQ28)=FALSE),CQ$40,CQ28))))</f>
      </c>
      <c r="CR55" s="7">
        <f>IF(ISBLANK(CR28),"NO DATA",IF(ISNUMBER(FIND(CODES!$A$12,CR28)),CODES!$A$12,IF(OR(ISNUMBER(FIND(CODES!$A$10,CR28)),ISNUMBER(FIND(CODES!$A$11,CR28))),CODES!$A$13,IF(OR(CR28&lt;CR$39,ISNUMBER(CR28)=FALSE),CR$40,CR28))))</f>
      </c>
      <c r="CS55" s="7">
        <f>IF(ISBLANK(CS28),"NO DATA",IF(ISNUMBER(FIND(CODES!$A$12,CS28)),CODES!$A$12,IF(OR(ISNUMBER(FIND(CODES!$A$10,CS28)),ISNUMBER(FIND(CODES!$A$11,CS28))),CODES!$A$13,IF(OR(CS28&lt;CS$39,ISNUMBER(CS28)=FALSE),CS$40,CS28))))</f>
      </c>
      <c r="CT55" s="7">
        <f>IF(ISBLANK(CT28),"NO DATA",IF(ISNUMBER(FIND(CODES!$A$12,CT28)),CODES!$A$12,IF(OR(ISNUMBER(FIND(CODES!$A$10,CT28)),ISNUMBER(FIND(CODES!$A$11,CT28))),CODES!$A$13,IF(OR(CT28&lt;CT$39,ISNUMBER(CT28)=FALSE),CT$40,CT28))))</f>
      </c>
      <c r="CU55" s="7">
        <f>IF(ISBLANK(CU28),"NO DATA",IF(ISNUMBER(FIND(CODES!$A$12,CU28)),CODES!$A$12,IF(OR(ISNUMBER(FIND(CODES!$A$10,CU28)),ISNUMBER(FIND(CODES!$A$11,CU28))),CODES!$A$13,IF(OR(CU28&lt;CU$39,ISNUMBER(CU28)=FALSE),CU$40,CU28))))</f>
      </c>
      <c r="CV55" s="7">
        <f>IF(ISBLANK(CV28),"NO DATA",IF(ISNUMBER(FIND(CODES!$A$12,CV28)),CODES!$A$12,IF(OR(ISNUMBER(FIND(CODES!$A$10,CV28)),ISNUMBER(FIND(CODES!$A$11,CV28))),CODES!$A$13,IF(OR(CV28&lt;CV$39,ISNUMBER(CV28)=FALSE),CV$40,CV28))))</f>
      </c>
      <c r="CW55" s="7">
        <f>IF(ISBLANK(CW28),"NO DATA",IF(ISNUMBER(FIND(CODES!$A$12,CW28)),CODES!$A$12,IF(OR(ISNUMBER(FIND(CODES!$A$10,CW28)),ISNUMBER(FIND(CODES!$A$11,CW28))),CODES!$A$13,IF(OR(CW28&lt;CW$39,ISNUMBER(CW28)=FALSE),CW$40,CW28))))</f>
      </c>
      <c r="CX55" s="7">
        <f>IF(ISBLANK(CX28),"NO DATA",IF(ISNUMBER(FIND(CODES!$A$12,CX28)),CODES!$A$12,IF(OR(ISNUMBER(FIND(CODES!$A$10,CX28)),ISNUMBER(FIND(CODES!$A$11,CX28))),CODES!$A$13,IF(OR(CX28&lt;CX$39,ISNUMBER(CX28)=FALSE),CX$40,CX28))))</f>
      </c>
      <c r="CY55" s="7">
        <f>IF(ISBLANK(CY28),"NO DATA",IF(ISNUMBER(FIND(CODES!$A$12,CY28)),CODES!$A$12,IF(OR(ISNUMBER(FIND(CODES!$A$10,CY28)),ISNUMBER(FIND(CODES!$A$11,CY28))),CODES!$A$13,IF(OR(CY28&lt;CY$39,ISNUMBER(CY28)=FALSE),CY$40,CY28))))</f>
      </c>
      <c r="CZ55" s="7">
        <f>IF(ISBLANK(CZ28),"NO DATA",IF(ISNUMBER(FIND(CODES!$A$12,CZ28)),CODES!$A$12,IF(OR(ISNUMBER(FIND(CODES!$A$10,CZ28)),ISNUMBER(FIND(CODES!$A$11,CZ28))),CODES!$A$13,IF(OR(CZ28&lt;CZ$39,ISNUMBER(CZ28)=FALSE),CZ$40,CZ28))))</f>
      </c>
      <c r="DA55" s="7">
        <f>IF(ISBLANK(DA28),"NO DATA",IF(ISNUMBER(FIND(CODES!$A$12,DA28)),CODES!$A$12,IF(OR(ISNUMBER(FIND(CODES!$A$10,DA28)),ISNUMBER(FIND(CODES!$A$11,DA28))),CODES!$A$13,IF(OR(DA28&lt;DA$39,ISNUMBER(DA28)=FALSE),DA$40,DA28))))</f>
      </c>
      <c r="DB55" s="7" t="str">
        <f>IF(ISBLANK(DB28),"NO DATA",IF(ISNUMBER(FIND(CODES!$A$12,DB28)),CODES!$A$12,IF(OR(ISNUMBER(FIND(CODES!$A$10,DB28)),ISNUMBER(FIND(CODES!$A$11,DB28))),CODES!$A$13,IF(OR(DB28&lt;DB$39,ISNUMBER(DB28)=FALSE),DB$40,DB28))))</f>
      </c>
      <c r="DC55" s="7" t="str">
        <f>IF(ISBLANK(DC28),"NO DATA",IF(ISNUMBER(FIND(CODES!$A$12,DC28)),CODES!$A$12,IF(OR(ISNUMBER(FIND(CODES!$A$10,DC28)),ISNUMBER(FIND(CODES!$A$11,DC28))),CODES!$A$13,IF(OR(DC28&lt;DC$39,ISNUMBER(DC28)=FALSE),DC$40,DC28))))</f>
      </c>
      <c r="DD55" s="7">
        <f>IF(ISBLANK(DD28),"NO DATA",IF(ISNUMBER(FIND(CODES!$A$12,DD28)),CODES!$A$12,IF(OR(ISNUMBER(FIND(CODES!$A$10,DD28)),ISNUMBER(FIND(CODES!$A$11,DD28))),CODES!$A$13,IF(OR(DD28&lt;DD$39,ISNUMBER(DD28)=FALSE),DD$40,DD28))))</f>
      </c>
      <c r="DE55" s="7">
        <f>IF(ISBLANK(DE28),"NO DATA",IF(ISNUMBER(FIND(CODES!$A$12,DE28)),CODES!$A$12,IF(OR(ISNUMBER(FIND(CODES!$A$10,DE28)),ISNUMBER(FIND(CODES!$A$11,DE28))),CODES!$A$13,IF(OR(DE28&lt;DE$39,ISNUMBER(DE28)=FALSE),DE$40,DE28))))</f>
      </c>
      <c r="DF55" s="7">
        <f>IF(ISBLANK(DF28),"NO DATA",IF(ISNUMBER(FIND(CODES!$A$12,DF28)),CODES!$A$12,IF(OR(ISNUMBER(FIND(CODES!$A$10,DF28)),ISNUMBER(FIND(CODES!$A$11,DF28))),CODES!$A$13,IF(OR(DF28&lt;DF$39,ISNUMBER(DF28)=FALSE),DF$40,DF28))))</f>
      </c>
      <c r="DG55" s="7">
        <f>IF(ISBLANK(DG28),"NO DATA",IF(ISNUMBER(FIND(CODES!$A$12,DG28)),CODES!$A$12,IF(OR(ISNUMBER(FIND(CODES!$A$10,DG28)),ISNUMBER(FIND(CODES!$A$11,DG28))),CODES!$A$13,IF(OR(DG28&lt;DG$39,ISNUMBER(DG28)=FALSE),DG$40,DG28))))</f>
      </c>
      <c r="DH55" s="7">
        <f>IF(ISBLANK(DH28),"NO DATA",IF(ISNUMBER(FIND(CODES!$A$12,DH28)),CODES!$A$12,IF(OR(ISNUMBER(FIND(CODES!$A$10,DH28)),ISNUMBER(FIND(CODES!$A$11,DH28))),CODES!$A$13,IF(OR(DH28&lt;DH$39,ISNUMBER(DH28)=FALSE),DH$40,DH28))))</f>
      </c>
      <c r="DI55" s="7">
        <f>IF(ISBLANK(DI28),"NO DATA",IF(ISNUMBER(FIND(CODES!$A$12,DI28)),CODES!$A$12,IF(OR(ISNUMBER(FIND(CODES!$A$10,DI28)),ISNUMBER(FIND(CODES!$A$11,DI28))),CODES!$A$13,IF(OR(DI28&lt;DI$39,ISNUMBER(DI28)=FALSE),DI$40,DI28))))</f>
      </c>
    </row>
    <row r="56" spans="1:113" x14ac:dyDescent="0.25">
      <c r="A56" s="16" t="str">
        <f t="shared" si="8"/>
      </c>
      <c r="B56" s="16" t="str">
        <f t="shared" si="8"/>
      </c>
      <c r="C56" s="7">
        <f>IF(ISBLANK(C29),"NO DATA",IF(ISNUMBER(FIND(CODES!$A$12,C29)),CODES!$A$12,IF(OR(ISNUMBER(FIND(CODES!$A$10,C29)),ISNUMBER(FIND(CODES!$A$11,C29))),CODES!$A$13,IF(OR(C29&lt;C$39,ISNUMBER(C29)=FALSE),C$40,C29))))</f>
      </c>
      <c r="D56" s="7">
        <f>IF(ISBLANK(D29),"NO DATA",IF(ISNUMBER(FIND(CODES!$A$12,D29)),CODES!$A$12,IF(OR(ISNUMBER(FIND(CODES!$A$10,D29)),ISNUMBER(FIND(CODES!$A$11,D29))),CODES!$A$13,IF(OR(D29&lt;D$39,ISNUMBER(D29)=FALSE),D$40,D29))))</f>
      </c>
      <c r="E56" s="7" t="str">
        <f>IF(ISBLANK(E29),"NO DATA",IF(ISNUMBER(FIND(CODES!$A$12,E29)),CODES!$A$12,IF(OR(ISNUMBER(FIND(CODES!$A$10,E29)),ISNUMBER(FIND(CODES!$A$11,E29))),CODES!$A$13,IF(OR(E29&lt;E$39,ISNUMBER(E29)=FALSE),E$40,E29))))</f>
      </c>
      <c r="F56" s="7">
        <f>IF(ISBLANK(F29),"NO DATA",IF(ISNUMBER(FIND(CODES!$A$12,F29)),CODES!$A$12,IF(OR(ISNUMBER(FIND(CODES!$A$10,F29)),ISNUMBER(FIND(CODES!$A$11,F29))),CODES!$A$13,IF(OR(F29&lt;F$39,ISNUMBER(F29)=FALSE),F$40,F29))))</f>
      </c>
      <c r="G56" s="7">
        <f>IF(ISBLANK(G29),"NO DATA",IF(ISNUMBER(FIND(CODES!$A$12,G29)),CODES!$A$12,IF(OR(ISNUMBER(FIND(CODES!$A$10,G29)),ISNUMBER(FIND(CODES!$A$11,G29))),CODES!$A$13,IF(OR(G29&lt;G$39,ISNUMBER(G29)=FALSE),G$40,G29))))</f>
      </c>
      <c r="H56" s="7">
        <f>IF(ISBLANK(H29),"NO DATA",IF(ISNUMBER(FIND(CODES!$A$12,H29)),CODES!$A$12,IF(OR(ISNUMBER(FIND(CODES!$A$10,H29)),ISNUMBER(FIND(CODES!$A$11,H29))),CODES!$A$13,IF(OR(H29&lt;H$39,ISNUMBER(H29)=FALSE),H$40,H29))))</f>
      </c>
      <c r="I56" s="7">
        <f>IF(ISBLANK(I29),"NO DATA",IF(ISNUMBER(FIND(CODES!$A$12,I29)),CODES!$A$12,IF(OR(ISNUMBER(FIND(CODES!$A$10,I29)),ISNUMBER(FIND(CODES!$A$11,I29))),CODES!$A$13,IF(OR(I29&lt;I$39,ISNUMBER(I29)=FALSE),I$40,I29))))</f>
      </c>
      <c r="J56" s="7">
        <f>IF(ISBLANK(J29),"NO DATA",IF(ISNUMBER(FIND(CODES!$A$12,J29)),CODES!$A$12,IF(OR(ISNUMBER(FIND(CODES!$A$10,J29)),ISNUMBER(FIND(CODES!$A$11,J29))),CODES!$A$13,IF(OR(J29&lt;J$39,ISNUMBER(J29)=FALSE),J$40,J29))))</f>
      </c>
      <c r="K56" s="7">
        <f>IF(ISBLANK(K29),"NO DATA",IF(ISNUMBER(FIND(CODES!$A$12,K29)),CODES!$A$12,IF(OR(ISNUMBER(FIND(CODES!$A$10,K29)),ISNUMBER(FIND(CODES!$A$11,K29))),CODES!$A$13,IF(OR(K29&lt;K$39,ISNUMBER(K29)=FALSE),K$40,K29))))</f>
      </c>
      <c r="L56" s="7">
        <f>IF(ISBLANK(L29),"NO DATA",IF(ISNUMBER(FIND(CODES!$A$12,L29)),CODES!$A$12,IF(OR(ISNUMBER(FIND(CODES!$A$10,L29)),ISNUMBER(FIND(CODES!$A$11,L29))),CODES!$A$13,IF(OR(L29&lt;L$39,ISNUMBER(L29)=FALSE),L$40,L29))))</f>
      </c>
      <c r="M56" s="7">
        <f>IF(ISBLANK(M29),"NO DATA",IF(ISNUMBER(FIND(CODES!$A$12,M29)),CODES!$A$12,IF(OR(ISNUMBER(FIND(CODES!$A$10,M29)),ISNUMBER(FIND(CODES!$A$11,M29))),CODES!$A$13,IF(OR(M29&lt;M$39,ISNUMBER(M29)=FALSE),M$40,M29))))</f>
      </c>
      <c r="N56" s="7" t="str">
        <f>IF(ISBLANK(N29),"NO DATA",IF(ISNUMBER(FIND(CODES!$A$12,N29)),CODES!$A$12,IF(OR(ISNUMBER(FIND(CODES!$A$10,N29)),ISNUMBER(FIND(CODES!$A$11,N29))),CODES!$A$13,IF(OR(N29&lt;N$39,ISNUMBER(N29)=FALSE),N$40,N29))))</f>
      </c>
      <c r="O56" s="7" t="str">
        <f>IF(ISBLANK(O29),"NO DATA",IF(ISNUMBER(FIND(CODES!$A$12,O29)),CODES!$A$12,IF(OR(ISNUMBER(FIND(CODES!$A$10,O29)),ISNUMBER(FIND(CODES!$A$11,O29))),CODES!$A$13,IF(OR(O29&lt;O$39,ISNUMBER(O29)=FALSE),O$40,O29))))</f>
      </c>
      <c r="P56" s="7">
        <f>IF(ISBLANK(P29),"NO DATA",IF(ISNUMBER(FIND(CODES!$A$12,P29)),CODES!$A$12,IF(OR(ISNUMBER(FIND(CODES!$A$10,P29)),ISNUMBER(FIND(CODES!$A$11,P29))),CODES!$A$13,IF(OR(P29&lt;P$39,ISNUMBER(P29)=FALSE),P$40,P29))))</f>
      </c>
      <c r="Q56" s="7">
        <f>IF(ISBLANK(Q29),"NO DATA",IF(ISNUMBER(FIND(CODES!$A$12,Q29)),CODES!$A$12,IF(OR(ISNUMBER(FIND(CODES!$A$10,Q29)),ISNUMBER(FIND(CODES!$A$11,Q29))),CODES!$A$13,IF(OR(Q29&lt;Q$39,ISNUMBER(Q29)=FALSE),Q$40,Q29))))</f>
      </c>
      <c r="R56" s="7">
        <f>IF(ISBLANK(R29),"NO DATA",IF(ISNUMBER(FIND(CODES!$A$12,R29)),CODES!$A$12,IF(OR(ISNUMBER(FIND(CODES!$A$10,R29)),ISNUMBER(FIND(CODES!$A$11,R29))),CODES!$A$13,IF(OR(R29&lt;R$39,ISNUMBER(R29)=FALSE),R$40,R29))))</f>
      </c>
      <c r="S56" s="7">
        <f>IF(ISBLANK(S29),"NO DATA",IF(ISNUMBER(FIND(CODES!$A$12,S29)),CODES!$A$12,IF(OR(ISNUMBER(FIND(CODES!$A$10,S29)),ISNUMBER(FIND(CODES!$A$11,S29))),CODES!$A$13,IF(OR(S29&lt;S$39,ISNUMBER(S29)=FALSE),S$40,S29))))</f>
      </c>
      <c r="T56" s="7">
        <f>IF(ISBLANK(T29),"NO DATA",IF(ISNUMBER(FIND(CODES!$A$12,T29)),CODES!$A$12,IF(OR(ISNUMBER(FIND(CODES!$A$10,T29)),ISNUMBER(FIND(CODES!$A$11,T29))),CODES!$A$13,IF(OR(T29&lt;T$39,ISNUMBER(T29)=FALSE),T$40,T29))))</f>
      </c>
      <c r="U56" s="7">
        <f>IF(ISBLANK(U29),"NO DATA",IF(ISNUMBER(FIND(CODES!$A$12,U29)),CODES!$A$12,IF(OR(ISNUMBER(FIND(CODES!$A$10,U29)),ISNUMBER(FIND(CODES!$A$11,U29))),CODES!$A$13,IF(OR(U29&lt;U$39,ISNUMBER(U29)=FALSE),U$40,U29))))</f>
      </c>
      <c r="V56" s="7">
        <f>IF(ISBLANK(V29),"NO DATA",IF(ISNUMBER(FIND(CODES!$A$12,V29)),CODES!$A$12,IF(OR(ISNUMBER(FIND(CODES!$A$10,V29)),ISNUMBER(FIND(CODES!$A$11,V29))),CODES!$A$13,IF(OR(V29&lt;V$39,ISNUMBER(V29)=FALSE),V$40,V29))))</f>
      </c>
      <c r="W56" s="7">
        <f>IF(ISBLANK(W29),"NO DATA",IF(ISNUMBER(FIND(CODES!$A$12,W29)),CODES!$A$12,IF(OR(ISNUMBER(FIND(CODES!$A$10,W29)),ISNUMBER(FIND(CODES!$A$11,W29))),CODES!$A$13,IF(OR(W29&lt;W$39,ISNUMBER(W29)=FALSE),W$40,W29))))</f>
      </c>
      <c r="X56" s="7">
        <f>IF(ISBLANK(X29),"NO DATA",IF(ISNUMBER(FIND(CODES!$A$12,X29)),CODES!$A$12,IF(OR(ISNUMBER(FIND(CODES!$A$10,X29)),ISNUMBER(FIND(CODES!$A$11,X29))),CODES!$A$13,IF(OR(X29&lt;X$39,ISNUMBER(X29)=FALSE),X$40,X29))))</f>
      </c>
      <c r="Y56" s="7">
        <f>IF(ISBLANK(Y29),"NO DATA",IF(ISNUMBER(FIND(CODES!$A$12,Y29)),CODES!$A$12,IF(OR(ISNUMBER(FIND(CODES!$A$10,Y29)),ISNUMBER(FIND(CODES!$A$11,Y29))),CODES!$A$13,IF(OR(Y29&lt;Y$39,ISNUMBER(Y29)=FALSE),Y$40,Y29))))</f>
      </c>
      <c r="Z56" s="7">
        <f>IF(ISBLANK(Z29),"NO DATA",IF(ISNUMBER(FIND(CODES!$A$12,Z29)),CODES!$A$12,IF(OR(ISNUMBER(FIND(CODES!$A$10,Z29)),ISNUMBER(FIND(CODES!$A$11,Z29))),CODES!$A$13,IF(OR(Z29&lt;Z$39,ISNUMBER(Z29)=FALSE),Z$40,Z29))))</f>
      </c>
      <c r="AA56" s="7">
        <f>IF(ISBLANK(AA29),"NO DATA",IF(ISNUMBER(FIND(CODES!$A$12,AA29)),CODES!$A$12,IF(OR(ISNUMBER(FIND(CODES!$A$10,AA29)),ISNUMBER(FIND(CODES!$A$11,AA29))),CODES!$A$13,IF(OR(AA29&lt;AA$39,ISNUMBER(AA29)=FALSE),AA$40,AA29))))</f>
      </c>
      <c r="AB56" s="7">
        <f>IF(ISBLANK(AB29),"NO DATA",IF(ISNUMBER(FIND(CODES!$A$12,AB29)),CODES!$A$12,IF(OR(ISNUMBER(FIND(CODES!$A$10,AB29)),ISNUMBER(FIND(CODES!$A$11,AB29))),CODES!$A$13,IF(OR(AB29&lt;AB$39,ISNUMBER(AB29)=FALSE),AB$40,AB29))))</f>
      </c>
      <c r="AC56" s="7">
        <f>IF(ISBLANK(AC29),"NO DATA",IF(ISNUMBER(FIND(CODES!$A$12,AC29)),CODES!$A$12,IF(OR(ISNUMBER(FIND(CODES!$A$10,AC29)),ISNUMBER(FIND(CODES!$A$11,AC29))),CODES!$A$13,IF(OR(AC29&lt;AC$39,ISNUMBER(AC29)=FALSE),AC$40,AC29))))</f>
      </c>
      <c r="AD56" s="7">
        <f>IF(ISBLANK(AD29),"NO DATA",IF(ISNUMBER(FIND(CODES!$A$12,AD29)),CODES!$A$12,IF(OR(ISNUMBER(FIND(CODES!$A$10,AD29)),ISNUMBER(FIND(CODES!$A$11,AD29))),CODES!$A$13,IF(OR(AD29&lt;AD$39,ISNUMBER(AD29)=FALSE),AD$40,AD29))))</f>
      </c>
      <c r="AE56" s="7">
        <f>IF(ISBLANK(AE29),"NO DATA",IF(ISNUMBER(FIND(CODES!$A$12,AE29)),CODES!$A$12,IF(OR(ISNUMBER(FIND(CODES!$A$10,AE29)),ISNUMBER(FIND(CODES!$A$11,AE29))),CODES!$A$13,IF(OR(AE29&lt;AE$39,ISNUMBER(AE29)=FALSE),AE$40,AE29))))</f>
      </c>
      <c r="AF56" s="7">
        <f>IF(ISBLANK(AF29),"NO DATA",IF(ISNUMBER(FIND(CODES!$A$12,AF29)),CODES!$A$12,IF(OR(ISNUMBER(FIND(CODES!$A$10,AF29)),ISNUMBER(FIND(CODES!$A$11,AF29))),CODES!$A$13,IF(OR(AF29&lt;AF$39,ISNUMBER(AF29)=FALSE),AF$40,AF29))))</f>
      </c>
      <c r="AG56" s="7" t="str">
        <f>IF(ISBLANK(AG29),"NO DATA",IF(ISNUMBER(FIND(CODES!$A$12,AG29)),CODES!$A$12,IF(OR(ISNUMBER(FIND(CODES!$A$10,AG29)),ISNUMBER(FIND(CODES!$A$11,AG29))),CODES!$A$13,IF(OR(AG29&lt;AG$39,ISNUMBER(AG29)=FALSE),AG$40,AG29))))</f>
      </c>
      <c r="AH56" s="7" t="str">
        <f>IF(ISBLANK(AH29),"NO DATA",IF(ISNUMBER(FIND(CODES!$A$12,AH29)),CODES!$A$12,IF(OR(ISNUMBER(FIND(CODES!$A$10,AH29)),ISNUMBER(FIND(CODES!$A$11,AH29))),CODES!$A$13,IF(OR(AH29&lt;AH$39,ISNUMBER(AH29)=FALSE),AH$40,AH29))))</f>
      </c>
      <c r="AI56" s="7">
        <f>IF(ISBLANK(AI29),"NO DATA",IF(ISNUMBER(FIND(CODES!$A$12,AI29)),CODES!$A$12,IF(OR(ISNUMBER(FIND(CODES!$A$10,AI29)),ISNUMBER(FIND(CODES!$A$11,AI29))),CODES!$A$13,IF(OR(AI29&lt;AI$39,ISNUMBER(AI29)=FALSE),AI$40,AI29))))</f>
      </c>
      <c r="AJ56" s="7">
        <f>IF(ISBLANK(AJ29),"NO DATA",IF(ISNUMBER(FIND(CODES!$A$12,AJ29)),CODES!$A$12,IF(OR(ISNUMBER(FIND(CODES!$A$10,AJ29)),ISNUMBER(FIND(CODES!$A$11,AJ29))),CODES!$A$13,IF(OR(AJ29&lt;AJ$39,ISNUMBER(AJ29)=FALSE),AJ$40,AJ29))))</f>
      </c>
      <c r="AK56" s="7">
        <f>IF(ISBLANK(AK29),"NO DATA",IF(ISNUMBER(FIND(CODES!$A$12,AK29)),CODES!$A$12,IF(OR(ISNUMBER(FIND(CODES!$A$10,AK29)),ISNUMBER(FIND(CODES!$A$11,AK29))),CODES!$A$13,IF(OR(AK29&lt;AK$39,ISNUMBER(AK29)=FALSE),AK$40,AK29))))</f>
      </c>
      <c r="AL56" s="7">
        <f>IF(ISBLANK(AL29),"NO DATA",IF(ISNUMBER(FIND(CODES!$A$12,AL29)),CODES!$A$12,IF(OR(ISNUMBER(FIND(CODES!$A$10,AL29)),ISNUMBER(FIND(CODES!$A$11,AL29))),CODES!$A$13,IF(OR(AL29&lt;AL$39,ISNUMBER(AL29)=FALSE),AL$40,AL29))))</f>
      </c>
      <c r="AM56" s="7">
        <f>IF(ISBLANK(AM29),"NO DATA",IF(ISNUMBER(FIND(CODES!$A$12,AM29)),CODES!$A$12,IF(OR(ISNUMBER(FIND(CODES!$A$10,AM29)),ISNUMBER(FIND(CODES!$A$11,AM29))),CODES!$A$13,IF(OR(AM29&lt;AM$39,ISNUMBER(AM29)=FALSE),AM$40,AM29))))</f>
      </c>
      <c r="AN56" s="7">
        <f>IF(ISBLANK(AN29),"NO DATA",IF(ISNUMBER(FIND(CODES!$A$12,AN29)),CODES!$A$12,IF(OR(ISNUMBER(FIND(CODES!$A$10,AN29)),ISNUMBER(FIND(CODES!$A$11,AN29))),CODES!$A$13,IF(OR(AN29&lt;AN$39,ISNUMBER(AN29)=FALSE),AN$40,AN29))))</f>
      </c>
      <c r="AO56" s="7">
        <f>IF(ISBLANK(AO29),"NO DATA",IF(ISNUMBER(FIND(CODES!$A$12,AO29)),CODES!$A$12,IF(OR(ISNUMBER(FIND(CODES!$A$10,AO29)),ISNUMBER(FIND(CODES!$A$11,AO29))),CODES!$A$13,IF(OR(AO29&lt;AO$39,ISNUMBER(AO29)=FALSE),AO$40,AO29))))</f>
      </c>
      <c r="AP56" s="7">
        <f>IF(ISBLANK(AP29),"NO DATA",IF(ISNUMBER(FIND(CODES!$A$12,AP29)),CODES!$A$12,IF(OR(ISNUMBER(FIND(CODES!$A$10,AP29)),ISNUMBER(FIND(CODES!$A$11,AP29))),CODES!$A$13,IF(OR(AP29&lt;AP$39,ISNUMBER(AP29)=FALSE),AP$40,AP29))))</f>
      </c>
      <c r="AQ56" s="7">
        <f>IF(ISBLANK(AQ29),"NO DATA",IF(ISNUMBER(FIND(CODES!$A$12,AQ29)),CODES!$A$12,IF(OR(ISNUMBER(FIND(CODES!$A$10,AQ29)),ISNUMBER(FIND(CODES!$A$11,AQ29))),CODES!$A$13,IF(OR(AQ29&lt;AQ$39,ISNUMBER(AQ29)=FALSE),AQ$40,AQ29))))</f>
      </c>
      <c r="AR56" s="7">
        <f>IF(ISBLANK(AR29),"NO DATA",IF(ISNUMBER(FIND(CODES!$A$12,AR29)),CODES!$A$12,IF(OR(ISNUMBER(FIND(CODES!$A$10,AR29)),ISNUMBER(FIND(CODES!$A$11,AR29))),CODES!$A$13,IF(OR(AR29&lt;AR$39,ISNUMBER(AR29)=FALSE),AR$40,AR29))))</f>
      </c>
      <c r="AS56" s="7">
        <f>IF(ISBLANK(AS29),"NO DATA",IF(ISNUMBER(FIND(CODES!$A$12,AS29)),CODES!$A$12,IF(OR(ISNUMBER(FIND(CODES!$A$10,AS29)),ISNUMBER(FIND(CODES!$A$11,AS29))),CODES!$A$13,IF(OR(AS29&lt;AS$39,ISNUMBER(AS29)=FALSE),AS$40,AS29))))</f>
      </c>
      <c r="AT56" s="7">
        <f>IF(ISBLANK(AT29),"NO DATA",IF(ISNUMBER(FIND(CODES!$A$12,AT29)),CODES!$A$12,IF(OR(ISNUMBER(FIND(CODES!$A$10,AT29)),ISNUMBER(FIND(CODES!$A$11,AT29))),CODES!$A$13,IF(OR(AT29&lt;AT$39,ISNUMBER(AT29)=FALSE),AT$40,AT29))))</f>
      </c>
      <c r="AU56" s="7">
        <f>IF(ISBLANK(AU29),"NO DATA",IF(ISNUMBER(FIND(CODES!$A$12,AU29)),CODES!$A$12,IF(OR(ISNUMBER(FIND(CODES!$A$10,AU29)),ISNUMBER(FIND(CODES!$A$11,AU29))),CODES!$A$13,IF(OR(AU29&lt;AU$39,ISNUMBER(AU29)=FALSE),AU$40,AU29))))</f>
      </c>
      <c r="AV56" s="7" t="str">
        <f>IF(ISBLANK(AV29),"NO DATA",IF(ISNUMBER(FIND(CODES!$A$12,AV29)),CODES!$A$12,IF(OR(ISNUMBER(FIND(CODES!$A$10,AV29)),ISNUMBER(FIND(CODES!$A$11,AV29))),CODES!$A$13,IF(OR(AV29&lt;AV$39,ISNUMBER(AV29)=FALSE),AV$40,AV29))))</f>
      </c>
      <c r="AW56" s="7" t="str">
        <f>IF(ISBLANK(AW29),"NO DATA",IF(ISNUMBER(FIND(CODES!$A$12,AW29)),CODES!$A$12,IF(OR(ISNUMBER(FIND(CODES!$A$10,AW29)),ISNUMBER(FIND(CODES!$A$11,AW29))),CODES!$A$13,IF(OR(AW29&lt;AW$39,ISNUMBER(AW29)=FALSE),AW$40,AW29))))</f>
      </c>
      <c r="AX56" s="7">
        <f>IF(ISBLANK(AX29),"NO DATA",IF(ISNUMBER(FIND(CODES!$A$12,AX29)),CODES!$A$12,IF(OR(ISNUMBER(FIND(CODES!$A$10,AX29)),ISNUMBER(FIND(CODES!$A$11,AX29))),CODES!$A$13,IF(OR(AX29&lt;AX$39,ISNUMBER(AX29)=FALSE),AX$40,AX29))))</f>
      </c>
      <c r="AY56" s="7">
        <f>IF(ISBLANK(AY29),"NO DATA",IF(ISNUMBER(FIND(CODES!$A$12,AY29)),CODES!$A$12,IF(OR(ISNUMBER(FIND(CODES!$A$10,AY29)),ISNUMBER(FIND(CODES!$A$11,AY29))),CODES!$A$13,IF(OR(AY29&lt;AY$39,ISNUMBER(AY29)=FALSE),AY$40,AY29))))</f>
      </c>
      <c r="AZ56" s="7">
        <f>IF(ISBLANK(AZ29),"NO DATA",IF(ISNUMBER(FIND(CODES!$A$12,AZ29)),CODES!$A$12,IF(OR(ISNUMBER(FIND(CODES!$A$10,AZ29)),ISNUMBER(FIND(CODES!$A$11,AZ29))),CODES!$A$13,IF(OR(AZ29&lt;AZ$39,ISNUMBER(AZ29)=FALSE),AZ$40,AZ29))))</f>
      </c>
      <c r="BA56" s="7">
        <f>IF(ISBLANK(BA29),"NO DATA",IF(ISNUMBER(FIND(CODES!$A$12,BA29)),CODES!$A$12,IF(OR(ISNUMBER(FIND(CODES!$A$10,BA29)),ISNUMBER(FIND(CODES!$A$11,BA29))),CODES!$A$13,IF(OR(BA29&lt;BA$39,ISNUMBER(BA29)=FALSE),BA$40,BA29))))</f>
      </c>
      <c r="BB56" s="7">
        <f>IF(ISBLANK(BB29),"NO DATA",IF(ISNUMBER(FIND(CODES!$A$12,BB29)),CODES!$A$12,IF(OR(ISNUMBER(FIND(CODES!$A$10,BB29)),ISNUMBER(FIND(CODES!$A$11,BB29))),CODES!$A$13,IF(OR(BB29&lt;BB$39,ISNUMBER(BB29)=FALSE),BB$40,BB29))))</f>
      </c>
      <c r="BC56" s="7">
        <f>IF(ISBLANK(BC29),"NO DATA",IF(ISNUMBER(FIND(CODES!$A$12,BC29)),CODES!$A$12,IF(OR(ISNUMBER(FIND(CODES!$A$10,BC29)),ISNUMBER(FIND(CODES!$A$11,BC29))),CODES!$A$13,IF(OR(BC29&lt;BC$39,ISNUMBER(BC29)=FALSE),BC$40,BC29))))</f>
      </c>
      <c r="BD56" s="7">
        <f>IF(ISBLANK(BD29),"NO DATA",IF(ISNUMBER(FIND(CODES!$A$12,BD29)),CODES!$A$12,IF(OR(ISNUMBER(FIND(CODES!$A$10,BD29)),ISNUMBER(FIND(CODES!$A$11,BD29))),CODES!$A$13,IF(OR(BD29&lt;BD$39,ISNUMBER(BD29)=FALSE),BD$40,BD29))))</f>
      </c>
      <c r="BE56" s="7">
        <f>IF(ISBLANK(BE29),"NO DATA",IF(ISNUMBER(FIND(CODES!$A$12,BE29)),CODES!$A$12,IF(OR(ISNUMBER(FIND(CODES!$A$10,BE29)),ISNUMBER(FIND(CODES!$A$11,BE29))),CODES!$A$13,IF(OR(BE29&lt;BE$39,ISNUMBER(BE29)=FALSE),BE$40,BE29))))</f>
      </c>
      <c r="BF56" s="7">
        <f>IF(ISBLANK(BF29),"NO DATA",IF(ISNUMBER(FIND(CODES!$A$12,BF29)),CODES!$A$12,IF(OR(ISNUMBER(FIND(CODES!$A$10,BF29)),ISNUMBER(FIND(CODES!$A$11,BF29))),CODES!$A$13,IF(OR(BF29&lt;BF$39,ISNUMBER(BF29)=FALSE),BF$40,BF29))))</f>
      </c>
      <c r="BG56" s="7">
        <f>IF(ISBLANK(BG29),"NO DATA",IF(ISNUMBER(FIND(CODES!$A$12,BG29)),CODES!$A$12,IF(OR(ISNUMBER(FIND(CODES!$A$10,BG29)),ISNUMBER(FIND(CODES!$A$11,BG29))),CODES!$A$13,IF(OR(BG29&lt;BG$39,ISNUMBER(BG29)=FALSE),BG$40,BG29))))</f>
      </c>
      <c r="BH56" s="7">
        <f>IF(ISBLANK(BH29),"NO DATA",IF(ISNUMBER(FIND(CODES!$A$12,BH29)),CODES!$A$12,IF(OR(ISNUMBER(FIND(CODES!$A$10,BH29)),ISNUMBER(FIND(CODES!$A$11,BH29))),CODES!$A$13,IF(OR(BH29&lt;BH$39,ISNUMBER(BH29)=FALSE),BH$40,BH29))))</f>
      </c>
      <c r="BI56" s="7" t="str">
        <f>IF(ISBLANK(BI29),"NO DATA",IF(ISNUMBER(FIND(CODES!$A$12,BI29)),CODES!$A$12,IF(OR(ISNUMBER(FIND(CODES!$A$10,BI29)),ISNUMBER(FIND(CODES!$A$11,BI29))),CODES!$A$13,IF(OR(BI29&lt;BI$39,ISNUMBER(BI29)=FALSE),BI$40,BI29))))</f>
      </c>
      <c r="BJ56" s="7">
        <f>IF(ISBLANK(BJ29),"NO DATA",IF(ISNUMBER(FIND(CODES!$A$12,BJ29)),CODES!$A$12,IF(OR(ISNUMBER(FIND(CODES!$A$10,BJ29)),ISNUMBER(FIND(CODES!$A$11,BJ29))),CODES!$A$13,IF(OR(BJ29&lt;BJ$39,ISNUMBER(BJ29)=FALSE),BJ$40,BJ29))))</f>
      </c>
      <c r="BK56" s="7">
        <f>IF(ISBLANK(BK29),"NO DATA",IF(ISNUMBER(FIND(CODES!$A$12,BK29)),CODES!$A$12,IF(OR(ISNUMBER(FIND(CODES!$A$10,BK29)),ISNUMBER(FIND(CODES!$A$11,BK29))),CODES!$A$13,IF(OR(BK29&lt;BK$39,ISNUMBER(BK29)=FALSE),BK$40,BK29))))</f>
      </c>
      <c r="BL56" s="7" t="str">
        <f>IF(ISBLANK(BL29),"NO DATA",IF(ISNUMBER(FIND(CODES!$A$12,BL29)),CODES!$A$12,IF(OR(ISNUMBER(FIND(CODES!$A$10,BL29)),ISNUMBER(FIND(CODES!$A$11,BL29))),CODES!$A$13,IF(OR(BL29&lt;BL$39,ISNUMBER(BL29)=FALSE),BL$40,BL29))))</f>
      </c>
      <c r="BM56" s="7" t="str">
        <f>IF(ISBLANK(BM29),"NO DATA",IF(ISNUMBER(FIND(CODES!$A$12,BM29)),CODES!$A$12,IF(OR(ISNUMBER(FIND(CODES!$A$10,BM29)),ISNUMBER(FIND(CODES!$A$11,BM29))),CODES!$A$13,IF(OR(BM29&lt;BM$39,ISNUMBER(BM29)=FALSE),BM$40,BM29))))</f>
      </c>
      <c r="BN56" s="7" t="str">
        <f>IF(ISBLANK(BN29),"NO DATA",IF(ISNUMBER(FIND(CODES!$A$12,BN29)),CODES!$A$12,IF(OR(ISNUMBER(FIND(CODES!$A$10,BN29)),ISNUMBER(FIND(CODES!$A$11,BN29))),CODES!$A$13,IF(OR(BN29&lt;BN$39,ISNUMBER(BN29)=FALSE),BN$40,BN29))))</f>
      </c>
      <c r="BO56" s="7" t="str">
        <f>IF(ISBLANK(BO29),"NO DATA",IF(ISNUMBER(FIND(CODES!$A$12,BO29)),CODES!$A$12,IF(OR(ISNUMBER(FIND(CODES!$A$10,BO29)),ISNUMBER(FIND(CODES!$A$11,BO29))),CODES!$A$13,IF(OR(BO29&lt;BO$39,ISNUMBER(BO29)=FALSE),BO$40,BO29))))</f>
      </c>
      <c r="BP56" s="7">
        <f>IF(ISBLANK(BP29),"NO DATA",IF(ISNUMBER(FIND(CODES!$A$12,BP29)),CODES!$A$12,IF(OR(ISNUMBER(FIND(CODES!$A$10,BP29)),ISNUMBER(FIND(CODES!$A$11,BP29))),CODES!$A$13,IF(OR(BP29&lt;BP$39,ISNUMBER(BP29)=FALSE),BP$40,BP29))))</f>
      </c>
      <c r="BQ56" s="7">
        <f>IF(ISBLANK(BQ29),"NO DATA",IF(ISNUMBER(FIND(CODES!$A$12,BQ29)),CODES!$A$12,IF(OR(ISNUMBER(FIND(CODES!$A$10,BQ29)),ISNUMBER(FIND(CODES!$A$11,BQ29))),CODES!$A$13,IF(OR(BQ29&lt;BQ$39,ISNUMBER(BQ29)=FALSE),BQ$40,BQ29))))</f>
      </c>
      <c r="BR56" s="7">
        <f>IF(ISBLANK(BR29),"NO DATA",IF(ISNUMBER(FIND(CODES!$A$12,BR29)),CODES!$A$12,IF(OR(ISNUMBER(FIND(CODES!$A$10,BR29)),ISNUMBER(FIND(CODES!$A$11,BR29))),CODES!$A$13,IF(OR(BR29&lt;BR$39,ISNUMBER(BR29)=FALSE),BR$40,BR29))))</f>
      </c>
      <c r="BS56" s="7">
        <f>IF(ISBLANK(BS29),"NO DATA",IF(ISNUMBER(FIND(CODES!$A$12,BS29)),CODES!$A$12,IF(OR(ISNUMBER(FIND(CODES!$A$10,BS29)),ISNUMBER(FIND(CODES!$A$11,BS29))),CODES!$A$13,IF(OR(BS29&lt;BS$39,ISNUMBER(BS29)=FALSE),BS$40,BS29))))</f>
      </c>
      <c r="BT56" s="7">
        <f>IF(ISBLANK(BT29),"NO DATA",IF(ISNUMBER(FIND(CODES!$A$12,BT29)),CODES!$A$12,IF(OR(ISNUMBER(FIND(CODES!$A$10,BT29)),ISNUMBER(FIND(CODES!$A$11,BT29))),CODES!$A$13,IF(OR(BT29&lt;BT$39,ISNUMBER(BT29)=FALSE),BT$40,BT29))))</f>
      </c>
      <c r="BU56" s="7">
        <f>IF(ISBLANK(BU29),"NO DATA",IF(ISNUMBER(FIND(CODES!$A$12,BU29)),CODES!$A$12,IF(OR(ISNUMBER(FIND(CODES!$A$10,BU29)),ISNUMBER(FIND(CODES!$A$11,BU29))),CODES!$A$13,IF(OR(BU29&lt;BU$39,ISNUMBER(BU29)=FALSE),BU$40,BU29))))</f>
      </c>
      <c r="BV56" s="7">
        <f>IF(ISBLANK(BV29),"NO DATA",IF(ISNUMBER(FIND(CODES!$A$12,BV29)),CODES!$A$12,IF(OR(ISNUMBER(FIND(CODES!$A$10,BV29)),ISNUMBER(FIND(CODES!$A$11,BV29))),CODES!$A$13,IF(OR(BV29&lt;BV$39,ISNUMBER(BV29)=FALSE),BV$40,BV29))))</f>
      </c>
      <c r="BW56" s="7" t="str">
        <f>IF(ISBLANK(BW29),"NO DATA",IF(ISNUMBER(FIND(CODES!$A$12,BW29)),CODES!$A$12,IF(OR(ISNUMBER(FIND(CODES!$A$10,BW29)),ISNUMBER(FIND(CODES!$A$11,BW29))),CODES!$A$13,IF(OR(BW29&lt;BW$39,ISNUMBER(BW29)=FALSE),BW$40,BW29))))</f>
      </c>
      <c r="BX56" s="7" t="str">
        <f>IF(ISBLANK(BX29),"NO DATA",IF(ISNUMBER(FIND(CODES!$A$12,BX29)),CODES!$A$12,IF(OR(ISNUMBER(FIND(CODES!$A$10,BX29)),ISNUMBER(FIND(CODES!$A$11,BX29))),CODES!$A$13,IF(OR(BX29&lt;BX$39,ISNUMBER(BX29)=FALSE),BX$40,BX29))))</f>
      </c>
      <c r="BY56" s="7">
        <f>IF(ISBLANK(BY29),"NO DATA",IF(ISNUMBER(FIND(CODES!$A$12,BY29)),CODES!$A$12,IF(OR(ISNUMBER(FIND(CODES!$A$10,BY29)),ISNUMBER(FIND(CODES!$A$11,BY29))),CODES!$A$13,IF(OR(BY29&lt;BY$39,ISNUMBER(BY29)=FALSE),BY$40,BY29))))</f>
      </c>
      <c r="BZ56" s="7">
        <f>IF(ISBLANK(BZ29),"NO DATA",IF(ISNUMBER(FIND(CODES!$A$12,BZ29)),CODES!$A$12,IF(OR(ISNUMBER(FIND(CODES!$A$10,BZ29)),ISNUMBER(FIND(CODES!$A$11,BZ29))),CODES!$A$13,IF(OR(BZ29&lt;BZ$39,ISNUMBER(BZ29)=FALSE),BZ$40,BZ29))))</f>
      </c>
      <c r="CA56" s="7">
        <f>IF(ISBLANK(CA29),"NO DATA",IF(ISNUMBER(FIND(CODES!$A$12,CA29)),CODES!$A$12,IF(OR(ISNUMBER(FIND(CODES!$A$10,CA29)),ISNUMBER(FIND(CODES!$A$11,CA29))),CODES!$A$13,IF(OR(CA29&lt;CA$39,ISNUMBER(CA29)=FALSE),CA$40,CA29))))</f>
      </c>
      <c r="CB56" s="7">
        <f>IF(ISBLANK(CB29),"NO DATA",IF(ISNUMBER(FIND(CODES!$A$12,CB29)),CODES!$A$12,IF(OR(ISNUMBER(FIND(CODES!$A$10,CB29)),ISNUMBER(FIND(CODES!$A$11,CB29))),CODES!$A$13,IF(OR(CB29&lt;CB$39,ISNUMBER(CB29)=FALSE),CB$40,CB29))))</f>
      </c>
      <c r="CC56" s="7">
        <f>IF(ISBLANK(CC29),"NO DATA",IF(ISNUMBER(FIND(CODES!$A$12,CC29)),CODES!$A$12,IF(OR(ISNUMBER(FIND(CODES!$A$10,CC29)),ISNUMBER(FIND(CODES!$A$11,CC29))),CODES!$A$13,IF(OR(CC29&lt;CC$39,ISNUMBER(CC29)=FALSE),CC$40,CC29))))</f>
      </c>
      <c r="CD56" s="7">
        <f>IF(ISBLANK(CD29),"NO DATA",IF(ISNUMBER(FIND(CODES!$A$12,CD29)),CODES!$A$12,IF(OR(ISNUMBER(FIND(CODES!$A$10,CD29)),ISNUMBER(FIND(CODES!$A$11,CD29))),CODES!$A$13,IF(OR(CD29&lt;CD$39,ISNUMBER(CD29)=FALSE),CD$40,CD29))))</f>
      </c>
      <c r="CE56" s="7">
        <f>IF(ISBLANK(CE29),"NO DATA",IF(ISNUMBER(FIND(CODES!$A$12,CE29)),CODES!$A$12,IF(OR(ISNUMBER(FIND(CODES!$A$10,CE29)),ISNUMBER(FIND(CODES!$A$11,CE29))),CODES!$A$13,IF(OR(CE29&lt;CE$39,ISNUMBER(CE29)=FALSE),CE$40,CE29))))</f>
      </c>
      <c r="CF56" s="7">
        <f>IF(ISBLANK(CF29),"NO DATA",IF(ISNUMBER(FIND(CODES!$A$12,CF29)),CODES!$A$12,IF(OR(ISNUMBER(FIND(CODES!$A$10,CF29)),ISNUMBER(FIND(CODES!$A$11,CF29))),CODES!$A$13,IF(OR(CF29&lt;CF$39,ISNUMBER(CF29)=FALSE),CF$40,CF29))))</f>
      </c>
      <c r="CG56" s="7">
        <f>IF(ISBLANK(CG29),"NO DATA",IF(ISNUMBER(FIND(CODES!$A$12,CG29)),CODES!$A$12,IF(OR(ISNUMBER(FIND(CODES!$A$10,CG29)),ISNUMBER(FIND(CODES!$A$11,CG29))),CODES!$A$13,IF(OR(CG29&lt;CG$39,ISNUMBER(CG29)=FALSE),CG$40,CG29))))</f>
      </c>
      <c r="CH56" s="7">
        <f>IF(ISBLANK(CH29),"NO DATA",IF(ISNUMBER(FIND(CODES!$A$12,CH29)),CODES!$A$12,IF(OR(ISNUMBER(FIND(CODES!$A$10,CH29)),ISNUMBER(FIND(CODES!$A$11,CH29))),CODES!$A$13,IF(OR(CH29&lt;CH$39,ISNUMBER(CH29)=FALSE),CH$40,CH29))))</f>
      </c>
      <c r="CI56" s="7">
        <f>IF(ISBLANK(CI29),"NO DATA",IF(ISNUMBER(FIND(CODES!$A$12,CI29)),CODES!$A$12,IF(OR(ISNUMBER(FIND(CODES!$A$10,CI29)),ISNUMBER(FIND(CODES!$A$11,CI29))),CODES!$A$13,IF(OR(CI29&lt;CI$39,ISNUMBER(CI29)=FALSE),CI$40,CI29))))</f>
      </c>
      <c r="CJ56" s="7">
        <f>IF(ISBLANK(CJ29),"NO DATA",IF(ISNUMBER(FIND(CODES!$A$12,CJ29)),CODES!$A$12,IF(OR(ISNUMBER(FIND(CODES!$A$10,CJ29)),ISNUMBER(FIND(CODES!$A$11,CJ29))),CODES!$A$13,IF(OR(CJ29&lt;CJ$39,ISNUMBER(CJ29)=FALSE),CJ$40,CJ29))))</f>
      </c>
      <c r="CK56" s="7" t="str">
        <f>IF(ISBLANK(CK29),"NO DATA",IF(ISNUMBER(FIND(CODES!$A$12,CK29)),CODES!$A$12,IF(OR(ISNUMBER(FIND(CODES!$A$10,CK29)),ISNUMBER(FIND(CODES!$A$11,CK29))),CODES!$A$13,IF(OR(CK29&lt;CK$39,ISNUMBER(CK29)=FALSE),CK$40,CK29))))</f>
      </c>
      <c r="CL56" s="7">
        <f>IF(ISBLANK(CL29),"NO DATA",IF(ISNUMBER(FIND(CODES!$A$12,CL29)),CODES!$A$12,IF(OR(ISNUMBER(FIND(CODES!$A$10,CL29)),ISNUMBER(FIND(CODES!$A$11,CL29))),CODES!$A$13,IF(OR(CL29&lt;CL$39,ISNUMBER(CL29)=FALSE),CL$40,CL29))))</f>
      </c>
      <c r="CM56" s="7" t="str">
        <f>IF(ISBLANK(CM29),"NO DATA",IF(ISNUMBER(FIND(CODES!$A$12,CM29)),CODES!$A$12,IF(OR(ISNUMBER(FIND(CODES!$A$10,CM29)),ISNUMBER(FIND(CODES!$A$11,CM29))),CODES!$A$13,IF(OR(CM29&lt;CM$39,ISNUMBER(CM29)=FALSE),CM$40,CM29))))</f>
      </c>
      <c r="CN56" s="7">
        <f>IF(ISBLANK(CN29),"NO DATA",IF(ISNUMBER(FIND(CODES!$A$12,CN29)),CODES!$A$12,IF(OR(ISNUMBER(FIND(CODES!$A$10,CN29)),ISNUMBER(FIND(CODES!$A$11,CN29))),CODES!$A$13,IF(OR(CN29&lt;CN$39,ISNUMBER(CN29)=FALSE),CN$40,CN29))))</f>
      </c>
      <c r="CO56" s="7">
        <f>IF(ISBLANK(CO29),"NO DATA",IF(ISNUMBER(FIND(CODES!$A$12,CO29)),CODES!$A$12,IF(OR(ISNUMBER(FIND(CODES!$A$10,CO29)),ISNUMBER(FIND(CODES!$A$11,CO29))),CODES!$A$13,IF(OR(CO29&lt;CO$39,ISNUMBER(CO29)=FALSE),CO$40,CO29))))</f>
      </c>
      <c r="CP56" s="7">
        <f>IF(ISBLANK(CP29),"NO DATA",IF(ISNUMBER(FIND(CODES!$A$12,CP29)),CODES!$A$12,IF(OR(ISNUMBER(FIND(CODES!$A$10,CP29)),ISNUMBER(FIND(CODES!$A$11,CP29))),CODES!$A$13,IF(OR(CP29&lt;CP$39,ISNUMBER(CP29)=FALSE),CP$40,CP29))))</f>
      </c>
      <c r="CQ56" s="7">
        <f>IF(ISBLANK(CQ29),"NO DATA",IF(ISNUMBER(FIND(CODES!$A$12,CQ29)),CODES!$A$12,IF(OR(ISNUMBER(FIND(CODES!$A$10,CQ29)),ISNUMBER(FIND(CODES!$A$11,CQ29))),CODES!$A$13,IF(OR(CQ29&lt;CQ$39,ISNUMBER(CQ29)=FALSE),CQ$40,CQ29))))</f>
      </c>
      <c r="CR56" s="7">
        <f>IF(ISBLANK(CR29),"NO DATA",IF(ISNUMBER(FIND(CODES!$A$12,CR29)),CODES!$A$12,IF(OR(ISNUMBER(FIND(CODES!$A$10,CR29)),ISNUMBER(FIND(CODES!$A$11,CR29))),CODES!$A$13,IF(OR(CR29&lt;CR$39,ISNUMBER(CR29)=FALSE),CR$40,CR29))))</f>
      </c>
      <c r="CS56" s="7">
        <f>IF(ISBLANK(CS29),"NO DATA",IF(ISNUMBER(FIND(CODES!$A$12,CS29)),CODES!$A$12,IF(OR(ISNUMBER(FIND(CODES!$A$10,CS29)),ISNUMBER(FIND(CODES!$A$11,CS29))),CODES!$A$13,IF(OR(CS29&lt;CS$39,ISNUMBER(CS29)=FALSE),CS$40,CS29))))</f>
      </c>
      <c r="CT56" s="7">
        <f>IF(ISBLANK(CT29),"NO DATA",IF(ISNUMBER(FIND(CODES!$A$12,CT29)),CODES!$A$12,IF(OR(ISNUMBER(FIND(CODES!$A$10,CT29)),ISNUMBER(FIND(CODES!$A$11,CT29))),CODES!$A$13,IF(OR(CT29&lt;CT$39,ISNUMBER(CT29)=FALSE),CT$40,CT29))))</f>
      </c>
      <c r="CU56" s="7">
        <f>IF(ISBLANK(CU29),"NO DATA",IF(ISNUMBER(FIND(CODES!$A$12,CU29)),CODES!$A$12,IF(OR(ISNUMBER(FIND(CODES!$A$10,CU29)),ISNUMBER(FIND(CODES!$A$11,CU29))),CODES!$A$13,IF(OR(CU29&lt;CU$39,ISNUMBER(CU29)=FALSE),CU$40,CU29))))</f>
      </c>
      <c r="CV56" s="7">
        <f>IF(ISBLANK(CV29),"NO DATA",IF(ISNUMBER(FIND(CODES!$A$12,CV29)),CODES!$A$12,IF(OR(ISNUMBER(FIND(CODES!$A$10,CV29)),ISNUMBER(FIND(CODES!$A$11,CV29))),CODES!$A$13,IF(OR(CV29&lt;CV$39,ISNUMBER(CV29)=FALSE),CV$40,CV29))))</f>
      </c>
      <c r="CW56" s="7" t="str">
        <f>IF(ISBLANK(CW29),"NO DATA",IF(ISNUMBER(FIND(CODES!$A$12,CW29)),CODES!$A$12,IF(OR(ISNUMBER(FIND(CODES!$A$10,CW29)),ISNUMBER(FIND(CODES!$A$11,CW29))),CODES!$A$13,IF(OR(CW29&lt;CW$39,ISNUMBER(CW29)=FALSE),CW$40,CW29))))</f>
      </c>
      <c r="CX56" s="7">
        <f>IF(ISBLANK(CX29),"NO DATA",IF(ISNUMBER(FIND(CODES!$A$12,CX29)),CODES!$A$12,IF(OR(ISNUMBER(FIND(CODES!$A$10,CX29)),ISNUMBER(FIND(CODES!$A$11,CX29))),CODES!$A$13,IF(OR(CX29&lt;CX$39,ISNUMBER(CX29)=FALSE),CX$40,CX29))))</f>
      </c>
      <c r="CY56" s="7">
        <f>IF(ISBLANK(CY29),"NO DATA",IF(ISNUMBER(FIND(CODES!$A$12,CY29)),CODES!$A$12,IF(OR(ISNUMBER(FIND(CODES!$A$10,CY29)),ISNUMBER(FIND(CODES!$A$11,CY29))),CODES!$A$13,IF(OR(CY29&lt;CY$39,ISNUMBER(CY29)=FALSE),CY$40,CY29))))</f>
      </c>
      <c r="CZ56" s="7">
        <f>IF(ISBLANK(CZ29),"NO DATA",IF(ISNUMBER(FIND(CODES!$A$12,CZ29)),CODES!$A$12,IF(OR(ISNUMBER(FIND(CODES!$A$10,CZ29)),ISNUMBER(FIND(CODES!$A$11,CZ29))),CODES!$A$13,IF(OR(CZ29&lt;CZ$39,ISNUMBER(CZ29)=FALSE),CZ$40,CZ29))))</f>
      </c>
      <c r="DA56" s="7">
        <f>IF(ISBLANK(DA29),"NO DATA",IF(ISNUMBER(FIND(CODES!$A$12,DA29)),CODES!$A$12,IF(OR(ISNUMBER(FIND(CODES!$A$10,DA29)),ISNUMBER(FIND(CODES!$A$11,DA29))),CODES!$A$13,IF(OR(DA29&lt;DA$39,ISNUMBER(DA29)=FALSE),DA$40,DA29))))</f>
      </c>
      <c r="DB56" s="7" t="str">
        <f>IF(ISBLANK(DB29),"NO DATA",IF(ISNUMBER(FIND(CODES!$A$12,DB29)),CODES!$A$12,IF(OR(ISNUMBER(FIND(CODES!$A$10,DB29)),ISNUMBER(FIND(CODES!$A$11,DB29))),CODES!$A$13,IF(OR(DB29&lt;DB$39,ISNUMBER(DB29)=FALSE),DB$40,DB29))))</f>
      </c>
      <c r="DC56" s="7" t="str">
        <f>IF(ISBLANK(DC29),"NO DATA",IF(ISNUMBER(FIND(CODES!$A$12,DC29)),CODES!$A$12,IF(OR(ISNUMBER(FIND(CODES!$A$10,DC29)),ISNUMBER(FIND(CODES!$A$11,DC29))),CODES!$A$13,IF(OR(DC29&lt;DC$39,ISNUMBER(DC29)=FALSE),DC$40,DC29))))</f>
      </c>
      <c r="DD56" s="7">
        <f>IF(ISBLANK(DD29),"NO DATA",IF(ISNUMBER(FIND(CODES!$A$12,DD29)),CODES!$A$12,IF(OR(ISNUMBER(FIND(CODES!$A$10,DD29)),ISNUMBER(FIND(CODES!$A$11,DD29))),CODES!$A$13,IF(OR(DD29&lt;DD$39,ISNUMBER(DD29)=FALSE),DD$40,DD29))))</f>
      </c>
      <c r="DE56" s="7">
        <f>IF(ISBLANK(DE29),"NO DATA",IF(ISNUMBER(FIND(CODES!$A$12,DE29)),CODES!$A$12,IF(OR(ISNUMBER(FIND(CODES!$A$10,DE29)),ISNUMBER(FIND(CODES!$A$11,DE29))),CODES!$A$13,IF(OR(DE29&lt;DE$39,ISNUMBER(DE29)=FALSE),DE$40,DE29))))</f>
      </c>
      <c r="DF56" s="7">
        <f>IF(ISBLANK(DF29),"NO DATA",IF(ISNUMBER(FIND(CODES!$A$12,DF29)),CODES!$A$12,IF(OR(ISNUMBER(FIND(CODES!$A$10,DF29)),ISNUMBER(FIND(CODES!$A$11,DF29))),CODES!$A$13,IF(OR(DF29&lt;DF$39,ISNUMBER(DF29)=FALSE),DF$40,DF29))))</f>
      </c>
      <c r="DG56" s="7">
        <f>IF(ISBLANK(DG29),"NO DATA",IF(ISNUMBER(FIND(CODES!$A$12,DG29)),CODES!$A$12,IF(OR(ISNUMBER(FIND(CODES!$A$10,DG29)),ISNUMBER(FIND(CODES!$A$11,DG29))),CODES!$A$13,IF(OR(DG29&lt;DG$39,ISNUMBER(DG29)=FALSE),DG$40,DG29))))</f>
      </c>
      <c r="DH56" s="7">
        <f>IF(ISBLANK(DH29),"NO DATA",IF(ISNUMBER(FIND(CODES!$A$12,DH29)),CODES!$A$12,IF(OR(ISNUMBER(FIND(CODES!$A$10,DH29)),ISNUMBER(FIND(CODES!$A$11,DH29))),CODES!$A$13,IF(OR(DH29&lt;DH$39,ISNUMBER(DH29)=FALSE),DH$40,DH29))))</f>
      </c>
      <c r="DI56" s="7">
        <f>IF(ISBLANK(DI29),"NO DATA",IF(ISNUMBER(FIND(CODES!$A$12,DI29)),CODES!$A$12,IF(OR(ISNUMBER(FIND(CODES!$A$10,DI29)),ISNUMBER(FIND(CODES!$A$11,DI29))),CODES!$A$13,IF(OR(DI29&lt;DI$39,ISNUMBER(DI29)=FALSE),DI$40,DI29))))</f>
      </c>
    </row>
    <row r="57" spans="1:113" x14ac:dyDescent="0.25">
      <c r="A57" s="16" t="str">
        <f t="shared" si="8"/>
      </c>
      <c r="B57" s="16" t="str">
        <f t="shared" si="8"/>
      </c>
      <c r="C57" s="7">
        <f>IF(ISBLANK(C30),"NO DATA",IF(ISNUMBER(FIND(CODES!$A$12,C30)),CODES!$A$12,IF(OR(ISNUMBER(FIND(CODES!$A$10,C30)),ISNUMBER(FIND(CODES!$A$11,C30))),CODES!$A$13,IF(OR(C30&lt;C$39,ISNUMBER(C30)=FALSE),C$40,C30))))</f>
      </c>
      <c r="D57" s="7">
        <f>IF(ISBLANK(D30),"NO DATA",IF(ISNUMBER(FIND(CODES!$A$12,D30)),CODES!$A$12,IF(OR(ISNUMBER(FIND(CODES!$A$10,D30)),ISNUMBER(FIND(CODES!$A$11,D30))),CODES!$A$13,IF(OR(D30&lt;D$39,ISNUMBER(D30)=FALSE),D$40,D30))))</f>
      </c>
      <c r="E57" s="7">
        <f>IF(ISBLANK(E30),"NO DATA",IF(ISNUMBER(FIND(CODES!$A$12,E30)),CODES!$A$12,IF(OR(ISNUMBER(FIND(CODES!$A$10,E30)),ISNUMBER(FIND(CODES!$A$11,E30))),CODES!$A$13,IF(OR(E30&lt;E$39,ISNUMBER(E30)=FALSE),E$40,E30))))</f>
      </c>
      <c r="F57" s="7">
        <f>IF(ISBLANK(F30),"NO DATA",IF(ISNUMBER(FIND(CODES!$A$12,F30)),CODES!$A$12,IF(OR(ISNUMBER(FIND(CODES!$A$10,F30)),ISNUMBER(FIND(CODES!$A$11,F30))),CODES!$A$13,IF(OR(F30&lt;F$39,ISNUMBER(F30)=FALSE),F$40,F30))))</f>
      </c>
      <c r="G57" s="7">
        <f>IF(ISBLANK(G30),"NO DATA",IF(ISNUMBER(FIND(CODES!$A$12,G30)),CODES!$A$12,IF(OR(ISNUMBER(FIND(CODES!$A$10,G30)),ISNUMBER(FIND(CODES!$A$11,G30))),CODES!$A$13,IF(OR(G30&lt;G$39,ISNUMBER(G30)=FALSE),G$40,G30))))</f>
      </c>
      <c r="H57" s="7">
        <f>IF(ISBLANK(H30),"NO DATA",IF(ISNUMBER(FIND(CODES!$A$12,H30)),CODES!$A$12,IF(OR(ISNUMBER(FIND(CODES!$A$10,H30)),ISNUMBER(FIND(CODES!$A$11,H30))),CODES!$A$13,IF(OR(H30&lt;H$39,ISNUMBER(H30)=FALSE),H$40,H30))))</f>
      </c>
      <c r="I57" s="7">
        <f>IF(ISBLANK(I30),"NO DATA",IF(ISNUMBER(FIND(CODES!$A$12,I30)),CODES!$A$12,IF(OR(ISNUMBER(FIND(CODES!$A$10,I30)),ISNUMBER(FIND(CODES!$A$11,I30))),CODES!$A$13,IF(OR(I30&lt;I$39,ISNUMBER(I30)=FALSE),I$40,I30))))</f>
      </c>
      <c r="J57" s="7">
        <f>IF(ISBLANK(J30),"NO DATA",IF(ISNUMBER(FIND(CODES!$A$12,J30)),CODES!$A$12,IF(OR(ISNUMBER(FIND(CODES!$A$10,J30)),ISNUMBER(FIND(CODES!$A$11,J30))),CODES!$A$13,IF(OR(J30&lt;J$39,ISNUMBER(J30)=FALSE),J$40,J30))))</f>
      </c>
      <c r="K57" s="7">
        <f>IF(ISBLANK(K30),"NO DATA",IF(ISNUMBER(FIND(CODES!$A$12,K30)),CODES!$A$12,IF(OR(ISNUMBER(FIND(CODES!$A$10,K30)),ISNUMBER(FIND(CODES!$A$11,K30))),CODES!$A$13,IF(OR(K30&lt;K$39,ISNUMBER(K30)=FALSE),K$40,K30))))</f>
      </c>
      <c r="L57" s="7">
        <f>IF(ISBLANK(L30),"NO DATA",IF(ISNUMBER(FIND(CODES!$A$12,L30)),CODES!$A$12,IF(OR(ISNUMBER(FIND(CODES!$A$10,L30)),ISNUMBER(FIND(CODES!$A$11,L30))),CODES!$A$13,IF(OR(L30&lt;L$39,ISNUMBER(L30)=FALSE),L$40,L30))))</f>
      </c>
      <c r="M57" s="7">
        <f>IF(ISBLANK(M30),"NO DATA",IF(ISNUMBER(FIND(CODES!$A$12,M30)),CODES!$A$12,IF(OR(ISNUMBER(FIND(CODES!$A$10,M30)),ISNUMBER(FIND(CODES!$A$11,M30))),CODES!$A$13,IF(OR(M30&lt;M$39,ISNUMBER(M30)=FALSE),M$40,M30))))</f>
      </c>
      <c r="N57" s="7" t="str">
        <f>IF(ISBLANK(N30),"NO DATA",IF(ISNUMBER(FIND(CODES!$A$12,N30)),CODES!$A$12,IF(OR(ISNUMBER(FIND(CODES!$A$10,N30)),ISNUMBER(FIND(CODES!$A$11,N30))),CODES!$A$13,IF(OR(N30&lt;N$39,ISNUMBER(N30)=FALSE),N$40,N30))))</f>
      </c>
      <c r="O57" s="7" t="str">
        <f>IF(ISBLANK(O30),"NO DATA",IF(ISNUMBER(FIND(CODES!$A$12,O30)),CODES!$A$12,IF(OR(ISNUMBER(FIND(CODES!$A$10,O30)),ISNUMBER(FIND(CODES!$A$11,O30))),CODES!$A$13,IF(OR(O30&lt;O$39,ISNUMBER(O30)=FALSE),O$40,O30))))</f>
      </c>
      <c r="P57" s="7">
        <f>IF(ISBLANK(P30),"NO DATA",IF(ISNUMBER(FIND(CODES!$A$12,P30)),CODES!$A$12,IF(OR(ISNUMBER(FIND(CODES!$A$10,P30)),ISNUMBER(FIND(CODES!$A$11,P30))),CODES!$A$13,IF(OR(P30&lt;P$39,ISNUMBER(P30)=FALSE),P$40,P30))))</f>
      </c>
      <c r="Q57" s="7">
        <f>IF(ISBLANK(Q30),"NO DATA",IF(ISNUMBER(FIND(CODES!$A$12,Q30)),CODES!$A$12,IF(OR(ISNUMBER(FIND(CODES!$A$10,Q30)),ISNUMBER(FIND(CODES!$A$11,Q30))),CODES!$A$13,IF(OR(Q30&lt;Q$39,ISNUMBER(Q30)=FALSE),Q$40,Q30))))</f>
      </c>
      <c r="R57" s="7">
        <f>IF(ISBLANK(R30),"NO DATA",IF(ISNUMBER(FIND(CODES!$A$12,R30)),CODES!$A$12,IF(OR(ISNUMBER(FIND(CODES!$A$10,R30)),ISNUMBER(FIND(CODES!$A$11,R30))),CODES!$A$13,IF(OR(R30&lt;R$39,ISNUMBER(R30)=FALSE),R$40,R30))))</f>
      </c>
      <c r="S57" s="7">
        <f>IF(ISBLANK(S30),"NO DATA",IF(ISNUMBER(FIND(CODES!$A$12,S30)),CODES!$A$12,IF(OR(ISNUMBER(FIND(CODES!$A$10,S30)),ISNUMBER(FIND(CODES!$A$11,S30))),CODES!$A$13,IF(OR(S30&lt;S$39,ISNUMBER(S30)=FALSE),S$40,S30))))</f>
      </c>
      <c r="T57" s="7">
        <f>IF(ISBLANK(T30),"NO DATA",IF(ISNUMBER(FIND(CODES!$A$12,T30)),CODES!$A$12,IF(OR(ISNUMBER(FIND(CODES!$A$10,T30)),ISNUMBER(FIND(CODES!$A$11,T30))),CODES!$A$13,IF(OR(T30&lt;T$39,ISNUMBER(T30)=FALSE),T$40,T30))))</f>
      </c>
      <c r="U57" s="7">
        <f>IF(ISBLANK(U30),"NO DATA",IF(ISNUMBER(FIND(CODES!$A$12,U30)),CODES!$A$12,IF(OR(ISNUMBER(FIND(CODES!$A$10,U30)),ISNUMBER(FIND(CODES!$A$11,U30))),CODES!$A$13,IF(OR(U30&lt;U$39,ISNUMBER(U30)=FALSE),U$40,U30))))</f>
      </c>
      <c r="V57" s="7">
        <f>IF(ISBLANK(V30),"NO DATA",IF(ISNUMBER(FIND(CODES!$A$12,V30)),CODES!$A$12,IF(OR(ISNUMBER(FIND(CODES!$A$10,V30)),ISNUMBER(FIND(CODES!$A$11,V30))),CODES!$A$13,IF(OR(V30&lt;V$39,ISNUMBER(V30)=FALSE),V$40,V30))))</f>
      </c>
      <c r="W57" s="7">
        <f>IF(ISBLANK(W30),"NO DATA",IF(ISNUMBER(FIND(CODES!$A$12,W30)),CODES!$A$12,IF(OR(ISNUMBER(FIND(CODES!$A$10,W30)),ISNUMBER(FIND(CODES!$A$11,W30))),CODES!$A$13,IF(OR(W30&lt;W$39,ISNUMBER(W30)=FALSE),W$40,W30))))</f>
      </c>
      <c r="X57" s="7">
        <f>IF(ISBLANK(X30),"NO DATA",IF(ISNUMBER(FIND(CODES!$A$12,X30)),CODES!$A$12,IF(OR(ISNUMBER(FIND(CODES!$A$10,X30)),ISNUMBER(FIND(CODES!$A$11,X30))),CODES!$A$13,IF(OR(X30&lt;X$39,ISNUMBER(X30)=FALSE),X$40,X30))))</f>
      </c>
      <c r="Y57" s="7">
        <f>IF(ISBLANK(Y30),"NO DATA",IF(ISNUMBER(FIND(CODES!$A$12,Y30)),CODES!$A$12,IF(OR(ISNUMBER(FIND(CODES!$A$10,Y30)),ISNUMBER(FIND(CODES!$A$11,Y30))),CODES!$A$13,IF(OR(Y30&lt;Y$39,ISNUMBER(Y30)=FALSE),Y$40,Y30))))</f>
      </c>
      <c r="Z57" s="7">
        <f>IF(ISBLANK(Z30),"NO DATA",IF(ISNUMBER(FIND(CODES!$A$12,Z30)),CODES!$A$12,IF(OR(ISNUMBER(FIND(CODES!$A$10,Z30)),ISNUMBER(FIND(CODES!$A$11,Z30))),CODES!$A$13,IF(OR(Z30&lt;Z$39,ISNUMBER(Z30)=FALSE),Z$40,Z30))))</f>
      </c>
      <c r="AA57" s="7">
        <f>IF(ISBLANK(AA30),"NO DATA",IF(ISNUMBER(FIND(CODES!$A$12,AA30)),CODES!$A$12,IF(OR(ISNUMBER(FIND(CODES!$A$10,AA30)),ISNUMBER(FIND(CODES!$A$11,AA30))),CODES!$A$13,IF(OR(AA30&lt;AA$39,ISNUMBER(AA30)=FALSE),AA$40,AA30))))</f>
      </c>
      <c r="AB57" s="7">
        <f>IF(ISBLANK(AB30),"NO DATA",IF(ISNUMBER(FIND(CODES!$A$12,AB30)),CODES!$A$12,IF(OR(ISNUMBER(FIND(CODES!$A$10,AB30)),ISNUMBER(FIND(CODES!$A$11,AB30))),CODES!$A$13,IF(OR(AB30&lt;AB$39,ISNUMBER(AB30)=FALSE),AB$40,AB30))))</f>
      </c>
      <c r="AC57" s="7">
        <f>IF(ISBLANK(AC30),"NO DATA",IF(ISNUMBER(FIND(CODES!$A$12,AC30)),CODES!$A$12,IF(OR(ISNUMBER(FIND(CODES!$A$10,AC30)),ISNUMBER(FIND(CODES!$A$11,AC30))),CODES!$A$13,IF(OR(AC30&lt;AC$39,ISNUMBER(AC30)=FALSE),AC$40,AC30))))</f>
      </c>
      <c r="AD57" s="7">
        <f>IF(ISBLANK(AD30),"NO DATA",IF(ISNUMBER(FIND(CODES!$A$12,AD30)),CODES!$A$12,IF(OR(ISNUMBER(FIND(CODES!$A$10,AD30)),ISNUMBER(FIND(CODES!$A$11,AD30))),CODES!$A$13,IF(OR(AD30&lt;AD$39,ISNUMBER(AD30)=FALSE),AD$40,AD30))))</f>
      </c>
      <c r="AE57" s="7">
        <f>IF(ISBLANK(AE30),"NO DATA",IF(ISNUMBER(FIND(CODES!$A$12,AE30)),CODES!$A$12,IF(OR(ISNUMBER(FIND(CODES!$A$10,AE30)),ISNUMBER(FIND(CODES!$A$11,AE30))),CODES!$A$13,IF(OR(AE30&lt;AE$39,ISNUMBER(AE30)=FALSE),AE$40,AE30))))</f>
      </c>
      <c r="AF57" s="7">
        <f>IF(ISBLANK(AF30),"NO DATA",IF(ISNUMBER(FIND(CODES!$A$12,AF30)),CODES!$A$12,IF(OR(ISNUMBER(FIND(CODES!$A$10,AF30)),ISNUMBER(FIND(CODES!$A$11,AF30))),CODES!$A$13,IF(OR(AF30&lt;AF$39,ISNUMBER(AF30)=FALSE),AF$40,AF30))))</f>
      </c>
      <c r="AG57" s="7">
        <f>IF(ISBLANK(AG30),"NO DATA",IF(ISNUMBER(FIND(CODES!$A$12,AG30)),CODES!$A$12,IF(OR(ISNUMBER(FIND(CODES!$A$10,AG30)),ISNUMBER(FIND(CODES!$A$11,AG30))),CODES!$A$13,IF(OR(AG30&lt;AG$39,ISNUMBER(AG30)=FALSE),AG$40,AG30))))</f>
      </c>
      <c r="AH57" s="7">
        <f>IF(ISBLANK(AH30),"NO DATA",IF(ISNUMBER(FIND(CODES!$A$12,AH30)),CODES!$A$12,IF(OR(ISNUMBER(FIND(CODES!$A$10,AH30)),ISNUMBER(FIND(CODES!$A$11,AH30))),CODES!$A$13,IF(OR(AH30&lt;AH$39,ISNUMBER(AH30)=FALSE),AH$40,AH30))))</f>
      </c>
      <c r="AI57" s="7">
        <f>IF(ISBLANK(AI30),"NO DATA",IF(ISNUMBER(FIND(CODES!$A$12,AI30)),CODES!$A$12,IF(OR(ISNUMBER(FIND(CODES!$A$10,AI30)),ISNUMBER(FIND(CODES!$A$11,AI30))),CODES!$A$13,IF(OR(AI30&lt;AI$39,ISNUMBER(AI30)=FALSE),AI$40,AI30))))</f>
      </c>
      <c r="AJ57" s="7">
        <f>IF(ISBLANK(AJ30),"NO DATA",IF(ISNUMBER(FIND(CODES!$A$12,AJ30)),CODES!$A$12,IF(OR(ISNUMBER(FIND(CODES!$A$10,AJ30)),ISNUMBER(FIND(CODES!$A$11,AJ30))),CODES!$A$13,IF(OR(AJ30&lt;AJ$39,ISNUMBER(AJ30)=FALSE),AJ$40,AJ30))))</f>
      </c>
      <c r="AK57" s="7">
        <f>IF(ISBLANK(AK30),"NO DATA",IF(ISNUMBER(FIND(CODES!$A$12,AK30)),CODES!$A$12,IF(OR(ISNUMBER(FIND(CODES!$A$10,AK30)),ISNUMBER(FIND(CODES!$A$11,AK30))),CODES!$A$13,IF(OR(AK30&lt;AK$39,ISNUMBER(AK30)=FALSE),AK$40,AK30))))</f>
      </c>
      <c r="AL57" s="7">
        <f>IF(ISBLANK(AL30),"NO DATA",IF(ISNUMBER(FIND(CODES!$A$12,AL30)),CODES!$A$12,IF(OR(ISNUMBER(FIND(CODES!$A$10,AL30)),ISNUMBER(FIND(CODES!$A$11,AL30))),CODES!$A$13,IF(OR(AL30&lt;AL$39,ISNUMBER(AL30)=FALSE),AL$40,AL30))))</f>
      </c>
      <c r="AM57" s="7">
        <f>IF(ISBLANK(AM30),"NO DATA",IF(ISNUMBER(FIND(CODES!$A$12,AM30)),CODES!$A$12,IF(OR(ISNUMBER(FIND(CODES!$A$10,AM30)),ISNUMBER(FIND(CODES!$A$11,AM30))),CODES!$A$13,IF(OR(AM30&lt;AM$39,ISNUMBER(AM30)=FALSE),AM$40,AM30))))</f>
      </c>
      <c r="AN57" s="7">
        <f>IF(ISBLANK(AN30),"NO DATA",IF(ISNUMBER(FIND(CODES!$A$12,AN30)),CODES!$A$12,IF(OR(ISNUMBER(FIND(CODES!$A$10,AN30)),ISNUMBER(FIND(CODES!$A$11,AN30))),CODES!$A$13,IF(OR(AN30&lt;AN$39,ISNUMBER(AN30)=FALSE),AN$40,AN30))))</f>
      </c>
      <c r="AO57" s="7">
        <f>IF(ISBLANK(AO30),"NO DATA",IF(ISNUMBER(FIND(CODES!$A$12,AO30)),CODES!$A$12,IF(OR(ISNUMBER(FIND(CODES!$A$10,AO30)),ISNUMBER(FIND(CODES!$A$11,AO30))),CODES!$A$13,IF(OR(AO30&lt;AO$39,ISNUMBER(AO30)=FALSE),AO$40,AO30))))</f>
      </c>
      <c r="AP57" s="7">
        <f>IF(ISBLANK(AP30),"NO DATA",IF(ISNUMBER(FIND(CODES!$A$12,AP30)),CODES!$A$12,IF(OR(ISNUMBER(FIND(CODES!$A$10,AP30)),ISNUMBER(FIND(CODES!$A$11,AP30))),CODES!$A$13,IF(OR(AP30&lt;AP$39,ISNUMBER(AP30)=FALSE),AP$40,AP30))))</f>
      </c>
      <c r="AQ57" s="7">
        <f>IF(ISBLANK(AQ30),"NO DATA",IF(ISNUMBER(FIND(CODES!$A$12,AQ30)),CODES!$A$12,IF(OR(ISNUMBER(FIND(CODES!$A$10,AQ30)),ISNUMBER(FIND(CODES!$A$11,AQ30))),CODES!$A$13,IF(OR(AQ30&lt;AQ$39,ISNUMBER(AQ30)=FALSE),AQ$40,AQ30))))</f>
      </c>
      <c r="AR57" s="7">
        <f>IF(ISBLANK(AR30),"NO DATA",IF(ISNUMBER(FIND(CODES!$A$12,AR30)),CODES!$A$12,IF(OR(ISNUMBER(FIND(CODES!$A$10,AR30)),ISNUMBER(FIND(CODES!$A$11,AR30))),CODES!$A$13,IF(OR(AR30&lt;AR$39,ISNUMBER(AR30)=FALSE),AR$40,AR30))))</f>
      </c>
      <c r="AS57" s="7">
        <f>IF(ISBLANK(AS30),"NO DATA",IF(ISNUMBER(FIND(CODES!$A$12,AS30)),CODES!$A$12,IF(OR(ISNUMBER(FIND(CODES!$A$10,AS30)),ISNUMBER(FIND(CODES!$A$11,AS30))),CODES!$A$13,IF(OR(AS30&lt;AS$39,ISNUMBER(AS30)=FALSE),AS$40,AS30))))</f>
      </c>
      <c r="AT57" s="7">
        <f>IF(ISBLANK(AT30),"NO DATA",IF(ISNUMBER(FIND(CODES!$A$12,AT30)),CODES!$A$12,IF(OR(ISNUMBER(FIND(CODES!$A$10,AT30)),ISNUMBER(FIND(CODES!$A$11,AT30))),CODES!$A$13,IF(OR(AT30&lt;AT$39,ISNUMBER(AT30)=FALSE),AT$40,AT30))))</f>
      </c>
      <c r="AU57" s="7">
        <f>IF(ISBLANK(AU30),"NO DATA",IF(ISNUMBER(FIND(CODES!$A$12,AU30)),CODES!$A$12,IF(OR(ISNUMBER(FIND(CODES!$A$10,AU30)),ISNUMBER(FIND(CODES!$A$11,AU30))),CODES!$A$13,IF(OR(AU30&lt;AU$39,ISNUMBER(AU30)=FALSE),AU$40,AU30))))</f>
      </c>
      <c r="AV57" s="7" t="str">
        <f>IF(ISBLANK(AV30),"NO DATA",IF(ISNUMBER(FIND(CODES!$A$12,AV30)),CODES!$A$12,IF(OR(ISNUMBER(FIND(CODES!$A$10,AV30)),ISNUMBER(FIND(CODES!$A$11,AV30))),CODES!$A$13,IF(OR(AV30&lt;AV$39,ISNUMBER(AV30)=FALSE),AV$40,AV30))))</f>
      </c>
      <c r="AW57" s="7" t="str">
        <f>IF(ISBLANK(AW30),"NO DATA",IF(ISNUMBER(FIND(CODES!$A$12,AW30)),CODES!$A$12,IF(OR(ISNUMBER(FIND(CODES!$A$10,AW30)),ISNUMBER(FIND(CODES!$A$11,AW30))),CODES!$A$13,IF(OR(AW30&lt;AW$39,ISNUMBER(AW30)=FALSE),AW$40,AW30))))</f>
      </c>
      <c r="AX57" s="7">
        <f>IF(ISBLANK(AX30),"NO DATA",IF(ISNUMBER(FIND(CODES!$A$12,AX30)),CODES!$A$12,IF(OR(ISNUMBER(FIND(CODES!$A$10,AX30)),ISNUMBER(FIND(CODES!$A$11,AX30))),CODES!$A$13,IF(OR(AX30&lt;AX$39,ISNUMBER(AX30)=FALSE),AX$40,AX30))))</f>
      </c>
      <c r="AY57" s="7">
        <f>IF(ISBLANK(AY30),"NO DATA",IF(ISNUMBER(FIND(CODES!$A$12,AY30)),CODES!$A$12,IF(OR(ISNUMBER(FIND(CODES!$A$10,AY30)),ISNUMBER(FIND(CODES!$A$11,AY30))),CODES!$A$13,IF(OR(AY30&lt;AY$39,ISNUMBER(AY30)=FALSE),AY$40,AY30))))</f>
      </c>
      <c r="AZ57" s="7">
        <f>IF(ISBLANK(AZ30),"NO DATA",IF(ISNUMBER(FIND(CODES!$A$12,AZ30)),CODES!$A$12,IF(OR(ISNUMBER(FIND(CODES!$A$10,AZ30)),ISNUMBER(FIND(CODES!$A$11,AZ30))),CODES!$A$13,IF(OR(AZ30&lt;AZ$39,ISNUMBER(AZ30)=FALSE),AZ$40,AZ30))))</f>
      </c>
      <c r="BA57" s="7">
        <f>IF(ISBLANK(BA30),"NO DATA",IF(ISNUMBER(FIND(CODES!$A$12,BA30)),CODES!$A$12,IF(OR(ISNUMBER(FIND(CODES!$A$10,BA30)),ISNUMBER(FIND(CODES!$A$11,BA30))),CODES!$A$13,IF(OR(BA30&lt;BA$39,ISNUMBER(BA30)=FALSE),BA$40,BA30))))</f>
      </c>
      <c r="BB57" s="7">
        <f>IF(ISBLANK(BB30),"NO DATA",IF(ISNUMBER(FIND(CODES!$A$12,BB30)),CODES!$A$12,IF(OR(ISNUMBER(FIND(CODES!$A$10,BB30)),ISNUMBER(FIND(CODES!$A$11,BB30))),CODES!$A$13,IF(OR(BB30&lt;BB$39,ISNUMBER(BB30)=FALSE),BB$40,BB30))))</f>
      </c>
      <c r="BC57" s="7">
        <f>IF(ISBLANK(BC30),"NO DATA",IF(ISNUMBER(FIND(CODES!$A$12,BC30)),CODES!$A$12,IF(OR(ISNUMBER(FIND(CODES!$A$10,BC30)),ISNUMBER(FIND(CODES!$A$11,BC30))),CODES!$A$13,IF(OR(BC30&lt;BC$39,ISNUMBER(BC30)=FALSE),BC$40,BC30))))</f>
      </c>
      <c r="BD57" s="7">
        <f>IF(ISBLANK(BD30),"NO DATA",IF(ISNUMBER(FIND(CODES!$A$12,BD30)),CODES!$A$12,IF(OR(ISNUMBER(FIND(CODES!$A$10,BD30)),ISNUMBER(FIND(CODES!$A$11,BD30))),CODES!$A$13,IF(OR(BD30&lt;BD$39,ISNUMBER(BD30)=FALSE),BD$40,BD30))))</f>
      </c>
      <c r="BE57" s="7">
        <f>IF(ISBLANK(BE30),"NO DATA",IF(ISNUMBER(FIND(CODES!$A$12,BE30)),CODES!$A$12,IF(OR(ISNUMBER(FIND(CODES!$A$10,BE30)),ISNUMBER(FIND(CODES!$A$11,BE30))),CODES!$A$13,IF(OR(BE30&lt;BE$39,ISNUMBER(BE30)=FALSE),BE$40,BE30))))</f>
      </c>
      <c r="BF57" s="7">
        <f>IF(ISBLANK(BF30),"NO DATA",IF(ISNUMBER(FIND(CODES!$A$12,BF30)),CODES!$A$12,IF(OR(ISNUMBER(FIND(CODES!$A$10,BF30)),ISNUMBER(FIND(CODES!$A$11,BF30))),CODES!$A$13,IF(OR(BF30&lt;BF$39,ISNUMBER(BF30)=FALSE),BF$40,BF30))))</f>
      </c>
      <c r="BG57" s="7">
        <f>IF(ISBLANK(BG30),"NO DATA",IF(ISNUMBER(FIND(CODES!$A$12,BG30)),CODES!$A$12,IF(OR(ISNUMBER(FIND(CODES!$A$10,BG30)),ISNUMBER(FIND(CODES!$A$11,BG30))),CODES!$A$13,IF(OR(BG30&lt;BG$39,ISNUMBER(BG30)=FALSE),BG$40,BG30))))</f>
      </c>
      <c r="BH57" s="7">
        <f>IF(ISBLANK(BH30),"NO DATA",IF(ISNUMBER(FIND(CODES!$A$12,BH30)),CODES!$A$12,IF(OR(ISNUMBER(FIND(CODES!$A$10,BH30)),ISNUMBER(FIND(CODES!$A$11,BH30))),CODES!$A$13,IF(OR(BH30&lt;BH$39,ISNUMBER(BH30)=FALSE),BH$40,BH30))))</f>
      </c>
      <c r="BI57" s="7" t="str">
        <f>IF(ISBLANK(BI30),"NO DATA",IF(ISNUMBER(FIND(CODES!$A$12,BI30)),CODES!$A$12,IF(OR(ISNUMBER(FIND(CODES!$A$10,BI30)),ISNUMBER(FIND(CODES!$A$11,BI30))),CODES!$A$13,IF(OR(BI30&lt;BI$39,ISNUMBER(BI30)=FALSE),BI$40,BI30))))</f>
      </c>
      <c r="BJ57" s="7">
        <f>IF(ISBLANK(BJ30),"NO DATA",IF(ISNUMBER(FIND(CODES!$A$12,BJ30)),CODES!$A$12,IF(OR(ISNUMBER(FIND(CODES!$A$10,BJ30)),ISNUMBER(FIND(CODES!$A$11,BJ30))),CODES!$A$13,IF(OR(BJ30&lt;BJ$39,ISNUMBER(BJ30)=FALSE),BJ$40,BJ30))))</f>
      </c>
      <c r="BK57" s="7">
        <f>IF(ISBLANK(BK30),"NO DATA",IF(ISNUMBER(FIND(CODES!$A$12,BK30)),CODES!$A$12,IF(OR(ISNUMBER(FIND(CODES!$A$10,BK30)),ISNUMBER(FIND(CODES!$A$11,BK30))),CODES!$A$13,IF(OR(BK30&lt;BK$39,ISNUMBER(BK30)=FALSE),BK$40,BK30))))</f>
      </c>
      <c r="BL57" s="7">
        <f>IF(ISBLANK(BL30),"NO DATA",IF(ISNUMBER(FIND(CODES!$A$12,BL30)),CODES!$A$12,IF(OR(ISNUMBER(FIND(CODES!$A$10,BL30)),ISNUMBER(FIND(CODES!$A$11,BL30))),CODES!$A$13,IF(OR(BL30&lt;BL$39,ISNUMBER(BL30)=FALSE),BL$40,BL30))))</f>
      </c>
      <c r="BM57" s="7">
        <f>IF(ISBLANK(BM30),"NO DATA",IF(ISNUMBER(FIND(CODES!$A$12,BM30)),CODES!$A$12,IF(OR(ISNUMBER(FIND(CODES!$A$10,BM30)),ISNUMBER(FIND(CODES!$A$11,BM30))),CODES!$A$13,IF(OR(BM30&lt;BM$39,ISNUMBER(BM30)=FALSE),BM$40,BM30))))</f>
      </c>
      <c r="BN57" s="7" t="str">
        <f>IF(ISBLANK(BN30),"NO DATA",IF(ISNUMBER(FIND(CODES!$A$12,BN30)),CODES!$A$12,IF(OR(ISNUMBER(FIND(CODES!$A$10,BN30)),ISNUMBER(FIND(CODES!$A$11,BN30))),CODES!$A$13,IF(OR(BN30&lt;BN$39,ISNUMBER(BN30)=FALSE),BN$40,BN30))))</f>
      </c>
      <c r="BO57" s="7" t="str">
        <f>IF(ISBLANK(BO30),"NO DATA",IF(ISNUMBER(FIND(CODES!$A$12,BO30)),CODES!$A$12,IF(OR(ISNUMBER(FIND(CODES!$A$10,BO30)),ISNUMBER(FIND(CODES!$A$11,BO30))),CODES!$A$13,IF(OR(BO30&lt;BO$39,ISNUMBER(BO30)=FALSE),BO$40,BO30))))</f>
      </c>
      <c r="BP57" s="7">
        <f>IF(ISBLANK(BP30),"NO DATA",IF(ISNUMBER(FIND(CODES!$A$12,BP30)),CODES!$A$12,IF(OR(ISNUMBER(FIND(CODES!$A$10,BP30)),ISNUMBER(FIND(CODES!$A$11,BP30))),CODES!$A$13,IF(OR(BP30&lt;BP$39,ISNUMBER(BP30)=FALSE),BP$40,BP30))))</f>
      </c>
      <c r="BQ57" s="7">
        <f>IF(ISBLANK(BQ30),"NO DATA",IF(ISNUMBER(FIND(CODES!$A$12,BQ30)),CODES!$A$12,IF(OR(ISNUMBER(FIND(CODES!$A$10,BQ30)),ISNUMBER(FIND(CODES!$A$11,BQ30))),CODES!$A$13,IF(OR(BQ30&lt;BQ$39,ISNUMBER(BQ30)=FALSE),BQ$40,BQ30))))</f>
      </c>
      <c r="BR57" s="7">
        <f>IF(ISBLANK(BR30),"NO DATA",IF(ISNUMBER(FIND(CODES!$A$12,BR30)),CODES!$A$12,IF(OR(ISNUMBER(FIND(CODES!$A$10,BR30)),ISNUMBER(FIND(CODES!$A$11,BR30))),CODES!$A$13,IF(OR(BR30&lt;BR$39,ISNUMBER(BR30)=FALSE),BR$40,BR30))))</f>
      </c>
      <c r="BS57" s="7">
        <f>IF(ISBLANK(BS30),"NO DATA",IF(ISNUMBER(FIND(CODES!$A$12,BS30)),CODES!$A$12,IF(OR(ISNUMBER(FIND(CODES!$A$10,BS30)),ISNUMBER(FIND(CODES!$A$11,BS30))),CODES!$A$13,IF(OR(BS30&lt;BS$39,ISNUMBER(BS30)=FALSE),BS$40,BS30))))</f>
      </c>
      <c r="BT57" s="7">
        <f>IF(ISBLANK(BT30),"NO DATA",IF(ISNUMBER(FIND(CODES!$A$12,BT30)),CODES!$A$12,IF(OR(ISNUMBER(FIND(CODES!$A$10,BT30)),ISNUMBER(FIND(CODES!$A$11,BT30))),CODES!$A$13,IF(OR(BT30&lt;BT$39,ISNUMBER(BT30)=FALSE),BT$40,BT30))))</f>
      </c>
      <c r="BU57" s="7">
        <f>IF(ISBLANK(BU30),"NO DATA",IF(ISNUMBER(FIND(CODES!$A$12,BU30)),CODES!$A$12,IF(OR(ISNUMBER(FIND(CODES!$A$10,BU30)),ISNUMBER(FIND(CODES!$A$11,BU30))),CODES!$A$13,IF(OR(BU30&lt;BU$39,ISNUMBER(BU30)=FALSE),BU$40,BU30))))</f>
      </c>
      <c r="BV57" s="7">
        <f>IF(ISBLANK(BV30),"NO DATA",IF(ISNUMBER(FIND(CODES!$A$12,BV30)),CODES!$A$12,IF(OR(ISNUMBER(FIND(CODES!$A$10,BV30)),ISNUMBER(FIND(CODES!$A$11,BV30))),CODES!$A$13,IF(OR(BV30&lt;BV$39,ISNUMBER(BV30)=FALSE),BV$40,BV30))))</f>
      </c>
      <c r="BW57" s="7" t="str">
        <f>IF(ISBLANK(BW30),"NO DATA",IF(ISNUMBER(FIND(CODES!$A$12,BW30)),CODES!$A$12,IF(OR(ISNUMBER(FIND(CODES!$A$10,BW30)),ISNUMBER(FIND(CODES!$A$11,BW30))),CODES!$A$13,IF(OR(BW30&lt;BW$39,ISNUMBER(BW30)=FALSE),BW$40,BW30))))</f>
      </c>
      <c r="BX57" s="7" t="str">
        <f>IF(ISBLANK(BX30),"NO DATA",IF(ISNUMBER(FIND(CODES!$A$12,BX30)),CODES!$A$12,IF(OR(ISNUMBER(FIND(CODES!$A$10,BX30)),ISNUMBER(FIND(CODES!$A$11,BX30))),CODES!$A$13,IF(OR(BX30&lt;BX$39,ISNUMBER(BX30)=FALSE),BX$40,BX30))))</f>
      </c>
      <c r="BY57" s="7">
        <f>IF(ISBLANK(BY30),"NO DATA",IF(ISNUMBER(FIND(CODES!$A$12,BY30)),CODES!$A$12,IF(OR(ISNUMBER(FIND(CODES!$A$10,BY30)),ISNUMBER(FIND(CODES!$A$11,BY30))),CODES!$A$13,IF(OR(BY30&lt;BY$39,ISNUMBER(BY30)=FALSE),BY$40,BY30))))</f>
      </c>
      <c r="BZ57" s="7">
        <f>IF(ISBLANK(BZ30),"NO DATA",IF(ISNUMBER(FIND(CODES!$A$12,BZ30)),CODES!$A$12,IF(OR(ISNUMBER(FIND(CODES!$A$10,BZ30)),ISNUMBER(FIND(CODES!$A$11,BZ30))),CODES!$A$13,IF(OR(BZ30&lt;BZ$39,ISNUMBER(BZ30)=FALSE),BZ$40,BZ30))))</f>
      </c>
      <c r="CA57" s="7">
        <f>IF(ISBLANK(CA30),"NO DATA",IF(ISNUMBER(FIND(CODES!$A$12,CA30)),CODES!$A$12,IF(OR(ISNUMBER(FIND(CODES!$A$10,CA30)),ISNUMBER(FIND(CODES!$A$11,CA30))),CODES!$A$13,IF(OR(CA30&lt;CA$39,ISNUMBER(CA30)=FALSE),CA$40,CA30))))</f>
      </c>
      <c r="CB57" s="7">
        <f>IF(ISBLANK(CB30),"NO DATA",IF(ISNUMBER(FIND(CODES!$A$12,CB30)),CODES!$A$12,IF(OR(ISNUMBER(FIND(CODES!$A$10,CB30)),ISNUMBER(FIND(CODES!$A$11,CB30))),CODES!$A$13,IF(OR(CB30&lt;CB$39,ISNUMBER(CB30)=FALSE),CB$40,CB30))))</f>
      </c>
      <c r="CC57" s="7">
        <f>IF(ISBLANK(CC30),"NO DATA",IF(ISNUMBER(FIND(CODES!$A$12,CC30)),CODES!$A$12,IF(OR(ISNUMBER(FIND(CODES!$A$10,CC30)),ISNUMBER(FIND(CODES!$A$11,CC30))),CODES!$A$13,IF(OR(CC30&lt;CC$39,ISNUMBER(CC30)=FALSE),CC$40,CC30))))</f>
      </c>
      <c r="CD57" s="7">
        <f>IF(ISBLANK(CD30),"NO DATA",IF(ISNUMBER(FIND(CODES!$A$12,CD30)),CODES!$A$12,IF(OR(ISNUMBER(FIND(CODES!$A$10,CD30)),ISNUMBER(FIND(CODES!$A$11,CD30))),CODES!$A$13,IF(OR(CD30&lt;CD$39,ISNUMBER(CD30)=FALSE),CD$40,CD30))))</f>
      </c>
      <c r="CE57" s="7">
        <f>IF(ISBLANK(CE30),"NO DATA",IF(ISNUMBER(FIND(CODES!$A$12,CE30)),CODES!$A$12,IF(OR(ISNUMBER(FIND(CODES!$A$10,CE30)),ISNUMBER(FIND(CODES!$A$11,CE30))),CODES!$A$13,IF(OR(CE30&lt;CE$39,ISNUMBER(CE30)=FALSE),CE$40,CE30))))</f>
      </c>
      <c r="CF57" s="7">
        <f>IF(ISBLANK(CF30),"NO DATA",IF(ISNUMBER(FIND(CODES!$A$12,CF30)),CODES!$A$12,IF(OR(ISNUMBER(FIND(CODES!$A$10,CF30)),ISNUMBER(FIND(CODES!$A$11,CF30))),CODES!$A$13,IF(OR(CF30&lt;CF$39,ISNUMBER(CF30)=FALSE),CF$40,CF30))))</f>
      </c>
      <c r="CG57" s="7">
        <f>IF(ISBLANK(CG30),"NO DATA",IF(ISNUMBER(FIND(CODES!$A$12,CG30)),CODES!$A$12,IF(OR(ISNUMBER(FIND(CODES!$A$10,CG30)),ISNUMBER(FIND(CODES!$A$11,CG30))),CODES!$A$13,IF(OR(CG30&lt;CG$39,ISNUMBER(CG30)=FALSE),CG$40,CG30))))</f>
      </c>
      <c r="CH57" s="7">
        <f>IF(ISBLANK(CH30),"NO DATA",IF(ISNUMBER(FIND(CODES!$A$12,CH30)),CODES!$A$12,IF(OR(ISNUMBER(FIND(CODES!$A$10,CH30)),ISNUMBER(FIND(CODES!$A$11,CH30))),CODES!$A$13,IF(OR(CH30&lt;CH$39,ISNUMBER(CH30)=FALSE),CH$40,CH30))))</f>
      </c>
      <c r="CI57" s="7">
        <f>IF(ISBLANK(CI30),"NO DATA",IF(ISNUMBER(FIND(CODES!$A$12,CI30)),CODES!$A$12,IF(OR(ISNUMBER(FIND(CODES!$A$10,CI30)),ISNUMBER(FIND(CODES!$A$11,CI30))),CODES!$A$13,IF(OR(CI30&lt;CI$39,ISNUMBER(CI30)=FALSE),CI$40,CI30))))</f>
      </c>
      <c r="CJ57" s="7">
        <f>IF(ISBLANK(CJ30),"NO DATA",IF(ISNUMBER(FIND(CODES!$A$12,CJ30)),CODES!$A$12,IF(OR(ISNUMBER(FIND(CODES!$A$10,CJ30)),ISNUMBER(FIND(CODES!$A$11,CJ30))),CODES!$A$13,IF(OR(CJ30&lt;CJ$39,ISNUMBER(CJ30)=FALSE),CJ$40,CJ30))))</f>
      </c>
      <c r="CK57" s="7">
        <f>IF(ISBLANK(CK30),"NO DATA",IF(ISNUMBER(FIND(CODES!$A$12,CK30)),CODES!$A$12,IF(OR(ISNUMBER(FIND(CODES!$A$10,CK30)),ISNUMBER(FIND(CODES!$A$11,CK30))),CODES!$A$13,IF(OR(CK30&lt;CK$39,ISNUMBER(CK30)=FALSE),CK$40,CK30))))</f>
      </c>
      <c r="CL57" s="7">
        <f>IF(ISBLANK(CL30),"NO DATA",IF(ISNUMBER(FIND(CODES!$A$12,CL30)),CODES!$A$12,IF(OR(ISNUMBER(FIND(CODES!$A$10,CL30)),ISNUMBER(FIND(CODES!$A$11,CL30))),CODES!$A$13,IF(OR(CL30&lt;CL$39,ISNUMBER(CL30)=FALSE),CL$40,CL30))))</f>
      </c>
      <c r="CM57" s="7">
        <f>IF(ISBLANK(CM30),"NO DATA",IF(ISNUMBER(FIND(CODES!$A$12,CM30)),CODES!$A$12,IF(OR(ISNUMBER(FIND(CODES!$A$10,CM30)),ISNUMBER(FIND(CODES!$A$11,CM30))),CODES!$A$13,IF(OR(CM30&lt;CM$39,ISNUMBER(CM30)=FALSE),CM$40,CM30))))</f>
      </c>
      <c r="CN57" s="7">
        <f>IF(ISBLANK(CN30),"NO DATA",IF(ISNUMBER(FIND(CODES!$A$12,CN30)),CODES!$A$12,IF(OR(ISNUMBER(FIND(CODES!$A$10,CN30)),ISNUMBER(FIND(CODES!$A$11,CN30))),CODES!$A$13,IF(OR(CN30&lt;CN$39,ISNUMBER(CN30)=FALSE),CN$40,CN30))))</f>
      </c>
      <c r="CO57" s="7">
        <f>IF(ISBLANK(CO30),"NO DATA",IF(ISNUMBER(FIND(CODES!$A$12,CO30)),CODES!$A$12,IF(OR(ISNUMBER(FIND(CODES!$A$10,CO30)),ISNUMBER(FIND(CODES!$A$11,CO30))),CODES!$A$13,IF(OR(CO30&lt;CO$39,ISNUMBER(CO30)=FALSE),CO$40,CO30))))</f>
      </c>
      <c r="CP57" s="7">
        <f>IF(ISBLANK(CP30),"NO DATA",IF(ISNUMBER(FIND(CODES!$A$12,CP30)),CODES!$A$12,IF(OR(ISNUMBER(FIND(CODES!$A$10,CP30)),ISNUMBER(FIND(CODES!$A$11,CP30))),CODES!$A$13,IF(OR(CP30&lt;CP$39,ISNUMBER(CP30)=FALSE),CP$40,CP30))))</f>
      </c>
      <c r="CQ57" s="7">
        <f>IF(ISBLANK(CQ30),"NO DATA",IF(ISNUMBER(FIND(CODES!$A$12,CQ30)),CODES!$A$12,IF(OR(ISNUMBER(FIND(CODES!$A$10,CQ30)),ISNUMBER(FIND(CODES!$A$11,CQ30))),CODES!$A$13,IF(OR(CQ30&lt;CQ$39,ISNUMBER(CQ30)=FALSE),CQ$40,CQ30))))</f>
      </c>
      <c r="CR57" s="7">
        <f>IF(ISBLANK(CR30),"NO DATA",IF(ISNUMBER(FIND(CODES!$A$12,CR30)),CODES!$A$12,IF(OR(ISNUMBER(FIND(CODES!$A$10,CR30)),ISNUMBER(FIND(CODES!$A$11,CR30))),CODES!$A$13,IF(OR(CR30&lt;CR$39,ISNUMBER(CR30)=FALSE),CR$40,CR30))))</f>
      </c>
      <c r="CS57" s="7">
        <f>IF(ISBLANK(CS30),"NO DATA",IF(ISNUMBER(FIND(CODES!$A$12,CS30)),CODES!$A$12,IF(OR(ISNUMBER(FIND(CODES!$A$10,CS30)),ISNUMBER(FIND(CODES!$A$11,CS30))),CODES!$A$13,IF(OR(CS30&lt;CS$39,ISNUMBER(CS30)=FALSE),CS$40,CS30))))</f>
      </c>
      <c r="CT57" s="7">
        <f>IF(ISBLANK(CT30),"NO DATA",IF(ISNUMBER(FIND(CODES!$A$12,CT30)),CODES!$A$12,IF(OR(ISNUMBER(FIND(CODES!$A$10,CT30)),ISNUMBER(FIND(CODES!$A$11,CT30))),CODES!$A$13,IF(OR(CT30&lt;CT$39,ISNUMBER(CT30)=FALSE),CT$40,CT30))))</f>
      </c>
      <c r="CU57" s="7">
        <f>IF(ISBLANK(CU30),"NO DATA",IF(ISNUMBER(FIND(CODES!$A$12,CU30)),CODES!$A$12,IF(OR(ISNUMBER(FIND(CODES!$A$10,CU30)),ISNUMBER(FIND(CODES!$A$11,CU30))),CODES!$A$13,IF(OR(CU30&lt;CU$39,ISNUMBER(CU30)=FALSE),CU$40,CU30))))</f>
      </c>
      <c r="CV57" s="7">
        <f>IF(ISBLANK(CV30),"NO DATA",IF(ISNUMBER(FIND(CODES!$A$12,CV30)),CODES!$A$12,IF(OR(ISNUMBER(FIND(CODES!$A$10,CV30)),ISNUMBER(FIND(CODES!$A$11,CV30))),CODES!$A$13,IF(OR(CV30&lt;CV$39,ISNUMBER(CV30)=FALSE),CV$40,CV30))))</f>
      </c>
      <c r="CW57" s="7">
        <f>IF(ISBLANK(CW30),"NO DATA",IF(ISNUMBER(FIND(CODES!$A$12,CW30)),CODES!$A$12,IF(OR(ISNUMBER(FIND(CODES!$A$10,CW30)),ISNUMBER(FIND(CODES!$A$11,CW30))),CODES!$A$13,IF(OR(CW30&lt;CW$39,ISNUMBER(CW30)=FALSE),CW$40,CW30))))</f>
      </c>
      <c r="CX57" s="7">
        <f>IF(ISBLANK(CX30),"NO DATA",IF(ISNUMBER(FIND(CODES!$A$12,CX30)),CODES!$A$12,IF(OR(ISNUMBER(FIND(CODES!$A$10,CX30)),ISNUMBER(FIND(CODES!$A$11,CX30))),CODES!$A$13,IF(OR(CX30&lt;CX$39,ISNUMBER(CX30)=FALSE),CX$40,CX30))))</f>
      </c>
      <c r="CY57" s="7">
        <f>IF(ISBLANK(CY30),"NO DATA",IF(ISNUMBER(FIND(CODES!$A$12,CY30)),CODES!$A$12,IF(OR(ISNUMBER(FIND(CODES!$A$10,CY30)),ISNUMBER(FIND(CODES!$A$11,CY30))),CODES!$A$13,IF(OR(CY30&lt;CY$39,ISNUMBER(CY30)=FALSE),CY$40,CY30))))</f>
      </c>
      <c r="CZ57" s="7">
        <f>IF(ISBLANK(CZ30),"NO DATA",IF(ISNUMBER(FIND(CODES!$A$12,CZ30)),CODES!$A$12,IF(OR(ISNUMBER(FIND(CODES!$A$10,CZ30)),ISNUMBER(FIND(CODES!$A$11,CZ30))),CODES!$A$13,IF(OR(CZ30&lt;CZ$39,ISNUMBER(CZ30)=FALSE),CZ$40,CZ30))))</f>
      </c>
      <c r="DA57" s="7">
        <f>IF(ISBLANK(DA30),"NO DATA",IF(ISNUMBER(FIND(CODES!$A$12,DA30)),CODES!$A$12,IF(OR(ISNUMBER(FIND(CODES!$A$10,DA30)),ISNUMBER(FIND(CODES!$A$11,DA30))),CODES!$A$13,IF(OR(DA30&lt;DA$39,ISNUMBER(DA30)=FALSE),DA$40,DA30))))</f>
      </c>
      <c r="DB57" s="7" t="str">
        <f>IF(ISBLANK(DB30),"NO DATA",IF(ISNUMBER(FIND(CODES!$A$12,DB30)),CODES!$A$12,IF(OR(ISNUMBER(FIND(CODES!$A$10,DB30)),ISNUMBER(FIND(CODES!$A$11,DB30))),CODES!$A$13,IF(OR(DB30&lt;DB$39,ISNUMBER(DB30)=FALSE),DB$40,DB30))))</f>
      </c>
      <c r="DC57" s="7" t="str">
        <f>IF(ISBLANK(DC30),"NO DATA",IF(ISNUMBER(FIND(CODES!$A$12,DC30)),CODES!$A$12,IF(OR(ISNUMBER(FIND(CODES!$A$10,DC30)),ISNUMBER(FIND(CODES!$A$11,DC30))),CODES!$A$13,IF(OR(DC30&lt;DC$39,ISNUMBER(DC30)=FALSE),DC$40,DC30))))</f>
      </c>
      <c r="DD57" s="7">
        <f>IF(ISBLANK(DD30),"NO DATA",IF(ISNUMBER(FIND(CODES!$A$12,DD30)),CODES!$A$12,IF(OR(ISNUMBER(FIND(CODES!$A$10,DD30)),ISNUMBER(FIND(CODES!$A$11,DD30))),CODES!$A$13,IF(OR(DD30&lt;DD$39,ISNUMBER(DD30)=FALSE),DD$40,DD30))))</f>
      </c>
      <c r="DE57" s="7">
        <f>IF(ISBLANK(DE30),"NO DATA",IF(ISNUMBER(FIND(CODES!$A$12,DE30)),CODES!$A$12,IF(OR(ISNUMBER(FIND(CODES!$A$10,DE30)),ISNUMBER(FIND(CODES!$A$11,DE30))),CODES!$A$13,IF(OR(DE30&lt;DE$39,ISNUMBER(DE30)=FALSE),DE$40,DE30))))</f>
      </c>
      <c r="DF57" s="7">
        <f>IF(ISBLANK(DF30),"NO DATA",IF(ISNUMBER(FIND(CODES!$A$12,DF30)),CODES!$A$12,IF(OR(ISNUMBER(FIND(CODES!$A$10,DF30)),ISNUMBER(FIND(CODES!$A$11,DF30))),CODES!$A$13,IF(OR(DF30&lt;DF$39,ISNUMBER(DF30)=FALSE),DF$40,DF30))))</f>
      </c>
      <c r="DG57" s="7">
        <f>IF(ISBLANK(DG30),"NO DATA",IF(ISNUMBER(FIND(CODES!$A$12,DG30)),CODES!$A$12,IF(OR(ISNUMBER(FIND(CODES!$A$10,DG30)),ISNUMBER(FIND(CODES!$A$11,DG30))),CODES!$A$13,IF(OR(DG30&lt;DG$39,ISNUMBER(DG30)=FALSE),DG$40,DG30))))</f>
      </c>
      <c r="DH57" s="7">
        <f>IF(ISBLANK(DH30),"NO DATA",IF(ISNUMBER(FIND(CODES!$A$12,DH30)),CODES!$A$12,IF(OR(ISNUMBER(FIND(CODES!$A$10,DH30)),ISNUMBER(FIND(CODES!$A$11,DH30))),CODES!$A$13,IF(OR(DH30&lt;DH$39,ISNUMBER(DH30)=FALSE),DH$40,DH30))))</f>
      </c>
      <c r="DI57" s="7">
        <f>IF(ISBLANK(DI30),"NO DATA",IF(ISNUMBER(FIND(CODES!$A$12,DI30)),CODES!$A$12,IF(OR(ISNUMBER(FIND(CODES!$A$10,DI30)),ISNUMBER(FIND(CODES!$A$11,DI30))),CODES!$A$13,IF(OR(DI30&lt;DI$39,ISNUMBER(DI30)=FALSE),DI$40,DI30))))</f>
      </c>
    </row>
    <row r="58" spans="1:113" x14ac:dyDescent="0.25">
      <c r="A58" s="16" t="str">
        <f t="shared" si="8"/>
      </c>
      <c r="B58" s="16" t="str">
        <f t="shared" si="8"/>
      </c>
      <c r="C58" s="7" t="str">
        <f>IF(ISBLANK(C31),"NO DATA",IF(ISNUMBER(FIND(CODES!$A$12,C31)),CODES!$A$12,IF(OR(ISNUMBER(FIND(CODES!$A$10,C31)),ISNUMBER(FIND(CODES!$A$11,C31))),CODES!$A$13,IF(OR(C31&lt;C$39,ISNUMBER(C31)=FALSE),C$40,C31))))</f>
      </c>
      <c r="D58" s="7" t="str">
        <f>IF(ISBLANK(D31),"NO DATA",IF(ISNUMBER(FIND(CODES!$A$12,D31)),CODES!$A$12,IF(OR(ISNUMBER(FIND(CODES!$A$10,D31)),ISNUMBER(FIND(CODES!$A$11,D31))),CODES!$A$13,IF(OR(D31&lt;D$39,ISNUMBER(D31)=FALSE),D$40,D31))))</f>
      </c>
      <c r="E58" s="7" t="str">
        <f>IF(ISBLANK(E31),"NO DATA",IF(ISNUMBER(FIND(CODES!$A$12,E31)),CODES!$A$12,IF(OR(ISNUMBER(FIND(CODES!$A$10,E31)),ISNUMBER(FIND(CODES!$A$11,E31))),CODES!$A$13,IF(OR(E31&lt;E$39,ISNUMBER(E31)=FALSE),E$40,E31))))</f>
      </c>
      <c r="F58" s="7" t="str">
        <f>IF(ISBLANK(F31),"NO DATA",IF(ISNUMBER(FIND(CODES!$A$12,F31)),CODES!$A$12,IF(OR(ISNUMBER(FIND(CODES!$A$10,F31)),ISNUMBER(FIND(CODES!$A$11,F31))),CODES!$A$13,IF(OR(F31&lt;F$39,ISNUMBER(F31)=FALSE),F$40,F31))))</f>
      </c>
      <c r="G58" s="7" t="str">
        <f>IF(ISBLANK(G31),"NO DATA",IF(ISNUMBER(FIND(CODES!$A$12,G31)),CODES!$A$12,IF(OR(ISNUMBER(FIND(CODES!$A$10,G31)),ISNUMBER(FIND(CODES!$A$11,G31))),CODES!$A$13,IF(OR(G31&lt;G$39,ISNUMBER(G31)=FALSE),G$40,G31))))</f>
      </c>
      <c r="H58" s="7" t="str">
        <f>IF(ISBLANK(H31),"NO DATA",IF(ISNUMBER(FIND(CODES!$A$12,H31)),CODES!$A$12,IF(OR(ISNUMBER(FIND(CODES!$A$10,H31)),ISNUMBER(FIND(CODES!$A$11,H31))),CODES!$A$13,IF(OR(H31&lt;H$39,ISNUMBER(H31)=FALSE),H$40,H31))))</f>
      </c>
      <c r="I58" s="7" t="str">
        <f>IF(ISBLANK(I31),"NO DATA",IF(ISNUMBER(FIND(CODES!$A$12,I31)),CODES!$A$12,IF(OR(ISNUMBER(FIND(CODES!$A$10,I31)),ISNUMBER(FIND(CODES!$A$11,I31))),CODES!$A$13,IF(OR(I31&lt;I$39,ISNUMBER(I31)=FALSE),I$40,I31))))</f>
      </c>
      <c r="J58" s="7" t="str">
        <f>IF(ISBLANK(J31),"NO DATA",IF(ISNUMBER(FIND(CODES!$A$12,J31)),CODES!$A$12,IF(OR(ISNUMBER(FIND(CODES!$A$10,J31)),ISNUMBER(FIND(CODES!$A$11,J31))),CODES!$A$13,IF(OR(J31&lt;J$39,ISNUMBER(J31)=FALSE),J$40,J31))))</f>
      </c>
      <c r="K58" s="7" t="str">
        <f>IF(ISBLANK(K31),"NO DATA",IF(ISNUMBER(FIND(CODES!$A$12,K31)),CODES!$A$12,IF(OR(ISNUMBER(FIND(CODES!$A$10,K31)),ISNUMBER(FIND(CODES!$A$11,K31))),CODES!$A$13,IF(OR(K31&lt;K$39,ISNUMBER(K31)=FALSE),K$40,K31))))</f>
      </c>
      <c r="L58" s="7" t="str">
        <f>IF(ISBLANK(L31),"NO DATA",IF(ISNUMBER(FIND(CODES!$A$12,L31)),CODES!$A$12,IF(OR(ISNUMBER(FIND(CODES!$A$10,L31)),ISNUMBER(FIND(CODES!$A$11,L31))),CODES!$A$13,IF(OR(L31&lt;L$39,ISNUMBER(L31)=FALSE),L$40,L31))))</f>
      </c>
      <c r="M58" s="7" t="str">
        <f>IF(ISBLANK(M31),"NO DATA",IF(ISNUMBER(FIND(CODES!$A$12,M31)),CODES!$A$12,IF(OR(ISNUMBER(FIND(CODES!$A$10,M31)),ISNUMBER(FIND(CODES!$A$11,M31))),CODES!$A$13,IF(OR(M31&lt;M$39,ISNUMBER(M31)=FALSE),M$40,M31))))</f>
      </c>
      <c r="N58" s="7" t="str">
        <f>IF(ISBLANK(N31),"NO DATA",IF(ISNUMBER(FIND(CODES!$A$12,N31)),CODES!$A$12,IF(OR(ISNUMBER(FIND(CODES!$A$10,N31)),ISNUMBER(FIND(CODES!$A$11,N31))),CODES!$A$13,IF(OR(N31&lt;N$39,ISNUMBER(N31)=FALSE),N$40,N31))))</f>
      </c>
      <c r="O58" s="7" t="str">
        <f>IF(ISBLANK(O31),"NO DATA",IF(ISNUMBER(FIND(CODES!$A$12,O31)),CODES!$A$12,IF(OR(ISNUMBER(FIND(CODES!$A$10,O31)),ISNUMBER(FIND(CODES!$A$11,O31))),CODES!$A$13,IF(OR(O31&lt;O$39,ISNUMBER(O31)=FALSE),O$40,O31))))</f>
      </c>
      <c r="P58" s="7" t="str">
        <f>IF(ISBLANK(P31),"NO DATA",IF(ISNUMBER(FIND(CODES!$A$12,P31)),CODES!$A$12,IF(OR(ISNUMBER(FIND(CODES!$A$10,P31)),ISNUMBER(FIND(CODES!$A$11,P31))),CODES!$A$13,IF(OR(P31&lt;P$39,ISNUMBER(P31)=FALSE),P$40,P31))))</f>
      </c>
      <c r="Q58" s="7" t="str">
        <f>IF(ISBLANK(Q31),"NO DATA",IF(ISNUMBER(FIND(CODES!$A$12,Q31)),CODES!$A$12,IF(OR(ISNUMBER(FIND(CODES!$A$10,Q31)),ISNUMBER(FIND(CODES!$A$11,Q31))),CODES!$A$13,IF(OR(Q31&lt;Q$39,ISNUMBER(Q31)=FALSE),Q$40,Q31))))</f>
      </c>
      <c r="R58" s="7" t="str">
        <f>IF(ISBLANK(R31),"NO DATA",IF(ISNUMBER(FIND(CODES!$A$12,R31)),CODES!$A$12,IF(OR(ISNUMBER(FIND(CODES!$A$10,R31)),ISNUMBER(FIND(CODES!$A$11,R31))),CODES!$A$13,IF(OR(R31&lt;R$39,ISNUMBER(R31)=FALSE),R$40,R31))))</f>
      </c>
      <c r="S58" s="7" t="str">
        <f>IF(ISBLANK(S31),"NO DATA",IF(ISNUMBER(FIND(CODES!$A$12,S31)),CODES!$A$12,IF(OR(ISNUMBER(FIND(CODES!$A$10,S31)),ISNUMBER(FIND(CODES!$A$11,S31))),CODES!$A$13,IF(OR(S31&lt;S$39,ISNUMBER(S31)=FALSE),S$40,S31))))</f>
      </c>
      <c r="T58" s="7" t="str">
        <f>IF(ISBLANK(T31),"NO DATA",IF(ISNUMBER(FIND(CODES!$A$12,T31)),CODES!$A$12,IF(OR(ISNUMBER(FIND(CODES!$A$10,T31)),ISNUMBER(FIND(CODES!$A$11,T31))),CODES!$A$13,IF(OR(T31&lt;T$39,ISNUMBER(T31)=FALSE),T$40,T31))))</f>
      </c>
      <c r="U58" s="7" t="str">
        <f>IF(ISBLANK(U31),"NO DATA",IF(ISNUMBER(FIND(CODES!$A$12,U31)),CODES!$A$12,IF(OR(ISNUMBER(FIND(CODES!$A$10,U31)),ISNUMBER(FIND(CODES!$A$11,U31))),CODES!$A$13,IF(OR(U31&lt;U$39,ISNUMBER(U31)=FALSE),U$40,U31))))</f>
      </c>
      <c r="V58" s="7" t="str">
        <f>IF(ISBLANK(V31),"NO DATA",IF(ISNUMBER(FIND(CODES!$A$12,V31)),CODES!$A$12,IF(OR(ISNUMBER(FIND(CODES!$A$10,V31)),ISNUMBER(FIND(CODES!$A$11,V31))),CODES!$A$13,IF(OR(V31&lt;V$39,ISNUMBER(V31)=FALSE),V$40,V31))))</f>
      </c>
      <c r="W58" s="7" t="str">
        <f>IF(ISBLANK(W31),"NO DATA",IF(ISNUMBER(FIND(CODES!$A$12,W31)),CODES!$A$12,IF(OR(ISNUMBER(FIND(CODES!$A$10,W31)),ISNUMBER(FIND(CODES!$A$11,W31))),CODES!$A$13,IF(OR(W31&lt;W$39,ISNUMBER(W31)=FALSE),W$40,W31))))</f>
      </c>
      <c r="X58" s="7" t="str">
        <f>IF(ISBLANK(X31),"NO DATA",IF(ISNUMBER(FIND(CODES!$A$12,X31)),CODES!$A$12,IF(OR(ISNUMBER(FIND(CODES!$A$10,X31)),ISNUMBER(FIND(CODES!$A$11,X31))),CODES!$A$13,IF(OR(X31&lt;X$39,ISNUMBER(X31)=FALSE),X$40,X31))))</f>
      </c>
      <c r="Y58" s="7" t="str">
        <f>IF(ISBLANK(Y31),"NO DATA",IF(ISNUMBER(FIND(CODES!$A$12,Y31)),CODES!$A$12,IF(OR(ISNUMBER(FIND(CODES!$A$10,Y31)),ISNUMBER(FIND(CODES!$A$11,Y31))),CODES!$A$13,IF(OR(Y31&lt;Y$39,ISNUMBER(Y31)=FALSE),Y$40,Y31))))</f>
      </c>
      <c r="Z58" s="7" t="str">
        <f>IF(ISBLANK(Z31),"NO DATA",IF(ISNUMBER(FIND(CODES!$A$12,Z31)),CODES!$A$12,IF(OR(ISNUMBER(FIND(CODES!$A$10,Z31)),ISNUMBER(FIND(CODES!$A$11,Z31))),CODES!$A$13,IF(OR(Z31&lt;Z$39,ISNUMBER(Z31)=FALSE),Z$40,Z31))))</f>
      </c>
      <c r="AA58" s="7" t="str">
        <f>IF(ISBLANK(AA31),"NO DATA",IF(ISNUMBER(FIND(CODES!$A$12,AA31)),CODES!$A$12,IF(OR(ISNUMBER(FIND(CODES!$A$10,AA31)),ISNUMBER(FIND(CODES!$A$11,AA31))),CODES!$A$13,IF(OR(AA31&lt;AA$39,ISNUMBER(AA31)=FALSE),AA$40,AA31))))</f>
      </c>
      <c r="AB58" s="7" t="str">
        <f>IF(ISBLANK(AB31),"NO DATA",IF(ISNUMBER(FIND(CODES!$A$12,AB31)),CODES!$A$12,IF(OR(ISNUMBER(FIND(CODES!$A$10,AB31)),ISNUMBER(FIND(CODES!$A$11,AB31))),CODES!$A$13,IF(OR(AB31&lt;AB$39,ISNUMBER(AB31)=FALSE),AB$40,AB31))))</f>
      </c>
      <c r="AC58" s="7" t="str">
        <f>IF(ISBLANK(AC31),"NO DATA",IF(ISNUMBER(FIND(CODES!$A$12,AC31)),CODES!$A$12,IF(OR(ISNUMBER(FIND(CODES!$A$10,AC31)),ISNUMBER(FIND(CODES!$A$11,AC31))),CODES!$A$13,IF(OR(AC31&lt;AC$39,ISNUMBER(AC31)=FALSE),AC$40,AC31))))</f>
      </c>
      <c r="AD58" s="7" t="str">
        <f>IF(ISBLANK(AD31),"NO DATA",IF(ISNUMBER(FIND(CODES!$A$12,AD31)),CODES!$A$12,IF(OR(ISNUMBER(FIND(CODES!$A$10,AD31)),ISNUMBER(FIND(CODES!$A$11,AD31))),CODES!$A$13,IF(OR(AD31&lt;AD$39,ISNUMBER(AD31)=FALSE),AD$40,AD31))))</f>
      </c>
      <c r="AE58" s="7" t="str">
        <f>IF(ISBLANK(AE31),"NO DATA",IF(ISNUMBER(FIND(CODES!$A$12,AE31)),CODES!$A$12,IF(OR(ISNUMBER(FIND(CODES!$A$10,AE31)),ISNUMBER(FIND(CODES!$A$11,AE31))),CODES!$A$13,IF(OR(AE31&lt;AE$39,ISNUMBER(AE31)=FALSE),AE$40,AE31))))</f>
      </c>
      <c r="AF58" s="7" t="str">
        <f>IF(ISBLANK(AF31),"NO DATA",IF(ISNUMBER(FIND(CODES!$A$12,AF31)),CODES!$A$12,IF(OR(ISNUMBER(FIND(CODES!$A$10,AF31)),ISNUMBER(FIND(CODES!$A$11,AF31))),CODES!$A$13,IF(OR(AF31&lt;AF$39,ISNUMBER(AF31)=FALSE),AF$40,AF31))))</f>
      </c>
      <c r="AG58" s="7" t="str">
        <f>IF(ISBLANK(AG31),"NO DATA",IF(ISNUMBER(FIND(CODES!$A$12,AG31)),CODES!$A$12,IF(OR(ISNUMBER(FIND(CODES!$A$10,AG31)),ISNUMBER(FIND(CODES!$A$11,AG31))),CODES!$A$13,IF(OR(AG31&lt;AG$39,ISNUMBER(AG31)=FALSE),AG$40,AG31))))</f>
      </c>
      <c r="AH58" s="7" t="str">
        <f>IF(ISBLANK(AH31),"NO DATA",IF(ISNUMBER(FIND(CODES!$A$12,AH31)),CODES!$A$12,IF(OR(ISNUMBER(FIND(CODES!$A$10,AH31)),ISNUMBER(FIND(CODES!$A$11,AH31))),CODES!$A$13,IF(OR(AH31&lt;AH$39,ISNUMBER(AH31)=FALSE),AH$40,AH31))))</f>
      </c>
      <c r="AI58" s="7" t="str">
        <f>IF(ISBLANK(AI31),"NO DATA",IF(ISNUMBER(FIND(CODES!$A$12,AI31)),CODES!$A$12,IF(OR(ISNUMBER(FIND(CODES!$A$10,AI31)),ISNUMBER(FIND(CODES!$A$11,AI31))),CODES!$A$13,IF(OR(AI31&lt;AI$39,ISNUMBER(AI31)=FALSE),AI$40,AI31))))</f>
      </c>
      <c r="AJ58" s="7" t="str">
        <f>IF(ISBLANK(AJ31),"NO DATA",IF(ISNUMBER(FIND(CODES!$A$12,AJ31)),CODES!$A$12,IF(OR(ISNUMBER(FIND(CODES!$A$10,AJ31)),ISNUMBER(FIND(CODES!$A$11,AJ31))),CODES!$A$13,IF(OR(AJ31&lt;AJ$39,ISNUMBER(AJ31)=FALSE),AJ$40,AJ31))))</f>
      </c>
      <c r="AK58" s="7" t="str">
        <f>IF(ISBLANK(AK31),"NO DATA",IF(ISNUMBER(FIND(CODES!$A$12,AK31)),CODES!$A$12,IF(OR(ISNUMBER(FIND(CODES!$A$10,AK31)),ISNUMBER(FIND(CODES!$A$11,AK31))),CODES!$A$13,IF(OR(AK31&lt;AK$39,ISNUMBER(AK31)=FALSE),AK$40,AK31))))</f>
      </c>
      <c r="AL58" s="7" t="str">
        <f>IF(ISBLANK(AL31),"NO DATA",IF(ISNUMBER(FIND(CODES!$A$12,AL31)),CODES!$A$12,IF(OR(ISNUMBER(FIND(CODES!$A$10,AL31)),ISNUMBER(FIND(CODES!$A$11,AL31))),CODES!$A$13,IF(OR(AL31&lt;AL$39,ISNUMBER(AL31)=FALSE),AL$40,AL31))))</f>
      </c>
      <c r="AM58" s="7" t="str">
        <f>IF(ISBLANK(AM31),"NO DATA",IF(ISNUMBER(FIND(CODES!$A$12,AM31)),CODES!$A$12,IF(OR(ISNUMBER(FIND(CODES!$A$10,AM31)),ISNUMBER(FIND(CODES!$A$11,AM31))),CODES!$A$13,IF(OR(AM31&lt;AM$39,ISNUMBER(AM31)=FALSE),AM$40,AM31))))</f>
      </c>
      <c r="AN58" s="7" t="str">
        <f>IF(ISBLANK(AN31),"NO DATA",IF(ISNUMBER(FIND(CODES!$A$12,AN31)),CODES!$A$12,IF(OR(ISNUMBER(FIND(CODES!$A$10,AN31)),ISNUMBER(FIND(CODES!$A$11,AN31))),CODES!$A$13,IF(OR(AN31&lt;AN$39,ISNUMBER(AN31)=FALSE),AN$40,AN31))))</f>
      </c>
      <c r="AO58" s="7" t="str">
        <f>IF(ISBLANK(AO31),"NO DATA",IF(ISNUMBER(FIND(CODES!$A$12,AO31)),CODES!$A$12,IF(OR(ISNUMBER(FIND(CODES!$A$10,AO31)),ISNUMBER(FIND(CODES!$A$11,AO31))),CODES!$A$13,IF(OR(AO31&lt;AO$39,ISNUMBER(AO31)=FALSE),AO$40,AO31))))</f>
      </c>
      <c r="AP58" s="7" t="str">
        <f>IF(ISBLANK(AP31),"NO DATA",IF(ISNUMBER(FIND(CODES!$A$12,AP31)),CODES!$A$12,IF(OR(ISNUMBER(FIND(CODES!$A$10,AP31)),ISNUMBER(FIND(CODES!$A$11,AP31))),CODES!$A$13,IF(OR(AP31&lt;AP$39,ISNUMBER(AP31)=FALSE),AP$40,AP31))))</f>
      </c>
      <c r="AQ58" s="7" t="str">
        <f>IF(ISBLANK(AQ31),"NO DATA",IF(ISNUMBER(FIND(CODES!$A$12,AQ31)),CODES!$A$12,IF(OR(ISNUMBER(FIND(CODES!$A$10,AQ31)),ISNUMBER(FIND(CODES!$A$11,AQ31))),CODES!$A$13,IF(OR(AQ31&lt;AQ$39,ISNUMBER(AQ31)=FALSE),AQ$40,AQ31))))</f>
      </c>
      <c r="AR58" s="7" t="str">
        <f>IF(ISBLANK(AR31),"NO DATA",IF(ISNUMBER(FIND(CODES!$A$12,AR31)),CODES!$A$12,IF(OR(ISNUMBER(FIND(CODES!$A$10,AR31)),ISNUMBER(FIND(CODES!$A$11,AR31))),CODES!$A$13,IF(OR(AR31&lt;AR$39,ISNUMBER(AR31)=FALSE),AR$40,AR31))))</f>
      </c>
      <c r="AS58" s="7" t="str">
        <f>IF(ISBLANK(AS31),"NO DATA",IF(ISNUMBER(FIND(CODES!$A$12,AS31)),CODES!$A$12,IF(OR(ISNUMBER(FIND(CODES!$A$10,AS31)),ISNUMBER(FIND(CODES!$A$11,AS31))),CODES!$A$13,IF(OR(AS31&lt;AS$39,ISNUMBER(AS31)=FALSE),AS$40,AS31))))</f>
      </c>
      <c r="AT58" s="7" t="str">
        <f>IF(ISBLANK(AT31),"NO DATA",IF(ISNUMBER(FIND(CODES!$A$12,AT31)),CODES!$A$12,IF(OR(ISNUMBER(FIND(CODES!$A$10,AT31)),ISNUMBER(FIND(CODES!$A$11,AT31))),CODES!$A$13,IF(OR(AT31&lt;AT$39,ISNUMBER(AT31)=FALSE),AT$40,AT31))))</f>
      </c>
      <c r="AU58" s="7" t="str">
        <f>IF(ISBLANK(AU31),"NO DATA",IF(ISNUMBER(FIND(CODES!$A$12,AU31)),CODES!$A$12,IF(OR(ISNUMBER(FIND(CODES!$A$10,AU31)),ISNUMBER(FIND(CODES!$A$11,AU31))),CODES!$A$13,IF(OR(AU31&lt;AU$39,ISNUMBER(AU31)=FALSE),AU$40,AU31))))</f>
      </c>
      <c r="AV58" s="7" t="str">
        <f>IF(ISBLANK(AV31),"NO DATA",IF(ISNUMBER(FIND(CODES!$A$12,AV31)),CODES!$A$12,IF(OR(ISNUMBER(FIND(CODES!$A$10,AV31)),ISNUMBER(FIND(CODES!$A$11,AV31))),CODES!$A$13,IF(OR(AV31&lt;AV$39,ISNUMBER(AV31)=FALSE),AV$40,AV31))))</f>
      </c>
      <c r="AW58" s="7" t="str">
        <f>IF(ISBLANK(AW31),"NO DATA",IF(ISNUMBER(FIND(CODES!$A$12,AW31)),CODES!$A$12,IF(OR(ISNUMBER(FIND(CODES!$A$10,AW31)),ISNUMBER(FIND(CODES!$A$11,AW31))),CODES!$A$13,IF(OR(AW31&lt;AW$39,ISNUMBER(AW31)=FALSE),AW$40,AW31))))</f>
      </c>
      <c r="AX58" s="7" t="str">
        <f>IF(ISBLANK(AX31),"NO DATA",IF(ISNUMBER(FIND(CODES!$A$12,AX31)),CODES!$A$12,IF(OR(ISNUMBER(FIND(CODES!$A$10,AX31)),ISNUMBER(FIND(CODES!$A$11,AX31))),CODES!$A$13,IF(OR(AX31&lt;AX$39,ISNUMBER(AX31)=FALSE),AX$40,AX31))))</f>
      </c>
      <c r="AY58" s="7" t="str">
        <f>IF(ISBLANK(AY31),"NO DATA",IF(ISNUMBER(FIND(CODES!$A$12,AY31)),CODES!$A$12,IF(OR(ISNUMBER(FIND(CODES!$A$10,AY31)),ISNUMBER(FIND(CODES!$A$11,AY31))),CODES!$A$13,IF(OR(AY31&lt;AY$39,ISNUMBER(AY31)=FALSE),AY$40,AY31))))</f>
      </c>
      <c r="AZ58" s="7" t="str">
        <f>IF(ISBLANK(AZ31),"NO DATA",IF(ISNUMBER(FIND(CODES!$A$12,AZ31)),CODES!$A$12,IF(OR(ISNUMBER(FIND(CODES!$A$10,AZ31)),ISNUMBER(FIND(CODES!$A$11,AZ31))),CODES!$A$13,IF(OR(AZ31&lt;AZ$39,ISNUMBER(AZ31)=FALSE),AZ$40,AZ31))))</f>
      </c>
      <c r="BA58" s="7" t="str">
        <f>IF(ISBLANK(BA31),"NO DATA",IF(ISNUMBER(FIND(CODES!$A$12,BA31)),CODES!$A$12,IF(OR(ISNUMBER(FIND(CODES!$A$10,BA31)),ISNUMBER(FIND(CODES!$A$11,BA31))),CODES!$A$13,IF(OR(BA31&lt;BA$39,ISNUMBER(BA31)=FALSE),BA$40,BA31))))</f>
      </c>
      <c r="BB58" s="7" t="str">
        <f>IF(ISBLANK(BB31),"NO DATA",IF(ISNUMBER(FIND(CODES!$A$12,BB31)),CODES!$A$12,IF(OR(ISNUMBER(FIND(CODES!$A$10,BB31)),ISNUMBER(FIND(CODES!$A$11,BB31))),CODES!$A$13,IF(OR(BB31&lt;BB$39,ISNUMBER(BB31)=FALSE),BB$40,BB31))))</f>
      </c>
      <c r="BC58" s="7" t="str">
        <f>IF(ISBLANK(BC31),"NO DATA",IF(ISNUMBER(FIND(CODES!$A$12,BC31)),CODES!$A$12,IF(OR(ISNUMBER(FIND(CODES!$A$10,BC31)),ISNUMBER(FIND(CODES!$A$11,BC31))),CODES!$A$13,IF(OR(BC31&lt;BC$39,ISNUMBER(BC31)=FALSE),BC$40,BC31))))</f>
      </c>
      <c r="BD58" s="7" t="str">
        <f>IF(ISBLANK(BD31),"NO DATA",IF(ISNUMBER(FIND(CODES!$A$12,BD31)),CODES!$A$12,IF(OR(ISNUMBER(FIND(CODES!$A$10,BD31)),ISNUMBER(FIND(CODES!$A$11,BD31))),CODES!$A$13,IF(OR(BD31&lt;BD$39,ISNUMBER(BD31)=FALSE),BD$40,BD31))))</f>
      </c>
      <c r="BE58" s="7" t="str">
        <f>IF(ISBLANK(BE31),"NO DATA",IF(ISNUMBER(FIND(CODES!$A$12,BE31)),CODES!$A$12,IF(OR(ISNUMBER(FIND(CODES!$A$10,BE31)),ISNUMBER(FIND(CODES!$A$11,BE31))),CODES!$A$13,IF(OR(BE31&lt;BE$39,ISNUMBER(BE31)=FALSE),BE$40,BE31))))</f>
      </c>
      <c r="BF58" s="7" t="str">
        <f>IF(ISBLANK(BF31),"NO DATA",IF(ISNUMBER(FIND(CODES!$A$12,BF31)),CODES!$A$12,IF(OR(ISNUMBER(FIND(CODES!$A$10,BF31)),ISNUMBER(FIND(CODES!$A$11,BF31))),CODES!$A$13,IF(OR(BF31&lt;BF$39,ISNUMBER(BF31)=FALSE),BF$40,BF31))))</f>
      </c>
      <c r="BG58" s="7" t="str">
        <f>IF(ISBLANK(BG31),"NO DATA",IF(ISNUMBER(FIND(CODES!$A$12,BG31)),CODES!$A$12,IF(OR(ISNUMBER(FIND(CODES!$A$10,BG31)),ISNUMBER(FIND(CODES!$A$11,BG31))),CODES!$A$13,IF(OR(BG31&lt;BG$39,ISNUMBER(BG31)=FALSE),BG$40,BG31))))</f>
      </c>
      <c r="BH58" s="7" t="str">
        <f>IF(ISBLANK(BH31),"NO DATA",IF(ISNUMBER(FIND(CODES!$A$12,BH31)),CODES!$A$12,IF(OR(ISNUMBER(FIND(CODES!$A$10,BH31)),ISNUMBER(FIND(CODES!$A$11,BH31))),CODES!$A$13,IF(OR(BH31&lt;BH$39,ISNUMBER(BH31)=FALSE),BH$40,BH31))))</f>
      </c>
      <c r="BI58" s="7" t="str">
        <f>IF(ISBLANK(BI31),"NO DATA",IF(ISNUMBER(FIND(CODES!$A$12,BI31)),CODES!$A$12,IF(OR(ISNUMBER(FIND(CODES!$A$10,BI31)),ISNUMBER(FIND(CODES!$A$11,BI31))),CODES!$A$13,IF(OR(BI31&lt;BI$39,ISNUMBER(BI31)=FALSE),BI$40,BI31))))</f>
      </c>
      <c r="BJ58" s="7" t="str">
        <f>IF(ISBLANK(BJ31),"NO DATA",IF(ISNUMBER(FIND(CODES!$A$12,BJ31)),CODES!$A$12,IF(OR(ISNUMBER(FIND(CODES!$A$10,BJ31)),ISNUMBER(FIND(CODES!$A$11,BJ31))),CODES!$A$13,IF(OR(BJ31&lt;BJ$39,ISNUMBER(BJ31)=FALSE),BJ$40,BJ31))))</f>
      </c>
      <c r="BK58" s="7" t="str">
        <f>IF(ISBLANK(BK31),"NO DATA",IF(ISNUMBER(FIND(CODES!$A$12,BK31)),CODES!$A$12,IF(OR(ISNUMBER(FIND(CODES!$A$10,BK31)),ISNUMBER(FIND(CODES!$A$11,BK31))),CODES!$A$13,IF(OR(BK31&lt;BK$39,ISNUMBER(BK31)=FALSE),BK$40,BK31))))</f>
      </c>
      <c r="BL58" s="7" t="str">
        <f>IF(ISBLANK(BL31),"NO DATA",IF(ISNUMBER(FIND(CODES!$A$12,BL31)),CODES!$A$12,IF(OR(ISNUMBER(FIND(CODES!$A$10,BL31)),ISNUMBER(FIND(CODES!$A$11,BL31))),CODES!$A$13,IF(OR(BL31&lt;BL$39,ISNUMBER(BL31)=FALSE),BL$40,BL31))))</f>
      </c>
      <c r="BM58" s="7" t="str">
        <f>IF(ISBLANK(BM31),"NO DATA",IF(ISNUMBER(FIND(CODES!$A$12,BM31)),CODES!$A$12,IF(OR(ISNUMBER(FIND(CODES!$A$10,BM31)),ISNUMBER(FIND(CODES!$A$11,BM31))),CODES!$A$13,IF(OR(BM31&lt;BM$39,ISNUMBER(BM31)=FALSE),BM$40,BM31))))</f>
      </c>
      <c r="BN58" s="7" t="str">
        <f>IF(ISBLANK(BN31),"NO DATA",IF(ISNUMBER(FIND(CODES!$A$12,BN31)),CODES!$A$12,IF(OR(ISNUMBER(FIND(CODES!$A$10,BN31)),ISNUMBER(FIND(CODES!$A$11,BN31))),CODES!$A$13,IF(OR(BN31&lt;BN$39,ISNUMBER(BN31)=FALSE),BN$40,BN31))))</f>
      </c>
      <c r="BO58" s="7" t="str">
        <f>IF(ISBLANK(BO31),"NO DATA",IF(ISNUMBER(FIND(CODES!$A$12,BO31)),CODES!$A$12,IF(OR(ISNUMBER(FIND(CODES!$A$10,BO31)),ISNUMBER(FIND(CODES!$A$11,BO31))),CODES!$A$13,IF(OR(BO31&lt;BO$39,ISNUMBER(BO31)=FALSE),BO$40,BO31))))</f>
      </c>
      <c r="BP58" s="7" t="str">
        <f>IF(ISBLANK(BP31),"NO DATA",IF(ISNUMBER(FIND(CODES!$A$12,BP31)),CODES!$A$12,IF(OR(ISNUMBER(FIND(CODES!$A$10,BP31)),ISNUMBER(FIND(CODES!$A$11,BP31))),CODES!$A$13,IF(OR(BP31&lt;BP$39,ISNUMBER(BP31)=FALSE),BP$40,BP31))))</f>
      </c>
      <c r="BQ58" s="7" t="str">
        <f>IF(ISBLANK(BQ31),"NO DATA",IF(ISNUMBER(FIND(CODES!$A$12,BQ31)),CODES!$A$12,IF(OR(ISNUMBER(FIND(CODES!$A$10,BQ31)),ISNUMBER(FIND(CODES!$A$11,BQ31))),CODES!$A$13,IF(OR(BQ31&lt;BQ$39,ISNUMBER(BQ31)=FALSE),BQ$40,BQ31))))</f>
      </c>
      <c r="BR58" s="7" t="str">
        <f>IF(ISBLANK(BR31),"NO DATA",IF(ISNUMBER(FIND(CODES!$A$12,BR31)),CODES!$A$12,IF(OR(ISNUMBER(FIND(CODES!$A$10,BR31)),ISNUMBER(FIND(CODES!$A$11,BR31))),CODES!$A$13,IF(OR(BR31&lt;BR$39,ISNUMBER(BR31)=FALSE),BR$40,BR31))))</f>
      </c>
      <c r="BS58" s="7" t="str">
        <f>IF(ISBLANK(BS31),"NO DATA",IF(ISNUMBER(FIND(CODES!$A$12,BS31)),CODES!$A$12,IF(OR(ISNUMBER(FIND(CODES!$A$10,BS31)),ISNUMBER(FIND(CODES!$A$11,BS31))),CODES!$A$13,IF(OR(BS31&lt;BS$39,ISNUMBER(BS31)=FALSE),BS$40,BS31))))</f>
      </c>
      <c r="BT58" s="7" t="str">
        <f>IF(ISBLANK(BT31),"NO DATA",IF(ISNUMBER(FIND(CODES!$A$12,BT31)),CODES!$A$12,IF(OR(ISNUMBER(FIND(CODES!$A$10,BT31)),ISNUMBER(FIND(CODES!$A$11,BT31))),CODES!$A$13,IF(OR(BT31&lt;BT$39,ISNUMBER(BT31)=FALSE),BT$40,BT31))))</f>
      </c>
      <c r="BU58" s="7" t="str">
        <f>IF(ISBLANK(BU31),"NO DATA",IF(ISNUMBER(FIND(CODES!$A$12,BU31)),CODES!$A$12,IF(OR(ISNUMBER(FIND(CODES!$A$10,BU31)),ISNUMBER(FIND(CODES!$A$11,BU31))),CODES!$A$13,IF(OR(BU31&lt;BU$39,ISNUMBER(BU31)=FALSE),BU$40,BU31))))</f>
      </c>
      <c r="BV58" s="7" t="str">
        <f>IF(ISBLANK(BV31),"NO DATA",IF(ISNUMBER(FIND(CODES!$A$12,BV31)),CODES!$A$12,IF(OR(ISNUMBER(FIND(CODES!$A$10,BV31)),ISNUMBER(FIND(CODES!$A$11,BV31))),CODES!$A$13,IF(OR(BV31&lt;BV$39,ISNUMBER(BV31)=FALSE),BV$40,BV31))))</f>
      </c>
      <c r="BW58" s="7" t="str">
        <f>IF(ISBLANK(BW31),"NO DATA",IF(ISNUMBER(FIND(CODES!$A$12,BW31)),CODES!$A$12,IF(OR(ISNUMBER(FIND(CODES!$A$10,BW31)),ISNUMBER(FIND(CODES!$A$11,BW31))),CODES!$A$13,IF(OR(BW31&lt;BW$39,ISNUMBER(BW31)=FALSE),BW$40,BW31))))</f>
      </c>
      <c r="BX58" s="7" t="str">
        <f>IF(ISBLANK(BX31),"NO DATA",IF(ISNUMBER(FIND(CODES!$A$12,BX31)),CODES!$A$12,IF(OR(ISNUMBER(FIND(CODES!$A$10,BX31)),ISNUMBER(FIND(CODES!$A$11,BX31))),CODES!$A$13,IF(OR(BX31&lt;BX$39,ISNUMBER(BX31)=FALSE),BX$40,BX31))))</f>
      </c>
      <c r="BY58" s="7" t="str">
        <f>IF(ISBLANK(BY31),"NO DATA",IF(ISNUMBER(FIND(CODES!$A$12,BY31)),CODES!$A$12,IF(OR(ISNUMBER(FIND(CODES!$A$10,BY31)),ISNUMBER(FIND(CODES!$A$11,BY31))),CODES!$A$13,IF(OR(BY31&lt;BY$39,ISNUMBER(BY31)=FALSE),BY$40,BY31))))</f>
      </c>
      <c r="BZ58" s="7" t="str">
        <f>IF(ISBLANK(BZ31),"NO DATA",IF(ISNUMBER(FIND(CODES!$A$12,BZ31)),CODES!$A$12,IF(OR(ISNUMBER(FIND(CODES!$A$10,BZ31)),ISNUMBER(FIND(CODES!$A$11,BZ31))),CODES!$A$13,IF(OR(BZ31&lt;BZ$39,ISNUMBER(BZ31)=FALSE),BZ$40,BZ31))))</f>
      </c>
      <c r="CA58" s="7" t="str">
        <f>IF(ISBLANK(CA31),"NO DATA",IF(ISNUMBER(FIND(CODES!$A$12,CA31)),CODES!$A$12,IF(OR(ISNUMBER(FIND(CODES!$A$10,CA31)),ISNUMBER(FIND(CODES!$A$11,CA31))),CODES!$A$13,IF(OR(CA31&lt;CA$39,ISNUMBER(CA31)=FALSE),CA$40,CA31))))</f>
      </c>
      <c r="CB58" s="7" t="str">
        <f>IF(ISBLANK(CB31),"NO DATA",IF(ISNUMBER(FIND(CODES!$A$12,CB31)),CODES!$A$12,IF(OR(ISNUMBER(FIND(CODES!$A$10,CB31)),ISNUMBER(FIND(CODES!$A$11,CB31))),CODES!$A$13,IF(OR(CB31&lt;CB$39,ISNUMBER(CB31)=FALSE),CB$40,CB31))))</f>
      </c>
      <c r="CC58" s="7" t="str">
        <f>IF(ISBLANK(CC31),"NO DATA",IF(ISNUMBER(FIND(CODES!$A$12,CC31)),CODES!$A$12,IF(OR(ISNUMBER(FIND(CODES!$A$10,CC31)),ISNUMBER(FIND(CODES!$A$11,CC31))),CODES!$A$13,IF(OR(CC31&lt;CC$39,ISNUMBER(CC31)=FALSE),CC$40,CC31))))</f>
      </c>
      <c r="CD58" s="7" t="str">
        <f>IF(ISBLANK(CD31),"NO DATA",IF(ISNUMBER(FIND(CODES!$A$12,CD31)),CODES!$A$12,IF(OR(ISNUMBER(FIND(CODES!$A$10,CD31)),ISNUMBER(FIND(CODES!$A$11,CD31))),CODES!$A$13,IF(OR(CD31&lt;CD$39,ISNUMBER(CD31)=FALSE),CD$40,CD31))))</f>
      </c>
      <c r="CE58" s="7" t="str">
        <f>IF(ISBLANK(CE31),"NO DATA",IF(ISNUMBER(FIND(CODES!$A$12,CE31)),CODES!$A$12,IF(OR(ISNUMBER(FIND(CODES!$A$10,CE31)),ISNUMBER(FIND(CODES!$A$11,CE31))),CODES!$A$13,IF(OR(CE31&lt;CE$39,ISNUMBER(CE31)=FALSE),CE$40,CE31))))</f>
      </c>
      <c r="CF58" s="7" t="str">
        <f>IF(ISBLANK(CF31),"NO DATA",IF(ISNUMBER(FIND(CODES!$A$12,CF31)),CODES!$A$12,IF(OR(ISNUMBER(FIND(CODES!$A$10,CF31)),ISNUMBER(FIND(CODES!$A$11,CF31))),CODES!$A$13,IF(OR(CF31&lt;CF$39,ISNUMBER(CF31)=FALSE),CF$40,CF31))))</f>
      </c>
      <c r="CG58" s="7" t="str">
        <f>IF(ISBLANK(CG31),"NO DATA",IF(ISNUMBER(FIND(CODES!$A$12,CG31)),CODES!$A$12,IF(OR(ISNUMBER(FIND(CODES!$A$10,CG31)),ISNUMBER(FIND(CODES!$A$11,CG31))),CODES!$A$13,IF(OR(CG31&lt;CG$39,ISNUMBER(CG31)=FALSE),CG$40,CG31))))</f>
      </c>
      <c r="CH58" s="7" t="str">
        <f>IF(ISBLANK(CH31),"NO DATA",IF(ISNUMBER(FIND(CODES!$A$12,CH31)),CODES!$A$12,IF(OR(ISNUMBER(FIND(CODES!$A$10,CH31)),ISNUMBER(FIND(CODES!$A$11,CH31))),CODES!$A$13,IF(OR(CH31&lt;CH$39,ISNUMBER(CH31)=FALSE),CH$40,CH31))))</f>
      </c>
      <c r="CI58" s="7" t="str">
        <f>IF(ISBLANK(CI31),"NO DATA",IF(ISNUMBER(FIND(CODES!$A$12,CI31)),CODES!$A$12,IF(OR(ISNUMBER(FIND(CODES!$A$10,CI31)),ISNUMBER(FIND(CODES!$A$11,CI31))),CODES!$A$13,IF(OR(CI31&lt;CI$39,ISNUMBER(CI31)=FALSE),CI$40,CI31))))</f>
      </c>
      <c r="CJ58" s="7" t="str">
        <f>IF(ISBLANK(CJ31),"NO DATA",IF(ISNUMBER(FIND(CODES!$A$12,CJ31)),CODES!$A$12,IF(OR(ISNUMBER(FIND(CODES!$A$10,CJ31)),ISNUMBER(FIND(CODES!$A$11,CJ31))),CODES!$A$13,IF(OR(CJ31&lt;CJ$39,ISNUMBER(CJ31)=FALSE),CJ$40,CJ31))))</f>
      </c>
      <c r="CK58" s="7" t="str">
        <f>IF(ISBLANK(CK31),"NO DATA",IF(ISNUMBER(FIND(CODES!$A$12,CK31)),CODES!$A$12,IF(OR(ISNUMBER(FIND(CODES!$A$10,CK31)),ISNUMBER(FIND(CODES!$A$11,CK31))),CODES!$A$13,IF(OR(CK31&lt;CK$39,ISNUMBER(CK31)=FALSE),CK$40,CK31))))</f>
      </c>
      <c r="CL58" s="7" t="str">
        <f>IF(ISBLANK(CL31),"NO DATA",IF(ISNUMBER(FIND(CODES!$A$12,CL31)),CODES!$A$12,IF(OR(ISNUMBER(FIND(CODES!$A$10,CL31)),ISNUMBER(FIND(CODES!$A$11,CL31))),CODES!$A$13,IF(OR(CL31&lt;CL$39,ISNUMBER(CL31)=FALSE),CL$40,CL31))))</f>
      </c>
      <c r="CM58" s="7" t="str">
        <f>IF(ISBLANK(CM31),"NO DATA",IF(ISNUMBER(FIND(CODES!$A$12,CM31)),CODES!$A$12,IF(OR(ISNUMBER(FIND(CODES!$A$10,CM31)),ISNUMBER(FIND(CODES!$A$11,CM31))),CODES!$A$13,IF(OR(CM31&lt;CM$39,ISNUMBER(CM31)=FALSE),CM$40,CM31))))</f>
      </c>
      <c r="CN58" s="7" t="str">
        <f>IF(ISBLANK(CN31),"NO DATA",IF(ISNUMBER(FIND(CODES!$A$12,CN31)),CODES!$A$12,IF(OR(ISNUMBER(FIND(CODES!$A$10,CN31)),ISNUMBER(FIND(CODES!$A$11,CN31))),CODES!$A$13,IF(OR(CN31&lt;CN$39,ISNUMBER(CN31)=FALSE),CN$40,CN31))))</f>
      </c>
      <c r="CO58" s="7" t="str">
        <f>IF(ISBLANK(CO31),"NO DATA",IF(ISNUMBER(FIND(CODES!$A$12,CO31)),CODES!$A$12,IF(OR(ISNUMBER(FIND(CODES!$A$10,CO31)),ISNUMBER(FIND(CODES!$A$11,CO31))),CODES!$A$13,IF(OR(CO31&lt;CO$39,ISNUMBER(CO31)=FALSE),CO$40,CO31))))</f>
      </c>
      <c r="CP58" s="7" t="str">
        <f>IF(ISBLANK(CP31),"NO DATA",IF(ISNUMBER(FIND(CODES!$A$12,CP31)),CODES!$A$12,IF(OR(ISNUMBER(FIND(CODES!$A$10,CP31)),ISNUMBER(FIND(CODES!$A$11,CP31))),CODES!$A$13,IF(OR(CP31&lt;CP$39,ISNUMBER(CP31)=FALSE),CP$40,CP31))))</f>
      </c>
      <c r="CQ58" s="7" t="str">
        <f>IF(ISBLANK(CQ31),"NO DATA",IF(ISNUMBER(FIND(CODES!$A$12,CQ31)),CODES!$A$12,IF(OR(ISNUMBER(FIND(CODES!$A$10,CQ31)),ISNUMBER(FIND(CODES!$A$11,CQ31))),CODES!$A$13,IF(OR(CQ31&lt;CQ$39,ISNUMBER(CQ31)=FALSE),CQ$40,CQ31))))</f>
      </c>
      <c r="CR58" s="7" t="str">
        <f>IF(ISBLANK(CR31),"NO DATA",IF(ISNUMBER(FIND(CODES!$A$12,CR31)),CODES!$A$12,IF(OR(ISNUMBER(FIND(CODES!$A$10,CR31)),ISNUMBER(FIND(CODES!$A$11,CR31))),CODES!$A$13,IF(OR(CR31&lt;CR$39,ISNUMBER(CR31)=FALSE),CR$40,CR31))))</f>
      </c>
      <c r="CS58" s="7" t="str">
        <f>IF(ISBLANK(CS31),"NO DATA",IF(ISNUMBER(FIND(CODES!$A$12,CS31)),CODES!$A$12,IF(OR(ISNUMBER(FIND(CODES!$A$10,CS31)),ISNUMBER(FIND(CODES!$A$11,CS31))),CODES!$A$13,IF(OR(CS31&lt;CS$39,ISNUMBER(CS31)=FALSE),CS$40,CS31))))</f>
      </c>
      <c r="CT58" s="7" t="str">
        <f>IF(ISBLANK(CT31),"NO DATA",IF(ISNUMBER(FIND(CODES!$A$12,CT31)),CODES!$A$12,IF(OR(ISNUMBER(FIND(CODES!$A$10,CT31)),ISNUMBER(FIND(CODES!$A$11,CT31))),CODES!$A$13,IF(OR(CT31&lt;CT$39,ISNUMBER(CT31)=FALSE),CT$40,CT31))))</f>
      </c>
      <c r="CU58" s="7" t="str">
        <f>IF(ISBLANK(CU31),"NO DATA",IF(ISNUMBER(FIND(CODES!$A$12,CU31)),CODES!$A$12,IF(OR(ISNUMBER(FIND(CODES!$A$10,CU31)),ISNUMBER(FIND(CODES!$A$11,CU31))),CODES!$A$13,IF(OR(CU31&lt;CU$39,ISNUMBER(CU31)=FALSE),CU$40,CU31))))</f>
      </c>
      <c r="CV58" s="7" t="str">
        <f>IF(ISBLANK(CV31),"NO DATA",IF(ISNUMBER(FIND(CODES!$A$12,CV31)),CODES!$A$12,IF(OR(ISNUMBER(FIND(CODES!$A$10,CV31)),ISNUMBER(FIND(CODES!$A$11,CV31))),CODES!$A$13,IF(OR(CV31&lt;CV$39,ISNUMBER(CV31)=FALSE),CV$40,CV31))))</f>
      </c>
      <c r="CW58" s="7" t="str">
        <f>IF(ISBLANK(CW31),"NO DATA",IF(ISNUMBER(FIND(CODES!$A$12,CW31)),CODES!$A$12,IF(OR(ISNUMBER(FIND(CODES!$A$10,CW31)),ISNUMBER(FIND(CODES!$A$11,CW31))),CODES!$A$13,IF(OR(CW31&lt;CW$39,ISNUMBER(CW31)=FALSE),CW$40,CW31))))</f>
      </c>
      <c r="CX58" s="7" t="str">
        <f>IF(ISBLANK(CX31),"NO DATA",IF(ISNUMBER(FIND(CODES!$A$12,CX31)),CODES!$A$12,IF(OR(ISNUMBER(FIND(CODES!$A$10,CX31)),ISNUMBER(FIND(CODES!$A$11,CX31))),CODES!$A$13,IF(OR(CX31&lt;CX$39,ISNUMBER(CX31)=FALSE),CX$40,CX31))))</f>
      </c>
      <c r="CY58" s="7" t="str">
        <f>IF(ISBLANK(CY31),"NO DATA",IF(ISNUMBER(FIND(CODES!$A$12,CY31)),CODES!$A$12,IF(OR(ISNUMBER(FIND(CODES!$A$10,CY31)),ISNUMBER(FIND(CODES!$A$11,CY31))),CODES!$A$13,IF(OR(CY31&lt;CY$39,ISNUMBER(CY31)=FALSE),CY$40,CY31))))</f>
      </c>
      <c r="CZ58" s="7" t="str">
        <f>IF(ISBLANK(CZ31),"NO DATA",IF(ISNUMBER(FIND(CODES!$A$12,CZ31)),CODES!$A$12,IF(OR(ISNUMBER(FIND(CODES!$A$10,CZ31)),ISNUMBER(FIND(CODES!$A$11,CZ31))),CODES!$A$13,IF(OR(CZ31&lt;CZ$39,ISNUMBER(CZ31)=FALSE),CZ$40,CZ31))))</f>
      </c>
      <c r="DA58" s="7" t="str">
        <f>IF(ISBLANK(DA31),"NO DATA",IF(ISNUMBER(FIND(CODES!$A$12,DA31)),CODES!$A$12,IF(OR(ISNUMBER(FIND(CODES!$A$10,DA31)),ISNUMBER(FIND(CODES!$A$11,DA31))),CODES!$A$13,IF(OR(DA31&lt;DA$39,ISNUMBER(DA31)=FALSE),DA$40,DA31))))</f>
      </c>
      <c r="DB58" s="7" t="str">
        <f>IF(ISBLANK(DB31),"NO DATA",IF(ISNUMBER(FIND(CODES!$A$12,DB31)),CODES!$A$12,IF(OR(ISNUMBER(FIND(CODES!$A$10,DB31)),ISNUMBER(FIND(CODES!$A$11,DB31))),CODES!$A$13,IF(OR(DB31&lt;DB$39,ISNUMBER(DB31)=FALSE),DB$40,DB31))))</f>
      </c>
      <c r="DC58" s="7" t="str">
        <f>IF(ISBLANK(DC31),"NO DATA",IF(ISNUMBER(FIND(CODES!$A$12,DC31)),CODES!$A$12,IF(OR(ISNUMBER(FIND(CODES!$A$10,DC31)),ISNUMBER(FIND(CODES!$A$11,DC31))),CODES!$A$13,IF(OR(DC31&lt;DC$39,ISNUMBER(DC31)=FALSE),DC$40,DC31))))</f>
      </c>
      <c r="DD58" s="7" t="str">
        <f>IF(ISBLANK(DD31),"NO DATA",IF(ISNUMBER(FIND(CODES!$A$12,DD31)),CODES!$A$12,IF(OR(ISNUMBER(FIND(CODES!$A$10,DD31)),ISNUMBER(FIND(CODES!$A$11,DD31))),CODES!$A$13,IF(OR(DD31&lt;DD$39,ISNUMBER(DD31)=FALSE),DD$40,DD31))))</f>
      </c>
      <c r="DE58" s="7" t="str">
        <f>IF(ISBLANK(DE31),"NO DATA",IF(ISNUMBER(FIND(CODES!$A$12,DE31)),CODES!$A$12,IF(OR(ISNUMBER(FIND(CODES!$A$10,DE31)),ISNUMBER(FIND(CODES!$A$11,DE31))),CODES!$A$13,IF(OR(DE31&lt;DE$39,ISNUMBER(DE31)=FALSE),DE$40,DE31))))</f>
      </c>
      <c r="DF58" s="7" t="str">
        <f>IF(ISBLANK(DF31),"NO DATA",IF(ISNUMBER(FIND(CODES!$A$12,DF31)),CODES!$A$12,IF(OR(ISNUMBER(FIND(CODES!$A$10,DF31)),ISNUMBER(FIND(CODES!$A$11,DF31))),CODES!$A$13,IF(OR(DF31&lt;DF$39,ISNUMBER(DF31)=FALSE),DF$40,DF31))))</f>
      </c>
      <c r="DG58" s="7" t="str">
        <f>IF(ISBLANK(DG31),"NO DATA",IF(ISNUMBER(FIND(CODES!$A$12,DG31)),CODES!$A$12,IF(OR(ISNUMBER(FIND(CODES!$A$10,DG31)),ISNUMBER(FIND(CODES!$A$11,DG31))),CODES!$A$13,IF(OR(DG31&lt;DG$39,ISNUMBER(DG31)=FALSE),DG$40,DG31))))</f>
      </c>
      <c r="DH58" s="7" t="str">
        <f>IF(ISBLANK(DH31),"NO DATA",IF(ISNUMBER(FIND(CODES!$A$12,DH31)),CODES!$A$12,IF(OR(ISNUMBER(FIND(CODES!$A$10,DH31)),ISNUMBER(FIND(CODES!$A$11,DH31))),CODES!$A$13,IF(OR(DH31&lt;DH$39,ISNUMBER(DH31)=FALSE),DH$40,DH31))))</f>
      </c>
      <c r="DI58" s="7" t="str">
        <f>IF(ISBLANK(DI31),"NO DATA",IF(ISNUMBER(FIND(CODES!$A$12,DI31)),CODES!$A$12,IF(OR(ISNUMBER(FIND(CODES!$A$10,DI31)),ISNUMBER(FIND(CODES!$A$11,DI31))),CODES!$A$13,IF(OR(DI31&lt;DI$39,ISNUMBER(DI31)=FALSE),DI$40,DI31))))</f>
      </c>
    </row>
    <row r="59" spans="1:113" x14ac:dyDescent="0.25">
      <c r="A59" s="16" t="str">
        <f t="shared" si="8"/>
      </c>
      <c r="B59" s="16" t="str">
        <f t="shared" si="8"/>
      </c>
      <c r="C59" s="7" t="str">
        <f>IF(ISBLANK(C32),"NO DATA",IF(ISNUMBER(FIND(CODES!$A$12,C32)),CODES!$A$12,IF(OR(ISNUMBER(FIND(CODES!$A$10,C32)),ISNUMBER(FIND(CODES!$A$11,C32))),CODES!$A$13,IF(OR(C32&lt;C$39,ISNUMBER(C32)=FALSE),C$40,C32))))</f>
      </c>
      <c r="D59" s="7" t="str">
        <f>IF(ISBLANK(D32),"NO DATA",IF(ISNUMBER(FIND(CODES!$A$12,D32)),CODES!$A$12,IF(OR(ISNUMBER(FIND(CODES!$A$10,D32)),ISNUMBER(FIND(CODES!$A$11,D32))),CODES!$A$13,IF(OR(D32&lt;D$39,ISNUMBER(D32)=FALSE),D$40,D32))))</f>
      </c>
      <c r="E59" s="7" t="str">
        <f>IF(ISBLANK(E32),"NO DATA",IF(ISNUMBER(FIND(CODES!$A$12,E32)),CODES!$A$12,IF(OR(ISNUMBER(FIND(CODES!$A$10,E32)),ISNUMBER(FIND(CODES!$A$11,E32))),CODES!$A$13,IF(OR(E32&lt;E$39,ISNUMBER(E32)=FALSE),E$40,E32))))</f>
      </c>
      <c r="F59" s="7" t="str">
        <f>IF(ISBLANK(F32),"NO DATA",IF(ISNUMBER(FIND(CODES!$A$12,F32)),CODES!$A$12,IF(OR(ISNUMBER(FIND(CODES!$A$10,F32)),ISNUMBER(FIND(CODES!$A$11,F32))),CODES!$A$13,IF(OR(F32&lt;F$39,ISNUMBER(F32)=FALSE),F$40,F32))))</f>
      </c>
      <c r="G59" s="7" t="str">
        <f>IF(ISBLANK(G32),"NO DATA",IF(ISNUMBER(FIND(CODES!$A$12,G32)),CODES!$A$12,IF(OR(ISNUMBER(FIND(CODES!$A$10,G32)),ISNUMBER(FIND(CODES!$A$11,G32))),CODES!$A$13,IF(OR(G32&lt;G$39,ISNUMBER(G32)=FALSE),G$40,G32))))</f>
      </c>
      <c r="H59" s="7" t="str">
        <f>IF(ISBLANK(H32),"NO DATA",IF(ISNUMBER(FIND(CODES!$A$12,H32)),CODES!$A$12,IF(OR(ISNUMBER(FIND(CODES!$A$10,H32)),ISNUMBER(FIND(CODES!$A$11,H32))),CODES!$A$13,IF(OR(H32&lt;H$39,ISNUMBER(H32)=FALSE),H$40,H32))))</f>
      </c>
      <c r="I59" s="7" t="str">
        <f>IF(ISBLANK(I32),"NO DATA",IF(ISNUMBER(FIND(CODES!$A$12,I32)),CODES!$A$12,IF(OR(ISNUMBER(FIND(CODES!$A$10,I32)),ISNUMBER(FIND(CODES!$A$11,I32))),CODES!$A$13,IF(OR(I32&lt;I$39,ISNUMBER(I32)=FALSE),I$40,I32))))</f>
      </c>
      <c r="J59" s="7" t="str">
        <f>IF(ISBLANK(J32),"NO DATA",IF(ISNUMBER(FIND(CODES!$A$12,J32)),CODES!$A$12,IF(OR(ISNUMBER(FIND(CODES!$A$10,J32)),ISNUMBER(FIND(CODES!$A$11,J32))),CODES!$A$13,IF(OR(J32&lt;J$39,ISNUMBER(J32)=FALSE),J$40,J32))))</f>
      </c>
      <c r="K59" s="7" t="str">
        <f>IF(ISBLANK(K32),"NO DATA",IF(ISNUMBER(FIND(CODES!$A$12,K32)),CODES!$A$12,IF(OR(ISNUMBER(FIND(CODES!$A$10,K32)),ISNUMBER(FIND(CODES!$A$11,K32))),CODES!$A$13,IF(OR(K32&lt;K$39,ISNUMBER(K32)=FALSE),K$40,K32))))</f>
      </c>
      <c r="L59" s="7" t="str">
        <f>IF(ISBLANK(L32),"NO DATA",IF(ISNUMBER(FIND(CODES!$A$12,L32)),CODES!$A$12,IF(OR(ISNUMBER(FIND(CODES!$A$10,L32)),ISNUMBER(FIND(CODES!$A$11,L32))),CODES!$A$13,IF(OR(L32&lt;L$39,ISNUMBER(L32)=FALSE),L$40,L32))))</f>
      </c>
      <c r="M59" s="7" t="str">
        <f>IF(ISBLANK(M32),"NO DATA",IF(ISNUMBER(FIND(CODES!$A$12,M32)),CODES!$A$12,IF(OR(ISNUMBER(FIND(CODES!$A$10,M32)),ISNUMBER(FIND(CODES!$A$11,M32))),CODES!$A$13,IF(OR(M32&lt;M$39,ISNUMBER(M32)=FALSE),M$40,M32))))</f>
      </c>
      <c r="N59" s="7" t="str">
        <f>IF(ISBLANK(N32),"NO DATA",IF(ISNUMBER(FIND(CODES!$A$12,N32)),CODES!$A$12,IF(OR(ISNUMBER(FIND(CODES!$A$10,N32)),ISNUMBER(FIND(CODES!$A$11,N32))),CODES!$A$13,IF(OR(N32&lt;N$39,ISNUMBER(N32)=FALSE),N$40,N32))))</f>
      </c>
      <c r="O59" s="7" t="str">
        <f>IF(ISBLANK(O32),"NO DATA",IF(ISNUMBER(FIND(CODES!$A$12,O32)),CODES!$A$12,IF(OR(ISNUMBER(FIND(CODES!$A$10,O32)),ISNUMBER(FIND(CODES!$A$11,O32))),CODES!$A$13,IF(OR(O32&lt;O$39,ISNUMBER(O32)=FALSE),O$40,O32))))</f>
      </c>
      <c r="P59" s="7" t="str">
        <f>IF(ISBLANK(P32),"NO DATA",IF(ISNUMBER(FIND(CODES!$A$12,P32)),CODES!$A$12,IF(OR(ISNUMBER(FIND(CODES!$A$10,P32)),ISNUMBER(FIND(CODES!$A$11,P32))),CODES!$A$13,IF(OR(P32&lt;P$39,ISNUMBER(P32)=FALSE),P$40,P32))))</f>
      </c>
      <c r="Q59" s="7" t="str">
        <f>IF(ISBLANK(Q32),"NO DATA",IF(ISNUMBER(FIND(CODES!$A$12,Q32)),CODES!$A$12,IF(OR(ISNUMBER(FIND(CODES!$A$10,Q32)),ISNUMBER(FIND(CODES!$A$11,Q32))),CODES!$A$13,IF(OR(Q32&lt;Q$39,ISNUMBER(Q32)=FALSE),Q$40,Q32))))</f>
      </c>
      <c r="R59" s="7" t="str">
        <f>IF(ISBLANK(R32),"NO DATA",IF(ISNUMBER(FIND(CODES!$A$12,R32)),CODES!$A$12,IF(OR(ISNUMBER(FIND(CODES!$A$10,R32)),ISNUMBER(FIND(CODES!$A$11,R32))),CODES!$A$13,IF(OR(R32&lt;R$39,ISNUMBER(R32)=FALSE),R$40,R32))))</f>
      </c>
      <c r="S59" s="7" t="str">
        <f>IF(ISBLANK(S32),"NO DATA",IF(ISNUMBER(FIND(CODES!$A$12,S32)),CODES!$A$12,IF(OR(ISNUMBER(FIND(CODES!$A$10,S32)),ISNUMBER(FIND(CODES!$A$11,S32))),CODES!$A$13,IF(OR(S32&lt;S$39,ISNUMBER(S32)=FALSE),S$40,S32))))</f>
      </c>
      <c r="T59" s="7" t="str">
        <f>IF(ISBLANK(T32),"NO DATA",IF(ISNUMBER(FIND(CODES!$A$12,T32)),CODES!$A$12,IF(OR(ISNUMBER(FIND(CODES!$A$10,T32)),ISNUMBER(FIND(CODES!$A$11,T32))),CODES!$A$13,IF(OR(T32&lt;T$39,ISNUMBER(T32)=FALSE),T$40,T32))))</f>
      </c>
      <c r="U59" s="7" t="str">
        <f>IF(ISBLANK(U32),"NO DATA",IF(ISNUMBER(FIND(CODES!$A$12,U32)),CODES!$A$12,IF(OR(ISNUMBER(FIND(CODES!$A$10,U32)),ISNUMBER(FIND(CODES!$A$11,U32))),CODES!$A$13,IF(OR(U32&lt;U$39,ISNUMBER(U32)=FALSE),U$40,U32))))</f>
      </c>
      <c r="V59" s="7" t="str">
        <f>IF(ISBLANK(V32),"NO DATA",IF(ISNUMBER(FIND(CODES!$A$12,V32)),CODES!$A$12,IF(OR(ISNUMBER(FIND(CODES!$A$10,V32)),ISNUMBER(FIND(CODES!$A$11,V32))),CODES!$A$13,IF(OR(V32&lt;V$39,ISNUMBER(V32)=FALSE),V$40,V32))))</f>
      </c>
      <c r="W59" s="7" t="str">
        <f>IF(ISBLANK(W32),"NO DATA",IF(ISNUMBER(FIND(CODES!$A$12,W32)),CODES!$A$12,IF(OR(ISNUMBER(FIND(CODES!$A$10,W32)),ISNUMBER(FIND(CODES!$A$11,W32))),CODES!$A$13,IF(OR(W32&lt;W$39,ISNUMBER(W32)=FALSE),W$40,W32))))</f>
      </c>
      <c r="X59" s="7" t="str">
        <f>IF(ISBLANK(X32),"NO DATA",IF(ISNUMBER(FIND(CODES!$A$12,X32)),CODES!$A$12,IF(OR(ISNUMBER(FIND(CODES!$A$10,X32)),ISNUMBER(FIND(CODES!$A$11,X32))),CODES!$A$13,IF(OR(X32&lt;X$39,ISNUMBER(X32)=FALSE),X$40,X32))))</f>
      </c>
      <c r="Y59" s="7" t="str">
        <f>IF(ISBLANK(Y32),"NO DATA",IF(ISNUMBER(FIND(CODES!$A$12,Y32)),CODES!$A$12,IF(OR(ISNUMBER(FIND(CODES!$A$10,Y32)),ISNUMBER(FIND(CODES!$A$11,Y32))),CODES!$A$13,IF(OR(Y32&lt;Y$39,ISNUMBER(Y32)=FALSE),Y$40,Y32))))</f>
      </c>
      <c r="Z59" s="7" t="str">
        <f>IF(ISBLANK(Z32),"NO DATA",IF(ISNUMBER(FIND(CODES!$A$12,Z32)),CODES!$A$12,IF(OR(ISNUMBER(FIND(CODES!$A$10,Z32)),ISNUMBER(FIND(CODES!$A$11,Z32))),CODES!$A$13,IF(OR(Z32&lt;Z$39,ISNUMBER(Z32)=FALSE),Z$40,Z32))))</f>
      </c>
      <c r="AA59" s="7" t="str">
        <f>IF(ISBLANK(AA32),"NO DATA",IF(ISNUMBER(FIND(CODES!$A$12,AA32)),CODES!$A$12,IF(OR(ISNUMBER(FIND(CODES!$A$10,AA32)),ISNUMBER(FIND(CODES!$A$11,AA32))),CODES!$A$13,IF(OR(AA32&lt;AA$39,ISNUMBER(AA32)=FALSE),AA$40,AA32))))</f>
      </c>
      <c r="AB59" s="7" t="str">
        <f>IF(ISBLANK(AB32),"NO DATA",IF(ISNUMBER(FIND(CODES!$A$12,AB32)),CODES!$A$12,IF(OR(ISNUMBER(FIND(CODES!$A$10,AB32)),ISNUMBER(FIND(CODES!$A$11,AB32))),CODES!$A$13,IF(OR(AB32&lt;AB$39,ISNUMBER(AB32)=FALSE),AB$40,AB32))))</f>
      </c>
      <c r="AC59" s="7" t="str">
        <f>IF(ISBLANK(AC32),"NO DATA",IF(ISNUMBER(FIND(CODES!$A$12,AC32)),CODES!$A$12,IF(OR(ISNUMBER(FIND(CODES!$A$10,AC32)),ISNUMBER(FIND(CODES!$A$11,AC32))),CODES!$A$13,IF(OR(AC32&lt;AC$39,ISNUMBER(AC32)=FALSE),AC$40,AC32))))</f>
      </c>
      <c r="AD59" s="7" t="str">
        <f>IF(ISBLANK(AD32),"NO DATA",IF(ISNUMBER(FIND(CODES!$A$12,AD32)),CODES!$A$12,IF(OR(ISNUMBER(FIND(CODES!$A$10,AD32)),ISNUMBER(FIND(CODES!$A$11,AD32))),CODES!$A$13,IF(OR(AD32&lt;AD$39,ISNUMBER(AD32)=FALSE),AD$40,AD32))))</f>
      </c>
      <c r="AE59" s="7" t="str">
        <f>IF(ISBLANK(AE32),"NO DATA",IF(ISNUMBER(FIND(CODES!$A$12,AE32)),CODES!$A$12,IF(OR(ISNUMBER(FIND(CODES!$A$10,AE32)),ISNUMBER(FIND(CODES!$A$11,AE32))),CODES!$A$13,IF(OR(AE32&lt;AE$39,ISNUMBER(AE32)=FALSE),AE$40,AE32))))</f>
      </c>
      <c r="AF59" s="7" t="str">
        <f>IF(ISBLANK(AF32),"NO DATA",IF(ISNUMBER(FIND(CODES!$A$12,AF32)),CODES!$A$12,IF(OR(ISNUMBER(FIND(CODES!$A$10,AF32)),ISNUMBER(FIND(CODES!$A$11,AF32))),CODES!$A$13,IF(OR(AF32&lt;AF$39,ISNUMBER(AF32)=FALSE),AF$40,AF32))))</f>
      </c>
      <c r="AG59" s="7" t="str">
        <f>IF(ISBLANK(AG32),"NO DATA",IF(ISNUMBER(FIND(CODES!$A$12,AG32)),CODES!$A$12,IF(OR(ISNUMBER(FIND(CODES!$A$10,AG32)),ISNUMBER(FIND(CODES!$A$11,AG32))),CODES!$A$13,IF(OR(AG32&lt;AG$39,ISNUMBER(AG32)=FALSE),AG$40,AG32))))</f>
      </c>
      <c r="AH59" s="7" t="str">
        <f>IF(ISBLANK(AH32),"NO DATA",IF(ISNUMBER(FIND(CODES!$A$12,AH32)),CODES!$A$12,IF(OR(ISNUMBER(FIND(CODES!$A$10,AH32)),ISNUMBER(FIND(CODES!$A$11,AH32))),CODES!$A$13,IF(OR(AH32&lt;AH$39,ISNUMBER(AH32)=FALSE),AH$40,AH32))))</f>
      </c>
      <c r="AI59" s="7" t="str">
        <f>IF(ISBLANK(AI32),"NO DATA",IF(ISNUMBER(FIND(CODES!$A$12,AI32)),CODES!$A$12,IF(OR(ISNUMBER(FIND(CODES!$A$10,AI32)),ISNUMBER(FIND(CODES!$A$11,AI32))),CODES!$A$13,IF(OR(AI32&lt;AI$39,ISNUMBER(AI32)=FALSE),AI$40,AI32))))</f>
      </c>
      <c r="AJ59" s="7" t="str">
        <f>IF(ISBLANK(AJ32),"NO DATA",IF(ISNUMBER(FIND(CODES!$A$12,AJ32)),CODES!$A$12,IF(OR(ISNUMBER(FIND(CODES!$A$10,AJ32)),ISNUMBER(FIND(CODES!$A$11,AJ32))),CODES!$A$13,IF(OR(AJ32&lt;AJ$39,ISNUMBER(AJ32)=FALSE),AJ$40,AJ32))))</f>
      </c>
      <c r="AK59" s="7" t="str">
        <f>IF(ISBLANK(AK32),"NO DATA",IF(ISNUMBER(FIND(CODES!$A$12,AK32)),CODES!$A$12,IF(OR(ISNUMBER(FIND(CODES!$A$10,AK32)),ISNUMBER(FIND(CODES!$A$11,AK32))),CODES!$A$13,IF(OR(AK32&lt;AK$39,ISNUMBER(AK32)=FALSE),AK$40,AK32))))</f>
      </c>
      <c r="AL59" s="7" t="str">
        <f>IF(ISBLANK(AL32),"NO DATA",IF(ISNUMBER(FIND(CODES!$A$12,AL32)),CODES!$A$12,IF(OR(ISNUMBER(FIND(CODES!$A$10,AL32)),ISNUMBER(FIND(CODES!$A$11,AL32))),CODES!$A$13,IF(OR(AL32&lt;AL$39,ISNUMBER(AL32)=FALSE),AL$40,AL32))))</f>
      </c>
      <c r="AM59" s="7" t="str">
        <f>IF(ISBLANK(AM32),"NO DATA",IF(ISNUMBER(FIND(CODES!$A$12,AM32)),CODES!$A$12,IF(OR(ISNUMBER(FIND(CODES!$A$10,AM32)),ISNUMBER(FIND(CODES!$A$11,AM32))),CODES!$A$13,IF(OR(AM32&lt;AM$39,ISNUMBER(AM32)=FALSE),AM$40,AM32))))</f>
      </c>
      <c r="AN59" s="7" t="str">
        <f>IF(ISBLANK(AN32),"NO DATA",IF(ISNUMBER(FIND(CODES!$A$12,AN32)),CODES!$A$12,IF(OR(ISNUMBER(FIND(CODES!$A$10,AN32)),ISNUMBER(FIND(CODES!$A$11,AN32))),CODES!$A$13,IF(OR(AN32&lt;AN$39,ISNUMBER(AN32)=FALSE),AN$40,AN32))))</f>
      </c>
      <c r="AO59" s="7" t="str">
        <f>IF(ISBLANK(AO32),"NO DATA",IF(ISNUMBER(FIND(CODES!$A$12,AO32)),CODES!$A$12,IF(OR(ISNUMBER(FIND(CODES!$A$10,AO32)),ISNUMBER(FIND(CODES!$A$11,AO32))),CODES!$A$13,IF(OR(AO32&lt;AO$39,ISNUMBER(AO32)=FALSE),AO$40,AO32))))</f>
      </c>
      <c r="AP59" s="7" t="str">
        <f>IF(ISBLANK(AP32),"NO DATA",IF(ISNUMBER(FIND(CODES!$A$12,AP32)),CODES!$A$12,IF(OR(ISNUMBER(FIND(CODES!$A$10,AP32)),ISNUMBER(FIND(CODES!$A$11,AP32))),CODES!$A$13,IF(OR(AP32&lt;AP$39,ISNUMBER(AP32)=FALSE),AP$40,AP32))))</f>
      </c>
      <c r="AQ59" s="7" t="str">
        <f>IF(ISBLANK(AQ32),"NO DATA",IF(ISNUMBER(FIND(CODES!$A$12,AQ32)),CODES!$A$12,IF(OR(ISNUMBER(FIND(CODES!$A$10,AQ32)),ISNUMBER(FIND(CODES!$A$11,AQ32))),CODES!$A$13,IF(OR(AQ32&lt;AQ$39,ISNUMBER(AQ32)=FALSE),AQ$40,AQ32))))</f>
      </c>
      <c r="AR59" s="7" t="str">
        <f>IF(ISBLANK(AR32),"NO DATA",IF(ISNUMBER(FIND(CODES!$A$12,AR32)),CODES!$A$12,IF(OR(ISNUMBER(FIND(CODES!$A$10,AR32)),ISNUMBER(FIND(CODES!$A$11,AR32))),CODES!$A$13,IF(OR(AR32&lt;AR$39,ISNUMBER(AR32)=FALSE),AR$40,AR32))))</f>
      </c>
      <c r="AS59" s="7" t="str">
        <f>IF(ISBLANK(AS32),"NO DATA",IF(ISNUMBER(FIND(CODES!$A$12,AS32)),CODES!$A$12,IF(OR(ISNUMBER(FIND(CODES!$A$10,AS32)),ISNUMBER(FIND(CODES!$A$11,AS32))),CODES!$A$13,IF(OR(AS32&lt;AS$39,ISNUMBER(AS32)=FALSE),AS$40,AS32))))</f>
      </c>
      <c r="AT59" s="7" t="str">
        <f>IF(ISBLANK(AT32),"NO DATA",IF(ISNUMBER(FIND(CODES!$A$12,AT32)),CODES!$A$12,IF(OR(ISNUMBER(FIND(CODES!$A$10,AT32)),ISNUMBER(FIND(CODES!$A$11,AT32))),CODES!$A$13,IF(OR(AT32&lt;AT$39,ISNUMBER(AT32)=FALSE),AT$40,AT32))))</f>
      </c>
      <c r="AU59" s="7" t="str">
        <f>IF(ISBLANK(AU32),"NO DATA",IF(ISNUMBER(FIND(CODES!$A$12,AU32)),CODES!$A$12,IF(OR(ISNUMBER(FIND(CODES!$A$10,AU32)),ISNUMBER(FIND(CODES!$A$11,AU32))),CODES!$A$13,IF(OR(AU32&lt;AU$39,ISNUMBER(AU32)=FALSE),AU$40,AU32))))</f>
      </c>
      <c r="AV59" s="7" t="str">
        <f>IF(ISBLANK(AV32),"NO DATA",IF(ISNUMBER(FIND(CODES!$A$12,AV32)),CODES!$A$12,IF(OR(ISNUMBER(FIND(CODES!$A$10,AV32)),ISNUMBER(FIND(CODES!$A$11,AV32))),CODES!$A$13,IF(OR(AV32&lt;AV$39,ISNUMBER(AV32)=FALSE),AV$40,AV32))))</f>
      </c>
      <c r="AW59" s="7" t="str">
        <f>IF(ISBLANK(AW32),"NO DATA",IF(ISNUMBER(FIND(CODES!$A$12,AW32)),CODES!$A$12,IF(OR(ISNUMBER(FIND(CODES!$A$10,AW32)),ISNUMBER(FIND(CODES!$A$11,AW32))),CODES!$A$13,IF(OR(AW32&lt;AW$39,ISNUMBER(AW32)=FALSE),AW$40,AW32))))</f>
      </c>
      <c r="AX59" s="7" t="str">
        <f>IF(ISBLANK(AX32),"NO DATA",IF(ISNUMBER(FIND(CODES!$A$12,AX32)),CODES!$A$12,IF(OR(ISNUMBER(FIND(CODES!$A$10,AX32)),ISNUMBER(FIND(CODES!$A$11,AX32))),CODES!$A$13,IF(OR(AX32&lt;AX$39,ISNUMBER(AX32)=FALSE),AX$40,AX32))))</f>
      </c>
      <c r="AY59" s="7" t="str">
        <f>IF(ISBLANK(AY32),"NO DATA",IF(ISNUMBER(FIND(CODES!$A$12,AY32)),CODES!$A$12,IF(OR(ISNUMBER(FIND(CODES!$A$10,AY32)),ISNUMBER(FIND(CODES!$A$11,AY32))),CODES!$A$13,IF(OR(AY32&lt;AY$39,ISNUMBER(AY32)=FALSE),AY$40,AY32))))</f>
      </c>
      <c r="AZ59" s="7" t="str">
        <f>IF(ISBLANK(AZ32),"NO DATA",IF(ISNUMBER(FIND(CODES!$A$12,AZ32)),CODES!$A$12,IF(OR(ISNUMBER(FIND(CODES!$A$10,AZ32)),ISNUMBER(FIND(CODES!$A$11,AZ32))),CODES!$A$13,IF(OR(AZ32&lt;AZ$39,ISNUMBER(AZ32)=FALSE),AZ$40,AZ32))))</f>
      </c>
      <c r="BA59" s="7" t="str">
        <f>IF(ISBLANK(BA32),"NO DATA",IF(ISNUMBER(FIND(CODES!$A$12,BA32)),CODES!$A$12,IF(OR(ISNUMBER(FIND(CODES!$A$10,BA32)),ISNUMBER(FIND(CODES!$A$11,BA32))),CODES!$A$13,IF(OR(BA32&lt;BA$39,ISNUMBER(BA32)=FALSE),BA$40,BA32))))</f>
      </c>
      <c r="BB59" s="7" t="str">
        <f>IF(ISBLANK(BB32),"NO DATA",IF(ISNUMBER(FIND(CODES!$A$12,BB32)),CODES!$A$12,IF(OR(ISNUMBER(FIND(CODES!$A$10,BB32)),ISNUMBER(FIND(CODES!$A$11,BB32))),CODES!$A$13,IF(OR(BB32&lt;BB$39,ISNUMBER(BB32)=FALSE),BB$40,BB32))))</f>
      </c>
      <c r="BC59" s="7" t="str">
        <f>IF(ISBLANK(BC32),"NO DATA",IF(ISNUMBER(FIND(CODES!$A$12,BC32)),CODES!$A$12,IF(OR(ISNUMBER(FIND(CODES!$A$10,BC32)),ISNUMBER(FIND(CODES!$A$11,BC32))),CODES!$A$13,IF(OR(BC32&lt;BC$39,ISNUMBER(BC32)=FALSE),BC$40,BC32))))</f>
      </c>
      <c r="BD59" s="7" t="str">
        <f>IF(ISBLANK(BD32),"NO DATA",IF(ISNUMBER(FIND(CODES!$A$12,BD32)),CODES!$A$12,IF(OR(ISNUMBER(FIND(CODES!$A$10,BD32)),ISNUMBER(FIND(CODES!$A$11,BD32))),CODES!$A$13,IF(OR(BD32&lt;BD$39,ISNUMBER(BD32)=FALSE),BD$40,BD32))))</f>
      </c>
      <c r="BE59" s="7" t="str">
        <f>IF(ISBLANK(BE32),"NO DATA",IF(ISNUMBER(FIND(CODES!$A$12,BE32)),CODES!$A$12,IF(OR(ISNUMBER(FIND(CODES!$A$10,BE32)),ISNUMBER(FIND(CODES!$A$11,BE32))),CODES!$A$13,IF(OR(BE32&lt;BE$39,ISNUMBER(BE32)=FALSE),BE$40,BE32))))</f>
      </c>
      <c r="BF59" s="7" t="str">
        <f>IF(ISBLANK(BF32),"NO DATA",IF(ISNUMBER(FIND(CODES!$A$12,BF32)),CODES!$A$12,IF(OR(ISNUMBER(FIND(CODES!$A$10,BF32)),ISNUMBER(FIND(CODES!$A$11,BF32))),CODES!$A$13,IF(OR(BF32&lt;BF$39,ISNUMBER(BF32)=FALSE),BF$40,BF32))))</f>
      </c>
      <c r="BG59" s="7" t="str">
        <f>IF(ISBLANK(BG32),"NO DATA",IF(ISNUMBER(FIND(CODES!$A$12,BG32)),CODES!$A$12,IF(OR(ISNUMBER(FIND(CODES!$A$10,BG32)),ISNUMBER(FIND(CODES!$A$11,BG32))),CODES!$A$13,IF(OR(BG32&lt;BG$39,ISNUMBER(BG32)=FALSE),BG$40,BG32))))</f>
      </c>
      <c r="BH59" s="7" t="str">
        <f>IF(ISBLANK(BH32),"NO DATA",IF(ISNUMBER(FIND(CODES!$A$12,BH32)),CODES!$A$12,IF(OR(ISNUMBER(FIND(CODES!$A$10,BH32)),ISNUMBER(FIND(CODES!$A$11,BH32))),CODES!$A$13,IF(OR(BH32&lt;BH$39,ISNUMBER(BH32)=FALSE),BH$40,BH32))))</f>
      </c>
      <c r="BI59" s="7" t="str">
        <f>IF(ISBLANK(BI32),"NO DATA",IF(ISNUMBER(FIND(CODES!$A$12,BI32)),CODES!$A$12,IF(OR(ISNUMBER(FIND(CODES!$A$10,BI32)),ISNUMBER(FIND(CODES!$A$11,BI32))),CODES!$A$13,IF(OR(BI32&lt;BI$39,ISNUMBER(BI32)=FALSE),BI$40,BI32))))</f>
      </c>
      <c r="BJ59" s="7" t="str">
        <f>IF(ISBLANK(BJ32),"NO DATA",IF(ISNUMBER(FIND(CODES!$A$12,BJ32)),CODES!$A$12,IF(OR(ISNUMBER(FIND(CODES!$A$10,BJ32)),ISNUMBER(FIND(CODES!$A$11,BJ32))),CODES!$A$13,IF(OR(BJ32&lt;BJ$39,ISNUMBER(BJ32)=FALSE),BJ$40,BJ32))))</f>
      </c>
      <c r="BK59" s="7" t="str">
        <f>IF(ISBLANK(BK32),"NO DATA",IF(ISNUMBER(FIND(CODES!$A$12,BK32)),CODES!$A$12,IF(OR(ISNUMBER(FIND(CODES!$A$10,BK32)),ISNUMBER(FIND(CODES!$A$11,BK32))),CODES!$A$13,IF(OR(BK32&lt;BK$39,ISNUMBER(BK32)=FALSE),BK$40,BK32))))</f>
      </c>
      <c r="BL59" s="7" t="str">
        <f>IF(ISBLANK(BL32),"NO DATA",IF(ISNUMBER(FIND(CODES!$A$12,BL32)),CODES!$A$12,IF(OR(ISNUMBER(FIND(CODES!$A$10,BL32)),ISNUMBER(FIND(CODES!$A$11,BL32))),CODES!$A$13,IF(OR(BL32&lt;BL$39,ISNUMBER(BL32)=FALSE),BL$40,BL32))))</f>
      </c>
      <c r="BM59" s="7" t="str">
        <f>IF(ISBLANK(BM32),"NO DATA",IF(ISNUMBER(FIND(CODES!$A$12,BM32)),CODES!$A$12,IF(OR(ISNUMBER(FIND(CODES!$A$10,BM32)),ISNUMBER(FIND(CODES!$A$11,BM32))),CODES!$A$13,IF(OR(BM32&lt;BM$39,ISNUMBER(BM32)=FALSE),BM$40,BM32))))</f>
      </c>
      <c r="BN59" s="7" t="str">
        <f>IF(ISBLANK(BN32),"NO DATA",IF(ISNUMBER(FIND(CODES!$A$12,BN32)),CODES!$A$12,IF(OR(ISNUMBER(FIND(CODES!$A$10,BN32)),ISNUMBER(FIND(CODES!$A$11,BN32))),CODES!$A$13,IF(OR(BN32&lt;BN$39,ISNUMBER(BN32)=FALSE),BN$40,BN32))))</f>
      </c>
      <c r="BO59" s="7" t="str">
        <f>IF(ISBLANK(BO32),"NO DATA",IF(ISNUMBER(FIND(CODES!$A$12,BO32)),CODES!$A$12,IF(OR(ISNUMBER(FIND(CODES!$A$10,BO32)),ISNUMBER(FIND(CODES!$A$11,BO32))),CODES!$A$13,IF(OR(BO32&lt;BO$39,ISNUMBER(BO32)=FALSE),BO$40,BO32))))</f>
      </c>
      <c r="BP59" s="7" t="str">
        <f>IF(ISBLANK(BP32),"NO DATA",IF(ISNUMBER(FIND(CODES!$A$12,BP32)),CODES!$A$12,IF(OR(ISNUMBER(FIND(CODES!$A$10,BP32)),ISNUMBER(FIND(CODES!$A$11,BP32))),CODES!$A$13,IF(OR(BP32&lt;BP$39,ISNUMBER(BP32)=FALSE),BP$40,BP32))))</f>
      </c>
      <c r="BQ59" s="7" t="str">
        <f>IF(ISBLANK(BQ32),"NO DATA",IF(ISNUMBER(FIND(CODES!$A$12,BQ32)),CODES!$A$12,IF(OR(ISNUMBER(FIND(CODES!$A$10,BQ32)),ISNUMBER(FIND(CODES!$A$11,BQ32))),CODES!$A$13,IF(OR(BQ32&lt;BQ$39,ISNUMBER(BQ32)=FALSE),BQ$40,BQ32))))</f>
      </c>
      <c r="BR59" s="7" t="str">
        <f>IF(ISBLANK(BR32),"NO DATA",IF(ISNUMBER(FIND(CODES!$A$12,BR32)),CODES!$A$12,IF(OR(ISNUMBER(FIND(CODES!$A$10,BR32)),ISNUMBER(FIND(CODES!$A$11,BR32))),CODES!$A$13,IF(OR(BR32&lt;BR$39,ISNUMBER(BR32)=FALSE),BR$40,BR32))))</f>
      </c>
      <c r="BS59" s="7" t="str">
        <f>IF(ISBLANK(BS32),"NO DATA",IF(ISNUMBER(FIND(CODES!$A$12,BS32)),CODES!$A$12,IF(OR(ISNUMBER(FIND(CODES!$A$10,BS32)),ISNUMBER(FIND(CODES!$A$11,BS32))),CODES!$A$13,IF(OR(BS32&lt;BS$39,ISNUMBER(BS32)=FALSE),BS$40,BS32))))</f>
      </c>
      <c r="BT59" s="7" t="str">
        <f>IF(ISBLANK(BT32),"NO DATA",IF(ISNUMBER(FIND(CODES!$A$12,BT32)),CODES!$A$12,IF(OR(ISNUMBER(FIND(CODES!$A$10,BT32)),ISNUMBER(FIND(CODES!$A$11,BT32))),CODES!$A$13,IF(OR(BT32&lt;BT$39,ISNUMBER(BT32)=FALSE),BT$40,BT32))))</f>
      </c>
      <c r="BU59" s="7" t="str">
        <f>IF(ISBLANK(BU32),"NO DATA",IF(ISNUMBER(FIND(CODES!$A$12,BU32)),CODES!$A$12,IF(OR(ISNUMBER(FIND(CODES!$A$10,BU32)),ISNUMBER(FIND(CODES!$A$11,BU32))),CODES!$A$13,IF(OR(BU32&lt;BU$39,ISNUMBER(BU32)=FALSE),BU$40,BU32))))</f>
      </c>
      <c r="BV59" s="7" t="str">
        <f>IF(ISBLANK(BV32),"NO DATA",IF(ISNUMBER(FIND(CODES!$A$12,BV32)),CODES!$A$12,IF(OR(ISNUMBER(FIND(CODES!$A$10,BV32)),ISNUMBER(FIND(CODES!$A$11,BV32))),CODES!$A$13,IF(OR(BV32&lt;BV$39,ISNUMBER(BV32)=FALSE),BV$40,BV32))))</f>
      </c>
      <c r="BW59" s="7" t="str">
        <f>IF(ISBLANK(BW32),"NO DATA",IF(ISNUMBER(FIND(CODES!$A$12,BW32)),CODES!$A$12,IF(OR(ISNUMBER(FIND(CODES!$A$10,BW32)),ISNUMBER(FIND(CODES!$A$11,BW32))),CODES!$A$13,IF(OR(BW32&lt;BW$39,ISNUMBER(BW32)=FALSE),BW$40,BW32))))</f>
      </c>
      <c r="BX59" s="7" t="str">
        <f>IF(ISBLANK(BX32),"NO DATA",IF(ISNUMBER(FIND(CODES!$A$12,BX32)),CODES!$A$12,IF(OR(ISNUMBER(FIND(CODES!$A$10,BX32)),ISNUMBER(FIND(CODES!$A$11,BX32))),CODES!$A$13,IF(OR(BX32&lt;BX$39,ISNUMBER(BX32)=FALSE),BX$40,BX32))))</f>
      </c>
      <c r="BY59" s="7" t="str">
        <f>IF(ISBLANK(BY32),"NO DATA",IF(ISNUMBER(FIND(CODES!$A$12,BY32)),CODES!$A$12,IF(OR(ISNUMBER(FIND(CODES!$A$10,BY32)),ISNUMBER(FIND(CODES!$A$11,BY32))),CODES!$A$13,IF(OR(BY32&lt;BY$39,ISNUMBER(BY32)=FALSE),BY$40,BY32))))</f>
      </c>
      <c r="BZ59" s="7" t="str">
        <f>IF(ISBLANK(BZ32),"NO DATA",IF(ISNUMBER(FIND(CODES!$A$12,BZ32)),CODES!$A$12,IF(OR(ISNUMBER(FIND(CODES!$A$10,BZ32)),ISNUMBER(FIND(CODES!$A$11,BZ32))),CODES!$A$13,IF(OR(BZ32&lt;BZ$39,ISNUMBER(BZ32)=FALSE),BZ$40,BZ32))))</f>
      </c>
      <c r="CA59" s="7" t="str">
        <f>IF(ISBLANK(CA32),"NO DATA",IF(ISNUMBER(FIND(CODES!$A$12,CA32)),CODES!$A$12,IF(OR(ISNUMBER(FIND(CODES!$A$10,CA32)),ISNUMBER(FIND(CODES!$A$11,CA32))),CODES!$A$13,IF(OR(CA32&lt;CA$39,ISNUMBER(CA32)=FALSE),CA$40,CA32))))</f>
      </c>
      <c r="CB59" s="7" t="str">
        <f>IF(ISBLANK(CB32),"NO DATA",IF(ISNUMBER(FIND(CODES!$A$12,CB32)),CODES!$A$12,IF(OR(ISNUMBER(FIND(CODES!$A$10,CB32)),ISNUMBER(FIND(CODES!$A$11,CB32))),CODES!$A$13,IF(OR(CB32&lt;CB$39,ISNUMBER(CB32)=FALSE),CB$40,CB32))))</f>
      </c>
      <c r="CC59" s="7" t="str">
        <f>IF(ISBLANK(CC32),"NO DATA",IF(ISNUMBER(FIND(CODES!$A$12,CC32)),CODES!$A$12,IF(OR(ISNUMBER(FIND(CODES!$A$10,CC32)),ISNUMBER(FIND(CODES!$A$11,CC32))),CODES!$A$13,IF(OR(CC32&lt;CC$39,ISNUMBER(CC32)=FALSE),CC$40,CC32))))</f>
      </c>
      <c r="CD59" s="7" t="str">
        <f>IF(ISBLANK(CD32),"NO DATA",IF(ISNUMBER(FIND(CODES!$A$12,CD32)),CODES!$A$12,IF(OR(ISNUMBER(FIND(CODES!$A$10,CD32)),ISNUMBER(FIND(CODES!$A$11,CD32))),CODES!$A$13,IF(OR(CD32&lt;CD$39,ISNUMBER(CD32)=FALSE),CD$40,CD32))))</f>
      </c>
      <c r="CE59" s="7" t="str">
        <f>IF(ISBLANK(CE32),"NO DATA",IF(ISNUMBER(FIND(CODES!$A$12,CE32)),CODES!$A$12,IF(OR(ISNUMBER(FIND(CODES!$A$10,CE32)),ISNUMBER(FIND(CODES!$A$11,CE32))),CODES!$A$13,IF(OR(CE32&lt;CE$39,ISNUMBER(CE32)=FALSE),CE$40,CE32))))</f>
      </c>
      <c r="CF59" s="7" t="str">
        <f>IF(ISBLANK(CF32),"NO DATA",IF(ISNUMBER(FIND(CODES!$A$12,CF32)),CODES!$A$12,IF(OR(ISNUMBER(FIND(CODES!$A$10,CF32)),ISNUMBER(FIND(CODES!$A$11,CF32))),CODES!$A$13,IF(OR(CF32&lt;CF$39,ISNUMBER(CF32)=FALSE),CF$40,CF32))))</f>
      </c>
      <c r="CG59" s="7" t="str">
        <f>IF(ISBLANK(CG32),"NO DATA",IF(ISNUMBER(FIND(CODES!$A$12,CG32)),CODES!$A$12,IF(OR(ISNUMBER(FIND(CODES!$A$10,CG32)),ISNUMBER(FIND(CODES!$A$11,CG32))),CODES!$A$13,IF(OR(CG32&lt;CG$39,ISNUMBER(CG32)=FALSE),CG$40,CG32))))</f>
      </c>
      <c r="CH59" s="7" t="str">
        <f>IF(ISBLANK(CH32),"NO DATA",IF(ISNUMBER(FIND(CODES!$A$12,CH32)),CODES!$A$12,IF(OR(ISNUMBER(FIND(CODES!$A$10,CH32)),ISNUMBER(FIND(CODES!$A$11,CH32))),CODES!$A$13,IF(OR(CH32&lt;CH$39,ISNUMBER(CH32)=FALSE),CH$40,CH32))))</f>
      </c>
      <c r="CI59" s="7" t="str">
        <f>IF(ISBLANK(CI32),"NO DATA",IF(ISNUMBER(FIND(CODES!$A$12,CI32)),CODES!$A$12,IF(OR(ISNUMBER(FIND(CODES!$A$10,CI32)),ISNUMBER(FIND(CODES!$A$11,CI32))),CODES!$A$13,IF(OR(CI32&lt;CI$39,ISNUMBER(CI32)=FALSE),CI$40,CI32))))</f>
      </c>
      <c r="CJ59" s="7" t="str">
        <f>IF(ISBLANK(CJ32),"NO DATA",IF(ISNUMBER(FIND(CODES!$A$12,CJ32)),CODES!$A$12,IF(OR(ISNUMBER(FIND(CODES!$A$10,CJ32)),ISNUMBER(FIND(CODES!$A$11,CJ32))),CODES!$A$13,IF(OR(CJ32&lt;CJ$39,ISNUMBER(CJ32)=FALSE),CJ$40,CJ32))))</f>
      </c>
      <c r="CK59" s="7" t="str">
        <f>IF(ISBLANK(CK32),"NO DATA",IF(ISNUMBER(FIND(CODES!$A$12,CK32)),CODES!$A$12,IF(OR(ISNUMBER(FIND(CODES!$A$10,CK32)),ISNUMBER(FIND(CODES!$A$11,CK32))),CODES!$A$13,IF(OR(CK32&lt;CK$39,ISNUMBER(CK32)=FALSE),CK$40,CK32))))</f>
      </c>
      <c r="CL59" s="7" t="str">
        <f>IF(ISBLANK(CL32),"NO DATA",IF(ISNUMBER(FIND(CODES!$A$12,CL32)),CODES!$A$12,IF(OR(ISNUMBER(FIND(CODES!$A$10,CL32)),ISNUMBER(FIND(CODES!$A$11,CL32))),CODES!$A$13,IF(OR(CL32&lt;CL$39,ISNUMBER(CL32)=FALSE),CL$40,CL32))))</f>
      </c>
      <c r="CM59" s="7" t="str">
        <f>IF(ISBLANK(CM32),"NO DATA",IF(ISNUMBER(FIND(CODES!$A$12,CM32)),CODES!$A$12,IF(OR(ISNUMBER(FIND(CODES!$A$10,CM32)),ISNUMBER(FIND(CODES!$A$11,CM32))),CODES!$A$13,IF(OR(CM32&lt;CM$39,ISNUMBER(CM32)=FALSE),CM$40,CM32))))</f>
      </c>
      <c r="CN59" s="7" t="str">
        <f>IF(ISBLANK(CN32),"NO DATA",IF(ISNUMBER(FIND(CODES!$A$12,CN32)),CODES!$A$12,IF(OR(ISNUMBER(FIND(CODES!$A$10,CN32)),ISNUMBER(FIND(CODES!$A$11,CN32))),CODES!$A$13,IF(OR(CN32&lt;CN$39,ISNUMBER(CN32)=FALSE),CN$40,CN32))))</f>
      </c>
      <c r="CO59" s="7" t="str">
        <f>IF(ISBLANK(CO32),"NO DATA",IF(ISNUMBER(FIND(CODES!$A$12,CO32)),CODES!$A$12,IF(OR(ISNUMBER(FIND(CODES!$A$10,CO32)),ISNUMBER(FIND(CODES!$A$11,CO32))),CODES!$A$13,IF(OR(CO32&lt;CO$39,ISNUMBER(CO32)=FALSE),CO$40,CO32))))</f>
      </c>
      <c r="CP59" s="7" t="str">
        <f>IF(ISBLANK(CP32),"NO DATA",IF(ISNUMBER(FIND(CODES!$A$12,CP32)),CODES!$A$12,IF(OR(ISNUMBER(FIND(CODES!$A$10,CP32)),ISNUMBER(FIND(CODES!$A$11,CP32))),CODES!$A$13,IF(OR(CP32&lt;CP$39,ISNUMBER(CP32)=FALSE),CP$40,CP32))))</f>
      </c>
      <c r="CQ59" s="7" t="str">
        <f>IF(ISBLANK(CQ32),"NO DATA",IF(ISNUMBER(FIND(CODES!$A$12,CQ32)),CODES!$A$12,IF(OR(ISNUMBER(FIND(CODES!$A$10,CQ32)),ISNUMBER(FIND(CODES!$A$11,CQ32))),CODES!$A$13,IF(OR(CQ32&lt;CQ$39,ISNUMBER(CQ32)=FALSE),CQ$40,CQ32))))</f>
      </c>
      <c r="CR59" s="7" t="str">
        <f>IF(ISBLANK(CR32),"NO DATA",IF(ISNUMBER(FIND(CODES!$A$12,CR32)),CODES!$A$12,IF(OR(ISNUMBER(FIND(CODES!$A$10,CR32)),ISNUMBER(FIND(CODES!$A$11,CR32))),CODES!$A$13,IF(OR(CR32&lt;CR$39,ISNUMBER(CR32)=FALSE),CR$40,CR32))))</f>
      </c>
      <c r="CS59" s="7" t="str">
        <f>IF(ISBLANK(CS32),"NO DATA",IF(ISNUMBER(FIND(CODES!$A$12,CS32)),CODES!$A$12,IF(OR(ISNUMBER(FIND(CODES!$A$10,CS32)),ISNUMBER(FIND(CODES!$A$11,CS32))),CODES!$A$13,IF(OR(CS32&lt;CS$39,ISNUMBER(CS32)=FALSE),CS$40,CS32))))</f>
      </c>
      <c r="CT59" s="7" t="str">
        <f>IF(ISBLANK(CT32),"NO DATA",IF(ISNUMBER(FIND(CODES!$A$12,CT32)),CODES!$A$12,IF(OR(ISNUMBER(FIND(CODES!$A$10,CT32)),ISNUMBER(FIND(CODES!$A$11,CT32))),CODES!$A$13,IF(OR(CT32&lt;CT$39,ISNUMBER(CT32)=FALSE),CT$40,CT32))))</f>
      </c>
      <c r="CU59" s="7" t="str">
        <f>IF(ISBLANK(CU32),"NO DATA",IF(ISNUMBER(FIND(CODES!$A$12,CU32)),CODES!$A$12,IF(OR(ISNUMBER(FIND(CODES!$A$10,CU32)),ISNUMBER(FIND(CODES!$A$11,CU32))),CODES!$A$13,IF(OR(CU32&lt;CU$39,ISNUMBER(CU32)=FALSE),CU$40,CU32))))</f>
      </c>
      <c r="CV59" s="7" t="str">
        <f>IF(ISBLANK(CV32),"NO DATA",IF(ISNUMBER(FIND(CODES!$A$12,CV32)),CODES!$A$12,IF(OR(ISNUMBER(FIND(CODES!$A$10,CV32)),ISNUMBER(FIND(CODES!$A$11,CV32))),CODES!$A$13,IF(OR(CV32&lt;CV$39,ISNUMBER(CV32)=FALSE),CV$40,CV32))))</f>
      </c>
      <c r="CW59" s="7" t="str">
        <f>IF(ISBLANK(CW32),"NO DATA",IF(ISNUMBER(FIND(CODES!$A$12,CW32)),CODES!$A$12,IF(OR(ISNUMBER(FIND(CODES!$A$10,CW32)),ISNUMBER(FIND(CODES!$A$11,CW32))),CODES!$A$13,IF(OR(CW32&lt;CW$39,ISNUMBER(CW32)=FALSE),CW$40,CW32))))</f>
      </c>
      <c r="CX59" s="7" t="str">
        <f>IF(ISBLANK(CX32),"NO DATA",IF(ISNUMBER(FIND(CODES!$A$12,CX32)),CODES!$A$12,IF(OR(ISNUMBER(FIND(CODES!$A$10,CX32)),ISNUMBER(FIND(CODES!$A$11,CX32))),CODES!$A$13,IF(OR(CX32&lt;CX$39,ISNUMBER(CX32)=FALSE),CX$40,CX32))))</f>
      </c>
      <c r="CY59" s="7" t="str">
        <f>IF(ISBLANK(CY32),"NO DATA",IF(ISNUMBER(FIND(CODES!$A$12,CY32)),CODES!$A$12,IF(OR(ISNUMBER(FIND(CODES!$A$10,CY32)),ISNUMBER(FIND(CODES!$A$11,CY32))),CODES!$A$13,IF(OR(CY32&lt;CY$39,ISNUMBER(CY32)=FALSE),CY$40,CY32))))</f>
      </c>
      <c r="CZ59" s="7" t="str">
        <f>IF(ISBLANK(CZ32),"NO DATA",IF(ISNUMBER(FIND(CODES!$A$12,CZ32)),CODES!$A$12,IF(OR(ISNUMBER(FIND(CODES!$A$10,CZ32)),ISNUMBER(FIND(CODES!$A$11,CZ32))),CODES!$A$13,IF(OR(CZ32&lt;CZ$39,ISNUMBER(CZ32)=FALSE),CZ$40,CZ32))))</f>
      </c>
      <c r="DA59" s="7" t="str">
        <f>IF(ISBLANK(DA32),"NO DATA",IF(ISNUMBER(FIND(CODES!$A$12,DA32)),CODES!$A$12,IF(OR(ISNUMBER(FIND(CODES!$A$10,DA32)),ISNUMBER(FIND(CODES!$A$11,DA32))),CODES!$A$13,IF(OR(DA32&lt;DA$39,ISNUMBER(DA32)=FALSE),DA$40,DA32))))</f>
      </c>
      <c r="DB59" s="7" t="str">
        <f>IF(ISBLANK(DB32),"NO DATA",IF(ISNUMBER(FIND(CODES!$A$12,DB32)),CODES!$A$12,IF(OR(ISNUMBER(FIND(CODES!$A$10,DB32)),ISNUMBER(FIND(CODES!$A$11,DB32))),CODES!$A$13,IF(OR(DB32&lt;DB$39,ISNUMBER(DB32)=FALSE),DB$40,DB32))))</f>
      </c>
      <c r="DC59" s="7" t="str">
        <f>IF(ISBLANK(DC32),"NO DATA",IF(ISNUMBER(FIND(CODES!$A$12,DC32)),CODES!$A$12,IF(OR(ISNUMBER(FIND(CODES!$A$10,DC32)),ISNUMBER(FIND(CODES!$A$11,DC32))),CODES!$A$13,IF(OR(DC32&lt;DC$39,ISNUMBER(DC32)=FALSE),DC$40,DC32))))</f>
      </c>
      <c r="DD59" s="7" t="str">
        <f>IF(ISBLANK(DD32),"NO DATA",IF(ISNUMBER(FIND(CODES!$A$12,DD32)),CODES!$A$12,IF(OR(ISNUMBER(FIND(CODES!$A$10,DD32)),ISNUMBER(FIND(CODES!$A$11,DD32))),CODES!$A$13,IF(OR(DD32&lt;DD$39,ISNUMBER(DD32)=FALSE),DD$40,DD32))))</f>
      </c>
      <c r="DE59" s="7" t="str">
        <f>IF(ISBLANK(DE32),"NO DATA",IF(ISNUMBER(FIND(CODES!$A$12,DE32)),CODES!$A$12,IF(OR(ISNUMBER(FIND(CODES!$A$10,DE32)),ISNUMBER(FIND(CODES!$A$11,DE32))),CODES!$A$13,IF(OR(DE32&lt;DE$39,ISNUMBER(DE32)=FALSE),DE$40,DE32))))</f>
      </c>
      <c r="DF59" s="7" t="str">
        <f>IF(ISBLANK(DF32),"NO DATA",IF(ISNUMBER(FIND(CODES!$A$12,DF32)),CODES!$A$12,IF(OR(ISNUMBER(FIND(CODES!$A$10,DF32)),ISNUMBER(FIND(CODES!$A$11,DF32))),CODES!$A$13,IF(OR(DF32&lt;DF$39,ISNUMBER(DF32)=FALSE),DF$40,DF32))))</f>
      </c>
      <c r="DG59" s="7" t="str">
        <f>IF(ISBLANK(DG32),"NO DATA",IF(ISNUMBER(FIND(CODES!$A$12,DG32)),CODES!$A$12,IF(OR(ISNUMBER(FIND(CODES!$A$10,DG32)),ISNUMBER(FIND(CODES!$A$11,DG32))),CODES!$A$13,IF(OR(DG32&lt;DG$39,ISNUMBER(DG32)=FALSE),DG$40,DG32))))</f>
      </c>
      <c r="DH59" s="7" t="str">
        <f>IF(ISBLANK(DH32),"NO DATA",IF(ISNUMBER(FIND(CODES!$A$12,DH32)),CODES!$A$12,IF(OR(ISNUMBER(FIND(CODES!$A$10,DH32)),ISNUMBER(FIND(CODES!$A$11,DH32))),CODES!$A$13,IF(OR(DH32&lt;DH$39,ISNUMBER(DH32)=FALSE),DH$40,DH32))))</f>
      </c>
      <c r="DI59" s="7" t="str">
        <f>IF(ISBLANK(DI32),"NO DATA",IF(ISNUMBER(FIND(CODES!$A$12,DI32)),CODES!$A$12,IF(OR(ISNUMBER(FIND(CODES!$A$10,DI32)),ISNUMBER(FIND(CODES!$A$11,DI32))),CODES!$A$13,IF(OR(DI32&lt;DI$39,ISNUMBER(DI32)=FALSE),DI$40,DI32))))</f>
      </c>
    </row>
    <row r="60" spans="1:113" x14ac:dyDescent="0.25">
      <c r="A60" s="16" t="str">
        <f t="shared" si="8"/>
      </c>
      <c r="B60" s="16" t="str">
        <f t="shared" si="8"/>
      </c>
      <c r="C60" s="7" t="str">
        <f>IF(ISBLANK(C33),"NO DATA",IF(ISNUMBER(FIND(CODES!$A$12,C33)),CODES!$A$12,IF(OR(ISNUMBER(FIND(CODES!$A$10,C33)),ISNUMBER(FIND(CODES!$A$11,C33))),CODES!$A$13,IF(OR(C33&lt;C$39,ISNUMBER(C33)=FALSE),C$40,C33))))</f>
      </c>
      <c r="D60" s="7" t="str">
        <f>IF(ISBLANK(D33),"NO DATA",IF(ISNUMBER(FIND(CODES!$A$12,D33)),CODES!$A$12,IF(OR(ISNUMBER(FIND(CODES!$A$10,D33)),ISNUMBER(FIND(CODES!$A$11,D33))),CODES!$A$13,IF(OR(D33&lt;D$39,ISNUMBER(D33)=FALSE),D$40,D33))))</f>
      </c>
      <c r="E60" s="7" t="str">
        <f>IF(ISBLANK(E33),"NO DATA",IF(ISNUMBER(FIND(CODES!$A$12,E33)),CODES!$A$12,IF(OR(ISNUMBER(FIND(CODES!$A$10,E33)),ISNUMBER(FIND(CODES!$A$11,E33))),CODES!$A$13,IF(OR(E33&lt;E$39,ISNUMBER(E33)=FALSE),E$40,E33))))</f>
      </c>
      <c r="F60" s="7" t="str">
        <f>IF(ISBLANK(F33),"NO DATA",IF(ISNUMBER(FIND(CODES!$A$12,F33)),CODES!$A$12,IF(OR(ISNUMBER(FIND(CODES!$A$10,F33)),ISNUMBER(FIND(CODES!$A$11,F33))),CODES!$A$13,IF(OR(F33&lt;F$39,ISNUMBER(F33)=FALSE),F$40,F33))))</f>
      </c>
      <c r="G60" s="7" t="str">
        <f>IF(ISBLANK(G33),"NO DATA",IF(ISNUMBER(FIND(CODES!$A$12,G33)),CODES!$A$12,IF(OR(ISNUMBER(FIND(CODES!$A$10,G33)),ISNUMBER(FIND(CODES!$A$11,G33))),CODES!$A$13,IF(OR(G33&lt;G$39,ISNUMBER(G33)=FALSE),G$40,G33))))</f>
      </c>
      <c r="H60" s="7" t="str">
        <f>IF(ISBLANK(H33),"NO DATA",IF(ISNUMBER(FIND(CODES!$A$12,H33)),CODES!$A$12,IF(OR(ISNUMBER(FIND(CODES!$A$10,H33)),ISNUMBER(FIND(CODES!$A$11,H33))),CODES!$A$13,IF(OR(H33&lt;H$39,ISNUMBER(H33)=FALSE),H$40,H33))))</f>
      </c>
      <c r="I60" s="7" t="str">
        <f>IF(ISBLANK(I33),"NO DATA",IF(ISNUMBER(FIND(CODES!$A$12,I33)),CODES!$A$12,IF(OR(ISNUMBER(FIND(CODES!$A$10,I33)),ISNUMBER(FIND(CODES!$A$11,I33))),CODES!$A$13,IF(OR(I33&lt;I$39,ISNUMBER(I33)=FALSE),I$40,I33))))</f>
      </c>
      <c r="J60" s="7" t="str">
        <f>IF(ISBLANK(J33),"NO DATA",IF(ISNUMBER(FIND(CODES!$A$12,J33)),CODES!$A$12,IF(OR(ISNUMBER(FIND(CODES!$A$10,J33)),ISNUMBER(FIND(CODES!$A$11,J33))),CODES!$A$13,IF(OR(J33&lt;J$39,ISNUMBER(J33)=FALSE),J$40,J33))))</f>
      </c>
      <c r="K60" s="7" t="str">
        <f>IF(ISBLANK(K33),"NO DATA",IF(ISNUMBER(FIND(CODES!$A$12,K33)),CODES!$A$12,IF(OR(ISNUMBER(FIND(CODES!$A$10,K33)),ISNUMBER(FIND(CODES!$A$11,K33))),CODES!$A$13,IF(OR(K33&lt;K$39,ISNUMBER(K33)=FALSE),K$40,K33))))</f>
      </c>
      <c r="L60" s="7" t="str">
        <f>IF(ISBLANK(L33),"NO DATA",IF(ISNUMBER(FIND(CODES!$A$12,L33)),CODES!$A$12,IF(OR(ISNUMBER(FIND(CODES!$A$10,L33)),ISNUMBER(FIND(CODES!$A$11,L33))),CODES!$A$13,IF(OR(L33&lt;L$39,ISNUMBER(L33)=FALSE),L$40,L33))))</f>
      </c>
      <c r="M60" s="7" t="str">
        <f>IF(ISBLANK(M33),"NO DATA",IF(ISNUMBER(FIND(CODES!$A$12,M33)),CODES!$A$12,IF(OR(ISNUMBER(FIND(CODES!$A$10,M33)),ISNUMBER(FIND(CODES!$A$11,M33))),CODES!$A$13,IF(OR(M33&lt;M$39,ISNUMBER(M33)=FALSE),M$40,M33))))</f>
      </c>
      <c r="N60" s="7" t="str">
        <f>IF(ISBLANK(N33),"NO DATA",IF(ISNUMBER(FIND(CODES!$A$12,N33)),CODES!$A$12,IF(OR(ISNUMBER(FIND(CODES!$A$10,N33)),ISNUMBER(FIND(CODES!$A$11,N33))),CODES!$A$13,IF(OR(N33&lt;N$39,ISNUMBER(N33)=FALSE),N$40,N33))))</f>
      </c>
      <c r="O60" s="7" t="str">
        <f>IF(ISBLANK(O33),"NO DATA",IF(ISNUMBER(FIND(CODES!$A$12,O33)),CODES!$A$12,IF(OR(ISNUMBER(FIND(CODES!$A$10,O33)),ISNUMBER(FIND(CODES!$A$11,O33))),CODES!$A$13,IF(OR(O33&lt;O$39,ISNUMBER(O33)=FALSE),O$40,O33))))</f>
      </c>
      <c r="P60" s="7" t="str">
        <f>IF(ISBLANK(P33),"NO DATA",IF(ISNUMBER(FIND(CODES!$A$12,P33)),CODES!$A$12,IF(OR(ISNUMBER(FIND(CODES!$A$10,P33)),ISNUMBER(FIND(CODES!$A$11,P33))),CODES!$A$13,IF(OR(P33&lt;P$39,ISNUMBER(P33)=FALSE),P$40,P33))))</f>
      </c>
      <c r="Q60" s="7" t="str">
        <f>IF(ISBLANK(Q33),"NO DATA",IF(ISNUMBER(FIND(CODES!$A$12,Q33)),CODES!$A$12,IF(OR(ISNUMBER(FIND(CODES!$A$10,Q33)),ISNUMBER(FIND(CODES!$A$11,Q33))),CODES!$A$13,IF(OR(Q33&lt;Q$39,ISNUMBER(Q33)=FALSE),Q$40,Q33))))</f>
      </c>
      <c r="R60" s="7" t="str">
        <f>IF(ISBLANK(R33),"NO DATA",IF(ISNUMBER(FIND(CODES!$A$12,R33)),CODES!$A$12,IF(OR(ISNUMBER(FIND(CODES!$A$10,R33)),ISNUMBER(FIND(CODES!$A$11,R33))),CODES!$A$13,IF(OR(R33&lt;R$39,ISNUMBER(R33)=FALSE),R$40,R33))))</f>
      </c>
      <c r="S60" s="7" t="str">
        <f>IF(ISBLANK(S33),"NO DATA",IF(ISNUMBER(FIND(CODES!$A$12,S33)),CODES!$A$12,IF(OR(ISNUMBER(FIND(CODES!$A$10,S33)),ISNUMBER(FIND(CODES!$A$11,S33))),CODES!$A$13,IF(OR(S33&lt;S$39,ISNUMBER(S33)=FALSE),S$40,S33))))</f>
      </c>
      <c r="T60" s="7" t="str">
        <f>IF(ISBLANK(T33),"NO DATA",IF(ISNUMBER(FIND(CODES!$A$12,T33)),CODES!$A$12,IF(OR(ISNUMBER(FIND(CODES!$A$10,T33)),ISNUMBER(FIND(CODES!$A$11,T33))),CODES!$A$13,IF(OR(T33&lt;T$39,ISNUMBER(T33)=FALSE),T$40,T33))))</f>
      </c>
      <c r="U60" s="7" t="str">
        <f>IF(ISBLANK(U33),"NO DATA",IF(ISNUMBER(FIND(CODES!$A$12,U33)),CODES!$A$12,IF(OR(ISNUMBER(FIND(CODES!$A$10,U33)),ISNUMBER(FIND(CODES!$A$11,U33))),CODES!$A$13,IF(OR(U33&lt;U$39,ISNUMBER(U33)=FALSE),U$40,U33))))</f>
      </c>
      <c r="V60" s="7" t="str">
        <f>IF(ISBLANK(V33),"NO DATA",IF(ISNUMBER(FIND(CODES!$A$12,V33)),CODES!$A$12,IF(OR(ISNUMBER(FIND(CODES!$A$10,V33)),ISNUMBER(FIND(CODES!$A$11,V33))),CODES!$A$13,IF(OR(V33&lt;V$39,ISNUMBER(V33)=FALSE),V$40,V33))))</f>
      </c>
      <c r="W60" s="7" t="str">
        <f>IF(ISBLANK(W33),"NO DATA",IF(ISNUMBER(FIND(CODES!$A$12,W33)),CODES!$A$12,IF(OR(ISNUMBER(FIND(CODES!$A$10,W33)),ISNUMBER(FIND(CODES!$A$11,W33))),CODES!$A$13,IF(OR(W33&lt;W$39,ISNUMBER(W33)=FALSE),W$40,W33))))</f>
      </c>
      <c r="X60" s="7" t="str">
        <f>IF(ISBLANK(X33),"NO DATA",IF(ISNUMBER(FIND(CODES!$A$12,X33)),CODES!$A$12,IF(OR(ISNUMBER(FIND(CODES!$A$10,X33)),ISNUMBER(FIND(CODES!$A$11,X33))),CODES!$A$13,IF(OR(X33&lt;X$39,ISNUMBER(X33)=FALSE),X$40,X33))))</f>
      </c>
      <c r="Y60" s="7" t="str">
        <f>IF(ISBLANK(Y33),"NO DATA",IF(ISNUMBER(FIND(CODES!$A$12,Y33)),CODES!$A$12,IF(OR(ISNUMBER(FIND(CODES!$A$10,Y33)),ISNUMBER(FIND(CODES!$A$11,Y33))),CODES!$A$13,IF(OR(Y33&lt;Y$39,ISNUMBER(Y33)=FALSE),Y$40,Y33))))</f>
      </c>
      <c r="Z60" s="7" t="str">
        <f>IF(ISBLANK(Z33),"NO DATA",IF(ISNUMBER(FIND(CODES!$A$12,Z33)),CODES!$A$12,IF(OR(ISNUMBER(FIND(CODES!$A$10,Z33)),ISNUMBER(FIND(CODES!$A$11,Z33))),CODES!$A$13,IF(OR(Z33&lt;Z$39,ISNUMBER(Z33)=FALSE),Z$40,Z33))))</f>
      </c>
      <c r="AA60" s="7" t="str">
        <f>IF(ISBLANK(AA33),"NO DATA",IF(ISNUMBER(FIND(CODES!$A$12,AA33)),CODES!$A$12,IF(OR(ISNUMBER(FIND(CODES!$A$10,AA33)),ISNUMBER(FIND(CODES!$A$11,AA33))),CODES!$A$13,IF(OR(AA33&lt;AA$39,ISNUMBER(AA33)=FALSE),AA$40,AA33))))</f>
      </c>
      <c r="AB60" s="7" t="str">
        <f>IF(ISBLANK(AB33),"NO DATA",IF(ISNUMBER(FIND(CODES!$A$12,AB33)),CODES!$A$12,IF(OR(ISNUMBER(FIND(CODES!$A$10,AB33)),ISNUMBER(FIND(CODES!$A$11,AB33))),CODES!$A$13,IF(OR(AB33&lt;AB$39,ISNUMBER(AB33)=FALSE),AB$40,AB33))))</f>
      </c>
      <c r="AC60" s="7" t="str">
        <f>IF(ISBLANK(AC33),"NO DATA",IF(ISNUMBER(FIND(CODES!$A$12,AC33)),CODES!$A$12,IF(OR(ISNUMBER(FIND(CODES!$A$10,AC33)),ISNUMBER(FIND(CODES!$A$11,AC33))),CODES!$A$13,IF(OR(AC33&lt;AC$39,ISNUMBER(AC33)=FALSE),AC$40,AC33))))</f>
      </c>
      <c r="AD60" s="7" t="str">
        <f>IF(ISBLANK(AD33),"NO DATA",IF(ISNUMBER(FIND(CODES!$A$12,AD33)),CODES!$A$12,IF(OR(ISNUMBER(FIND(CODES!$A$10,AD33)),ISNUMBER(FIND(CODES!$A$11,AD33))),CODES!$A$13,IF(OR(AD33&lt;AD$39,ISNUMBER(AD33)=FALSE),AD$40,AD33))))</f>
      </c>
      <c r="AE60" s="7" t="str">
        <f>IF(ISBLANK(AE33),"NO DATA",IF(ISNUMBER(FIND(CODES!$A$12,AE33)),CODES!$A$12,IF(OR(ISNUMBER(FIND(CODES!$A$10,AE33)),ISNUMBER(FIND(CODES!$A$11,AE33))),CODES!$A$13,IF(OR(AE33&lt;AE$39,ISNUMBER(AE33)=FALSE),AE$40,AE33))))</f>
      </c>
      <c r="AF60" s="7" t="str">
        <f>IF(ISBLANK(AF33),"NO DATA",IF(ISNUMBER(FIND(CODES!$A$12,AF33)),CODES!$A$12,IF(OR(ISNUMBER(FIND(CODES!$A$10,AF33)),ISNUMBER(FIND(CODES!$A$11,AF33))),CODES!$A$13,IF(OR(AF33&lt;AF$39,ISNUMBER(AF33)=FALSE),AF$40,AF33))))</f>
      </c>
      <c r="AG60" s="7" t="str">
        <f>IF(ISBLANK(AG33),"NO DATA",IF(ISNUMBER(FIND(CODES!$A$12,AG33)),CODES!$A$12,IF(OR(ISNUMBER(FIND(CODES!$A$10,AG33)),ISNUMBER(FIND(CODES!$A$11,AG33))),CODES!$A$13,IF(OR(AG33&lt;AG$39,ISNUMBER(AG33)=FALSE),AG$40,AG33))))</f>
      </c>
      <c r="AH60" s="7" t="str">
        <f>IF(ISBLANK(AH33),"NO DATA",IF(ISNUMBER(FIND(CODES!$A$12,AH33)),CODES!$A$12,IF(OR(ISNUMBER(FIND(CODES!$A$10,AH33)),ISNUMBER(FIND(CODES!$A$11,AH33))),CODES!$A$13,IF(OR(AH33&lt;AH$39,ISNUMBER(AH33)=FALSE),AH$40,AH33))))</f>
      </c>
      <c r="AI60" s="7" t="str">
        <f>IF(ISBLANK(AI33),"NO DATA",IF(ISNUMBER(FIND(CODES!$A$12,AI33)),CODES!$A$12,IF(OR(ISNUMBER(FIND(CODES!$A$10,AI33)),ISNUMBER(FIND(CODES!$A$11,AI33))),CODES!$A$13,IF(OR(AI33&lt;AI$39,ISNUMBER(AI33)=FALSE),AI$40,AI33))))</f>
      </c>
      <c r="AJ60" s="7" t="str">
        <f>IF(ISBLANK(AJ33),"NO DATA",IF(ISNUMBER(FIND(CODES!$A$12,AJ33)),CODES!$A$12,IF(OR(ISNUMBER(FIND(CODES!$A$10,AJ33)),ISNUMBER(FIND(CODES!$A$11,AJ33))),CODES!$A$13,IF(OR(AJ33&lt;AJ$39,ISNUMBER(AJ33)=FALSE),AJ$40,AJ33))))</f>
      </c>
      <c r="AK60" s="7" t="str">
        <f>IF(ISBLANK(AK33),"NO DATA",IF(ISNUMBER(FIND(CODES!$A$12,AK33)),CODES!$A$12,IF(OR(ISNUMBER(FIND(CODES!$A$10,AK33)),ISNUMBER(FIND(CODES!$A$11,AK33))),CODES!$A$13,IF(OR(AK33&lt;AK$39,ISNUMBER(AK33)=FALSE),AK$40,AK33))))</f>
      </c>
      <c r="AL60" s="7" t="str">
        <f>IF(ISBLANK(AL33),"NO DATA",IF(ISNUMBER(FIND(CODES!$A$12,AL33)),CODES!$A$12,IF(OR(ISNUMBER(FIND(CODES!$A$10,AL33)),ISNUMBER(FIND(CODES!$A$11,AL33))),CODES!$A$13,IF(OR(AL33&lt;AL$39,ISNUMBER(AL33)=FALSE),AL$40,AL33))))</f>
      </c>
      <c r="AM60" s="7" t="str">
        <f>IF(ISBLANK(AM33),"NO DATA",IF(ISNUMBER(FIND(CODES!$A$12,AM33)),CODES!$A$12,IF(OR(ISNUMBER(FIND(CODES!$A$10,AM33)),ISNUMBER(FIND(CODES!$A$11,AM33))),CODES!$A$13,IF(OR(AM33&lt;AM$39,ISNUMBER(AM33)=FALSE),AM$40,AM33))))</f>
      </c>
      <c r="AN60" s="7" t="str">
        <f>IF(ISBLANK(AN33),"NO DATA",IF(ISNUMBER(FIND(CODES!$A$12,AN33)),CODES!$A$12,IF(OR(ISNUMBER(FIND(CODES!$A$10,AN33)),ISNUMBER(FIND(CODES!$A$11,AN33))),CODES!$A$13,IF(OR(AN33&lt;AN$39,ISNUMBER(AN33)=FALSE),AN$40,AN33))))</f>
      </c>
      <c r="AO60" s="7" t="str">
        <f>IF(ISBLANK(AO33),"NO DATA",IF(ISNUMBER(FIND(CODES!$A$12,AO33)),CODES!$A$12,IF(OR(ISNUMBER(FIND(CODES!$A$10,AO33)),ISNUMBER(FIND(CODES!$A$11,AO33))),CODES!$A$13,IF(OR(AO33&lt;AO$39,ISNUMBER(AO33)=FALSE),AO$40,AO33))))</f>
      </c>
      <c r="AP60" s="7" t="str">
        <f>IF(ISBLANK(AP33),"NO DATA",IF(ISNUMBER(FIND(CODES!$A$12,AP33)),CODES!$A$12,IF(OR(ISNUMBER(FIND(CODES!$A$10,AP33)),ISNUMBER(FIND(CODES!$A$11,AP33))),CODES!$A$13,IF(OR(AP33&lt;AP$39,ISNUMBER(AP33)=FALSE),AP$40,AP33))))</f>
      </c>
      <c r="AQ60" s="7" t="str">
        <f>IF(ISBLANK(AQ33),"NO DATA",IF(ISNUMBER(FIND(CODES!$A$12,AQ33)),CODES!$A$12,IF(OR(ISNUMBER(FIND(CODES!$A$10,AQ33)),ISNUMBER(FIND(CODES!$A$11,AQ33))),CODES!$A$13,IF(OR(AQ33&lt;AQ$39,ISNUMBER(AQ33)=FALSE),AQ$40,AQ33))))</f>
      </c>
      <c r="AR60" s="7" t="str">
        <f>IF(ISBLANK(AR33),"NO DATA",IF(ISNUMBER(FIND(CODES!$A$12,AR33)),CODES!$A$12,IF(OR(ISNUMBER(FIND(CODES!$A$10,AR33)),ISNUMBER(FIND(CODES!$A$11,AR33))),CODES!$A$13,IF(OR(AR33&lt;AR$39,ISNUMBER(AR33)=FALSE),AR$40,AR33))))</f>
      </c>
      <c r="AS60" s="7" t="str">
        <f>IF(ISBLANK(AS33),"NO DATA",IF(ISNUMBER(FIND(CODES!$A$12,AS33)),CODES!$A$12,IF(OR(ISNUMBER(FIND(CODES!$A$10,AS33)),ISNUMBER(FIND(CODES!$A$11,AS33))),CODES!$A$13,IF(OR(AS33&lt;AS$39,ISNUMBER(AS33)=FALSE),AS$40,AS33))))</f>
      </c>
      <c r="AT60" s="7" t="str">
        <f>IF(ISBLANK(AT33),"NO DATA",IF(ISNUMBER(FIND(CODES!$A$12,AT33)),CODES!$A$12,IF(OR(ISNUMBER(FIND(CODES!$A$10,AT33)),ISNUMBER(FIND(CODES!$A$11,AT33))),CODES!$A$13,IF(OR(AT33&lt;AT$39,ISNUMBER(AT33)=FALSE),AT$40,AT33))))</f>
      </c>
      <c r="AU60" s="7" t="str">
        <f>IF(ISBLANK(AU33),"NO DATA",IF(ISNUMBER(FIND(CODES!$A$12,AU33)),CODES!$A$12,IF(OR(ISNUMBER(FIND(CODES!$A$10,AU33)),ISNUMBER(FIND(CODES!$A$11,AU33))),CODES!$A$13,IF(OR(AU33&lt;AU$39,ISNUMBER(AU33)=FALSE),AU$40,AU33))))</f>
      </c>
      <c r="AV60" s="7" t="str">
        <f>IF(ISBLANK(AV33),"NO DATA",IF(ISNUMBER(FIND(CODES!$A$12,AV33)),CODES!$A$12,IF(OR(ISNUMBER(FIND(CODES!$A$10,AV33)),ISNUMBER(FIND(CODES!$A$11,AV33))),CODES!$A$13,IF(OR(AV33&lt;AV$39,ISNUMBER(AV33)=FALSE),AV$40,AV33))))</f>
      </c>
      <c r="AW60" s="7" t="str">
        <f>IF(ISBLANK(AW33),"NO DATA",IF(ISNUMBER(FIND(CODES!$A$12,AW33)),CODES!$A$12,IF(OR(ISNUMBER(FIND(CODES!$A$10,AW33)),ISNUMBER(FIND(CODES!$A$11,AW33))),CODES!$A$13,IF(OR(AW33&lt;AW$39,ISNUMBER(AW33)=FALSE),AW$40,AW33))))</f>
      </c>
      <c r="AX60" s="7" t="str">
        <f>IF(ISBLANK(AX33),"NO DATA",IF(ISNUMBER(FIND(CODES!$A$12,AX33)),CODES!$A$12,IF(OR(ISNUMBER(FIND(CODES!$A$10,AX33)),ISNUMBER(FIND(CODES!$A$11,AX33))),CODES!$A$13,IF(OR(AX33&lt;AX$39,ISNUMBER(AX33)=FALSE),AX$40,AX33))))</f>
      </c>
      <c r="AY60" s="7" t="str">
        <f>IF(ISBLANK(AY33),"NO DATA",IF(ISNUMBER(FIND(CODES!$A$12,AY33)),CODES!$A$12,IF(OR(ISNUMBER(FIND(CODES!$A$10,AY33)),ISNUMBER(FIND(CODES!$A$11,AY33))),CODES!$A$13,IF(OR(AY33&lt;AY$39,ISNUMBER(AY33)=FALSE),AY$40,AY33))))</f>
      </c>
      <c r="AZ60" s="7" t="str">
        <f>IF(ISBLANK(AZ33),"NO DATA",IF(ISNUMBER(FIND(CODES!$A$12,AZ33)),CODES!$A$12,IF(OR(ISNUMBER(FIND(CODES!$A$10,AZ33)),ISNUMBER(FIND(CODES!$A$11,AZ33))),CODES!$A$13,IF(OR(AZ33&lt;AZ$39,ISNUMBER(AZ33)=FALSE),AZ$40,AZ33))))</f>
      </c>
      <c r="BA60" s="7" t="str">
        <f>IF(ISBLANK(BA33),"NO DATA",IF(ISNUMBER(FIND(CODES!$A$12,BA33)),CODES!$A$12,IF(OR(ISNUMBER(FIND(CODES!$A$10,BA33)),ISNUMBER(FIND(CODES!$A$11,BA33))),CODES!$A$13,IF(OR(BA33&lt;BA$39,ISNUMBER(BA33)=FALSE),BA$40,BA33))))</f>
      </c>
      <c r="BB60" s="7" t="str">
        <f>IF(ISBLANK(BB33),"NO DATA",IF(ISNUMBER(FIND(CODES!$A$12,BB33)),CODES!$A$12,IF(OR(ISNUMBER(FIND(CODES!$A$10,BB33)),ISNUMBER(FIND(CODES!$A$11,BB33))),CODES!$A$13,IF(OR(BB33&lt;BB$39,ISNUMBER(BB33)=FALSE),BB$40,BB33))))</f>
      </c>
      <c r="BC60" s="7" t="str">
        <f>IF(ISBLANK(BC33),"NO DATA",IF(ISNUMBER(FIND(CODES!$A$12,BC33)),CODES!$A$12,IF(OR(ISNUMBER(FIND(CODES!$A$10,BC33)),ISNUMBER(FIND(CODES!$A$11,BC33))),CODES!$A$13,IF(OR(BC33&lt;BC$39,ISNUMBER(BC33)=FALSE),BC$40,BC33))))</f>
      </c>
      <c r="BD60" s="7" t="str">
        <f>IF(ISBLANK(BD33),"NO DATA",IF(ISNUMBER(FIND(CODES!$A$12,BD33)),CODES!$A$12,IF(OR(ISNUMBER(FIND(CODES!$A$10,BD33)),ISNUMBER(FIND(CODES!$A$11,BD33))),CODES!$A$13,IF(OR(BD33&lt;BD$39,ISNUMBER(BD33)=FALSE),BD$40,BD33))))</f>
      </c>
      <c r="BE60" s="7" t="str">
        <f>IF(ISBLANK(BE33),"NO DATA",IF(ISNUMBER(FIND(CODES!$A$12,BE33)),CODES!$A$12,IF(OR(ISNUMBER(FIND(CODES!$A$10,BE33)),ISNUMBER(FIND(CODES!$A$11,BE33))),CODES!$A$13,IF(OR(BE33&lt;BE$39,ISNUMBER(BE33)=FALSE),BE$40,BE33))))</f>
      </c>
      <c r="BF60" s="7" t="str">
        <f>IF(ISBLANK(BF33),"NO DATA",IF(ISNUMBER(FIND(CODES!$A$12,BF33)),CODES!$A$12,IF(OR(ISNUMBER(FIND(CODES!$A$10,BF33)),ISNUMBER(FIND(CODES!$A$11,BF33))),CODES!$A$13,IF(OR(BF33&lt;BF$39,ISNUMBER(BF33)=FALSE),BF$40,BF33))))</f>
      </c>
      <c r="BG60" s="7" t="str">
        <f>IF(ISBLANK(BG33),"NO DATA",IF(ISNUMBER(FIND(CODES!$A$12,BG33)),CODES!$A$12,IF(OR(ISNUMBER(FIND(CODES!$A$10,BG33)),ISNUMBER(FIND(CODES!$A$11,BG33))),CODES!$A$13,IF(OR(BG33&lt;BG$39,ISNUMBER(BG33)=FALSE),BG$40,BG33))))</f>
      </c>
      <c r="BH60" s="7" t="str">
        <f>IF(ISBLANK(BH33),"NO DATA",IF(ISNUMBER(FIND(CODES!$A$12,BH33)),CODES!$A$12,IF(OR(ISNUMBER(FIND(CODES!$A$10,BH33)),ISNUMBER(FIND(CODES!$A$11,BH33))),CODES!$A$13,IF(OR(BH33&lt;BH$39,ISNUMBER(BH33)=FALSE),BH$40,BH33))))</f>
      </c>
      <c r="BI60" s="7" t="str">
        <f>IF(ISBLANK(BI33),"NO DATA",IF(ISNUMBER(FIND(CODES!$A$12,BI33)),CODES!$A$12,IF(OR(ISNUMBER(FIND(CODES!$A$10,BI33)),ISNUMBER(FIND(CODES!$A$11,BI33))),CODES!$A$13,IF(OR(BI33&lt;BI$39,ISNUMBER(BI33)=FALSE),BI$40,BI33))))</f>
      </c>
      <c r="BJ60" s="7" t="str">
        <f>IF(ISBLANK(BJ33),"NO DATA",IF(ISNUMBER(FIND(CODES!$A$12,BJ33)),CODES!$A$12,IF(OR(ISNUMBER(FIND(CODES!$A$10,BJ33)),ISNUMBER(FIND(CODES!$A$11,BJ33))),CODES!$A$13,IF(OR(BJ33&lt;BJ$39,ISNUMBER(BJ33)=FALSE),BJ$40,BJ33))))</f>
      </c>
      <c r="BK60" s="7" t="str">
        <f>IF(ISBLANK(BK33),"NO DATA",IF(ISNUMBER(FIND(CODES!$A$12,BK33)),CODES!$A$12,IF(OR(ISNUMBER(FIND(CODES!$A$10,BK33)),ISNUMBER(FIND(CODES!$A$11,BK33))),CODES!$A$13,IF(OR(BK33&lt;BK$39,ISNUMBER(BK33)=FALSE),BK$40,BK33))))</f>
      </c>
      <c r="BL60" s="7" t="str">
        <f>IF(ISBLANK(BL33),"NO DATA",IF(ISNUMBER(FIND(CODES!$A$12,BL33)),CODES!$A$12,IF(OR(ISNUMBER(FIND(CODES!$A$10,BL33)),ISNUMBER(FIND(CODES!$A$11,BL33))),CODES!$A$13,IF(OR(BL33&lt;BL$39,ISNUMBER(BL33)=FALSE),BL$40,BL33))))</f>
      </c>
      <c r="BM60" s="7" t="str">
        <f>IF(ISBLANK(BM33),"NO DATA",IF(ISNUMBER(FIND(CODES!$A$12,BM33)),CODES!$A$12,IF(OR(ISNUMBER(FIND(CODES!$A$10,BM33)),ISNUMBER(FIND(CODES!$A$11,BM33))),CODES!$A$13,IF(OR(BM33&lt;BM$39,ISNUMBER(BM33)=FALSE),BM$40,BM33))))</f>
      </c>
      <c r="BN60" s="7" t="str">
        <f>IF(ISBLANK(BN33),"NO DATA",IF(ISNUMBER(FIND(CODES!$A$12,BN33)),CODES!$A$12,IF(OR(ISNUMBER(FIND(CODES!$A$10,BN33)),ISNUMBER(FIND(CODES!$A$11,BN33))),CODES!$A$13,IF(OR(BN33&lt;BN$39,ISNUMBER(BN33)=FALSE),BN$40,BN33))))</f>
      </c>
      <c r="BO60" s="7" t="str">
        <f>IF(ISBLANK(BO33),"NO DATA",IF(ISNUMBER(FIND(CODES!$A$12,BO33)),CODES!$A$12,IF(OR(ISNUMBER(FIND(CODES!$A$10,BO33)),ISNUMBER(FIND(CODES!$A$11,BO33))),CODES!$A$13,IF(OR(BO33&lt;BO$39,ISNUMBER(BO33)=FALSE),BO$40,BO33))))</f>
      </c>
      <c r="BP60" s="7" t="str">
        <f>IF(ISBLANK(BP33),"NO DATA",IF(ISNUMBER(FIND(CODES!$A$12,BP33)),CODES!$A$12,IF(OR(ISNUMBER(FIND(CODES!$A$10,BP33)),ISNUMBER(FIND(CODES!$A$11,BP33))),CODES!$A$13,IF(OR(BP33&lt;BP$39,ISNUMBER(BP33)=FALSE),BP$40,BP33))))</f>
      </c>
      <c r="BQ60" s="7" t="str">
        <f>IF(ISBLANK(BQ33),"NO DATA",IF(ISNUMBER(FIND(CODES!$A$12,BQ33)),CODES!$A$12,IF(OR(ISNUMBER(FIND(CODES!$A$10,BQ33)),ISNUMBER(FIND(CODES!$A$11,BQ33))),CODES!$A$13,IF(OR(BQ33&lt;BQ$39,ISNUMBER(BQ33)=FALSE),BQ$40,BQ33))))</f>
      </c>
      <c r="BR60" s="7" t="str">
        <f>IF(ISBLANK(BR33),"NO DATA",IF(ISNUMBER(FIND(CODES!$A$12,BR33)),CODES!$A$12,IF(OR(ISNUMBER(FIND(CODES!$A$10,BR33)),ISNUMBER(FIND(CODES!$A$11,BR33))),CODES!$A$13,IF(OR(BR33&lt;BR$39,ISNUMBER(BR33)=FALSE),BR$40,BR33))))</f>
      </c>
      <c r="BS60" s="7" t="str">
        <f>IF(ISBLANK(BS33),"NO DATA",IF(ISNUMBER(FIND(CODES!$A$12,BS33)),CODES!$A$12,IF(OR(ISNUMBER(FIND(CODES!$A$10,BS33)),ISNUMBER(FIND(CODES!$A$11,BS33))),CODES!$A$13,IF(OR(BS33&lt;BS$39,ISNUMBER(BS33)=FALSE),BS$40,BS33))))</f>
      </c>
      <c r="BT60" s="7" t="str">
        <f>IF(ISBLANK(BT33),"NO DATA",IF(ISNUMBER(FIND(CODES!$A$12,BT33)),CODES!$A$12,IF(OR(ISNUMBER(FIND(CODES!$A$10,BT33)),ISNUMBER(FIND(CODES!$A$11,BT33))),CODES!$A$13,IF(OR(BT33&lt;BT$39,ISNUMBER(BT33)=FALSE),BT$40,BT33))))</f>
      </c>
      <c r="BU60" s="7" t="str">
        <f>IF(ISBLANK(BU33),"NO DATA",IF(ISNUMBER(FIND(CODES!$A$12,BU33)),CODES!$A$12,IF(OR(ISNUMBER(FIND(CODES!$A$10,BU33)),ISNUMBER(FIND(CODES!$A$11,BU33))),CODES!$A$13,IF(OR(BU33&lt;BU$39,ISNUMBER(BU33)=FALSE),BU$40,BU33))))</f>
      </c>
      <c r="BV60" s="7" t="str">
        <f>IF(ISBLANK(BV33),"NO DATA",IF(ISNUMBER(FIND(CODES!$A$12,BV33)),CODES!$A$12,IF(OR(ISNUMBER(FIND(CODES!$A$10,BV33)),ISNUMBER(FIND(CODES!$A$11,BV33))),CODES!$A$13,IF(OR(BV33&lt;BV$39,ISNUMBER(BV33)=FALSE),BV$40,BV33))))</f>
      </c>
      <c r="BW60" s="7" t="str">
        <f>IF(ISBLANK(BW33),"NO DATA",IF(ISNUMBER(FIND(CODES!$A$12,BW33)),CODES!$A$12,IF(OR(ISNUMBER(FIND(CODES!$A$10,BW33)),ISNUMBER(FIND(CODES!$A$11,BW33))),CODES!$A$13,IF(OR(BW33&lt;BW$39,ISNUMBER(BW33)=FALSE),BW$40,BW33))))</f>
      </c>
      <c r="BX60" s="7" t="str">
        <f>IF(ISBLANK(BX33),"NO DATA",IF(ISNUMBER(FIND(CODES!$A$12,BX33)),CODES!$A$12,IF(OR(ISNUMBER(FIND(CODES!$A$10,BX33)),ISNUMBER(FIND(CODES!$A$11,BX33))),CODES!$A$13,IF(OR(BX33&lt;BX$39,ISNUMBER(BX33)=FALSE),BX$40,BX33))))</f>
      </c>
      <c r="BY60" s="7" t="str">
        <f>IF(ISBLANK(BY33),"NO DATA",IF(ISNUMBER(FIND(CODES!$A$12,BY33)),CODES!$A$12,IF(OR(ISNUMBER(FIND(CODES!$A$10,BY33)),ISNUMBER(FIND(CODES!$A$11,BY33))),CODES!$A$13,IF(OR(BY33&lt;BY$39,ISNUMBER(BY33)=FALSE),BY$40,BY33))))</f>
      </c>
      <c r="BZ60" s="7" t="str">
        <f>IF(ISBLANK(BZ33),"NO DATA",IF(ISNUMBER(FIND(CODES!$A$12,BZ33)),CODES!$A$12,IF(OR(ISNUMBER(FIND(CODES!$A$10,BZ33)),ISNUMBER(FIND(CODES!$A$11,BZ33))),CODES!$A$13,IF(OR(BZ33&lt;BZ$39,ISNUMBER(BZ33)=FALSE),BZ$40,BZ33))))</f>
      </c>
      <c r="CA60" s="7" t="str">
        <f>IF(ISBLANK(CA33),"NO DATA",IF(ISNUMBER(FIND(CODES!$A$12,CA33)),CODES!$A$12,IF(OR(ISNUMBER(FIND(CODES!$A$10,CA33)),ISNUMBER(FIND(CODES!$A$11,CA33))),CODES!$A$13,IF(OR(CA33&lt;CA$39,ISNUMBER(CA33)=FALSE),CA$40,CA33))))</f>
      </c>
      <c r="CB60" s="7" t="str">
        <f>IF(ISBLANK(CB33),"NO DATA",IF(ISNUMBER(FIND(CODES!$A$12,CB33)),CODES!$A$12,IF(OR(ISNUMBER(FIND(CODES!$A$10,CB33)),ISNUMBER(FIND(CODES!$A$11,CB33))),CODES!$A$13,IF(OR(CB33&lt;CB$39,ISNUMBER(CB33)=FALSE),CB$40,CB33))))</f>
      </c>
      <c r="CC60" s="7" t="str">
        <f>IF(ISBLANK(CC33),"NO DATA",IF(ISNUMBER(FIND(CODES!$A$12,CC33)),CODES!$A$12,IF(OR(ISNUMBER(FIND(CODES!$A$10,CC33)),ISNUMBER(FIND(CODES!$A$11,CC33))),CODES!$A$13,IF(OR(CC33&lt;CC$39,ISNUMBER(CC33)=FALSE),CC$40,CC33))))</f>
      </c>
      <c r="CD60" s="7" t="str">
        <f>IF(ISBLANK(CD33),"NO DATA",IF(ISNUMBER(FIND(CODES!$A$12,CD33)),CODES!$A$12,IF(OR(ISNUMBER(FIND(CODES!$A$10,CD33)),ISNUMBER(FIND(CODES!$A$11,CD33))),CODES!$A$13,IF(OR(CD33&lt;CD$39,ISNUMBER(CD33)=FALSE),CD$40,CD33))))</f>
      </c>
      <c r="CE60" s="7" t="str">
        <f>IF(ISBLANK(CE33),"NO DATA",IF(ISNUMBER(FIND(CODES!$A$12,CE33)),CODES!$A$12,IF(OR(ISNUMBER(FIND(CODES!$A$10,CE33)),ISNUMBER(FIND(CODES!$A$11,CE33))),CODES!$A$13,IF(OR(CE33&lt;CE$39,ISNUMBER(CE33)=FALSE),CE$40,CE33))))</f>
      </c>
      <c r="CF60" s="7" t="str">
        <f>IF(ISBLANK(CF33),"NO DATA",IF(ISNUMBER(FIND(CODES!$A$12,CF33)),CODES!$A$12,IF(OR(ISNUMBER(FIND(CODES!$A$10,CF33)),ISNUMBER(FIND(CODES!$A$11,CF33))),CODES!$A$13,IF(OR(CF33&lt;CF$39,ISNUMBER(CF33)=FALSE),CF$40,CF33))))</f>
      </c>
      <c r="CG60" s="7" t="str">
        <f>IF(ISBLANK(CG33),"NO DATA",IF(ISNUMBER(FIND(CODES!$A$12,CG33)),CODES!$A$12,IF(OR(ISNUMBER(FIND(CODES!$A$10,CG33)),ISNUMBER(FIND(CODES!$A$11,CG33))),CODES!$A$13,IF(OR(CG33&lt;CG$39,ISNUMBER(CG33)=FALSE),CG$40,CG33))))</f>
      </c>
      <c r="CH60" s="7" t="str">
        <f>IF(ISBLANK(CH33),"NO DATA",IF(ISNUMBER(FIND(CODES!$A$12,CH33)),CODES!$A$12,IF(OR(ISNUMBER(FIND(CODES!$A$10,CH33)),ISNUMBER(FIND(CODES!$A$11,CH33))),CODES!$A$13,IF(OR(CH33&lt;CH$39,ISNUMBER(CH33)=FALSE),CH$40,CH33))))</f>
      </c>
      <c r="CI60" s="7" t="str">
        <f>IF(ISBLANK(CI33),"NO DATA",IF(ISNUMBER(FIND(CODES!$A$12,CI33)),CODES!$A$12,IF(OR(ISNUMBER(FIND(CODES!$A$10,CI33)),ISNUMBER(FIND(CODES!$A$11,CI33))),CODES!$A$13,IF(OR(CI33&lt;CI$39,ISNUMBER(CI33)=FALSE),CI$40,CI33))))</f>
      </c>
      <c r="CJ60" s="7" t="str">
        <f>IF(ISBLANK(CJ33),"NO DATA",IF(ISNUMBER(FIND(CODES!$A$12,CJ33)),CODES!$A$12,IF(OR(ISNUMBER(FIND(CODES!$A$10,CJ33)),ISNUMBER(FIND(CODES!$A$11,CJ33))),CODES!$A$13,IF(OR(CJ33&lt;CJ$39,ISNUMBER(CJ33)=FALSE),CJ$40,CJ33))))</f>
      </c>
      <c r="CK60" s="7" t="str">
        <f>IF(ISBLANK(CK33),"NO DATA",IF(ISNUMBER(FIND(CODES!$A$12,CK33)),CODES!$A$12,IF(OR(ISNUMBER(FIND(CODES!$A$10,CK33)),ISNUMBER(FIND(CODES!$A$11,CK33))),CODES!$A$13,IF(OR(CK33&lt;CK$39,ISNUMBER(CK33)=FALSE),CK$40,CK33))))</f>
      </c>
      <c r="CL60" s="7" t="str">
        <f>IF(ISBLANK(CL33),"NO DATA",IF(ISNUMBER(FIND(CODES!$A$12,CL33)),CODES!$A$12,IF(OR(ISNUMBER(FIND(CODES!$A$10,CL33)),ISNUMBER(FIND(CODES!$A$11,CL33))),CODES!$A$13,IF(OR(CL33&lt;CL$39,ISNUMBER(CL33)=FALSE),CL$40,CL33))))</f>
      </c>
      <c r="CM60" s="7" t="str">
        <f>IF(ISBLANK(CM33),"NO DATA",IF(ISNUMBER(FIND(CODES!$A$12,CM33)),CODES!$A$12,IF(OR(ISNUMBER(FIND(CODES!$A$10,CM33)),ISNUMBER(FIND(CODES!$A$11,CM33))),CODES!$A$13,IF(OR(CM33&lt;CM$39,ISNUMBER(CM33)=FALSE),CM$40,CM33))))</f>
      </c>
      <c r="CN60" s="7" t="str">
        <f>IF(ISBLANK(CN33),"NO DATA",IF(ISNUMBER(FIND(CODES!$A$12,CN33)),CODES!$A$12,IF(OR(ISNUMBER(FIND(CODES!$A$10,CN33)),ISNUMBER(FIND(CODES!$A$11,CN33))),CODES!$A$13,IF(OR(CN33&lt;CN$39,ISNUMBER(CN33)=FALSE),CN$40,CN33))))</f>
      </c>
      <c r="CO60" s="7" t="str">
        <f>IF(ISBLANK(CO33),"NO DATA",IF(ISNUMBER(FIND(CODES!$A$12,CO33)),CODES!$A$12,IF(OR(ISNUMBER(FIND(CODES!$A$10,CO33)),ISNUMBER(FIND(CODES!$A$11,CO33))),CODES!$A$13,IF(OR(CO33&lt;CO$39,ISNUMBER(CO33)=FALSE),CO$40,CO33))))</f>
      </c>
      <c r="CP60" s="7" t="str">
        <f>IF(ISBLANK(CP33),"NO DATA",IF(ISNUMBER(FIND(CODES!$A$12,CP33)),CODES!$A$12,IF(OR(ISNUMBER(FIND(CODES!$A$10,CP33)),ISNUMBER(FIND(CODES!$A$11,CP33))),CODES!$A$13,IF(OR(CP33&lt;CP$39,ISNUMBER(CP33)=FALSE),CP$40,CP33))))</f>
      </c>
      <c r="CQ60" s="7" t="str">
        <f>IF(ISBLANK(CQ33),"NO DATA",IF(ISNUMBER(FIND(CODES!$A$12,CQ33)),CODES!$A$12,IF(OR(ISNUMBER(FIND(CODES!$A$10,CQ33)),ISNUMBER(FIND(CODES!$A$11,CQ33))),CODES!$A$13,IF(OR(CQ33&lt;CQ$39,ISNUMBER(CQ33)=FALSE),CQ$40,CQ33))))</f>
      </c>
      <c r="CR60" s="7" t="str">
        <f>IF(ISBLANK(CR33),"NO DATA",IF(ISNUMBER(FIND(CODES!$A$12,CR33)),CODES!$A$12,IF(OR(ISNUMBER(FIND(CODES!$A$10,CR33)),ISNUMBER(FIND(CODES!$A$11,CR33))),CODES!$A$13,IF(OR(CR33&lt;CR$39,ISNUMBER(CR33)=FALSE),CR$40,CR33))))</f>
      </c>
      <c r="CS60" s="7" t="str">
        <f>IF(ISBLANK(CS33),"NO DATA",IF(ISNUMBER(FIND(CODES!$A$12,CS33)),CODES!$A$12,IF(OR(ISNUMBER(FIND(CODES!$A$10,CS33)),ISNUMBER(FIND(CODES!$A$11,CS33))),CODES!$A$13,IF(OR(CS33&lt;CS$39,ISNUMBER(CS33)=FALSE),CS$40,CS33))))</f>
      </c>
      <c r="CT60" s="7" t="str">
        <f>IF(ISBLANK(CT33),"NO DATA",IF(ISNUMBER(FIND(CODES!$A$12,CT33)),CODES!$A$12,IF(OR(ISNUMBER(FIND(CODES!$A$10,CT33)),ISNUMBER(FIND(CODES!$A$11,CT33))),CODES!$A$13,IF(OR(CT33&lt;CT$39,ISNUMBER(CT33)=FALSE),CT$40,CT33))))</f>
      </c>
      <c r="CU60" s="7" t="str">
        <f>IF(ISBLANK(CU33),"NO DATA",IF(ISNUMBER(FIND(CODES!$A$12,CU33)),CODES!$A$12,IF(OR(ISNUMBER(FIND(CODES!$A$10,CU33)),ISNUMBER(FIND(CODES!$A$11,CU33))),CODES!$A$13,IF(OR(CU33&lt;CU$39,ISNUMBER(CU33)=FALSE),CU$40,CU33))))</f>
      </c>
      <c r="CV60" s="7" t="str">
        <f>IF(ISBLANK(CV33),"NO DATA",IF(ISNUMBER(FIND(CODES!$A$12,CV33)),CODES!$A$12,IF(OR(ISNUMBER(FIND(CODES!$A$10,CV33)),ISNUMBER(FIND(CODES!$A$11,CV33))),CODES!$A$13,IF(OR(CV33&lt;CV$39,ISNUMBER(CV33)=FALSE),CV$40,CV33))))</f>
      </c>
      <c r="CW60" s="7" t="str">
        <f>IF(ISBLANK(CW33),"NO DATA",IF(ISNUMBER(FIND(CODES!$A$12,CW33)),CODES!$A$12,IF(OR(ISNUMBER(FIND(CODES!$A$10,CW33)),ISNUMBER(FIND(CODES!$A$11,CW33))),CODES!$A$13,IF(OR(CW33&lt;CW$39,ISNUMBER(CW33)=FALSE),CW$40,CW33))))</f>
      </c>
      <c r="CX60" s="7" t="str">
        <f>IF(ISBLANK(CX33),"NO DATA",IF(ISNUMBER(FIND(CODES!$A$12,CX33)),CODES!$A$12,IF(OR(ISNUMBER(FIND(CODES!$A$10,CX33)),ISNUMBER(FIND(CODES!$A$11,CX33))),CODES!$A$13,IF(OR(CX33&lt;CX$39,ISNUMBER(CX33)=FALSE),CX$40,CX33))))</f>
      </c>
      <c r="CY60" s="7" t="str">
        <f>IF(ISBLANK(CY33),"NO DATA",IF(ISNUMBER(FIND(CODES!$A$12,CY33)),CODES!$A$12,IF(OR(ISNUMBER(FIND(CODES!$A$10,CY33)),ISNUMBER(FIND(CODES!$A$11,CY33))),CODES!$A$13,IF(OR(CY33&lt;CY$39,ISNUMBER(CY33)=FALSE),CY$40,CY33))))</f>
      </c>
      <c r="CZ60" s="7" t="str">
        <f>IF(ISBLANK(CZ33),"NO DATA",IF(ISNUMBER(FIND(CODES!$A$12,CZ33)),CODES!$A$12,IF(OR(ISNUMBER(FIND(CODES!$A$10,CZ33)),ISNUMBER(FIND(CODES!$A$11,CZ33))),CODES!$A$13,IF(OR(CZ33&lt;CZ$39,ISNUMBER(CZ33)=FALSE),CZ$40,CZ33))))</f>
      </c>
      <c r="DA60" s="7" t="str">
        <f>IF(ISBLANK(DA33),"NO DATA",IF(ISNUMBER(FIND(CODES!$A$12,DA33)),CODES!$A$12,IF(OR(ISNUMBER(FIND(CODES!$A$10,DA33)),ISNUMBER(FIND(CODES!$A$11,DA33))),CODES!$A$13,IF(OR(DA33&lt;DA$39,ISNUMBER(DA33)=FALSE),DA$40,DA33))))</f>
      </c>
      <c r="DB60" s="7" t="str">
        <f>IF(ISBLANK(DB33),"NO DATA",IF(ISNUMBER(FIND(CODES!$A$12,DB33)),CODES!$A$12,IF(OR(ISNUMBER(FIND(CODES!$A$10,DB33)),ISNUMBER(FIND(CODES!$A$11,DB33))),CODES!$A$13,IF(OR(DB33&lt;DB$39,ISNUMBER(DB33)=FALSE),DB$40,DB33))))</f>
      </c>
      <c r="DC60" s="7" t="str">
        <f>IF(ISBLANK(DC33),"NO DATA",IF(ISNUMBER(FIND(CODES!$A$12,DC33)),CODES!$A$12,IF(OR(ISNUMBER(FIND(CODES!$A$10,DC33)),ISNUMBER(FIND(CODES!$A$11,DC33))),CODES!$A$13,IF(OR(DC33&lt;DC$39,ISNUMBER(DC33)=FALSE),DC$40,DC33))))</f>
      </c>
      <c r="DD60" s="7" t="str">
        <f>IF(ISBLANK(DD33),"NO DATA",IF(ISNUMBER(FIND(CODES!$A$12,DD33)),CODES!$A$12,IF(OR(ISNUMBER(FIND(CODES!$A$10,DD33)),ISNUMBER(FIND(CODES!$A$11,DD33))),CODES!$A$13,IF(OR(DD33&lt;DD$39,ISNUMBER(DD33)=FALSE),DD$40,DD33))))</f>
      </c>
      <c r="DE60" s="7" t="str">
        <f>IF(ISBLANK(DE33),"NO DATA",IF(ISNUMBER(FIND(CODES!$A$12,DE33)),CODES!$A$12,IF(OR(ISNUMBER(FIND(CODES!$A$10,DE33)),ISNUMBER(FIND(CODES!$A$11,DE33))),CODES!$A$13,IF(OR(DE33&lt;DE$39,ISNUMBER(DE33)=FALSE),DE$40,DE33))))</f>
      </c>
      <c r="DF60" s="7" t="str">
        <f>IF(ISBLANK(DF33),"NO DATA",IF(ISNUMBER(FIND(CODES!$A$12,DF33)),CODES!$A$12,IF(OR(ISNUMBER(FIND(CODES!$A$10,DF33)),ISNUMBER(FIND(CODES!$A$11,DF33))),CODES!$A$13,IF(OR(DF33&lt;DF$39,ISNUMBER(DF33)=FALSE),DF$40,DF33))))</f>
      </c>
      <c r="DG60" s="7" t="str">
        <f>IF(ISBLANK(DG33),"NO DATA",IF(ISNUMBER(FIND(CODES!$A$12,DG33)),CODES!$A$12,IF(OR(ISNUMBER(FIND(CODES!$A$10,DG33)),ISNUMBER(FIND(CODES!$A$11,DG33))),CODES!$A$13,IF(OR(DG33&lt;DG$39,ISNUMBER(DG33)=FALSE),DG$40,DG33))))</f>
      </c>
      <c r="DH60" s="7" t="str">
        <f>IF(ISBLANK(DH33),"NO DATA",IF(ISNUMBER(FIND(CODES!$A$12,DH33)),CODES!$A$12,IF(OR(ISNUMBER(FIND(CODES!$A$10,DH33)),ISNUMBER(FIND(CODES!$A$11,DH33))),CODES!$A$13,IF(OR(DH33&lt;DH$39,ISNUMBER(DH33)=FALSE),DH$40,DH33))))</f>
      </c>
      <c r="DI60" s="7" t="str">
        <f>IF(ISBLANK(DI33),"NO DATA",IF(ISNUMBER(FIND(CODES!$A$12,DI33)),CODES!$A$12,IF(OR(ISNUMBER(FIND(CODES!$A$10,DI33)),ISNUMBER(FIND(CODES!$A$11,DI33))),CODES!$A$13,IF(OR(DI33&lt;DI$39,ISNUMBER(DI33)=FALSE),DI$40,DI33))))</f>
      </c>
    </row>
    <row r="61" spans="1:113" x14ac:dyDescent="0.25">
      <c r="A61" s="16" t="str">
        <f t="shared" si="8"/>
      </c>
      <c r="B61" s="16" t="str">
        <f t="shared" si="8"/>
      </c>
      <c r="C61" s="7" t="str">
        <f>IF(ISBLANK(C34),"NO DATA",IF(ISNUMBER(FIND(CODES!$A$12,C34)),CODES!$A$12,IF(OR(ISNUMBER(FIND(CODES!$A$10,C34)),ISNUMBER(FIND(CODES!$A$11,C34))),CODES!$A$13,IF(OR(C34&lt;C$39,ISNUMBER(C34)=FALSE),C$40,C34))))</f>
      </c>
      <c r="D61" s="7" t="str">
        <f>IF(ISBLANK(D34),"NO DATA",IF(ISNUMBER(FIND(CODES!$A$12,D34)),CODES!$A$12,IF(OR(ISNUMBER(FIND(CODES!$A$10,D34)),ISNUMBER(FIND(CODES!$A$11,D34))),CODES!$A$13,IF(OR(D34&lt;D$39,ISNUMBER(D34)=FALSE),D$40,D34))))</f>
      </c>
      <c r="E61" s="7" t="str">
        <f>IF(ISBLANK(E34),"NO DATA",IF(ISNUMBER(FIND(CODES!$A$12,E34)),CODES!$A$12,IF(OR(ISNUMBER(FIND(CODES!$A$10,E34)),ISNUMBER(FIND(CODES!$A$11,E34))),CODES!$A$13,IF(OR(E34&lt;E$39,ISNUMBER(E34)=FALSE),E$40,E34))))</f>
      </c>
      <c r="F61" s="7" t="str">
        <f>IF(ISBLANK(F34),"NO DATA",IF(ISNUMBER(FIND(CODES!$A$12,F34)),CODES!$A$12,IF(OR(ISNUMBER(FIND(CODES!$A$10,F34)),ISNUMBER(FIND(CODES!$A$11,F34))),CODES!$A$13,IF(OR(F34&lt;F$39,ISNUMBER(F34)=FALSE),F$40,F34))))</f>
      </c>
      <c r="G61" s="7" t="str">
        <f>IF(ISBLANK(G34),"NO DATA",IF(ISNUMBER(FIND(CODES!$A$12,G34)),CODES!$A$12,IF(OR(ISNUMBER(FIND(CODES!$A$10,G34)),ISNUMBER(FIND(CODES!$A$11,G34))),CODES!$A$13,IF(OR(G34&lt;G$39,ISNUMBER(G34)=FALSE),G$40,G34))))</f>
      </c>
      <c r="H61" s="7" t="str">
        <f>IF(ISBLANK(H34),"NO DATA",IF(ISNUMBER(FIND(CODES!$A$12,H34)),CODES!$A$12,IF(OR(ISNUMBER(FIND(CODES!$A$10,H34)),ISNUMBER(FIND(CODES!$A$11,H34))),CODES!$A$13,IF(OR(H34&lt;H$39,ISNUMBER(H34)=FALSE),H$40,H34))))</f>
      </c>
      <c r="I61" s="7" t="str">
        <f>IF(ISBLANK(I34),"NO DATA",IF(ISNUMBER(FIND(CODES!$A$12,I34)),CODES!$A$12,IF(OR(ISNUMBER(FIND(CODES!$A$10,I34)),ISNUMBER(FIND(CODES!$A$11,I34))),CODES!$A$13,IF(OR(I34&lt;I$39,ISNUMBER(I34)=FALSE),I$40,I34))))</f>
      </c>
      <c r="J61" s="7" t="str">
        <f>IF(ISBLANK(J34),"NO DATA",IF(ISNUMBER(FIND(CODES!$A$12,J34)),CODES!$A$12,IF(OR(ISNUMBER(FIND(CODES!$A$10,J34)),ISNUMBER(FIND(CODES!$A$11,J34))),CODES!$A$13,IF(OR(J34&lt;J$39,ISNUMBER(J34)=FALSE),J$40,J34))))</f>
      </c>
      <c r="K61" s="7" t="str">
        <f>IF(ISBLANK(K34),"NO DATA",IF(ISNUMBER(FIND(CODES!$A$12,K34)),CODES!$A$12,IF(OR(ISNUMBER(FIND(CODES!$A$10,K34)),ISNUMBER(FIND(CODES!$A$11,K34))),CODES!$A$13,IF(OR(K34&lt;K$39,ISNUMBER(K34)=FALSE),K$40,K34))))</f>
      </c>
      <c r="L61" s="7" t="str">
        <f>IF(ISBLANK(L34),"NO DATA",IF(ISNUMBER(FIND(CODES!$A$12,L34)),CODES!$A$12,IF(OR(ISNUMBER(FIND(CODES!$A$10,L34)),ISNUMBER(FIND(CODES!$A$11,L34))),CODES!$A$13,IF(OR(L34&lt;L$39,ISNUMBER(L34)=FALSE),L$40,L34))))</f>
      </c>
      <c r="M61" s="7" t="str">
        <f>IF(ISBLANK(M34),"NO DATA",IF(ISNUMBER(FIND(CODES!$A$12,M34)),CODES!$A$12,IF(OR(ISNUMBER(FIND(CODES!$A$10,M34)),ISNUMBER(FIND(CODES!$A$11,M34))),CODES!$A$13,IF(OR(M34&lt;M$39,ISNUMBER(M34)=FALSE),M$40,M34))))</f>
      </c>
      <c r="N61" s="7" t="str">
        <f>IF(ISBLANK(N34),"NO DATA",IF(ISNUMBER(FIND(CODES!$A$12,N34)),CODES!$A$12,IF(OR(ISNUMBER(FIND(CODES!$A$10,N34)),ISNUMBER(FIND(CODES!$A$11,N34))),CODES!$A$13,IF(OR(N34&lt;N$39,ISNUMBER(N34)=FALSE),N$40,N34))))</f>
      </c>
      <c r="O61" s="7" t="str">
        <f>IF(ISBLANK(O34),"NO DATA",IF(ISNUMBER(FIND(CODES!$A$12,O34)),CODES!$A$12,IF(OR(ISNUMBER(FIND(CODES!$A$10,O34)),ISNUMBER(FIND(CODES!$A$11,O34))),CODES!$A$13,IF(OR(O34&lt;O$39,ISNUMBER(O34)=FALSE),O$40,O34))))</f>
      </c>
      <c r="P61" s="7" t="str">
        <f>IF(ISBLANK(P34),"NO DATA",IF(ISNUMBER(FIND(CODES!$A$12,P34)),CODES!$A$12,IF(OR(ISNUMBER(FIND(CODES!$A$10,P34)),ISNUMBER(FIND(CODES!$A$11,P34))),CODES!$A$13,IF(OR(P34&lt;P$39,ISNUMBER(P34)=FALSE),P$40,P34))))</f>
      </c>
      <c r="Q61" s="7" t="str">
        <f>IF(ISBLANK(Q34),"NO DATA",IF(ISNUMBER(FIND(CODES!$A$12,Q34)),CODES!$A$12,IF(OR(ISNUMBER(FIND(CODES!$A$10,Q34)),ISNUMBER(FIND(CODES!$A$11,Q34))),CODES!$A$13,IF(OR(Q34&lt;Q$39,ISNUMBER(Q34)=FALSE),Q$40,Q34))))</f>
      </c>
      <c r="R61" s="7" t="str">
        <f>IF(ISBLANK(R34),"NO DATA",IF(ISNUMBER(FIND(CODES!$A$12,R34)),CODES!$A$12,IF(OR(ISNUMBER(FIND(CODES!$A$10,R34)),ISNUMBER(FIND(CODES!$A$11,R34))),CODES!$A$13,IF(OR(R34&lt;R$39,ISNUMBER(R34)=FALSE),R$40,R34))))</f>
      </c>
      <c r="S61" s="7" t="str">
        <f>IF(ISBLANK(S34),"NO DATA",IF(ISNUMBER(FIND(CODES!$A$12,S34)),CODES!$A$12,IF(OR(ISNUMBER(FIND(CODES!$A$10,S34)),ISNUMBER(FIND(CODES!$A$11,S34))),CODES!$A$13,IF(OR(S34&lt;S$39,ISNUMBER(S34)=FALSE),S$40,S34))))</f>
      </c>
      <c r="T61" s="7" t="str">
        <f>IF(ISBLANK(T34),"NO DATA",IF(ISNUMBER(FIND(CODES!$A$12,T34)),CODES!$A$12,IF(OR(ISNUMBER(FIND(CODES!$A$10,T34)),ISNUMBER(FIND(CODES!$A$11,T34))),CODES!$A$13,IF(OR(T34&lt;T$39,ISNUMBER(T34)=FALSE),T$40,T34))))</f>
      </c>
      <c r="U61" s="7" t="str">
        <f>IF(ISBLANK(U34),"NO DATA",IF(ISNUMBER(FIND(CODES!$A$12,U34)),CODES!$A$12,IF(OR(ISNUMBER(FIND(CODES!$A$10,U34)),ISNUMBER(FIND(CODES!$A$11,U34))),CODES!$A$13,IF(OR(U34&lt;U$39,ISNUMBER(U34)=FALSE),U$40,U34))))</f>
      </c>
      <c r="V61" s="7" t="str">
        <f>IF(ISBLANK(V34),"NO DATA",IF(ISNUMBER(FIND(CODES!$A$12,V34)),CODES!$A$12,IF(OR(ISNUMBER(FIND(CODES!$A$10,V34)),ISNUMBER(FIND(CODES!$A$11,V34))),CODES!$A$13,IF(OR(V34&lt;V$39,ISNUMBER(V34)=FALSE),V$40,V34))))</f>
      </c>
      <c r="W61" s="7" t="str">
        <f>IF(ISBLANK(W34),"NO DATA",IF(ISNUMBER(FIND(CODES!$A$12,W34)),CODES!$A$12,IF(OR(ISNUMBER(FIND(CODES!$A$10,W34)),ISNUMBER(FIND(CODES!$A$11,W34))),CODES!$A$13,IF(OR(W34&lt;W$39,ISNUMBER(W34)=FALSE),W$40,W34))))</f>
      </c>
      <c r="X61" s="7" t="str">
        <f>IF(ISBLANK(X34),"NO DATA",IF(ISNUMBER(FIND(CODES!$A$12,X34)),CODES!$A$12,IF(OR(ISNUMBER(FIND(CODES!$A$10,X34)),ISNUMBER(FIND(CODES!$A$11,X34))),CODES!$A$13,IF(OR(X34&lt;X$39,ISNUMBER(X34)=FALSE),X$40,X34))))</f>
      </c>
      <c r="Y61" s="7" t="str">
        <f>IF(ISBLANK(Y34),"NO DATA",IF(ISNUMBER(FIND(CODES!$A$12,Y34)),CODES!$A$12,IF(OR(ISNUMBER(FIND(CODES!$A$10,Y34)),ISNUMBER(FIND(CODES!$A$11,Y34))),CODES!$A$13,IF(OR(Y34&lt;Y$39,ISNUMBER(Y34)=FALSE),Y$40,Y34))))</f>
      </c>
      <c r="Z61" s="7" t="str">
        <f>IF(ISBLANK(Z34),"NO DATA",IF(ISNUMBER(FIND(CODES!$A$12,Z34)),CODES!$A$12,IF(OR(ISNUMBER(FIND(CODES!$A$10,Z34)),ISNUMBER(FIND(CODES!$A$11,Z34))),CODES!$A$13,IF(OR(Z34&lt;Z$39,ISNUMBER(Z34)=FALSE),Z$40,Z34))))</f>
      </c>
      <c r="AA61" s="7" t="str">
        <f>IF(ISBLANK(AA34),"NO DATA",IF(ISNUMBER(FIND(CODES!$A$12,AA34)),CODES!$A$12,IF(OR(ISNUMBER(FIND(CODES!$A$10,AA34)),ISNUMBER(FIND(CODES!$A$11,AA34))),CODES!$A$13,IF(OR(AA34&lt;AA$39,ISNUMBER(AA34)=FALSE),AA$40,AA34))))</f>
      </c>
      <c r="AB61" s="7" t="str">
        <f>IF(ISBLANK(AB34),"NO DATA",IF(ISNUMBER(FIND(CODES!$A$12,AB34)),CODES!$A$12,IF(OR(ISNUMBER(FIND(CODES!$A$10,AB34)),ISNUMBER(FIND(CODES!$A$11,AB34))),CODES!$A$13,IF(OR(AB34&lt;AB$39,ISNUMBER(AB34)=FALSE),AB$40,AB34))))</f>
      </c>
      <c r="AC61" s="7" t="str">
        <f>IF(ISBLANK(AC34),"NO DATA",IF(ISNUMBER(FIND(CODES!$A$12,AC34)),CODES!$A$12,IF(OR(ISNUMBER(FIND(CODES!$A$10,AC34)),ISNUMBER(FIND(CODES!$A$11,AC34))),CODES!$A$13,IF(OR(AC34&lt;AC$39,ISNUMBER(AC34)=FALSE),AC$40,AC34))))</f>
      </c>
      <c r="AD61" s="7" t="str">
        <f>IF(ISBLANK(AD34),"NO DATA",IF(ISNUMBER(FIND(CODES!$A$12,AD34)),CODES!$A$12,IF(OR(ISNUMBER(FIND(CODES!$A$10,AD34)),ISNUMBER(FIND(CODES!$A$11,AD34))),CODES!$A$13,IF(OR(AD34&lt;AD$39,ISNUMBER(AD34)=FALSE),AD$40,AD34))))</f>
      </c>
      <c r="AE61" s="7" t="str">
        <f>IF(ISBLANK(AE34),"NO DATA",IF(ISNUMBER(FIND(CODES!$A$12,AE34)),CODES!$A$12,IF(OR(ISNUMBER(FIND(CODES!$A$10,AE34)),ISNUMBER(FIND(CODES!$A$11,AE34))),CODES!$A$13,IF(OR(AE34&lt;AE$39,ISNUMBER(AE34)=FALSE),AE$40,AE34))))</f>
      </c>
      <c r="AF61" s="7" t="str">
        <f>IF(ISBLANK(AF34),"NO DATA",IF(ISNUMBER(FIND(CODES!$A$12,AF34)),CODES!$A$12,IF(OR(ISNUMBER(FIND(CODES!$A$10,AF34)),ISNUMBER(FIND(CODES!$A$11,AF34))),CODES!$A$13,IF(OR(AF34&lt;AF$39,ISNUMBER(AF34)=FALSE),AF$40,AF34))))</f>
      </c>
      <c r="AG61" s="7" t="str">
        <f>IF(ISBLANK(AG34),"NO DATA",IF(ISNUMBER(FIND(CODES!$A$12,AG34)),CODES!$A$12,IF(OR(ISNUMBER(FIND(CODES!$A$10,AG34)),ISNUMBER(FIND(CODES!$A$11,AG34))),CODES!$A$13,IF(OR(AG34&lt;AG$39,ISNUMBER(AG34)=FALSE),AG$40,AG34))))</f>
      </c>
      <c r="AH61" s="7" t="str">
        <f>IF(ISBLANK(AH34),"NO DATA",IF(ISNUMBER(FIND(CODES!$A$12,AH34)),CODES!$A$12,IF(OR(ISNUMBER(FIND(CODES!$A$10,AH34)),ISNUMBER(FIND(CODES!$A$11,AH34))),CODES!$A$13,IF(OR(AH34&lt;AH$39,ISNUMBER(AH34)=FALSE),AH$40,AH34))))</f>
      </c>
      <c r="AI61" s="7" t="str">
        <f>IF(ISBLANK(AI34),"NO DATA",IF(ISNUMBER(FIND(CODES!$A$12,AI34)),CODES!$A$12,IF(OR(ISNUMBER(FIND(CODES!$A$10,AI34)),ISNUMBER(FIND(CODES!$A$11,AI34))),CODES!$A$13,IF(OR(AI34&lt;AI$39,ISNUMBER(AI34)=FALSE),AI$40,AI34))))</f>
      </c>
      <c r="AJ61" s="7" t="str">
        <f>IF(ISBLANK(AJ34),"NO DATA",IF(ISNUMBER(FIND(CODES!$A$12,AJ34)),CODES!$A$12,IF(OR(ISNUMBER(FIND(CODES!$A$10,AJ34)),ISNUMBER(FIND(CODES!$A$11,AJ34))),CODES!$A$13,IF(OR(AJ34&lt;AJ$39,ISNUMBER(AJ34)=FALSE),AJ$40,AJ34))))</f>
      </c>
      <c r="AK61" s="7" t="str">
        <f>IF(ISBLANK(AK34),"NO DATA",IF(ISNUMBER(FIND(CODES!$A$12,AK34)),CODES!$A$12,IF(OR(ISNUMBER(FIND(CODES!$A$10,AK34)),ISNUMBER(FIND(CODES!$A$11,AK34))),CODES!$A$13,IF(OR(AK34&lt;AK$39,ISNUMBER(AK34)=FALSE),AK$40,AK34))))</f>
      </c>
      <c r="AL61" s="7" t="str">
        <f>IF(ISBLANK(AL34),"NO DATA",IF(ISNUMBER(FIND(CODES!$A$12,AL34)),CODES!$A$12,IF(OR(ISNUMBER(FIND(CODES!$A$10,AL34)),ISNUMBER(FIND(CODES!$A$11,AL34))),CODES!$A$13,IF(OR(AL34&lt;AL$39,ISNUMBER(AL34)=FALSE),AL$40,AL34))))</f>
      </c>
      <c r="AM61" s="7" t="str">
        <f>IF(ISBLANK(AM34),"NO DATA",IF(ISNUMBER(FIND(CODES!$A$12,AM34)),CODES!$A$12,IF(OR(ISNUMBER(FIND(CODES!$A$10,AM34)),ISNUMBER(FIND(CODES!$A$11,AM34))),CODES!$A$13,IF(OR(AM34&lt;AM$39,ISNUMBER(AM34)=FALSE),AM$40,AM34))))</f>
      </c>
      <c r="AN61" s="7" t="str">
        <f>IF(ISBLANK(AN34),"NO DATA",IF(ISNUMBER(FIND(CODES!$A$12,AN34)),CODES!$A$12,IF(OR(ISNUMBER(FIND(CODES!$A$10,AN34)),ISNUMBER(FIND(CODES!$A$11,AN34))),CODES!$A$13,IF(OR(AN34&lt;AN$39,ISNUMBER(AN34)=FALSE),AN$40,AN34))))</f>
      </c>
      <c r="AO61" s="7" t="str">
        <f>IF(ISBLANK(AO34),"NO DATA",IF(ISNUMBER(FIND(CODES!$A$12,AO34)),CODES!$A$12,IF(OR(ISNUMBER(FIND(CODES!$A$10,AO34)),ISNUMBER(FIND(CODES!$A$11,AO34))),CODES!$A$13,IF(OR(AO34&lt;AO$39,ISNUMBER(AO34)=FALSE),AO$40,AO34))))</f>
      </c>
      <c r="AP61" s="7" t="str">
        <f>IF(ISBLANK(AP34),"NO DATA",IF(ISNUMBER(FIND(CODES!$A$12,AP34)),CODES!$A$12,IF(OR(ISNUMBER(FIND(CODES!$A$10,AP34)),ISNUMBER(FIND(CODES!$A$11,AP34))),CODES!$A$13,IF(OR(AP34&lt;AP$39,ISNUMBER(AP34)=FALSE),AP$40,AP34))))</f>
      </c>
      <c r="AQ61" s="7" t="str">
        <f>IF(ISBLANK(AQ34),"NO DATA",IF(ISNUMBER(FIND(CODES!$A$12,AQ34)),CODES!$A$12,IF(OR(ISNUMBER(FIND(CODES!$A$10,AQ34)),ISNUMBER(FIND(CODES!$A$11,AQ34))),CODES!$A$13,IF(OR(AQ34&lt;AQ$39,ISNUMBER(AQ34)=FALSE),AQ$40,AQ34))))</f>
      </c>
      <c r="AR61" s="7" t="str">
        <f>IF(ISBLANK(AR34),"NO DATA",IF(ISNUMBER(FIND(CODES!$A$12,AR34)),CODES!$A$12,IF(OR(ISNUMBER(FIND(CODES!$A$10,AR34)),ISNUMBER(FIND(CODES!$A$11,AR34))),CODES!$A$13,IF(OR(AR34&lt;AR$39,ISNUMBER(AR34)=FALSE),AR$40,AR34))))</f>
      </c>
      <c r="AS61" s="7" t="str">
        <f>IF(ISBLANK(AS34),"NO DATA",IF(ISNUMBER(FIND(CODES!$A$12,AS34)),CODES!$A$12,IF(OR(ISNUMBER(FIND(CODES!$A$10,AS34)),ISNUMBER(FIND(CODES!$A$11,AS34))),CODES!$A$13,IF(OR(AS34&lt;AS$39,ISNUMBER(AS34)=FALSE),AS$40,AS34))))</f>
      </c>
      <c r="AT61" s="7" t="str">
        <f>IF(ISBLANK(AT34),"NO DATA",IF(ISNUMBER(FIND(CODES!$A$12,AT34)),CODES!$A$12,IF(OR(ISNUMBER(FIND(CODES!$A$10,AT34)),ISNUMBER(FIND(CODES!$A$11,AT34))),CODES!$A$13,IF(OR(AT34&lt;AT$39,ISNUMBER(AT34)=FALSE),AT$40,AT34))))</f>
      </c>
      <c r="AU61" s="7" t="str">
        <f>IF(ISBLANK(AU34),"NO DATA",IF(ISNUMBER(FIND(CODES!$A$12,AU34)),CODES!$A$12,IF(OR(ISNUMBER(FIND(CODES!$A$10,AU34)),ISNUMBER(FIND(CODES!$A$11,AU34))),CODES!$A$13,IF(OR(AU34&lt;AU$39,ISNUMBER(AU34)=FALSE),AU$40,AU34))))</f>
      </c>
      <c r="AV61" s="7" t="str">
        <f>IF(ISBLANK(AV34),"NO DATA",IF(ISNUMBER(FIND(CODES!$A$12,AV34)),CODES!$A$12,IF(OR(ISNUMBER(FIND(CODES!$A$10,AV34)),ISNUMBER(FIND(CODES!$A$11,AV34))),CODES!$A$13,IF(OR(AV34&lt;AV$39,ISNUMBER(AV34)=FALSE),AV$40,AV34))))</f>
      </c>
      <c r="AW61" s="7" t="str">
        <f>IF(ISBLANK(AW34),"NO DATA",IF(ISNUMBER(FIND(CODES!$A$12,AW34)),CODES!$A$12,IF(OR(ISNUMBER(FIND(CODES!$A$10,AW34)),ISNUMBER(FIND(CODES!$A$11,AW34))),CODES!$A$13,IF(OR(AW34&lt;AW$39,ISNUMBER(AW34)=FALSE),AW$40,AW34))))</f>
      </c>
      <c r="AX61" s="7" t="str">
        <f>IF(ISBLANK(AX34),"NO DATA",IF(ISNUMBER(FIND(CODES!$A$12,AX34)),CODES!$A$12,IF(OR(ISNUMBER(FIND(CODES!$A$10,AX34)),ISNUMBER(FIND(CODES!$A$11,AX34))),CODES!$A$13,IF(OR(AX34&lt;AX$39,ISNUMBER(AX34)=FALSE),AX$40,AX34))))</f>
      </c>
      <c r="AY61" s="7" t="str">
        <f>IF(ISBLANK(AY34),"NO DATA",IF(ISNUMBER(FIND(CODES!$A$12,AY34)),CODES!$A$12,IF(OR(ISNUMBER(FIND(CODES!$A$10,AY34)),ISNUMBER(FIND(CODES!$A$11,AY34))),CODES!$A$13,IF(OR(AY34&lt;AY$39,ISNUMBER(AY34)=FALSE),AY$40,AY34))))</f>
      </c>
      <c r="AZ61" s="7" t="str">
        <f>IF(ISBLANK(AZ34),"NO DATA",IF(ISNUMBER(FIND(CODES!$A$12,AZ34)),CODES!$A$12,IF(OR(ISNUMBER(FIND(CODES!$A$10,AZ34)),ISNUMBER(FIND(CODES!$A$11,AZ34))),CODES!$A$13,IF(OR(AZ34&lt;AZ$39,ISNUMBER(AZ34)=FALSE),AZ$40,AZ34))))</f>
      </c>
      <c r="BA61" s="7" t="str">
        <f>IF(ISBLANK(BA34),"NO DATA",IF(ISNUMBER(FIND(CODES!$A$12,BA34)),CODES!$A$12,IF(OR(ISNUMBER(FIND(CODES!$A$10,BA34)),ISNUMBER(FIND(CODES!$A$11,BA34))),CODES!$A$13,IF(OR(BA34&lt;BA$39,ISNUMBER(BA34)=FALSE),BA$40,BA34))))</f>
      </c>
      <c r="BB61" s="7" t="str">
        <f>IF(ISBLANK(BB34),"NO DATA",IF(ISNUMBER(FIND(CODES!$A$12,BB34)),CODES!$A$12,IF(OR(ISNUMBER(FIND(CODES!$A$10,BB34)),ISNUMBER(FIND(CODES!$A$11,BB34))),CODES!$A$13,IF(OR(BB34&lt;BB$39,ISNUMBER(BB34)=FALSE),BB$40,BB34))))</f>
      </c>
      <c r="BC61" s="7" t="str">
        <f>IF(ISBLANK(BC34),"NO DATA",IF(ISNUMBER(FIND(CODES!$A$12,BC34)),CODES!$A$12,IF(OR(ISNUMBER(FIND(CODES!$A$10,BC34)),ISNUMBER(FIND(CODES!$A$11,BC34))),CODES!$A$13,IF(OR(BC34&lt;BC$39,ISNUMBER(BC34)=FALSE),BC$40,BC34))))</f>
      </c>
      <c r="BD61" s="7" t="str">
        <f>IF(ISBLANK(BD34),"NO DATA",IF(ISNUMBER(FIND(CODES!$A$12,BD34)),CODES!$A$12,IF(OR(ISNUMBER(FIND(CODES!$A$10,BD34)),ISNUMBER(FIND(CODES!$A$11,BD34))),CODES!$A$13,IF(OR(BD34&lt;BD$39,ISNUMBER(BD34)=FALSE),BD$40,BD34))))</f>
      </c>
      <c r="BE61" s="7" t="str">
        <f>IF(ISBLANK(BE34),"NO DATA",IF(ISNUMBER(FIND(CODES!$A$12,BE34)),CODES!$A$12,IF(OR(ISNUMBER(FIND(CODES!$A$10,BE34)),ISNUMBER(FIND(CODES!$A$11,BE34))),CODES!$A$13,IF(OR(BE34&lt;BE$39,ISNUMBER(BE34)=FALSE),BE$40,BE34))))</f>
      </c>
      <c r="BF61" s="7" t="str">
        <f>IF(ISBLANK(BF34),"NO DATA",IF(ISNUMBER(FIND(CODES!$A$12,BF34)),CODES!$A$12,IF(OR(ISNUMBER(FIND(CODES!$A$10,BF34)),ISNUMBER(FIND(CODES!$A$11,BF34))),CODES!$A$13,IF(OR(BF34&lt;BF$39,ISNUMBER(BF34)=FALSE),BF$40,BF34))))</f>
      </c>
      <c r="BG61" s="7" t="str">
        <f>IF(ISBLANK(BG34),"NO DATA",IF(ISNUMBER(FIND(CODES!$A$12,BG34)),CODES!$A$12,IF(OR(ISNUMBER(FIND(CODES!$A$10,BG34)),ISNUMBER(FIND(CODES!$A$11,BG34))),CODES!$A$13,IF(OR(BG34&lt;BG$39,ISNUMBER(BG34)=FALSE),BG$40,BG34))))</f>
      </c>
      <c r="BH61" s="7" t="str">
        <f>IF(ISBLANK(BH34),"NO DATA",IF(ISNUMBER(FIND(CODES!$A$12,BH34)),CODES!$A$12,IF(OR(ISNUMBER(FIND(CODES!$A$10,BH34)),ISNUMBER(FIND(CODES!$A$11,BH34))),CODES!$A$13,IF(OR(BH34&lt;BH$39,ISNUMBER(BH34)=FALSE),BH$40,BH34))))</f>
      </c>
      <c r="BI61" s="7" t="str">
        <f>IF(ISBLANK(BI34),"NO DATA",IF(ISNUMBER(FIND(CODES!$A$12,BI34)),CODES!$A$12,IF(OR(ISNUMBER(FIND(CODES!$A$10,BI34)),ISNUMBER(FIND(CODES!$A$11,BI34))),CODES!$A$13,IF(OR(BI34&lt;BI$39,ISNUMBER(BI34)=FALSE),BI$40,BI34))))</f>
      </c>
      <c r="BJ61" s="7" t="str">
        <f>IF(ISBLANK(BJ34),"NO DATA",IF(ISNUMBER(FIND(CODES!$A$12,BJ34)),CODES!$A$12,IF(OR(ISNUMBER(FIND(CODES!$A$10,BJ34)),ISNUMBER(FIND(CODES!$A$11,BJ34))),CODES!$A$13,IF(OR(BJ34&lt;BJ$39,ISNUMBER(BJ34)=FALSE),BJ$40,BJ34))))</f>
      </c>
      <c r="BK61" s="7" t="str">
        <f>IF(ISBLANK(BK34),"NO DATA",IF(ISNUMBER(FIND(CODES!$A$12,BK34)),CODES!$A$12,IF(OR(ISNUMBER(FIND(CODES!$A$10,BK34)),ISNUMBER(FIND(CODES!$A$11,BK34))),CODES!$A$13,IF(OR(BK34&lt;BK$39,ISNUMBER(BK34)=FALSE),BK$40,BK34))))</f>
      </c>
      <c r="BL61" s="7" t="str">
        <f>IF(ISBLANK(BL34),"NO DATA",IF(ISNUMBER(FIND(CODES!$A$12,BL34)),CODES!$A$12,IF(OR(ISNUMBER(FIND(CODES!$A$10,BL34)),ISNUMBER(FIND(CODES!$A$11,BL34))),CODES!$A$13,IF(OR(BL34&lt;BL$39,ISNUMBER(BL34)=FALSE),BL$40,BL34))))</f>
      </c>
      <c r="BM61" s="7" t="str">
        <f>IF(ISBLANK(BM34),"NO DATA",IF(ISNUMBER(FIND(CODES!$A$12,BM34)),CODES!$A$12,IF(OR(ISNUMBER(FIND(CODES!$A$10,BM34)),ISNUMBER(FIND(CODES!$A$11,BM34))),CODES!$A$13,IF(OR(BM34&lt;BM$39,ISNUMBER(BM34)=FALSE),BM$40,BM34))))</f>
      </c>
      <c r="BN61" s="7" t="str">
        <f>IF(ISBLANK(BN34),"NO DATA",IF(ISNUMBER(FIND(CODES!$A$12,BN34)),CODES!$A$12,IF(OR(ISNUMBER(FIND(CODES!$A$10,BN34)),ISNUMBER(FIND(CODES!$A$11,BN34))),CODES!$A$13,IF(OR(BN34&lt;BN$39,ISNUMBER(BN34)=FALSE),BN$40,BN34))))</f>
      </c>
      <c r="BO61" s="7" t="str">
        <f>IF(ISBLANK(BO34),"NO DATA",IF(ISNUMBER(FIND(CODES!$A$12,BO34)),CODES!$A$12,IF(OR(ISNUMBER(FIND(CODES!$A$10,BO34)),ISNUMBER(FIND(CODES!$A$11,BO34))),CODES!$A$13,IF(OR(BO34&lt;BO$39,ISNUMBER(BO34)=FALSE),BO$40,BO34))))</f>
      </c>
      <c r="BP61" s="7" t="str">
        <f>IF(ISBLANK(BP34),"NO DATA",IF(ISNUMBER(FIND(CODES!$A$12,BP34)),CODES!$A$12,IF(OR(ISNUMBER(FIND(CODES!$A$10,BP34)),ISNUMBER(FIND(CODES!$A$11,BP34))),CODES!$A$13,IF(OR(BP34&lt;BP$39,ISNUMBER(BP34)=FALSE),BP$40,BP34))))</f>
      </c>
      <c r="BQ61" s="7" t="str">
        <f>IF(ISBLANK(BQ34),"NO DATA",IF(ISNUMBER(FIND(CODES!$A$12,BQ34)),CODES!$A$12,IF(OR(ISNUMBER(FIND(CODES!$A$10,BQ34)),ISNUMBER(FIND(CODES!$A$11,BQ34))),CODES!$A$13,IF(OR(BQ34&lt;BQ$39,ISNUMBER(BQ34)=FALSE),BQ$40,BQ34))))</f>
      </c>
      <c r="BR61" s="7" t="str">
        <f>IF(ISBLANK(BR34),"NO DATA",IF(ISNUMBER(FIND(CODES!$A$12,BR34)),CODES!$A$12,IF(OR(ISNUMBER(FIND(CODES!$A$10,BR34)),ISNUMBER(FIND(CODES!$A$11,BR34))),CODES!$A$13,IF(OR(BR34&lt;BR$39,ISNUMBER(BR34)=FALSE),BR$40,BR34))))</f>
      </c>
      <c r="BS61" s="7" t="str">
        <f>IF(ISBLANK(BS34),"NO DATA",IF(ISNUMBER(FIND(CODES!$A$12,BS34)),CODES!$A$12,IF(OR(ISNUMBER(FIND(CODES!$A$10,BS34)),ISNUMBER(FIND(CODES!$A$11,BS34))),CODES!$A$13,IF(OR(BS34&lt;BS$39,ISNUMBER(BS34)=FALSE),BS$40,BS34))))</f>
      </c>
      <c r="BT61" s="7" t="str">
        <f>IF(ISBLANK(BT34),"NO DATA",IF(ISNUMBER(FIND(CODES!$A$12,BT34)),CODES!$A$12,IF(OR(ISNUMBER(FIND(CODES!$A$10,BT34)),ISNUMBER(FIND(CODES!$A$11,BT34))),CODES!$A$13,IF(OR(BT34&lt;BT$39,ISNUMBER(BT34)=FALSE),BT$40,BT34))))</f>
      </c>
      <c r="BU61" s="7" t="str">
        <f>IF(ISBLANK(BU34),"NO DATA",IF(ISNUMBER(FIND(CODES!$A$12,BU34)),CODES!$A$12,IF(OR(ISNUMBER(FIND(CODES!$A$10,BU34)),ISNUMBER(FIND(CODES!$A$11,BU34))),CODES!$A$13,IF(OR(BU34&lt;BU$39,ISNUMBER(BU34)=FALSE),BU$40,BU34))))</f>
      </c>
      <c r="BV61" s="7" t="str">
        <f>IF(ISBLANK(BV34),"NO DATA",IF(ISNUMBER(FIND(CODES!$A$12,BV34)),CODES!$A$12,IF(OR(ISNUMBER(FIND(CODES!$A$10,BV34)),ISNUMBER(FIND(CODES!$A$11,BV34))),CODES!$A$13,IF(OR(BV34&lt;BV$39,ISNUMBER(BV34)=FALSE),BV$40,BV34))))</f>
      </c>
      <c r="BW61" s="7" t="str">
        <f>IF(ISBLANK(BW34),"NO DATA",IF(ISNUMBER(FIND(CODES!$A$12,BW34)),CODES!$A$12,IF(OR(ISNUMBER(FIND(CODES!$A$10,BW34)),ISNUMBER(FIND(CODES!$A$11,BW34))),CODES!$A$13,IF(OR(BW34&lt;BW$39,ISNUMBER(BW34)=FALSE),BW$40,BW34))))</f>
      </c>
      <c r="BX61" s="7" t="str">
        <f>IF(ISBLANK(BX34),"NO DATA",IF(ISNUMBER(FIND(CODES!$A$12,BX34)),CODES!$A$12,IF(OR(ISNUMBER(FIND(CODES!$A$10,BX34)),ISNUMBER(FIND(CODES!$A$11,BX34))),CODES!$A$13,IF(OR(BX34&lt;BX$39,ISNUMBER(BX34)=FALSE),BX$40,BX34))))</f>
      </c>
      <c r="BY61" s="7" t="str">
        <f>IF(ISBLANK(BY34),"NO DATA",IF(ISNUMBER(FIND(CODES!$A$12,BY34)),CODES!$A$12,IF(OR(ISNUMBER(FIND(CODES!$A$10,BY34)),ISNUMBER(FIND(CODES!$A$11,BY34))),CODES!$A$13,IF(OR(BY34&lt;BY$39,ISNUMBER(BY34)=FALSE),BY$40,BY34))))</f>
      </c>
      <c r="BZ61" s="7" t="str">
        <f>IF(ISBLANK(BZ34),"NO DATA",IF(ISNUMBER(FIND(CODES!$A$12,BZ34)),CODES!$A$12,IF(OR(ISNUMBER(FIND(CODES!$A$10,BZ34)),ISNUMBER(FIND(CODES!$A$11,BZ34))),CODES!$A$13,IF(OR(BZ34&lt;BZ$39,ISNUMBER(BZ34)=FALSE),BZ$40,BZ34))))</f>
      </c>
      <c r="CA61" s="7" t="str">
        <f>IF(ISBLANK(CA34),"NO DATA",IF(ISNUMBER(FIND(CODES!$A$12,CA34)),CODES!$A$12,IF(OR(ISNUMBER(FIND(CODES!$A$10,CA34)),ISNUMBER(FIND(CODES!$A$11,CA34))),CODES!$A$13,IF(OR(CA34&lt;CA$39,ISNUMBER(CA34)=FALSE),CA$40,CA34))))</f>
      </c>
      <c r="CB61" s="7" t="str">
        <f>IF(ISBLANK(CB34),"NO DATA",IF(ISNUMBER(FIND(CODES!$A$12,CB34)),CODES!$A$12,IF(OR(ISNUMBER(FIND(CODES!$A$10,CB34)),ISNUMBER(FIND(CODES!$A$11,CB34))),CODES!$A$13,IF(OR(CB34&lt;CB$39,ISNUMBER(CB34)=FALSE),CB$40,CB34))))</f>
      </c>
      <c r="CC61" s="7" t="str">
        <f>IF(ISBLANK(CC34),"NO DATA",IF(ISNUMBER(FIND(CODES!$A$12,CC34)),CODES!$A$12,IF(OR(ISNUMBER(FIND(CODES!$A$10,CC34)),ISNUMBER(FIND(CODES!$A$11,CC34))),CODES!$A$13,IF(OR(CC34&lt;CC$39,ISNUMBER(CC34)=FALSE),CC$40,CC34))))</f>
      </c>
      <c r="CD61" s="7" t="str">
        <f>IF(ISBLANK(CD34),"NO DATA",IF(ISNUMBER(FIND(CODES!$A$12,CD34)),CODES!$A$12,IF(OR(ISNUMBER(FIND(CODES!$A$10,CD34)),ISNUMBER(FIND(CODES!$A$11,CD34))),CODES!$A$13,IF(OR(CD34&lt;CD$39,ISNUMBER(CD34)=FALSE),CD$40,CD34))))</f>
      </c>
      <c r="CE61" s="7" t="str">
        <f>IF(ISBLANK(CE34),"NO DATA",IF(ISNUMBER(FIND(CODES!$A$12,CE34)),CODES!$A$12,IF(OR(ISNUMBER(FIND(CODES!$A$10,CE34)),ISNUMBER(FIND(CODES!$A$11,CE34))),CODES!$A$13,IF(OR(CE34&lt;CE$39,ISNUMBER(CE34)=FALSE),CE$40,CE34))))</f>
      </c>
      <c r="CF61" s="7" t="str">
        <f>IF(ISBLANK(CF34),"NO DATA",IF(ISNUMBER(FIND(CODES!$A$12,CF34)),CODES!$A$12,IF(OR(ISNUMBER(FIND(CODES!$A$10,CF34)),ISNUMBER(FIND(CODES!$A$11,CF34))),CODES!$A$13,IF(OR(CF34&lt;CF$39,ISNUMBER(CF34)=FALSE),CF$40,CF34))))</f>
      </c>
      <c r="CG61" s="7" t="str">
        <f>IF(ISBLANK(CG34),"NO DATA",IF(ISNUMBER(FIND(CODES!$A$12,CG34)),CODES!$A$12,IF(OR(ISNUMBER(FIND(CODES!$A$10,CG34)),ISNUMBER(FIND(CODES!$A$11,CG34))),CODES!$A$13,IF(OR(CG34&lt;CG$39,ISNUMBER(CG34)=FALSE),CG$40,CG34))))</f>
      </c>
      <c r="CH61" s="7" t="str">
        <f>IF(ISBLANK(CH34),"NO DATA",IF(ISNUMBER(FIND(CODES!$A$12,CH34)),CODES!$A$12,IF(OR(ISNUMBER(FIND(CODES!$A$10,CH34)),ISNUMBER(FIND(CODES!$A$11,CH34))),CODES!$A$13,IF(OR(CH34&lt;CH$39,ISNUMBER(CH34)=FALSE),CH$40,CH34))))</f>
      </c>
      <c r="CI61" s="7" t="str">
        <f>IF(ISBLANK(CI34),"NO DATA",IF(ISNUMBER(FIND(CODES!$A$12,CI34)),CODES!$A$12,IF(OR(ISNUMBER(FIND(CODES!$A$10,CI34)),ISNUMBER(FIND(CODES!$A$11,CI34))),CODES!$A$13,IF(OR(CI34&lt;CI$39,ISNUMBER(CI34)=FALSE),CI$40,CI34))))</f>
      </c>
      <c r="CJ61" s="7" t="str">
        <f>IF(ISBLANK(CJ34),"NO DATA",IF(ISNUMBER(FIND(CODES!$A$12,CJ34)),CODES!$A$12,IF(OR(ISNUMBER(FIND(CODES!$A$10,CJ34)),ISNUMBER(FIND(CODES!$A$11,CJ34))),CODES!$A$13,IF(OR(CJ34&lt;CJ$39,ISNUMBER(CJ34)=FALSE),CJ$40,CJ34))))</f>
      </c>
      <c r="CK61" s="7" t="str">
        <f>IF(ISBLANK(CK34),"NO DATA",IF(ISNUMBER(FIND(CODES!$A$12,CK34)),CODES!$A$12,IF(OR(ISNUMBER(FIND(CODES!$A$10,CK34)),ISNUMBER(FIND(CODES!$A$11,CK34))),CODES!$A$13,IF(OR(CK34&lt;CK$39,ISNUMBER(CK34)=FALSE),CK$40,CK34))))</f>
      </c>
      <c r="CL61" s="7" t="str">
        <f>IF(ISBLANK(CL34),"NO DATA",IF(ISNUMBER(FIND(CODES!$A$12,CL34)),CODES!$A$12,IF(OR(ISNUMBER(FIND(CODES!$A$10,CL34)),ISNUMBER(FIND(CODES!$A$11,CL34))),CODES!$A$13,IF(OR(CL34&lt;CL$39,ISNUMBER(CL34)=FALSE),CL$40,CL34))))</f>
      </c>
      <c r="CM61" s="7" t="str">
        <f>IF(ISBLANK(CM34),"NO DATA",IF(ISNUMBER(FIND(CODES!$A$12,CM34)),CODES!$A$12,IF(OR(ISNUMBER(FIND(CODES!$A$10,CM34)),ISNUMBER(FIND(CODES!$A$11,CM34))),CODES!$A$13,IF(OR(CM34&lt;CM$39,ISNUMBER(CM34)=FALSE),CM$40,CM34))))</f>
      </c>
      <c r="CN61" s="7" t="str">
        <f>IF(ISBLANK(CN34),"NO DATA",IF(ISNUMBER(FIND(CODES!$A$12,CN34)),CODES!$A$12,IF(OR(ISNUMBER(FIND(CODES!$A$10,CN34)),ISNUMBER(FIND(CODES!$A$11,CN34))),CODES!$A$13,IF(OR(CN34&lt;CN$39,ISNUMBER(CN34)=FALSE),CN$40,CN34))))</f>
      </c>
      <c r="CO61" s="7" t="str">
        <f>IF(ISBLANK(CO34),"NO DATA",IF(ISNUMBER(FIND(CODES!$A$12,CO34)),CODES!$A$12,IF(OR(ISNUMBER(FIND(CODES!$A$10,CO34)),ISNUMBER(FIND(CODES!$A$11,CO34))),CODES!$A$13,IF(OR(CO34&lt;CO$39,ISNUMBER(CO34)=FALSE),CO$40,CO34))))</f>
      </c>
      <c r="CP61" s="7" t="str">
        <f>IF(ISBLANK(CP34),"NO DATA",IF(ISNUMBER(FIND(CODES!$A$12,CP34)),CODES!$A$12,IF(OR(ISNUMBER(FIND(CODES!$A$10,CP34)),ISNUMBER(FIND(CODES!$A$11,CP34))),CODES!$A$13,IF(OR(CP34&lt;CP$39,ISNUMBER(CP34)=FALSE),CP$40,CP34))))</f>
      </c>
      <c r="CQ61" s="7" t="str">
        <f>IF(ISBLANK(CQ34),"NO DATA",IF(ISNUMBER(FIND(CODES!$A$12,CQ34)),CODES!$A$12,IF(OR(ISNUMBER(FIND(CODES!$A$10,CQ34)),ISNUMBER(FIND(CODES!$A$11,CQ34))),CODES!$A$13,IF(OR(CQ34&lt;CQ$39,ISNUMBER(CQ34)=FALSE),CQ$40,CQ34))))</f>
      </c>
      <c r="CR61" s="7" t="str">
        <f>IF(ISBLANK(CR34),"NO DATA",IF(ISNUMBER(FIND(CODES!$A$12,CR34)),CODES!$A$12,IF(OR(ISNUMBER(FIND(CODES!$A$10,CR34)),ISNUMBER(FIND(CODES!$A$11,CR34))),CODES!$A$13,IF(OR(CR34&lt;CR$39,ISNUMBER(CR34)=FALSE),CR$40,CR34))))</f>
      </c>
      <c r="CS61" s="7" t="str">
        <f>IF(ISBLANK(CS34),"NO DATA",IF(ISNUMBER(FIND(CODES!$A$12,CS34)),CODES!$A$12,IF(OR(ISNUMBER(FIND(CODES!$A$10,CS34)),ISNUMBER(FIND(CODES!$A$11,CS34))),CODES!$A$13,IF(OR(CS34&lt;CS$39,ISNUMBER(CS34)=FALSE),CS$40,CS34))))</f>
      </c>
      <c r="CT61" s="7" t="str">
        <f>IF(ISBLANK(CT34),"NO DATA",IF(ISNUMBER(FIND(CODES!$A$12,CT34)),CODES!$A$12,IF(OR(ISNUMBER(FIND(CODES!$A$10,CT34)),ISNUMBER(FIND(CODES!$A$11,CT34))),CODES!$A$13,IF(OR(CT34&lt;CT$39,ISNUMBER(CT34)=FALSE),CT$40,CT34))))</f>
      </c>
      <c r="CU61" s="7" t="str">
        <f>IF(ISBLANK(CU34),"NO DATA",IF(ISNUMBER(FIND(CODES!$A$12,CU34)),CODES!$A$12,IF(OR(ISNUMBER(FIND(CODES!$A$10,CU34)),ISNUMBER(FIND(CODES!$A$11,CU34))),CODES!$A$13,IF(OR(CU34&lt;CU$39,ISNUMBER(CU34)=FALSE),CU$40,CU34))))</f>
      </c>
      <c r="CV61" s="7" t="str">
        <f>IF(ISBLANK(CV34),"NO DATA",IF(ISNUMBER(FIND(CODES!$A$12,CV34)),CODES!$A$12,IF(OR(ISNUMBER(FIND(CODES!$A$10,CV34)),ISNUMBER(FIND(CODES!$A$11,CV34))),CODES!$A$13,IF(OR(CV34&lt;CV$39,ISNUMBER(CV34)=FALSE),CV$40,CV34))))</f>
      </c>
      <c r="CW61" s="7" t="str">
        <f>IF(ISBLANK(CW34),"NO DATA",IF(ISNUMBER(FIND(CODES!$A$12,CW34)),CODES!$A$12,IF(OR(ISNUMBER(FIND(CODES!$A$10,CW34)),ISNUMBER(FIND(CODES!$A$11,CW34))),CODES!$A$13,IF(OR(CW34&lt;CW$39,ISNUMBER(CW34)=FALSE),CW$40,CW34))))</f>
      </c>
      <c r="CX61" s="7" t="str">
        <f>IF(ISBLANK(CX34),"NO DATA",IF(ISNUMBER(FIND(CODES!$A$12,CX34)),CODES!$A$12,IF(OR(ISNUMBER(FIND(CODES!$A$10,CX34)),ISNUMBER(FIND(CODES!$A$11,CX34))),CODES!$A$13,IF(OR(CX34&lt;CX$39,ISNUMBER(CX34)=FALSE),CX$40,CX34))))</f>
      </c>
      <c r="CY61" s="7" t="str">
        <f>IF(ISBLANK(CY34),"NO DATA",IF(ISNUMBER(FIND(CODES!$A$12,CY34)),CODES!$A$12,IF(OR(ISNUMBER(FIND(CODES!$A$10,CY34)),ISNUMBER(FIND(CODES!$A$11,CY34))),CODES!$A$13,IF(OR(CY34&lt;CY$39,ISNUMBER(CY34)=FALSE),CY$40,CY34))))</f>
      </c>
      <c r="CZ61" s="7" t="str">
        <f>IF(ISBLANK(CZ34),"NO DATA",IF(ISNUMBER(FIND(CODES!$A$12,CZ34)),CODES!$A$12,IF(OR(ISNUMBER(FIND(CODES!$A$10,CZ34)),ISNUMBER(FIND(CODES!$A$11,CZ34))),CODES!$A$13,IF(OR(CZ34&lt;CZ$39,ISNUMBER(CZ34)=FALSE),CZ$40,CZ34))))</f>
      </c>
      <c r="DA61" s="7" t="str">
        <f>IF(ISBLANK(DA34),"NO DATA",IF(ISNUMBER(FIND(CODES!$A$12,DA34)),CODES!$A$12,IF(OR(ISNUMBER(FIND(CODES!$A$10,DA34)),ISNUMBER(FIND(CODES!$A$11,DA34))),CODES!$A$13,IF(OR(DA34&lt;DA$39,ISNUMBER(DA34)=FALSE),DA$40,DA34))))</f>
      </c>
      <c r="DB61" s="7" t="str">
        <f>IF(ISBLANK(DB34),"NO DATA",IF(ISNUMBER(FIND(CODES!$A$12,DB34)),CODES!$A$12,IF(OR(ISNUMBER(FIND(CODES!$A$10,DB34)),ISNUMBER(FIND(CODES!$A$11,DB34))),CODES!$A$13,IF(OR(DB34&lt;DB$39,ISNUMBER(DB34)=FALSE),DB$40,DB34))))</f>
      </c>
      <c r="DC61" s="7" t="str">
        <f>IF(ISBLANK(DC34),"NO DATA",IF(ISNUMBER(FIND(CODES!$A$12,DC34)),CODES!$A$12,IF(OR(ISNUMBER(FIND(CODES!$A$10,DC34)),ISNUMBER(FIND(CODES!$A$11,DC34))),CODES!$A$13,IF(OR(DC34&lt;DC$39,ISNUMBER(DC34)=FALSE),DC$40,DC34))))</f>
      </c>
      <c r="DD61" s="7" t="str">
        <f>IF(ISBLANK(DD34),"NO DATA",IF(ISNUMBER(FIND(CODES!$A$12,DD34)),CODES!$A$12,IF(OR(ISNUMBER(FIND(CODES!$A$10,DD34)),ISNUMBER(FIND(CODES!$A$11,DD34))),CODES!$A$13,IF(OR(DD34&lt;DD$39,ISNUMBER(DD34)=FALSE),DD$40,DD34))))</f>
      </c>
      <c r="DE61" s="7" t="str">
        <f>IF(ISBLANK(DE34),"NO DATA",IF(ISNUMBER(FIND(CODES!$A$12,DE34)),CODES!$A$12,IF(OR(ISNUMBER(FIND(CODES!$A$10,DE34)),ISNUMBER(FIND(CODES!$A$11,DE34))),CODES!$A$13,IF(OR(DE34&lt;DE$39,ISNUMBER(DE34)=FALSE),DE$40,DE34))))</f>
      </c>
      <c r="DF61" s="7" t="str">
        <f>IF(ISBLANK(DF34),"NO DATA",IF(ISNUMBER(FIND(CODES!$A$12,DF34)),CODES!$A$12,IF(OR(ISNUMBER(FIND(CODES!$A$10,DF34)),ISNUMBER(FIND(CODES!$A$11,DF34))),CODES!$A$13,IF(OR(DF34&lt;DF$39,ISNUMBER(DF34)=FALSE),DF$40,DF34))))</f>
      </c>
      <c r="DG61" s="7" t="str">
        <f>IF(ISBLANK(DG34),"NO DATA",IF(ISNUMBER(FIND(CODES!$A$12,DG34)),CODES!$A$12,IF(OR(ISNUMBER(FIND(CODES!$A$10,DG34)),ISNUMBER(FIND(CODES!$A$11,DG34))),CODES!$A$13,IF(OR(DG34&lt;DG$39,ISNUMBER(DG34)=FALSE),DG$40,DG34))))</f>
      </c>
      <c r="DH61" s="7" t="str">
        <f>IF(ISBLANK(DH34),"NO DATA",IF(ISNUMBER(FIND(CODES!$A$12,DH34)),CODES!$A$12,IF(OR(ISNUMBER(FIND(CODES!$A$10,DH34)),ISNUMBER(FIND(CODES!$A$11,DH34))),CODES!$A$13,IF(OR(DH34&lt;DH$39,ISNUMBER(DH34)=FALSE),DH$40,DH34))))</f>
      </c>
      <c r="DI61" s="7" t="str">
        <f>IF(ISBLANK(DI34),"NO DATA",IF(ISNUMBER(FIND(CODES!$A$12,DI34)),CODES!$A$12,IF(OR(ISNUMBER(FIND(CODES!$A$10,DI34)),ISNUMBER(FIND(CODES!$A$11,DI34))),CODES!$A$13,IF(OR(DI34&lt;DI$39,ISNUMBER(DI34)=FALSE),DI$40,DI34))))</f>
      </c>
    </row>
    <row r="62" spans="1:113" x14ac:dyDescent="0.25">
      <c r="A62" s="16" t="str">
        <f t="shared" si="8"/>
      </c>
      <c r="B62" s="16" t="str">
        <f t="shared" si="8"/>
      </c>
      <c r="C62" s="7" t="str">
        <f>IF(ISBLANK(C35),"NO DATA",IF(ISNUMBER(FIND(CODES!$A$12,C35)),CODES!$A$12,IF(OR(ISNUMBER(FIND(CODES!$A$10,C35)),ISNUMBER(FIND(CODES!$A$11,C35))),CODES!$A$13,IF(OR(C35&lt;C$39,ISNUMBER(C35)=FALSE),C$40,C35))))</f>
      </c>
      <c r="D62" s="7" t="str">
        <f>IF(ISBLANK(D35),"NO DATA",IF(ISNUMBER(FIND(CODES!$A$12,D35)),CODES!$A$12,IF(OR(ISNUMBER(FIND(CODES!$A$10,D35)),ISNUMBER(FIND(CODES!$A$11,D35))),CODES!$A$13,IF(OR(D35&lt;D$39,ISNUMBER(D35)=FALSE),D$40,D35))))</f>
      </c>
      <c r="E62" s="7" t="str">
        <f>IF(ISBLANK(E35),"NO DATA",IF(ISNUMBER(FIND(CODES!$A$12,E35)),CODES!$A$12,IF(OR(ISNUMBER(FIND(CODES!$A$10,E35)),ISNUMBER(FIND(CODES!$A$11,E35))),CODES!$A$13,IF(OR(E35&lt;E$39,ISNUMBER(E35)=FALSE),E$40,E35))))</f>
      </c>
      <c r="F62" s="7" t="str">
        <f>IF(ISBLANK(F35),"NO DATA",IF(ISNUMBER(FIND(CODES!$A$12,F35)),CODES!$A$12,IF(OR(ISNUMBER(FIND(CODES!$A$10,F35)),ISNUMBER(FIND(CODES!$A$11,F35))),CODES!$A$13,IF(OR(F35&lt;F$39,ISNUMBER(F35)=FALSE),F$40,F35))))</f>
      </c>
      <c r="G62" s="7" t="str">
        <f>IF(ISBLANK(G35),"NO DATA",IF(ISNUMBER(FIND(CODES!$A$12,G35)),CODES!$A$12,IF(OR(ISNUMBER(FIND(CODES!$A$10,G35)),ISNUMBER(FIND(CODES!$A$11,G35))),CODES!$A$13,IF(OR(G35&lt;G$39,ISNUMBER(G35)=FALSE),G$40,G35))))</f>
      </c>
      <c r="H62" s="7" t="str">
        <f>IF(ISBLANK(H35),"NO DATA",IF(ISNUMBER(FIND(CODES!$A$12,H35)),CODES!$A$12,IF(OR(ISNUMBER(FIND(CODES!$A$10,H35)),ISNUMBER(FIND(CODES!$A$11,H35))),CODES!$A$13,IF(OR(H35&lt;H$39,ISNUMBER(H35)=FALSE),H$40,H35))))</f>
      </c>
      <c r="I62" s="7" t="str">
        <f>IF(ISBLANK(I35),"NO DATA",IF(ISNUMBER(FIND(CODES!$A$12,I35)),CODES!$A$12,IF(OR(ISNUMBER(FIND(CODES!$A$10,I35)),ISNUMBER(FIND(CODES!$A$11,I35))),CODES!$A$13,IF(OR(I35&lt;I$39,ISNUMBER(I35)=FALSE),I$40,I35))))</f>
      </c>
      <c r="J62" s="7" t="str">
        <f>IF(ISBLANK(J35),"NO DATA",IF(ISNUMBER(FIND(CODES!$A$12,J35)),CODES!$A$12,IF(OR(ISNUMBER(FIND(CODES!$A$10,J35)),ISNUMBER(FIND(CODES!$A$11,J35))),CODES!$A$13,IF(OR(J35&lt;J$39,ISNUMBER(J35)=FALSE),J$40,J35))))</f>
      </c>
      <c r="K62" s="7" t="str">
        <f>IF(ISBLANK(K35),"NO DATA",IF(ISNUMBER(FIND(CODES!$A$12,K35)),CODES!$A$12,IF(OR(ISNUMBER(FIND(CODES!$A$10,K35)),ISNUMBER(FIND(CODES!$A$11,K35))),CODES!$A$13,IF(OR(K35&lt;K$39,ISNUMBER(K35)=FALSE),K$40,K35))))</f>
      </c>
      <c r="L62" s="7" t="str">
        <f>IF(ISBLANK(L35),"NO DATA",IF(ISNUMBER(FIND(CODES!$A$12,L35)),CODES!$A$12,IF(OR(ISNUMBER(FIND(CODES!$A$10,L35)),ISNUMBER(FIND(CODES!$A$11,L35))),CODES!$A$13,IF(OR(L35&lt;L$39,ISNUMBER(L35)=FALSE),L$40,L35))))</f>
      </c>
      <c r="M62" s="7" t="str">
        <f>IF(ISBLANK(M35),"NO DATA",IF(ISNUMBER(FIND(CODES!$A$12,M35)),CODES!$A$12,IF(OR(ISNUMBER(FIND(CODES!$A$10,M35)),ISNUMBER(FIND(CODES!$A$11,M35))),CODES!$A$13,IF(OR(M35&lt;M$39,ISNUMBER(M35)=FALSE),M$40,M35))))</f>
      </c>
      <c r="N62" s="7" t="str">
        <f>IF(ISBLANK(N35),"NO DATA",IF(ISNUMBER(FIND(CODES!$A$12,N35)),CODES!$A$12,IF(OR(ISNUMBER(FIND(CODES!$A$10,N35)),ISNUMBER(FIND(CODES!$A$11,N35))),CODES!$A$13,IF(OR(N35&lt;N$39,ISNUMBER(N35)=FALSE),N$40,N35))))</f>
      </c>
      <c r="O62" s="7" t="str">
        <f>IF(ISBLANK(O35),"NO DATA",IF(ISNUMBER(FIND(CODES!$A$12,O35)),CODES!$A$12,IF(OR(ISNUMBER(FIND(CODES!$A$10,O35)),ISNUMBER(FIND(CODES!$A$11,O35))),CODES!$A$13,IF(OR(O35&lt;O$39,ISNUMBER(O35)=FALSE),O$40,O35))))</f>
      </c>
      <c r="P62" s="7" t="str">
        <f>IF(ISBLANK(P35),"NO DATA",IF(ISNUMBER(FIND(CODES!$A$12,P35)),CODES!$A$12,IF(OR(ISNUMBER(FIND(CODES!$A$10,P35)),ISNUMBER(FIND(CODES!$A$11,P35))),CODES!$A$13,IF(OR(P35&lt;P$39,ISNUMBER(P35)=FALSE),P$40,P35))))</f>
      </c>
      <c r="Q62" s="7" t="str">
        <f>IF(ISBLANK(Q35),"NO DATA",IF(ISNUMBER(FIND(CODES!$A$12,Q35)),CODES!$A$12,IF(OR(ISNUMBER(FIND(CODES!$A$10,Q35)),ISNUMBER(FIND(CODES!$A$11,Q35))),CODES!$A$13,IF(OR(Q35&lt;Q$39,ISNUMBER(Q35)=FALSE),Q$40,Q35))))</f>
      </c>
      <c r="R62" s="7" t="str">
        <f>IF(ISBLANK(R35),"NO DATA",IF(ISNUMBER(FIND(CODES!$A$12,R35)),CODES!$A$12,IF(OR(ISNUMBER(FIND(CODES!$A$10,R35)),ISNUMBER(FIND(CODES!$A$11,R35))),CODES!$A$13,IF(OR(R35&lt;R$39,ISNUMBER(R35)=FALSE),R$40,R35))))</f>
      </c>
      <c r="S62" s="7" t="str">
        <f>IF(ISBLANK(S35),"NO DATA",IF(ISNUMBER(FIND(CODES!$A$12,S35)),CODES!$A$12,IF(OR(ISNUMBER(FIND(CODES!$A$10,S35)),ISNUMBER(FIND(CODES!$A$11,S35))),CODES!$A$13,IF(OR(S35&lt;S$39,ISNUMBER(S35)=FALSE),S$40,S35))))</f>
      </c>
      <c r="T62" s="7" t="str">
        <f>IF(ISBLANK(T35),"NO DATA",IF(ISNUMBER(FIND(CODES!$A$12,T35)),CODES!$A$12,IF(OR(ISNUMBER(FIND(CODES!$A$10,T35)),ISNUMBER(FIND(CODES!$A$11,T35))),CODES!$A$13,IF(OR(T35&lt;T$39,ISNUMBER(T35)=FALSE),T$40,T35))))</f>
      </c>
      <c r="U62" s="7" t="str">
        <f>IF(ISBLANK(U35),"NO DATA",IF(ISNUMBER(FIND(CODES!$A$12,U35)),CODES!$A$12,IF(OR(ISNUMBER(FIND(CODES!$A$10,U35)),ISNUMBER(FIND(CODES!$A$11,U35))),CODES!$A$13,IF(OR(U35&lt;U$39,ISNUMBER(U35)=FALSE),U$40,U35))))</f>
      </c>
      <c r="V62" s="7" t="str">
        <f>IF(ISBLANK(V35),"NO DATA",IF(ISNUMBER(FIND(CODES!$A$12,V35)),CODES!$A$12,IF(OR(ISNUMBER(FIND(CODES!$A$10,V35)),ISNUMBER(FIND(CODES!$A$11,V35))),CODES!$A$13,IF(OR(V35&lt;V$39,ISNUMBER(V35)=FALSE),V$40,V35))))</f>
      </c>
      <c r="W62" s="7" t="str">
        <f>IF(ISBLANK(W35),"NO DATA",IF(ISNUMBER(FIND(CODES!$A$12,W35)),CODES!$A$12,IF(OR(ISNUMBER(FIND(CODES!$A$10,W35)),ISNUMBER(FIND(CODES!$A$11,W35))),CODES!$A$13,IF(OR(W35&lt;W$39,ISNUMBER(W35)=FALSE),W$40,W35))))</f>
      </c>
      <c r="X62" s="7" t="str">
        <f>IF(ISBLANK(X35),"NO DATA",IF(ISNUMBER(FIND(CODES!$A$12,X35)),CODES!$A$12,IF(OR(ISNUMBER(FIND(CODES!$A$10,X35)),ISNUMBER(FIND(CODES!$A$11,X35))),CODES!$A$13,IF(OR(X35&lt;X$39,ISNUMBER(X35)=FALSE),X$40,X35))))</f>
      </c>
      <c r="Y62" s="7" t="str">
        <f>IF(ISBLANK(Y35),"NO DATA",IF(ISNUMBER(FIND(CODES!$A$12,Y35)),CODES!$A$12,IF(OR(ISNUMBER(FIND(CODES!$A$10,Y35)),ISNUMBER(FIND(CODES!$A$11,Y35))),CODES!$A$13,IF(OR(Y35&lt;Y$39,ISNUMBER(Y35)=FALSE),Y$40,Y35))))</f>
      </c>
      <c r="Z62" s="7" t="str">
        <f>IF(ISBLANK(Z35),"NO DATA",IF(ISNUMBER(FIND(CODES!$A$12,Z35)),CODES!$A$12,IF(OR(ISNUMBER(FIND(CODES!$A$10,Z35)),ISNUMBER(FIND(CODES!$A$11,Z35))),CODES!$A$13,IF(OR(Z35&lt;Z$39,ISNUMBER(Z35)=FALSE),Z$40,Z35))))</f>
      </c>
      <c r="AA62" s="7" t="str">
        <f>IF(ISBLANK(AA35),"NO DATA",IF(ISNUMBER(FIND(CODES!$A$12,AA35)),CODES!$A$12,IF(OR(ISNUMBER(FIND(CODES!$A$10,AA35)),ISNUMBER(FIND(CODES!$A$11,AA35))),CODES!$A$13,IF(OR(AA35&lt;AA$39,ISNUMBER(AA35)=FALSE),AA$40,AA35))))</f>
      </c>
      <c r="AB62" s="7" t="str">
        <f>IF(ISBLANK(AB35),"NO DATA",IF(ISNUMBER(FIND(CODES!$A$12,AB35)),CODES!$A$12,IF(OR(ISNUMBER(FIND(CODES!$A$10,AB35)),ISNUMBER(FIND(CODES!$A$11,AB35))),CODES!$A$13,IF(OR(AB35&lt;AB$39,ISNUMBER(AB35)=FALSE),AB$40,AB35))))</f>
      </c>
      <c r="AC62" s="7" t="str">
        <f>IF(ISBLANK(AC35),"NO DATA",IF(ISNUMBER(FIND(CODES!$A$12,AC35)),CODES!$A$12,IF(OR(ISNUMBER(FIND(CODES!$A$10,AC35)),ISNUMBER(FIND(CODES!$A$11,AC35))),CODES!$A$13,IF(OR(AC35&lt;AC$39,ISNUMBER(AC35)=FALSE),AC$40,AC35))))</f>
      </c>
      <c r="AD62" s="7" t="str">
        <f>IF(ISBLANK(AD35),"NO DATA",IF(ISNUMBER(FIND(CODES!$A$12,AD35)),CODES!$A$12,IF(OR(ISNUMBER(FIND(CODES!$A$10,AD35)),ISNUMBER(FIND(CODES!$A$11,AD35))),CODES!$A$13,IF(OR(AD35&lt;AD$39,ISNUMBER(AD35)=FALSE),AD$40,AD35))))</f>
      </c>
      <c r="AE62" s="7" t="str">
        <f>IF(ISBLANK(AE35),"NO DATA",IF(ISNUMBER(FIND(CODES!$A$12,AE35)),CODES!$A$12,IF(OR(ISNUMBER(FIND(CODES!$A$10,AE35)),ISNUMBER(FIND(CODES!$A$11,AE35))),CODES!$A$13,IF(OR(AE35&lt;AE$39,ISNUMBER(AE35)=FALSE),AE$40,AE35))))</f>
      </c>
      <c r="AF62" s="7" t="str">
        <f>IF(ISBLANK(AF35),"NO DATA",IF(ISNUMBER(FIND(CODES!$A$12,AF35)),CODES!$A$12,IF(OR(ISNUMBER(FIND(CODES!$A$10,AF35)),ISNUMBER(FIND(CODES!$A$11,AF35))),CODES!$A$13,IF(OR(AF35&lt;AF$39,ISNUMBER(AF35)=FALSE),AF$40,AF35))))</f>
      </c>
      <c r="AG62" s="7" t="str">
        <f>IF(ISBLANK(AG35),"NO DATA",IF(ISNUMBER(FIND(CODES!$A$12,AG35)),CODES!$A$12,IF(OR(ISNUMBER(FIND(CODES!$A$10,AG35)),ISNUMBER(FIND(CODES!$A$11,AG35))),CODES!$A$13,IF(OR(AG35&lt;AG$39,ISNUMBER(AG35)=FALSE),AG$40,AG35))))</f>
      </c>
      <c r="AH62" s="7" t="str">
        <f>IF(ISBLANK(AH35),"NO DATA",IF(ISNUMBER(FIND(CODES!$A$12,AH35)),CODES!$A$12,IF(OR(ISNUMBER(FIND(CODES!$A$10,AH35)),ISNUMBER(FIND(CODES!$A$11,AH35))),CODES!$A$13,IF(OR(AH35&lt;AH$39,ISNUMBER(AH35)=FALSE),AH$40,AH35))))</f>
      </c>
      <c r="AI62" s="7" t="str">
        <f>IF(ISBLANK(AI35),"NO DATA",IF(ISNUMBER(FIND(CODES!$A$12,AI35)),CODES!$A$12,IF(OR(ISNUMBER(FIND(CODES!$A$10,AI35)),ISNUMBER(FIND(CODES!$A$11,AI35))),CODES!$A$13,IF(OR(AI35&lt;AI$39,ISNUMBER(AI35)=FALSE),AI$40,AI35))))</f>
      </c>
      <c r="AJ62" s="7" t="str">
        <f>IF(ISBLANK(AJ35),"NO DATA",IF(ISNUMBER(FIND(CODES!$A$12,AJ35)),CODES!$A$12,IF(OR(ISNUMBER(FIND(CODES!$A$10,AJ35)),ISNUMBER(FIND(CODES!$A$11,AJ35))),CODES!$A$13,IF(OR(AJ35&lt;AJ$39,ISNUMBER(AJ35)=FALSE),AJ$40,AJ35))))</f>
      </c>
      <c r="AK62" s="7" t="str">
        <f>IF(ISBLANK(AK35),"NO DATA",IF(ISNUMBER(FIND(CODES!$A$12,AK35)),CODES!$A$12,IF(OR(ISNUMBER(FIND(CODES!$A$10,AK35)),ISNUMBER(FIND(CODES!$A$11,AK35))),CODES!$A$13,IF(OR(AK35&lt;AK$39,ISNUMBER(AK35)=FALSE),AK$40,AK35))))</f>
      </c>
      <c r="AL62" s="7" t="str">
        <f>IF(ISBLANK(AL35),"NO DATA",IF(ISNUMBER(FIND(CODES!$A$12,AL35)),CODES!$A$12,IF(OR(ISNUMBER(FIND(CODES!$A$10,AL35)),ISNUMBER(FIND(CODES!$A$11,AL35))),CODES!$A$13,IF(OR(AL35&lt;AL$39,ISNUMBER(AL35)=FALSE),AL$40,AL35))))</f>
      </c>
      <c r="AM62" s="7" t="str">
        <f>IF(ISBLANK(AM35),"NO DATA",IF(ISNUMBER(FIND(CODES!$A$12,AM35)),CODES!$A$12,IF(OR(ISNUMBER(FIND(CODES!$A$10,AM35)),ISNUMBER(FIND(CODES!$A$11,AM35))),CODES!$A$13,IF(OR(AM35&lt;AM$39,ISNUMBER(AM35)=FALSE),AM$40,AM35))))</f>
      </c>
      <c r="AN62" s="7" t="str">
        <f>IF(ISBLANK(AN35),"NO DATA",IF(ISNUMBER(FIND(CODES!$A$12,AN35)),CODES!$A$12,IF(OR(ISNUMBER(FIND(CODES!$A$10,AN35)),ISNUMBER(FIND(CODES!$A$11,AN35))),CODES!$A$13,IF(OR(AN35&lt;AN$39,ISNUMBER(AN35)=FALSE),AN$40,AN35))))</f>
      </c>
      <c r="AO62" s="7" t="str">
        <f>IF(ISBLANK(AO35),"NO DATA",IF(ISNUMBER(FIND(CODES!$A$12,AO35)),CODES!$A$12,IF(OR(ISNUMBER(FIND(CODES!$A$10,AO35)),ISNUMBER(FIND(CODES!$A$11,AO35))),CODES!$A$13,IF(OR(AO35&lt;AO$39,ISNUMBER(AO35)=FALSE),AO$40,AO35))))</f>
      </c>
      <c r="AP62" s="7" t="str">
        <f>IF(ISBLANK(AP35),"NO DATA",IF(ISNUMBER(FIND(CODES!$A$12,AP35)),CODES!$A$12,IF(OR(ISNUMBER(FIND(CODES!$A$10,AP35)),ISNUMBER(FIND(CODES!$A$11,AP35))),CODES!$A$13,IF(OR(AP35&lt;AP$39,ISNUMBER(AP35)=FALSE),AP$40,AP35))))</f>
      </c>
      <c r="AQ62" s="7" t="str">
        <f>IF(ISBLANK(AQ35),"NO DATA",IF(ISNUMBER(FIND(CODES!$A$12,AQ35)),CODES!$A$12,IF(OR(ISNUMBER(FIND(CODES!$A$10,AQ35)),ISNUMBER(FIND(CODES!$A$11,AQ35))),CODES!$A$13,IF(OR(AQ35&lt;AQ$39,ISNUMBER(AQ35)=FALSE),AQ$40,AQ35))))</f>
      </c>
      <c r="AR62" s="7" t="str">
        <f>IF(ISBLANK(AR35),"NO DATA",IF(ISNUMBER(FIND(CODES!$A$12,AR35)),CODES!$A$12,IF(OR(ISNUMBER(FIND(CODES!$A$10,AR35)),ISNUMBER(FIND(CODES!$A$11,AR35))),CODES!$A$13,IF(OR(AR35&lt;AR$39,ISNUMBER(AR35)=FALSE),AR$40,AR35))))</f>
      </c>
      <c r="AS62" s="7" t="str">
        <f>IF(ISBLANK(AS35),"NO DATA",IF(ISNUMBER(FIND(CODES!$A$12,AS35)),CODES!$A$12,IF(OR(ISNUMBER(FIND(CODES!$A$10,AS35)),ISNUMBER(FIND(CODES!$A$11,AS35))),CODES!$A$13,IF(OR(AS35&lt;AS$39,ISNUMBER(AS35)=FALSE),AS$40,AS35))))</f>
      </c>
      <c r="AT62" s="7" t="str">
        <f>IF(ISBLANK(AT35),"NO DATA",IF(ISNUMBER(FIND(CODES!$A$12,AT35)),CODES!$A$12,IF(OR(ISNUMBER(FIND(CODES!$A$10,AT35)),ISNUMBER(FIND(CODES!$A$11,AT35))),CODES!$A$13,IF(OR(AT35&lt;AT$39,ISNUMBER(AT35)=FALSE),AT$40,AT35))))</f>
      </c>
      <c r="AU62" s="7" t="str">
        <f>IF(ISBLANK(AU35),"NO DATA",IF(ISNUMBER(FIND(CODES!$A$12,AU35)),CODES!$A$12,IF(OR(ISNUMBER(FIND(CODES!$A$10,AU35)),ISNUMBER(FIND(CODES!$A$11,AU35))),CODES!$A$13,IF(OR(AU35&lt;AU$39,ISNUMBER(AU35)=FALSE),AU$40,AU35))))</f>
      </c>
      <c r="AV62" s="7" t="str">
        <f>IF(ISBLANK(AV35),"NO DATA",IF(ISNUMBER(FIND(CODES!$A$12,AV35)),CODES!$A$12,IF(OR(ISNUMBER(FIND(CODES!$A$10,AV35)),ISNUMBER(FIND(CODES!$A$11,AV35))),CODES!$A$13,IF(OR(AV35&lt;AV$39,ISNUMBER(AV35)=FALSE),AV$40,AV35))))</f>
      </c>
      <c r="AW62" s="7" t="str">
        <f>IF(ISBLANK(AW35),"NO DATA",IF(ISNUMBER(FIND(CODES!$A$12,AW35)),CODES!$A$12,IF(OR(ISNUMBER(FIND(CODES!$A$10,AW35)),ISNUMBER(FIND(CODES!$A$11,AW35))),CODES!$A$13,IF(OR(AW35&lt;AW$39,ISNUMBER(AW35)=FALSE),AW$40,AW35))))</f>
      </c>
      <c r="AX62" s="7" t="str">
        <f>IF(ISBLANK(AX35),"NO DATA",IF(ISNUMBER(FIND(CODES!$A$12,AX35)),CODES!$A$12,IF(OR(ISNUMBER(FIND(CODES!$A$10,AX35)),ISNUMBER(FIND(CODES!$A$11,AX35))),CODES!$A$13,IF(OR(AX35&lt;AX$39,ISNUMBER(AX35)=FALSE),AX$40,AX35))))</f>
      </c>
      <c r="AY62" s="7" t="str">
        <f>IF(ISBLANK(AY35),"NO DATA",IF(ISNUMBER(FIND(CODES!$A$12,AY35)),CODES!$A$12,IF(OR(ISNUMBER(FIND(CODES!$A$10,AY35)),ISNUMBER(FIND(CODES!$A$11,AY35))),CODES!$A$13,IF(OR(AY35&lt;AY$39,ISNUMBER(AY35)=FALSE),AY$40,AY35))))</f>
      </c>
      <c r="AZ62" s="7" t="str">
        <f>IF(ISBLANK(AZ35),"NO DATA",IF(ISNUMBER(FIND(CODES!$A$12,AZ35)),CODES!$A$12,IF(OR(ISNUMBER(FIND(CODES!$A$10,AZ35)),ISNUMBER(FIND(CODES!$A$11,AZ35))),CODES!$A$13,IF(OR(AZ35&lt;AZ$39,ISNUMBER(AZ35)=FALSE),AZ$40,AZ35))))</f>
      </c>
      <c r="BA62" s="7" t="str">
        <f>IF(ISBLANK(BA35),"NO DATA",IF(ISNUMBER(FIND(CODES!$A$12,BA35)),CODES!$A$12,IF(OR(ISNUMBER(FIND(CODES!$A$10,BA35)),ISNUMBER(FIND(CODES!$A$11,BA35))),CODES!$A$13,IF(OR(BA35&lt;BA$39,ISNUMBER(BA35)=FALSE),BA$40,BA35))))</f>
      </c>
      <c r="BB62" s="7" t="str">
        <f>IF(ISBLANK(BB35),"NO DATA",IF(ISNUMBER(FIND(CODES!$A$12,BB35)),CODES!$A$12,IF(OR(ISNUMBER(FIND(CODES!$A$10,BB35)),ISNUMBER(FIND(CODES!$A$11,BB35))),CODES!$A$13,IF(OR(BB35&lt;BB$39,ISNUMBER(BB35)=FALSE),BB$40,BB35))))</f>
      </c>
      <c r="BC62" s="7" t="str">
        <f>IF(ISBLANK(BC35),"NO DATA",IF(ISNUMBER(FIND(CODES!$A$12,BC35)),CODES!$A$12,IF(OR(ISNUMBER(FIND(CODES!$A$10,BC35)),ISNUMBER(FIND(CODES!$A$11,BC35))),CODES!$A$13,IF(OR(BC35&lt;BC$39,ISNUMBER(BC35)=FALSE),BC$40,BC35))))</f>
      </c>
      <c r="BD62" s="7" t="str">
        <f>IF(ISBLANK(BD35),"NO DATA",IF(ISNUMBER(FIND(CODES!$A$12,BD35)),CODES!$A$12,IF(OR(ISNUMBER(FIND(CODES!$A$10,BD35)),ISNUMBER(FIND(CODES!$A$11,BD35))),CODES!$A$13,IF(OR(BD35&lt;BD$39,ISNUMBER(BD35)=FALSE),BD$40,BD35))))</f>
      </c>
      <c r="BE62" s="7" t="str">
        <f>IF(ISBLANK(BE35),"NO DATA",IF(ISNUMBER(FIND(CODES!$A$12,BE35)),CODES!$A$12,IF(OR(ISNUMBER(FIND(CODES!$A$10,BE35)),ISNUMBER(FIND(CODES!$A$11,BE35))),CODES!$A$13,IF(OR(BE35&lt;BE$39,ISNUMBER(BE35)=FALSE),BE$40,BE35))))</f>
      </c>
      <c r="BF62" s="7" t="str">
        <f>IF(ISBLANK(BF35),"NO DATA",IF(ISNUMBER(FIND(CODES!$A$12,BF35)),CODES!$A$12,IF(OR(ISNUMBER(FIND(CODES!$A$10,BF35)),ISNUMBER(FIND(CODES!$A$11,BF35))),CODES!$A$13,IF(OR(BF35&lt;BF$39,ISNUMBER(BF35)=FALSE),BF$40,BF35))))</f>
      </c>
      <c r="BG62" s="7" t="str">
        <f>IF(ISBLANK(BG35),"NO DATA",IF(ISNUMBER(FIND(CODES!$A$12,BG35)),CODES!$A$12,IF(OR(ISNUMBER(FIND(CODES!$A$10,BG35)),ISNUMBER(FIND(CODES!$A$11,BG35))),CODES!$A$13,IF(OR(BG35&lt;BG$39,ISNUMBER(BG35)=FALSE),BG$40,BG35))))</f>
      </c>
      <c r="BH62" s="7" t="str">
        <f>IF(ISBLANK(BH35),"NO DATA",IF(ISNUMBER(FIND(CODES!$A$12,BH35)),CODES!$A$12,IF(OR(ISNUMBER(FIND(CODES!$A$10,BH35)),ISNUMBER(FIND(CODES!$A$11,BH35))),CODES!$A$13,IF(OR(BH35&lt;BH$39,ISNUMBER(BH35)=FALSE),BH$40,BH35))))</f>
      </c>
      <c r="BI62" s="7" t="str">
        <f>IF(ISBLANK(BI35),"NO DATA",IF(ISNUMBER(FIND(CODES!$A$12,BI35)),CODES!$A$12,IF(OR(ISNUMBER(FIND(CODES!$A$10,BI35)),ISNUMBER(FIND(CODES!$A$11,BI35))),CODES!$A$13,IF(OR(BI35&lt;BI$39,ISNUMBER(BI35)=FALSE),BI$40,BI35))))</f>
      </c>
      <c r="BJ62" s="7" t="str">
        <f>IF(ISBLANK(BJ35),"NO DATA",IF(ISNUMBER(FIND(CODES!$A$12,BJ35)),CODES!$A$12,IF(OR(ISNUMBER(FIND(CODES!$A$10,BJ35)),ISNUMBER(FIND(CODES!$A$11,BJ35))),CODES!$A$13,IF(OR(BJ35&lt;BJ$39,ISNUMBER(BJ35)=FALSE),BJ$40,BJ35))))</f>
      </c>
      <c r="BK62" s="7" t="str">
        <f>IF(ISBLANK(BK35),"NO DATA",IF(ISNUMBER(FIND(CODES!$A$12,BK35)),CODES!$A$12,IF(OR(ISNUMBER(FIND(CODES!$A$10,BK35)),ISNUMBER(FIND(CODES!$A$11,BK35))),CODES!$A$13,IF(OR(BK35&lt;BK$39,ISNUMBER(BK35)=FALSE),BK$40,BK35))))</f>
      </c>
      <c r="BL62" s="7" t="str">
        <f>IF(ISBLANK(BL35),"NO DATA",IF(ISNUMBER(FIND(CODES!$A$12,BL35)),CODES!$A$12,IF(OR(ISNUMBER(FIND(CODES!$A$10,BL35)),ISNUMBER(FIND(CODES!$A$11,BL35))),CODES!$A$13,IF(OR(BL35&lt;BL$39,ISNUMBER(BL35)=FALSE),BL$40,BL35))))</f>
      </c>
      <c r="BM62" s="7" t="str">
        <f>IF(ISBLANK(BM35),"NO DATA",IF(ISNUMBER(FIND(CODES!$A$12,BM35)),CODES!$A$12,IF(OR(ISNUMBER(FIND(CODES!$A$10,BM35)),ISNUMBER(FIND(CODES!$A$11,BM35))),CODES!$A$13,IF(OR(BM35&lt;BM$39,ISNUMBER(BM35)=FALSE),BM$40,BM35))))</f>
      </c>
      <c r="BN62" s="7" t="str">
        <f>IF(ISBLANK(BN35),"NO DATA",IF(ISNUMBER(FIND(CODES!$A$12,BN35)),CODES!$A$12,IF(OR(ISNUMBER(FIND(CODES!$A$10,BN35)),ISNUMBER(FIND(CODES!$A$11,BN35))),CODES!$A$13,IF(OR(BN35&lt;BN$39,ISNUMBER(BN35)=FALSE),BN$40,BN35))))</f>
      </c>
      <c r="BO62" s="7" t="str">
        <f>IF(ISBLANK(BO35),"NO DATA",IF(ISNUMBER(FIND(CODES!$A$12,BO35)),CODES!$A$12,IF(OR(ISNUMBER(FIND(CODES!$A$10,BO35)),ISNUMBER(FIND(CODES!$A$11,BO35))),CODES!$A$13,IF(OR(BO35&lt;BO$39,ISNUMBER(BO35)=FALSE),BO$40,BO35))))</f>
      </c>
      <c r="BP62" s="7" t="str">
        <f>IF(ISBLANK(BP35),"NO DATA",IF(ISNUMBER(FIND(CODES!$A$12,BP35)),CODES!$A$12,IF(OR(ISNUMBER(FIND(CODES!$A$10,BP35)),ISNUMBER(FIND(CODES!$A$11,BP35))),CODES!$A$13,IF(OR(BP35&lt;BP$39,ISNUMBER(BP35)=FALSE),BP$40,BP35))))</f>
      </c>
      <c r="BQ62" s="7" t="str">
        <f>IF(ISBLANK(BQ35),"NO DATA",IF(ISNUMBER(FIND(CODES!$A$12,BQ35)),CODES!$A$12,IF(OR(ISNUMBER(FIND(CODES!$A$10,BQ35)),ISNUMBER(FIND(CODES!$A$11,BQ35))),CODES!$A$13,IF(OR(BQ35&lt;BQ$39,ISNUMBER(BQ35)=FALSE),BQ$40,BQ35))))</f>
      </c>
      <c r="BR62" s="7" t="str">
        <f>IF(ISBLANK(BR35),"NO DATA",IF(ISNUMBER(FIND(CODES!$A$12,BR35)),CODES!$A$12,IF(OR(ISNUMBER(FIND(CODES!$A$10,BR35)),ISNUMBER(FIND(CODES!$A$11,BR35))),CODES!$A$13,IF(OR(BR35&lt;BR$39,ISNUMBER(BR35)=FALSE),BR$40,BR35))))</f>
      </c>
      <c r="BS62" s="7" t="str">
        <f>IF(ISBLANK(BS35),"NO DATA",IF(ISNUMBER(FIND(CODES!$A$12,BS35)),CODES!$A$12,IF(OR(ISNUMBER(FIND(CODES!$A$10,BS35)),ISNUMBER(FIND(CODES!$A$11,BS35))),CODES!$A$13,IF(OR(BS35&lt;BS$39,ISNUMBER(BS35)=FALSE),BS$40,BS35))))</f>
      </c>
      <c r="BT62" s="7" t="str">
        <f>IF(ISBLANK(BT35),"NO DATA",IF(ISNUMBER(FIND(CODES!$A$12,BT35)),CODES!$A$12,IF(OR(ISNUMBER(FIND(CODES!$A$10,BT35)),ISNUMBER(FIND(CODES!$A$11,BT35))),CODES!$A$13,IF(OR(BT35&lt;BT$39,ISNUMBER(BT35)=FALSE),BT$40,BT35))))</f>
      </c>
      <c r="BU62" s="7" t="str">
        <f>IF(ISBLANK(BU35),"NO DATA",IF(ISNUMBER(FIND(CODES!$A$12,BU35)),CODES!$A$12,IF(OR(ISNUMBER(FIND(CODES!$A$10,BU35)),ISNUMBER(FIND(CODES!$A$11,BU35))),CODES!$A$13,IF(OR(BU35&lt;BU$39,ISNUMBER(BU35)=FALSE),BU$40,BU35))))</f>
      </c>
      <c r="BV62" s="7" t="str">
        <f>IF(ISBLANK(BV35),"NO DATA",IF(ISNUMBER(FIND(CODES!$A$12,BV35)),CODES!$A$12,IF(OR(ISNUMBER(FIND(CODES!$A$10,BV35)),ISNUMBER(FIND(CODES!$A$11,BV35))),CODES!$A$13,IF(OR(BV35&lt;BV$39,ISNUMBER(BV35)=FALSE),BV$40,BV35))))</f>
      </c>
      <c r="BW62" s="7" t="str">
        <f>IF(ISBLANK(BW35),"NO DATA",IF(ISNUMBER(FIND(CODES!$A$12,BW35)),CODES!$A$12,IF(OR(ISNUMBER(FIND(CODES!$A$10,BW35)),ISNUMBER(FIND(CODES!$A$11,BW35))),CODES!$A$13,IF(OR(BW35&lt;BW$39,ISNUMBER(BW35)=FALSE),BW$40,BW35))))</f>
      </c>
      <c r="BX62" s="7" t="str">
        <f>IF(ISBLANK(BX35),"NO DATA",IF(ISNUMBER(FIND(CODES!$A$12,BX35)),CODES!$A$12,IF(OR(ISNUMBER(FIND(CODES!$A$10,BX35)),ISNUMBER(FIND(CODES!$A$11,BX35))),CODES!$A$13,IF(OR(BX35&lt;BX$39,ISNUMBER(BX35)=FALSE),BX$40,BX35))))</f>
      </c>
      <c r="BY62" s="7" t="str">
        <f>IF(ISBLANK(BY35),"NO DATA",IF(ISNUMBER(FIND(CODES!$A$12,BY35)),CODES!$A$12,IF(OR(ISNUMBER(FIND(CODES!$A$10,BY35)),ISNUMBER(FIND(CODES!$A$11,BY35))),CODES!$A$13,IF(OR(BY35&lt;BY$39,ISNUMBER(BY35)=FALSE),BY$40,BY35))))</f>
      </c>
      <c r="BZ62" s="7" t="str">
        <f>IF(ISBLANK(BZ35),"NO DATA",IF(ISNUMBER(FIND(CODES!$A$12,BZ35)),CODES!$A$12,IF(OR(ISNUMBER(FIND(CODES!$A$10,BZ35)),ISNUMBER(FIND(CODES!$A$11,BZ35))),CODES!$A$13,IF(OR(BZ35&lt;BZ$39,ISNUMBER(BZ35)=FALSE),BZ$40,BZ35))))</f>
      </c>
      <c r="CA62" s="7" t="str">
        <f>IF(ISBLANK(CA35),"NO DATA",IF(ISNUMBER(FIND(CODES!$A$12,CA35)),CODES!$A$12,IF(OR(ISNUMBER(FIND(CODES!$A$10,CA35)),ISNUMBER(FIND(CODES!$A$11,CA35))),CODES!$A$13,IF(OR(CA35&lt;CA$39,ISNUMBER(CA35)=FALSE),CA$40,CA35))))</f>
      </c>
      <c r="CB62" s="7" t="str">
        <f>IF(ISBLANK(CB35),"NO DATA",IF(ISNUMBER(FIND(CODES!$A$12,CB35)),CODES!$A$12,IF(OR(ISNUMBER(FIND(CODES!$A$10,CB35)),ISNUMBER(FIND(CODES!$A$11,CB35))),CODES!$A$13,IF(OR(CB35&lt;CB$39,ISNUMBER(CB35)=FALSE),CB$40,CB35))))</f>
      </c>
      <c r="CC62" s="7" t="str">
        <f>IF(ISBLANK(CC35),"NO DATA",IF(ISNUMBER(FIND(CODES!$A$12,CC35)),CODES!$A$12,IF(OR(ISNUMBER(FIND(CODES!$A$10,CC35)),ISNUMBER(FIND(CODES!$A$11,CC35))),CODES!$A$13,IF(OR(CC35&lt;CC$39,ISNUMBER(CC35)=FALSE),CC$40,CC35))))</f>
      </c>
      <c r="CD62" s="7" t="str">
        <f>IF(ISBLANK(CD35),"NO DATA",IF(ISNUMBER(FIND(CODES!$A$12,CD35)),CODES!$A$12,IF(OR(ISNUMBER(FIND(CODES!$A$10,CD35)),ISNUMBER(FIND(CODES!$A$11,CD35))),CODES!$A$13,IF(OR(CD35&lt;CD$39,ISNUMBER(CD35)=FALSE),CD$40,CD35))))</f>
      </c>
      <c r="CE62" s="7" t="str">
        <f>IF(ISBLANK(CE35),"NO DATA",IF(ISNUMBER(FIND(CODES!$A$12,CE35)),CODES!$A$12,IF(OR(ISNUMBER(FIND(CODES!$A$10,CE35)),ISNUMBER(FIND(CODES!$A$11,CE35))),CODES!$A$13,IF(OR(CE35&lt;CE$39,ISNUMBER(CE35)=FALSE),CE$40,CE35))))</f>
      </c>
      <c r="CF62" s="7" t="str">
        <f>IF(ISBLANK(CF35),"NO DATA",IF(ISNUMBER(FIND(CODES!$A$12,CF35)),CODES!$A$12,IF(OR(ISNUMBER(FIND(CODES!$A$10,CF35)),ISNUMBER(FIND(CODES!$A$11,CF35))),CODES!$A$13,IF(OR(CF35&lt;CF$39,ISNUMBER(CF35)=FALSE),CF$40,CF35))))</f>
      </c>
      <c r="CG62" s="7" t="str">
        <f>IF(ISBLANK(CG35),"NO DATA",IF(ISNUMBER(FIND(CODES!$A$12,CG35)),CODES!$A$12,IF(OR(ISNUMBER(FIND(CODES!$A$10,CG35)),ISNUMBER(FIND(CODES!$A$11,CG35))),CODES!$A$13,IF(OR(CG35&lt;CG$39,ISNUMBER(CG35)=FALSE),CG$40,CG35))))</f>
      </c>
      <c r="CH62" s="7" t="str">
        <f>IF(ISBLANK(CH35),"NO DATA",IF(ISNUMBER(FIND(CODES!$A$12,CH35)),CODES!$A$12,IF(OR(ISNUMBER(FIND(CODES!$A$10,CH35)),ISNUMBER(FIND(CODES!$A$11,CH35))),CODES!$A$13,IF(OR(CH35&lt;CH$39,ISNUMBER(CH35)=FALSE),CH$40,CH35))))</f>
      </c>
      <c r="CI62" s="7" t="str">
        <f>IF(ISBLANK(CI35),"NO DATA",IF(ISNUMBER(FIND(CODES!$A$12,CI35)),CODES!$A$12,IF(OR(ISNUMBER(FIND(CODES!$A$10,CI35)),ISNUMBER(FIND(CODES!$A$11,CI35))),CODES!$A$13,IF(OR(CI35&lt;CI$39,ISNUMBER(CI35)=FALSE),CI$40,CI35))))</f>
      </c>
      <c r="CJ62" s="7" t="str">
        <f>IF(ISBLANK(CJ35),"NO DATA",IF(ISNUMBER(FIND(CODES!$A$12,CJ35)),CODES!$A$12,IF(OR(ISNUMBER(FIND(CODES!$A$10,CJ35)),ISNUMBER(FIND(CODES!$A$11,CJ35))),CODES!$A$13,IF(OR(CJ35&lt;CJ$39,ISNUMBER(CJ35)=FALSE),CJ$40,CJ35))))</f>
      </c>
      <c r="CK62" s="7" t="str">
        <f>IF(ISBLANK(CK35),"NO DATA",IF(ISNUMBER(FIND(CODES!$A$12,CK35)),CODES!$A$12,IF(OR(ISNUMBER(FIND(CODES!$A$10,CK35)),ISNUMBER(FIND(CODES!$A$11,CK35))),CODES!$A$13,IF(OR(CK35&lt;CK$39,ISNUMBER(CK35)=FALSE),CK$40,CK35))))</f>
      </c>
      <c r="CL62" s="7" t="str">
        <f>IF(ISBLANK(CL35),"NO DATA",IF(ISNUMBER(FIND(CODES!$A$12,CL35)),CODES!$A$12,IF(OR(ISNUMBER(FIND(CODES!$A$10,CL35)),ISNUMBER(FIND(CODES!$A$11,CL35))),CODES!$A$13,IF(OR(CL35&lt;CL$39,ISNUMBER(CL35)=FALSE),CL$40,CL35))))</f>
      </c>
      <c r="CM62" s="7" t="str">
        <f>IF(ISBLANK(CM35),"NO DATA",IF(ISNUMBER(FIND(CODES!$A$12,CM35)),CODES!$A$12,IF(OR(ISNUMBER(FIND(CODES!$A$10,CM35)),ISNUMBER(FIND(CODES!$A$11,CM35))),CODES!$A$13,IF(OR(CM35&lt;CM$39,ISNUMBER(CM35)=FALSE),CM$40,CM35))))</f>
      </c>
      <c r="CN62" s="7" t="str">
        <f>IF(ISBLANK(CN35),"NO DATA",IF(ISNUMBER(FIND(CODES!$A$12,CN35)),CODES!$A$12,IF(OR(ISNUMBER(FIND(CODES!$A$10,CN35)),ISNUMBER(FIND(CODES!$A$11,CN35))),CODES!$A$13,IF(OR(CN35&lt;CN$39,ISNUMBER(CN35)=FALSE),CN$40,CN35))))</f>
      </c>
      <c r="CO62" s="7" t="str">
        <f>IF(ISBLANK(CO35),"NO DATA",IF(ISNUMBER(FIND(CODES!$A$12,CO35)),CODES!$A$12,IF(OR(ISNUMBER(FIND(CODES!$A$10,CO35)),ISNUMBER(FIND(CODES!$A$11,CO35))),CODES!$A$13,IF(OR(CO35&lt;CO$39,ISNUMBER(CO35)=FALSE),CO$40,CO35))))</f>
      </c>
      <c r="CP62" s="7" t="str">
        <f>IF(ISBLANK(CP35),"NO DATA",IF(ISNUMBER(FIND(CODES!$A$12,CP35)),CODES!$A$12,IF(OR(ISNUMBER(FIND(CODES!$A$10,CP35)),ISNUMBER(FIND(CODES!$A$11,CP35))),CODES!$A$13,IF(OR(CP35&lt;CP$39,ISNUMBER(CP35)=FALSE),CP$40,CP35))))</f>
      </c>
      <c r="CQ62" s="7" t="str">
        <f>IF(ISBLANK(CQ35),"NO DATA",IF(ISNUMBER(FIND(CODES!$A$12,CQ35)),CODES!$A$12,IF(OR(ISNUMBER(FIND(CODES!$A$10,CQ35)),ISNUMBER(FIND(CODES!$A$11,CQ35))),CODES!$A$13,IF(OR(CQ35&lt;CQ$39,ISNUMBER(CQ35)=FALSE),CQ$40,CQ35))))</f>
      </c>
      <c r="CR62" s="7" t="str">
        <f>IF(ISBLANK(CR35),"NO DATA",IF(ISNUMBER(FIND(CODES!$A$12,CR35)),CODES!$A$12,IF(OR(ISNUMBER(FIND(CODES!$A$10,CR35)),ISNUMBER(FIND(CODES!$A$11,CR35))),CODES!$A$13,IF(OR(CR35&lt;CR$39,ISNUMBER(CR35)=FALSE),CR$40,CR35))))</f>
      </c>
      <c r="CS62" s="7" t="str">
        <f>IF(ISBLANK(CS35),"NO DATA",IF(ISNUMBER(FIND(CODES!$A$12,CS35)),CODES!$A$12,IF(OR(ISNUMBER(FIND(CODES!$A$10,CS35)),ISNUMBER(FIND(CODES!$A$11,CS35))),CODES!$A$13,IF(OR(CS35&lt;CS$39,ISNUMBER(CS35)=FALSE),CS$40,CS35))))</f>
      </c>
      <c r="CT62" s="7" t="str">
        <f>IF(ISBLANK(CT35),"NO DATA",IF(ISNUMBER(FIND(CODES!$A$12,CT35)),CODES!$A$12,IF(OR(ISNUMBER(FIND(CODES!$A$10,CT35)),ISNUMBER(FIND(CODES!$A$11,CT35))),CODES!$A$13,IF(OR(CT35&lt;CT$39,ISNUMBER(CT35)=FALSE),CT$40,CT35))))</f>
      </c>
      <c r="CU62" s="7" t="str">
        <f>IF(ISBLANK(CU35),"NO DATA",IF(ISNUMBER(FIND(CODES!$A$12,CU35)),CODES!$A$12,IF(OR(ISNUMBER(FIND(CODES!$A$10,CU35)),ISNUMBER(FIND(CODES!$A$11,CU35))),CODES!$A$13,IF(OR(CU35&lt;CU$39,ISNUMBER(CU35)=FALSE),CU$40,CU35))))</f>
      </c>
      <c r="CV62" s="7" t="str">
        <f>IF(ISBLANK(CV35),"NO DATA",IF(ISNUMBER(FIND(CODES!$A$12,CV35)),CODES!$A$12,IF(OR(ISNUMBER(FIND(CODES!$A$10,CV35)),ISNUMBER(FIND(CODES!$A$11,CV35))),CODES!$A$13,IF(OR(CV35&lt;CV$39,ISNUMBER(CV35)=FALSE),CV$40,CV35))))</f>
      </c>
      <c r="CW62" s="7" t="str">
        <f>IF(ISBLANK(CW35),"NO DATA",IF(ISNUMBER(FIND(CODES!$A$12,CW35)),CODES!$A$12,IF(OR(ISNUMBER(FIND(CODES!$A$10,CW35)),ISNUMBER(FIND(CODES!$A$11,CW35))),CODES!$A$13,IF(OR(CW35&lt;CW$39,ISNUMBER(CW35)=FALSE),CW$40,CW35))))</f>
      </c>
      <c r="CX62" s="7" t="str">
        <f>IF(ISBLANK(CX35),"NO DATA",IF(ISNUMBER(FIND(CODES!$A$12,CX35)),CODES!$A$12,IF(OR(ISNUMBER(FIND(CODES!$A$10,CX35)),ISNUMBER(FIND(CODES!$A$11,CX35))),CODES!$A$13,IF(OR(CX35&lt;CX$39,ISNUMBER(CX35)=FALSE),CX$40,CX35))))</f>
      </c>
      <c r="CY62" s="7" t="str">
        <f>IF(ISBLANK(CY35),"NO DATA",IF(ISNUMBER(FIND(CODES!$A$12,CY35)),CODES!$A$12,IF(OR(ISNUMBER(FIND(CODES!$A$10,CY35)),ISNUMBER(FIND(CODES!$A$11,CY35))),CODES!$A$13,IF(OR(CY35&lt;CY$39,ISNUMBER(CY35)=FALSE),CY$40,CY35))))</f>
      </c>
      <c r="CZ62" s="7" t="str">
        <f>IF(ISBLANK(CZ35),"NO DATA",IF(ISNUMBER(FIND(CODES!$A$12,CZ35)),CODES!$A$12,IF(OR(ISNUMBER(FIND(CODES!$A$10,CZ35)),ISNUMBER(FIND(CODES!$A$11,CZ35))),CODES!$A$13,IF(OR(CZ35&lt;CZ$39,ISNUMBER(CZ35)=FALSE),CZ$40,CZ35))))</f>
      </c>
      <c r="DA62" s="7" t="str">
        <f>IF(ISBLANK(DA35),"NO DATA",IF(ISNUMBER(FIND(CODES!$A$12,DA35)),CODES!$A$12,IF(OR(ISNUMBER(FIND(CODES!$A$10,DA35)),ISNUMBER(FIND(CODES!$A$11,DA35))),CODES!$A$13,IF(OR(DA35&lt;DA$39,ISNUMBER(DA35)=FALSE),DA$40,DA35))))</f>
      </c>
      <c r="DB62" s="7" t="str">
        <f>IF(ISBLANK(DB35),"NO DATA",IF(ISNUMBER(FIND(CODES!$A$12,DB35)),CODES!$A$12,IF(OR(ISNUMBER(FIND(CODES!$A$10,DB35)),ISNUMBER(FIND(CODES!$A$11,DB35))),CODES!$A$13,IF(OR(DB35&lt;DB$39,ISNUMBER(DB35)=FALSE),DB$40,DB35))))</f>
      </c>
      <c r="DC62" s="7" t="str">
        <f>IF(ISBLANK(DC35),"NO DATA",IF(ISNUMBER(FIND(CODES!$A$12,DC35)),CODES!$A$12,IF(OR(ISNUMBER(FIND(CODES!$A$10,DC35)),ISNUMBER(FIND(CODES!$A$11,DC35))),CODES!$A$13,IF(OR(DC35&lt;DC$39,ISNUMBER(DC35)=FALSE),DC$40,DC35))))</f>
      </c>
      <c r="DD62" s="7" t="str">
        <f>IF(ISBLANK(DD35),"NO DATA",IF(ISNUMBER(FIND(CODES!$A$12,DD35)),CODES!$A$12,IF(OR(ISNUMBER(FIND(CODES!$A$10,DD35)),ISNUMBER(FIND(CODES!$A$11,DD35))),CODES!$A$13,IF(OR(DD35&lt;DD$39,ISNUMBER(DD35)=FALSE),DD$40,DD35))))</f>
      </c>
      <c r="DE62" s="7" t="str">
        <f>IF(ISBLANK(DE35),"NO DATA",IF(ISNUMBER(FIND(CODES!$A$12,DE35)),CODES!$A$12,IF(OR(ISNUMBER(FIND(CODES!$A$10,DE35)),ISNUMBER(FIND(CODES!$A$11,DE35))),CODES!$A$13,IF(OR(DE35&lt;DE$39,ISNUMBER(DE35)=FALSE),DE$40,DE35))))</f>
      </c>
      <c r="DF62" s="7" t="str">
        <f>IF(ISBLANK(DF35),"NO DATA",IF(ISNUMBER(FIND(CODES!$A$12,DF35)),CODES!$A$12,IF(OR(ISNUMBER(FIND(CODES!$A$10,DF35)),ISNUMBER(FIND(CODES!$A$11,DF35))),CODES!$A$13,IF(OR(DF35&lt;DF$39,ISNUMBER(DF35)=FALSE),DF$40,DF35))))</f>
      </c>
      <c r="DG62" s="7" t="str">
        <f>IF(ISBLANK(DG35),"NO DATA",IF(ISNUMBER(FIND(CODES!$A$12,DG35)),CODES!$A$12,IF(OR(ISNUMBER(FIND(CODES!$A$10,DG35)),ISNUMBER(FIND(CODES!$A$11,DG35))),CODES!$A$13,IF(OR(DG35&lt;DG$39,ISNUMBER(DG35)=FALSE),DG$40,DG35))))</f>
      </c>
      <c r="DH62" s="7" t="str">
        <f>IF(ISBLANK(DH35),"NO DATA",IF(ISNUMBER(FIND(CODES!$A$12,DH35)),CODES!$A$12,IF(OR(ISNUMBER(FIND(CODES!$A$10,DH35)),ISNUMBER(FIND(CODES!$A$11,DH35))),CODES!$A$13,IF(OR(DH35&lt;DH$39,ISNUMBER(DH35)=FALSE),DH$40,DH35))))</f>
      </c>
      <c r="DI62" s="7" t="str">
        <f>IF(ISBLANK(DI35),"NO DATA",IF(ISNUMBER(FIND(CODES!$A$12,DI35)),CODES!$A$12,IF(OR(ISNUMBER(FIND(CODES!$A$10,DI35)),ISNUMBER(FIND(CODES!$A$11,DI35))),CODES!$A$13,IF(OR(DI35&lt;DI$39,ISNUMBER(DI35)=FALSE),DI$40,DI35))))</f>
      </c>
    </row>
    <row r="63" spans="1:113" x14ac:dyDescent="0.25">
      <c r="A63" s="16" t="str">
        <f t="shared" si="8"/>
      </c>
      <c r="B63" s="16" t="str">
        <f t="shared" si="8"/>
      </c>
      <c r="C63" s="7" t="str">
        <f>IF(ISBLANK(C36),"NO DATA",IF(ISNUMBER(FIND(CODES!$A$12,C36)),CODES!$A$12,IF(OR(ISNUMBER(FIND(CODES!$A$10,C36)),ISNUMBER(FIND(CODES!$A$11,C36))),CODES!$A$13,IF(OR(C36&lt;C$39,ISNUMBER(C36)=FALSE),C$40,C36))))</f>
      </c>
      <c r="D63" s="7" t="str">
        <f>IF(ISBLANK(D36),"NO DATA",IF(ISNUMBER(FIND(CODES!$A$12,D36)),CODES!$A$12,IF(OR(ISNUMBER(FIND(CODES!$A$10,D36)),ISNUMBER(FIND(CODES!$A$11,D36))),CODES!$A$13,IF(OR(D36&lt;D$39,ISNUMBER(D36)=FALSE),D$40,D36))))</f>
      </c>
      <c r="E63" s="7" t="str">
        <f>IF(ISBLANK(E36),"NO DATA",IF(ISNUMBER(FIND(CODES!$A$12,E36)),CODES!$A$12,IF(OR(ISNUMBER(FIND(CODES!$A$10,E36)),ISNUMBER(FIND(CODES!$A$11,E36))),CODES!$A$13,IF(OR(E36&lt;E$39,ISNUMBER(E36)=FALSE),E$40,E36))))</f>
      </c>
      <c r="F63" s="7" t="str">
        <f>IF(ISBLANK(F36),"NO DATA",IF(ISNUMBER(FIND(CODES!$A$12,F36)),CODES!$A$12,IF(OR(ISNUMBER(FIND(CODES!$A$10,F36)),ISNUMBER(FIND(CODES!$A$11,F36))),CODES!$A$13,IF(OR(F36&lt;F$39,ISNUMBER(F36)=FALSE),F$40,F36))))</f>
      </c>
      <c r="G63" s="7" t="str">
        <f>IF(ISBLANK(G36),"NO DATA",IF(ISNUMBER(FIND(CODES!$A$12,G36)),CODES!$A$12,IF(OR(ISNUMBER(FIND(CODES!$A$10,G36)),ISNUMBER(FIND(CODES!$A$11,G36))),CODES!$A$13,IF(OR(G36&lt;G$39,ISNUMBER(G36)=FALSE),G$40,G36))))</f>
      </c>
      <c r="H63" s="7" t="str">
        <f>IF(ISBLANK(H36),"NO DATA",IF(ISNUMBER(FIND(CODES!$A$12,H36)),CODES!$A$12,IF(OR(ISNUMBER(FIND(CODES!$A$10,H36)),ISNUMBER(FIND(CODES!$A$11,H36))),CODES!$A$13,IF(OR(H36&lt;H$39,ISNUMBER(H36)=FALSE),H$40,H36))))</f>
      </c>
      <c r="I63" s="7" t="str">
        <f>IF(ISBLANK(I36),"NO DATA",IF(ISNUMBER(FIND(CODES!$A$12,I36)),CODES!$A$12,IF(OR(ISNUMBER(FIND(CODES!$A$10,I36)),ISNUMBER(FIND(CODES!$A$11,I36))),CODES!$A$13,IF(OR(I36&lt;I$39,ISNUMBER(I36)=FALSE),I$40,I36))))</f>
      </c>
      <c r="J63" s="7" t="str">
        <f>IF(ISBLANK(J36),"NO DATA",IF(ISNUMBER(FIND(CODES!$A$12,J36)),CODES!$A$12,IF(OR(ISNUMBER(FIND(CODES!$A$10,J36)),ISNUMBER(FIND(CODES!$A$11,J36))),CODES!$A$13,IF(OR(J36&lt;J$39,ISNUMBER(J36)=FALSE),J$40,J36))))</f>
      </c>
      <c r="K63" s="7" t="str">
        <f>IF(ISBLANK(K36),"NO DATA",IF(ISNUMBER(FIND(CODES!$A$12,K36)),CODES!$A$12,IF(OR(ISNUMBER(FIND(CODES!$A$10,K36)),ISNUMBER(FIND(CODES!$A$11,K36))),CODES!$A$13,IF(OR(K36&lt;K$39,ISNUMBER(K36)=FALSE),K$40,K36))))</f>
      </c>
      <c r="L63" s="7" t="str">
        <f>IF(ISBLANK(L36),"NO DATA",IF(ISNUMBER(FIND(CODES!$A$12,L36)),CODES!$A$12,IF(OR(ISNUMBER(FIND(CODES!$A$10,L36)),ISNUMBER(FIND(CODES!$A$11,L36))),CODES!$A$13,IF(OR(L36&lt;L$39,ISNUMBER(L36)=FALSE),L$40,L36))))</f>
      </c>
      <c r="M63" s="7" t="str">
        <f>IF(ISBLANK(M36),"NO DATA",IF(ISNUMBER(FIND(CODES!$A$12,M36)),CODES!$A$12,IF(OR(ISNUMBER(FIND(CODES!$A$10,M36)),ISNUMBER(FIND(CODES!$A$11,M36))),CODES!$A$13,IF(OR(M36&lt;M$39,ISNUMBER(M36)=FALSE),M$40,M36))))</f>
      </c>
      <c r="N63" s="7" t="str">
        <f>IF(ISBLANK(N36),"NO DATA",IF(ISNUMBER(FIND(CODES!$A$12,N36)),CODES!$A$12,IF(OR(ISNUMBER(FIND(CODES!$A$10,N36)),ISNUMBER(FIND(CODES!$A$11,N36))),CODES!$A$13,IF(OR(N36&lt;N$39,ISNUMBER(N36)=FALSE),N$40,N36))))</f>
      </c>
      <c r="O63" s="7" t="str">
        <f>IF(ISBLANK(O36),"NO DATA",IF(ISNUMBER(FIND(CODES!$A$12,O36)),CODES!$A$12,IF(OR(ISNUMBER(FIND(CODES!$A$10,O36)),ISNUMBER(FIND(CODES!$A$11,O36))),CODES!$A$13,IF(OR(O36&lt;O$39,ISNUMBER(O36)=FALSE),O$40,O36))))</f>
      </c>
      <c r="P63" s="7" t="str">
        <f>IF(ISBLANK(P36),"NO DATA",IF(ISNUMBER(FIND(CODES!$A$12,P36)),CODES!$A$12,IF(OR(ISNUMBER(FIND(CODES!$A$10,P36)),ISNUMBER(FIND(CODES!$A$11,P36))),CODES!$A$13,IF(OR(P36&lt;P$39,ISNUMBER(P36)=FALSE),P$40,P36))))</f>
      </c>
      <c r="Q63" s="7" t="str">
        <f>IF(ISBLANK(Q36),"NO DATA",IF(ISNUMBER(FIND(CODES!$A$12,Q36)),CODES!$A$12,IF(OR(ISNUMBER(FIND(CODES!$A$10,Q36)),ISNUMBER(FIND(CODES!$A$11,Q36))),CODES!$A$13,IF(OR(Q36&lt;Q$39,ISNUMBER(Q36)=FALSE),Q$40,Q36))))</f>
      </c>
      <c r="R63" s="7" t="str">
        <f>IF(ISBLANK(R36),"NO DATA",IF(ISNUMBER(FIND(CODES!$A$12,R36)),CODES!$A$12,IF(OR(ISNUMBER(FIND(CODES!$A$10,R36)),ISNUMBER(FIND(CODES!$A$11,R36))),CODES!$A$13,IF(OR(R36&lt;R$39,ISNUMBER(R36)=FALSE),R$40,R36))))</f>
      </c>
      <c r="S63" s="7" t="str">
        <f>IF(ISBLANK(S36),"NO DATA",IF(ISNUMBER(FIND(CODES!$A$12,S36)),CODES!$A$12,IF(OR(ISNUMBER(FIND(CODES!$A$10,S36)),ISNUMBER(FIND(CODES!$A$11,S36))),CODES!$A$13,IF(OR(S36&lt;S$39,ISNUMBER(S36)=FALSE),S$40,S36))))</f>
      </c>
      <c r="T63" s="7" t="str">
        <f>IF(ISBLANK(T36),"NO DATA",IF(ISNUMBER(FIND(CODES!$A$12,T36)),CODES!$A$12,IF(OR(ISNUMBER(FIND(CODES!$A$10,T36)),ISNUMBER(FIND(CODES!$A$11,T36))),CODES!$A$13,IF(OR(T36&lt;T$39,ISNUMBER(T36)=FALSE),T$40,T36))))</f>
      </c>
      <c r="U63" s="7" t="str">
        <f>IF(ISBLANK(U36),"NO DATA",IF(ISNUMBER(FIND(CODES!$A$12,U36)),CODES!$A$12,IF(OR(ISNUMBER(FIND(CODES!$A$10,U36)),ISNUMBER(FIND(CODES!$A$11,U36))),CODES!$A$13,IF(OR(U36&lt;U$39,ISNUMBER(U36)=FALSE),U$40,U36))))</f>
      </c>
      <c r="V63" s="7" t="str">
        <f>IF(ISBLANK(V36),"NO DATA",IF(ISNUMBER(FIND(CODES!$A$12,V36)),CODES!$A$12,IF(OR(ISNUMBER(FIND(CODES!$A$10,V36)),ISNUMBER(FIND(CODES!$A$11,V36))),CODES!$A$13,IF(OR(V36&lt;V$39,ISNUMBER(V36)=FALSE),V$40,V36))))</f>
      </c>
      <c r="W63" s="7" t="str">
        <f>IF(ISBLANK(W36),"NO DATA",IF(ISNUMBER(FIND(CODES!$A$12,W36)),CODES!$A$12,IF(OR(ISNUMBER(FIND(CODES!$A$10,W36)),ISNUMBER(FIND(CODES!$A$11,W36))),CODES!$A$13,IF(OR(W36&lt;W$39,ISNUMBER(W36)=FALSE),W$40,W36))))</f>
      </c>
      <c r="X63" s="7" t="str">
        <f>IF(ISBLANK(X36),"NO DATA",IF(ISNUMBER(FIND(CODES!$A$12,X36)),CODES!$A$12,IF(OR(ISNUMBER(FIND(CODES!$A$10,X36)),ISNUMBER(FIND(CODES!$A$11,X36))),CODES!$A$13,IF(OR(X36&lt;X$39,ISNUMBER(X36)=FALSE),X$40,X36))))</f>
      </c>
      <c r="Y63" s="7" t="str">
        <f>IF(ISBLANK(Y36),"NO DATA",IF(ISNUMBER(FIND(CODES!$A$12,Y36)),CODES!$A$12,IF(OR(ISNUMBER(FIND(CODES!$A$10,Y36)),ISNUMBER(FIND(CODES!$A$11,Y36))),CODES!$A$13,IF(OR(Y36&lt;Y$39,ISNUMBER(Y36)=FALSE),Y$40,Y36))))</f>
      </c>
      <c r="Z63" s="7" t="str">
        <f>IF(ISBLANK(Z36),"NO DATA",IF(ISNUMBER(FIND(CODES!$A$12,Z36)),CODES!$A$12,IF(OR(ISNUMBER(FIND(CODES!$A$10,Z36)),ISNUMBER(FIND(CODES!$A$11,Z36))),CODES!$A$13,IF(OR(Z36&lt;Z$39,ISNUMBER(Z36)=FALSE),Z$40,Z36))))</f>
      </c>
      <c r="AA63" s="7" t="str">
        <f>IF(ISBLANK(AA36),"NO DATA",IF(ISNUMBER(FIND(CODES!$A$12,AA36)),CODES!$A$12,IF(OR(ISNUMBER(FIND(CODES!$A$10,AA36)),ISNUMBER(FIND(CODES!$A$11,AA36))),CODES!$A$13,IF(OR(AA36&lt;AA$39,ISNUMBER(AA36)=FALSE),AA$40,AA36))))</f>
      </c>
      <c r="AB63" s="7" t="str">
        <f>IF(ISBLANK(AB36),"NO DATA",IF(ISNUMBER(FIND(CODES!$A$12,AB36)),CODES!$A$12,IF(OR(ISNUMBER(FIND(CODES!$A$10,AB36)),ISNUMBER(FIND(CODES!$A$11,AB36))),CODES!$A$13,IF(OR(AB36&lt;AB$39,ISNUMBER(AB36)=FALSE),AB$40,AB36))))</f>
      </c>
      <c r="AC63" s="7" t="str">
        <f>IF(ISBLANK(AC36),"NO DATA",IF(ISNUMBER(FIND(CODES!$A$12,AC36)),CODES!$A$12,IF(OR(ISNUMBER(FIND(CODES!$A$10,AC36)),ISNUMBER(FIND(CODES!$A$11,AC36))),CODES!$A$13,IF(OR(AC36&lt;AC$39,ISNUMBER(AC36)=FALSE),AC$40,AC36))))</f>
      </c>
      <c r="AD63" s="7" t="str">
        <f>IF(ISBLANK(AD36),"NO DATA",IF(ISNUMBER(FIND(CODES!$A$12,AD36)),CODES!$A$12,IF(OR(ISNUMBER(FIND(CODES!$A$10,AD36)),ISNUMBER(FIND(CODES!$A$11,AD36))),CODES!$A$13,IF(OR(AD36&lt;AD$39,ISNUMBER(AD36)=FALSE),AD$40,AD36))))</f>
      </c>
      <c r="AE63" s="7" t="str">
        <f>IF(ISBLANK(AE36),"NO DATA",IF(ISNUMBER(FIND(CODES!$A$12,AE36)),CODES!$A$12,IF(OR(ISNUMBER(FIND(CODES!$A$10,AE36)),ISNUMBER(FIND(CODES!$A$11,AE36))),CODES!$A$13,IF(OR(AE36&lt;AE$39,ISNUMBER(AE36)=FALSE),AE$40,AE36))))</f>
      </c>
      <c r="AF63" s="7" t="str">
        <f>IF(ISBLANK(AF36),"NO DATA",IF(ISNUMBER(FIND(CODES!$A$12,AF36)),CODES!$A$12,IF(OR(ISNUMBER(FIND(CODES!$A$10,AF36)),ISNUMBER(FIND(CODES!$A$11,AF36))),CODES!$A$13,IF(OR(AF36&lt;AF$39,ISNUMBER(AF36)=FALSE),AF$40,AF36))))</f>
      </c>
      <c r="AG63" s="7" t="str">
        <f>IF(ISBLANK(AG36),"NO DATA",IF(ISNUMBER(FIND(CODES!$A$12,AG36)),CODES!$A$12,IF(OR(ISNUMBER(FIND(CODES!$A$10,AG36)),ISNUMBER(FIND(CODES!$A$11,AG36))),CODES!$A$13,IF(OR(AG36&lt;AG$39,ISNUMBER(AG36)=FALSE),AG$40,AG36))))</f>
      </c>
      <c r="AH63" s="7" t="str">
        <f>IF(ISBLANK(AH36),"NO DATA",IF(ISNUMBER(FIND(CODES!$A$12,AH36)),CODES!$A$12,IF(OR(ISNUMBER(FIND(CODES!$A$10,AH36)),ISNUMBER(FIND(CODES!$A$11,AH36))),CODES!$A$13,IF(OR(AH36&lt;AH$39,ISNUMBER(AH36)=FALSE),AH$40,AH36))))</f>
      </c>
      <c r="AI63" s="7" t="str">
        <f>IF(ISBLANK(AI36),"NO DATA",IF(ISNUMBER(FIND(CODES!$A$12,AI36)),CODES!$A$12,IF(OR(ISNUMBER(FIND(CODES!$A$10,AI36)),ISNUMBER(FIND(CODES!$A$11,AI36))),CODES!$A$13,IF(OR(AI36&lt;AI$39,ISNUMBER(AI36)=FALSE),AI$40,AI36))))</f>
      </c>
      <c r="AJ63" s="7" t="str">
        <f>IF(ISBLANK(AJ36),"NO DATA",IF(ISNUMBER(FIND(CODES!$A$12,AJ36)),CODES!$A$12,IF(OR(ISNUMBER(FIND(CODES!$A$10,AJ36)),ISNUMBER(FIND(CODES!$A$11,AJ36))),CODES!$A$13,IF(OR(AJ36&lt;AJ$39,ISNUMBER(AJ36)=FALSE),AJ$40,AJ36))))</f>
      </c>
      <c r="AK63" s="7" t="str">
        <f>IF(ISBLANK(AK36),"NO DATA",IF(ISNUMBER(FIND(CODES!$A$12,AK36)),CODES!$A$12,IF(OR(ISNUMBER(FIND(CODES!$A$10,AK36)),ISNUMBER(FIND(CODES!$A$11,AK36))),CODES!$A$13,IF(OR(AK36&lt;AK$39,ISNUMBER(AK36)=FALSE),AK$40,AK36))))</f>
      </c>
      <c r="AL63" s="7" t="str">
        <f>IF(ISBLANK(AL36),"NO DATA",IF(ISNUMBER(FIND(CODES!$A$12,AL36)),CODES!$A$12,IF(OR(ISNUMBER(FIND(CODES!$A$10,AL36)),ISNUMBER(FIND(CODES!$A$11,AL36))),CODES!$A$13,IF(OR(AL36&lt;AL$39,ISNUMBER(AL36)=FALSE),AL$40,AL36))))</f>
      </c>
      <c r="AM63" s="7" t="str">
        <f>IF(ISBLANK(AM36),"NO DATA",IF(ISNUMBER(FIND(CODES!$A$12,AM36)),CODES!$A$12,IF(OR(ISNUMBER(FIND(CODES!$A$10,AM36)),ISNUMBER(FIND(CODES!$A$11,AM36))),CODES!$A$13,IF(OR(AM36&lt;AM$39,ISNUMBER(AM36)=FALSE),AM$40,AM36))))</f>
      </c>
      <c r="AN63" s="7" t="str">
        <f>IF(ISBLANK(AN36),"NO DATA",IF(ISNUMBER(FIND(CODES!$A$12,AN36)),CODES!$A$12,IF(OR(ISNUMBER(FIND(CODES!$A$10,AN36)),ISNUMBER(FIND(CODES!$A$11,AN36))),CODES!$A$13,IF(OR(AN36&lt;AN$39,ISNUMBER(AN36)=FALSE),AN$40,AN36))))</f>
      </c>
      <c r="AO63" s="7" t="str">
        <f>IF(ISBLANK(AO36),"NO DATA",IF(ISNUMBER(FIND(CODES!$A$12,AO36)),CODES!$A$12,IF(OR(ISNUMBER(FIND(CODES!$A$10,AO36)),ISNUMBER(FIND(CODES!$A$11,AO36))),CODES!$A$13,IF(OR(AO36&lt;AO$39,ISNUMBER(AO36)=FALSE),AO$40,AO36))))</f>
      </c>
      <c r="AP63" s="7" t="str">
        <f>IF(ISBLANK(AP36),"NO DATA",IF(ISNUMBER(FIND(CODES!$A$12,AP36)),CODES!$A$12,IF(OR(ISNUMBER(FIND(CODES!$A$10,AP36)),ISNUMBER(FIND(CODES!$A$11,AP36))),CODES!$A$13,IF(OR(AP36&lt;AP$39,ISNUMBER(AP36)=FALSE),AP$40,AP36))))</f>
      </c>
      <c r="AQ63" s="7" t="str">
        <f>IF(ISBLANK(AQ36),"NO DATA",IF(ISNUMBER(FIND(CODES!$A$12,AQ36)),CODES!$A$12,IF(OR(ISNUMBER(FIND(CODES!$A$10,AQ36)),ISNUMBER(FIND(CODES!$A$11,AQ36))),CODES!$A$13,IF(OR(AQ36&lt;AQ$39,ISNUMBER(AQ36)=FALSE),AQ$40,AQ36))))</f>
      </c>
      <c r="AR63" s="7" t="str">
        <f>IF(ISBLANK(AR36),"NO DATA",IF(ISNUMBER(FIND(CODES!$A$12,AR36)),CODES!$A$12,IF(OR(ISNUMBER(FIND(CODES!$A$10,AR36)),ISNUMBER(FIND(CODES!$A$11,AR36))),CODES!$A$13,IF(OR(AR36&lt;AR$39,ISNUMBER(AR36)=FALSE),AR$40,AR36))))</f>
      </c>
      <c r="AS63" s="7" t="str">
        <f>IF(ISBLANK(AS36),"NO DATA",IF(ISNUMBER(FIND(CODES!$A$12,AS36)),CODES!$A$12,IF(OR(ISNUMBER(FIND(CODES!$A$10,AS36)),ISNUMBER(FIND(CODES!$A$11,AS36))),CODES!$A$13,IF(OR(AS36&lt;AS$39,ISNUMBER(AS36)=FALSE),AS$40,AS36))))</f>
      </c>
      <c r="AT63" s="7" t="str">
        <f>IF(ISBLANK(AT36),"NO DATA",IF(ISNUMBER(FIND(CODES!$A$12,AT36)),CODES!$A$12,IF(OR(ISNUMBER(FIND(CODES!$A$10,AT36)),ISNUMBER(FIND(CODES!$A$11,AT36))),CODES!$A$13,IF(OR(AT36&lt;AT$39,ISNUMBER(AT36)=FALSE),AT$40,AT36))))</f>
      </c>
      <c r="AU63" s="7" t="str">
        <f>IF(ISBLANK(AU36),"NO DATA",IF(ISNUMBER(FIND(CODES!$A$12,AU36)),CODES!$A$12,IF(OR(ISNUMBER(FIND(CODES!$A$10,AU36)),ISNUMBER(FIND(CODES!$A$11,AU36))),CODES!$A$13,IF(OR(AU36&lt;AU$39,ISNUMBER(AU36)=FALSE),AU$40,AU36))))</f>
      </c>
      <c r="AV63" s="7" t="str">
        <f>IF(ISBLANK(AV36),"NO DATA",IF(ISNUMBER(FIND(CODES!$A$12,AV36)),CODES!$A$12,IF(OR(ISNUMBER(FIND(CODES!$A$10,AV36)),ISNUMBER(FIND(CODES!$A$11,AV36))),CODES!$A$13,IF(OR(AV36&lt;AV$39,ISNUMBER(AV36)=FALSE),AV$40,AV36))))</f>
      </c>
      <c r="AW63" s="7" t="str">
        <f>IF(ISBLANK(AW36),"NO DATA",IF(ISNUMBER(FIND(CODES!$A$12,AW36)),CODES!$A$12,IF(OR(ISNUMBER(FIND(CODES!$A$10,AW36)),ISNUMBER(FIND(CODES!$A$11,AW36))),CODES!$A$13,IF(OR(AW36&lt;AW$39,ISNUMBER(AW36)=FALSE),AW$40,AW36))))</f>
      </c>
      <c r="AX63" s="7" t="str">
        <f>IF(ISBLANK(AX36),"NO DATA",IF(ISNUMBER(FIND(CODES!$A$12,AX36)),CODES!$A$12,IF(OR(ISNUMBER(FIND(CODES!$A$10,AX36)),ISNUMBER(FIND(CODES!$A$11,AX36))),CODES!$A$13,IF(OR(AX36&lt;AX$39,ISNUMBER(AX36)=FALSE),AX$40,AX36))))</f>
      </c>
      <c r="AY63" s="7" t="str">
        <f>IF(ISBLANK(AY36),"NO DATA",IF(ISNUMBER(FIND(CODES!$A$12,AY36)),CODES!$A$12,IF(OR(ISNUMBER(FIND(CODES!$A$10,AY36)),ISNUMBER(FIND(CODES!$A$11,AY36))),CODES!$A$13,IF(OR(AY36&lt;AY$39,ISNUMBER(AY36)=FALSE),AY$40,AY36))))</f>
      </c>
      <c r="AZ63" s="7" t="str">
        <f>IF(ISBLANK(AZ36),"NO DATA",IF(ISNUMBER(FIND(CODES!$A$12,AZ36)),CODES!$A$12,IF(OR(ISNUMBER(FIND(CODES!$A$10,AZ36)),ISNUMBER(FIND(CODES!$A$11,AZ36))),CODES!$A$13,IF(OR(AZ36&lt;AZ$39,ISNUMBER(AZ36)=FALSE),AZ$40,AZ36))))</f>
      </c>
      <c r="BA63" s="7" t="str">
        <f>IF(ISBLANK(BA36),"NO DATA",IF(ISNUMBER(FIND(CODES!$A$12,BA36)),CODES!$A$12,IF(OR(ISNUMBER(FIND(CODES!$A$10,BA36)),ISNUMBER(FIND(CODES!$A$11,BA36))),CODES!$A$13,IF(OR(BA36&lt;BA$39,ISNUMBER(BA36)=FALSE),BA$40,BA36))))</f>
      </c>
      <c r="BB63" s="7" t="str">
        <f>IF(ISBLANK(BB36),"NO DATA",IF(ISNUMBER(FIND(CODES!$A$12,BB36)),CODES!$A$12,IF(OR(ISNUMBER(FIND(CODES!$A$10,BB36)),ISNUMBER(FIND(CODES!$A$11,BB36))),CODES!$A$13,IF(OR(BB36&lt;BB$39,ISNUMBER(BB36)=FALSE),BB$40,BB36))))</f>
      </c>
      <c r="BC63" s="7" t="str">
        <f>IF(ISBLANK(BC36),"NO DATA",IF(ISNUMBER(FIND(CODES!$A$12,BC36)),CODES!$A$12,IF(OR(ISNUMBER(FIND(CODES!$A$10,BC36)),ISNUMBER(FIND(CODES!$A$11,BC36))),CODES!$A$13,IF(OR(BC36&lt;BC$39,ISNUMBER(BC36)=FALSE),BC$40,BC36))))</f>
      </c>
      <c r="BD63" s="7" t="str">
        <f>IF(ISBLANK(BD36),"NO DATA",IF(ISNUMBER(FIND(CODES!$A$12,BD36)),CODES!$A$12,IF(OR(ISNUMBER(FIND(CODES!$A$10,BD36)),ISNUMBER(FIND(CODES!$A$11,BD36))),CODES!$A$13,IF(OR(BD36&lt;BD$39,ISNUMBER(BD36)=FALSE),BD$40,BD36))))</f>
      </c>
      <c r="BE63" s="7" t="str">
        <f>IF(ISBLANK(BE36),"NO DATA",IF(ISNUMBER(FIND(CODES!$A$12,BE36)),CODES!$A$12,IF(OR(ISNUMBER(FIND(CODES!$A$10,BE36)),ISNUMBER(FIND(CODES!$A$11,BE36))),CODES!$A$13,IF(OR(BE36&lt;BE$39,ISNUMBER(BE36)=FALSE),BE$40,BE36))))</f>
      </c>
      <c r="BF63" s="7" t="str">
        <f>IF(ISBLANK(BF36),"NO DATA",IF(ISNUMBER(FIND(CODES!$A$12,BF36)),CODES!$A$12,IF(OR(ISNUMBER(FIND(CODES!$A$10,BF36)),ISNUMBER(FIND(CODES!$A$11,BF36))),CODES!$A$13,IF(OR(BF36&lt;BF$39,ISNUMBER(BF36)=FALSE),BF$40,BF36))))</f>
      </c>
      <c r="BG63" s="7" t="str">
        <f>IF(ISBLANK(BG36),"NO DATA",IF(ISNUMBER(FIND(CODES!$A$12,BG36)),CODES!$A$12,IF(OR(ISNUMBER(FIND(CODES!$A$10,BG36)),ISNUMBER(FIND(CODES!$A$11,BG36))),CODES!$A$13,IF(OR(BG36&lt;BG$39,ISNUMBER(BG36)=FALSE),BG$40,BG36))))</f>
      </c>
      <c r="BH63" s="7" t="str">
        <f>IF(ISBLANK(BH36),"NO DATA",IF(ISNUMBER(FIND(CODES!$A$12,BH36)),CODES!$A$12,IF(OR(ISNUMBER(FIND(CODES!$A$10,BH36)),ISNUMBER(FIND(CODES!$A$11,BH36))),CODES!$A$13,IF(OR(BH36&lt;BH$39,ISNUMBER(BH36)=FALSE),BH$40,BH36))))</f>
      </c>
      <c r="BI63" s="7" t="str">
        <f>IF(ISBLANK(BI36),"NO DATA",IF(ISNUMBER(FIND(CODES!$A$12,BI36)),CODES!$A$12,IF(OR(ISNUMBER(FIND(CODES!$A$10,BI36)),ISNUMBER(FIND(CODES!$A$11,BI36))),CODES!$A$13,IF(OR(BI36&lt;BI$39,ISNUMBER(BI36)=FALSE),BI$40,BI36))))</f>
      </c>
      <c r="BJ63" s="7" t="str">
        <f>IF(ISBLANK(BJ36),"NO DATA",IF(ISNUMBER(FIND(CODES!$A$12,BJ36)),CODES!$A$12,IF(OR(ISNUMBER(FIND(CODES!$A$10,BJ36)),ISNUMBER(FIND(CODES!$A$11,BJ36))),CODES!$A$13,IF(OR(BJ36&lt;BJ$39,ISNUMBER(BJ36)=FALSE),BJ$40,BJ36))))</f>
      </c>
      <c r="BK63" s="7" t="str">
        <f>IF(ISBLANK(BK36),"NO DATA",IF(ISNUMBER(FIND(CODES!$A$12,BK36)),CODES!$A$12,IF(OR(ISNUMBER(FIND(CODES!$A$10,BK36)),ISNUMBER(FIND(CODES!$A$11,BK36))),CODES!$A$13,IF(OR(BK36&lt;BK$39,ISNUMBER(BK36)=FALSE),BK$40,BK36))))</f>
      </c>
      <c r="BL63" s="7" t="str">
        <f>IF(ISBLANK(BL36),"NO DATA",IF(ISNUMBER(FIND(CODES!$A$12,BL36)),CODES!$A$12,IF(OR(ISNUMBER(FIND(CODES!$A$10,BL36)),ISNUMBER(FIND(CODES!$A$11,BL36))),CODES!$A$13,IF(OR(BL36&lt;BL$39,ISNUMBER(BL36)=FALSE),BL$40,BL36))))</f>
      </c>
      <c r="BM63" s="7" t="str">
        <f>IF(ISBLANK(BM36),"NO DATA",IF(ISNUMBER(FIND(CODES!$A$12,BM36)),CODES!$A$12,IF(OR(ISNUMBER(FIND(CODES!$A$10,BM36)),ISNUMBER(FIND(CODES!$A$11,BM36))),CODES!$A$13,IF(OR(BM36&lt;BM$39,ISNUMBER(BM36)=FALSE),BM$40,BM36))))</f>
      </c>
      <c r="BN63" s="7" t="str">
        <f>IF(ISBLANK(BN36),"NO DATA",IF(ISNUMBER(FIND(CODES!$A$12,BN36)),CODES!$A$12,IF(OR(ISNUMBER(FIND(CODES!$A$10,BN36)),ISNUMBER(FIND(CODES!$A$11,BN36))),CODES!$A$13,IF(OR(BN36&lt;BN$39,ISNUMBER(BN36)=FALSE),BN$40,BN36))))</f>
      </c>
      <c r="BO63" s="7" t="str">
        <f>IF(ISBLANK(BO36),"NO DATA",IF(ISNUMBER(FIND(CODES!$A$12,BO36)),CODES!$A$12,IF(OR(ISNUMBER(FIND(CODES!$A$10,BO36)),ISNUMBER(FIND(CODES!$A$11,BO36))),CODES!$A$13,IF(OR(BO36&lt;BO$39,ISNUMBER(BO36)=FALSE),BO$40,BO36))))</f>
      </c>
      <c r="BP63" s="7" t="str">
        <f>IF(ISBLANK(BP36),"NO DATA",IF(ISNUMBER(FIND(CODES!$A$12,BP36)),CODES!$A$12,IF(OR(ISNUMBER(FIND(CODES!$A$10,BP36)),ISNUMBER(FIND(CODES!$A$11,BP36))),CODES!$A$13,IF(OR(BP36&lt;BP$39,ISNUMBER(BP36)=FALSE),BP$40,BP36))))</f>
      </c>
      <c r="BQ63" s="7" t="str">
        <f>IF(ISBLANK(BQ36),"NO DATA",IF(ISNUMBER(FIND(CODES!$A$12,BQ36)),CODES!$A$12,IF(OR(ISNUMBER(FIND(CODES!$A$10,BQ36)),ISNUMBER(FIND(CODES!$A$11,BQ36))),CODES!$A$13,IF(OR(BQ36&lt;BQ$39,ISNUMBER(BQ36)=FALSE),BQ$40,BQ36))))</f>
      </c>
      <c r="BR63" s="7" t="str">
        <f>IF(ISBLANK(BR36),"NO DATA",IF(ISNUMBER(FIND(CODES!$A$12,BR36)),CODES!$A$12,IF(OR(ISNUMBER(FIND(CODES!$A$10,BR36)),ISNUMBER(FIND(CODES!$A$11,BR36))),CODES!$A$13,IF(OR(BR36&lt;BR$39,ISNUMBER(BR36)=FALSE),BR$40,BR36))))</f>
      </c>
      <c r="BS63" s="7" t="str">
        <f>IF(ISBLANK(BS36),"NO DATA",IF(ISNUMBER(FIND(CODES!$A$12,BS36)),CODES!$A$12,IF(OR(ISNUMBER(FIND(CODES!$A$10,BS36)),ISNUMBER(FIND(CODES!$A$11,BS36))),CODES!$A$13,IF(OR(BS36&lt;BS$39,ISNUMBER(BS36)=FALSE),BS$40,BS36))))</f>
      </c>
      <c r="BT63" s="7" t="str">
        <f>IF(ISBLANK(BT36),"NO DATA",IF(ISNUMBER(FIND(CODES!$A$12,BT36)),CODES!$A$12,IF(OR(ISNUMBER(FIND(CODES!$A$10,BT36)),ISNUMBER(FIND(CODES!$A$11,BT36))),CODES!$A$13,IF(OR(BT36&lt;BT$39,ISNUMBER(BT36)=FALSE),BT$40,BT36))))</f>
      </c>
      <c r="BU63" s="7" t="str">
        <f>IF(ISBLANK(BU36),"NO DATA",IF(ISNUMBER(FIND(CODES!$A$12,BU36)),CODES!$A$12,IF(OR(ISNUMBER(FIND(CODES!$A$10,BU36)),ISNUMBER(FIND(CODES!$A$11,BU36))),CODES!$A$13,IF(OR(BU36&lt;BU$39,ISNUMBER(BU36)=FALSE),BU$40,BU36))))</f>
      </c>
      <c r="BV63" s="7" t="str">
        <f>IF(ISBLANK(BV36),"NO DATA",IF(ISNUMBER(FIND(CODES!$A$12,BV36)),CODES!$A$12,IF(OR(ISNUMBER(FIND(CODES!$A$10,BV36)),ISNUMBER(FIND(CODES!$A$11,BV36))),CODES!$A$13,IF(OR(BV36&lt;BV$39,ISNUMBER(BV36)=FALSE),BV$40,BV36))))</f>
      </c>
      <c r="BW63" s="7" t="str">
        <f>IF(ISBLANK(BW36),"NO DATA",IF(ISNUMBER(FIND(CODES!$A$12,BW36)),CODES!$A$12,IF(OR(ISNUMBER(FIND(CODES!$A$10,BW36)),ISNUMBER(FIND(CODES!$A$11,BW36))),CODES!$A$13,IF(OR(BW36&lt;BW$39,ISNUMBER(BW36)=FALSE),BW$40,BW36))))</f>
      </c>
      <c r="BX63" s="7" t="str">
        <f>IF(ISBLANK(BX36),"NO DATA",IF(ISNUMBER(FIND(CODES!$A$12,BX36)),CODES!$A$12,IF(OR(ISNUMBER(FIND(CODES!$A$10,BX36)),ISNUMBER(FIND(CODES!$A$11,BX36))),CODES!$A$13,IF(OR(BX36&lt;BX$39,ISNUMBER(BX36)=FALSE),BX$40,BX36))))</f>
      </c>
      <c r="BY63" s="7" t="str">
        <f>IF(ISBLANK(BY36),"NO DATA",IF(ISNUMBER(FIND(CODES!$A$12,BY36)),CODES!$A$12,IF(OR(ISNUMBER(FIND(CODES!$A$10,BY36)),ISNUMBER(FIND(CODES!$A$11,BY36))),CODES!$A$13,IF(OR(BY36&lt;BY$39,ISNUMBER(BY36)=FALSE),BY$40,BY36))))</f>
      </c>
      <c r="BZ63" s="7" t="str">
        <f>IF(ISBLANK(BZ36),"NO DATA",IF(ISNUMBER(FIND(CODES!$A$12,BZ36)),CODES!$A$12,IF(OR(ISNUMBER(FIND(CODES!$A$10,BZ36)),ISNUMBER(FIND(CODES!$A$11,BZ36))),CODES!$A$13,IF(OR(BZ36&lt;BZ$39,ISNUMBER(BZ36)=FALSE),BZ$40,BZ36))))</f>
      </c>
      <c r="CA63" s="7" t="str">
        <f>IF(ISBLANK(CA36),"NO DATA",IF(ISNUMBER(FIND(CODES!$A$12,CA36)),CODES!$A$12,IF(OR(ISNUMBER(FIND(CODES!$A$10,CA36)),ISNUMBER(FIND(CODES!$A$11,CA36))),CODES!$A$13,IF(OR(CA36&lt;CA$39,ISNUMBER(CA36)=FALSE),CA$40,CA36))))</f>
      </c>
      <c r="CB63" s="7" t="str">
        <f>IF(ISBLANK(CB36),"NO DATA",IF(ISNUMBER(FIND(CODES!$A$12,CB36)),CODES!$A$12,IF(OR(ISNUMBER(FIND(CODES!$A$10,CB36)),ISNUMBER(FIND(CODES!$A$11,CB36))),CODES!$A$13,IF(OR(CB36&lt;CB$39,ISNUMBER(CB36)=FALSE),CB$40,CB36))))</f>
      </c>
      <c r="CC63" s="7" t="str">
        <f>IF(ISBLANK(CC36),"NO DATA",IF(ISNUMBER(FIND(CODES!$A$12,CC36)),CODES!$A$12,IF(OR(ISNUMBER(FIND(CODES!$A$10,CC36)),ISNUMBER(FIND(CODES!$A$11,CC36))),CODES!$A$13,IF(OR(CC36&lt;CC$39,ISNUMBER(CC36)=FALSE),CC$40,CC36))))</f>
      </c>
      <c r="CD63" s="7" t="str">
        <f>IF(ISBLANK(CD36),"NO DATA",IF(ISNUMBER(FIND(CODES!$A$12,CD36)),CODES!$A$12,IF(OR(ISNUMBER(FIND(CODES!$A$10,CD36)),ISNUMBER(FIND(CODES!$A$11,CD36))),CODES!$A$13,IF(OR(CD36&lt;CD$39,ISNUMBER(CD36)=FALSE),CD$40,CD36))))</f>
      </c>
      <c r="CE63" s="7" t="str">
        <f>IF(ISBLANK(CE36),"NO DATA",IF(ISNUMBER(FIND(CODES!$A$12,CE36)),CODES!$A$12,IF(OR(ISNUMBER(FIND(CODES!$A$10,CE36)),ISNUMBER(FIND(CODES!$A$11,CE36))),CODES!$A$13,IF(OR(CE36&lt;CE$39,ISNUMBER(CE36)=FALSE),CE$40,CE36))))</f>
      </c>
      <c r="CF63" s="7" t="str">
        <f>IF(ISBLANK(CF36),"NO DATA",IF(ISNUMBER(FIND(CODES!$A$12,CF36)),CODES!$A$12,IF(OR(ISNUMBER(FIND(CODES!$A$10,CF36)),ISNUMBER(FIND(CODES!$A$11,CF36))),CODES!$A$13,IF(OR(CF36&lt;CF$39,ISNUMBER(CF36)=FALSE),CF$40,CF36))))</f>
      </c>
      <c r="CG63" s="7" t="str">
        <f>IF(ISBLANK(CG36),"NO DATA",IF(ISNUMBER(FIND(CODES!$A$12,CG36)),CODES!$A$12,IF(OR(ISNUMBER(FIND(CODES!$A$10,CG36)),ISNUMBER(FIND(CODES!$A$11,CG36))),CODES!$A$13,IF(OR(CG36&lt;CG$39,ISNUMBER(CG36)=FALSE),CG$40,CG36))))</f>
      </c>
      <c r="CH63" s="7" t="str">
        <f>IF(ISBLANK(CH36),"NO DATA",IF(ISNUMBER(FIND(CODES!$A$12,CH36)),CODES!$A$12,IF(OR(ISNUMBER(FIND(CODES!$A$10,CH36)),ISNUMBER(FIND(CODES!$A$11,CH36))),CODES!$A$13,IF(OR(CH36&lt;CH$39,ISNUMBER(CH36)=FALSE),CH$40,CH36))))</f>
      </c>
      <c r="CI63" s="7" t="str">
        <f>IF(ISBLANK(CI36),"NO DATA",IF(ISNUMBER(FIND(CODES!$A$12,CI36)),CODES!$A$12,IF(OR(ISNUMBER(FIND(CODES!$A$10,CI36)),ISNUMBER(FIND(CODES!$A$11,CI36))),CODES!$A$13,IF(OR(CI36&lt;CI$39,ISNUMBER(CI36)=FALSE),CI$40,CI36))))</f>
      </c>
      <c r="CJ63" s="7" t="str">
        <f>IF(ISBLANK(CJ36),"NO DATA",IF(ISNUMBER(FIND(CODES!$A$12,CJ36)),CODES!$A$12,IF(OR(ISNUMBER(FIND(CODES!$A$10,CJ36)),ISNUMBER(FIND(CODES!$A$11,CJ36))),CODES!$A$13,IF(OR(CJ36&lt;CJ$39,ISNUMBER(CJ36)=FALSE),CJ$40,CJ36))))</f>
      </c>
      <c r="CK63" s="7" t="str">
        <f>IF(ISBLANK(CK36),"NO DATA",IF(ISNUMBER(FIND(CODES!$A$12,CK36)),CODES!$A$12,IF(OR(ISNUMBER(FIND(CODES!$A$10,CK36)),ISNUMBER(FIND(CODES!$A$11,CK36))),CODES!$A$13,IF(OR(CK36&lt;CK$39,ISNUMBER(CK36)=FALSE),CK$40,CK36))))</f>
      </c>
      <c r="CL63" s="7" t="str">
        <f>IF(ISBLANK(CL36),"NO DATA",IF(ISNUMBER(FIND(CODES!$A$12,CL36)),CODES!$A$12,IF(OR(ISNUMBER(FIND(CODES!$A$10,CL36)),ISNUMBER(FIND(CODES!$A$11,CL36))),CODES!$A$13,IF(OR(CL36&lt;CL$39,ISNUMBER(CL36)=FALSE),CL$40,CL36))))</f>
      </c>
      <c r="CM63" s="7" t="str">
        <f>IF(ISBLANK(CM36),"NO DATA",IF(ISNUMBER(FIND(CODES!$A$12,CM36)),CODES!$A$12,IF(OR(ISNUMBER(FIND(CODES!$A$10,CM36)),ISNUMBER(FIND(CODES!$A$11,CM36))),CODES!$A$13,IF(OR(CM36&lt;CM$39,ISNUMBER(CM36)=FALSE),CM$40,CM36))))</f>
      </c>
      <c r="CN63" s="7" t="str">
        <f>IF(ISBLANK(CN36),"NO DATA",IF(ISNUMBER(FIND(CODES!$A$12,CN36)),CODES!$A$12,IF(OR(ISNUMBER(FIND(CODES!$A$10,CN36)),ISNUMBER(FIND(CODES!$A$11,CN36))),CODES!$A$13,IF(OR(CN36&lt;CN$39,ISNUMBER(CN36)=FALSE),CN$40,CN36))))</f>
      </c>
      <c r="CO63" s="7" t="str">
        <f>IF(ISBLANK(CO36),"NO DATA",IF(ISNUMBER(FIND(CODES!$A$12,CO36)),CODES!$A$12,IF(OR(ISNUMBER(FIND(CODES!$A$10,CO36)),ISNUMBER(FIND(CODES!$A$11,CO36))),CODES!$A$13,IF(OR(CO36&lt;CO$39,ISNUMBER(CO36)=FALSE),CO$40,CO36))))</f>
      </c>
      <c r="CP63" s="7" t="str">
        <f>IF(ISBLANK(CP36),"NO DATA",IF(ISNUMBER(FIND(CODES!$A$12,CP36)),CODES!$A$12,IF(OR(ISNUMBER(FIND(CODES!$A$10,CP36)),ISNUMBER(FIND(CODES!$A$11,CP36))),CODES!$A$13,IF(OR(CP36&lt;CP$39,ISNUMBER(CP36)=FALSE),CP$40,CP36))))</f>
      </c>
      <c r="CQ63" s="7" t="str">
        <f>IF(ISBLANK(CQ36),"NO DATA",IF(ISNUMBER(FIND(CODES!$A$12,CQ36)),CODES!$A$12,IF(OR(ISNUMBER(FIND(CODES!$A$10,CQ36)),ISNUMBER(FIND(CODES!$A$11,CQ36))),CODES!$A$13,IF(OR(CQ36&lt;CQ$39,ISNUMBER(CQ36)=FALSE),CQ$40,CQ36))))</f>
      </c>
      <c r="CR63" s="7" t="str">
        <f>IF(ISBLANK(CR36),"NO DATA",IF(ISNUMBER(FIND(CODES!$A$12,CR36)),CODES!$A$12,IF(OR(ISNUMBER(FIND(CODES!$A$10,CR36)),ISNUMBER(FIND(CODES!$A$11,CR36))),CODES!$A$13,IF(OR(CR36&lt;CR$39,ISNUMBER(CR36)=FALSE),CR$40,CR36))))</f>
      </c>
      <c r="CS63" s="7" t="str">
        <f>IF(ISBLANK(CS36),"NO DATA",IF(ISNUMBER(FIND(CODES!$A$12,CS36)),CODES!$A$12,IF(OR(ISNUMBER(FIND(CODES!$A$10,CS36)),ISNUMBER(FIND(CODES!$A$11,CS36))),CODES!$A$13,IF(OR(CS36&lt;CS$39,ISNUMBER(CS36)=FALSE),CS$40,CS36))))</f>
      </c>
      <c r="CT63" s="7" t="str">
        <f>IF(ISBLANK(CT36),"NO DATA",IF(ISNUMBER(FIND(CODES!$A$12,CT36)),CODES!$A$12,IF(OR(ISNUMBER(FIND(CODES!$A$10,CT36)),ISNUMBER(FIND(CODES!$A$11,CT36))),CODES!$A$13,IF(OR(CT36&lt;CT$39,ISNUMBER(CT36)=FALSE),CT$40,CT36))))</f>
      </c>
      <c r="CU63" s="7" t="str">
        <f>IF(ISBLANK(CU36),"NO DATA",IF(ISNUMBER(FIND(CODES!$A$12,CU36)),CODES!$A$12,IF(OR(ISNUMBER(FIND(CODES!$A$10,CU36)),ISNUMBER(FIND(CODES!$A$11,CU36))),CODES!$A$13,IF(OR(CU36&lt;CU$39,ISNUMBER(CU36)=FALSE),CU$40,CU36))))</f>
      </c>
      <c r="CV63" s="7" t="str">
        <f>IF(ISBLANK(CV36),"NO DATA",IF(ISNUMBER(FIND(CODES!$A$12,CV36)),CODES!$A$12,IF(OR(ISNUMBER(FIND(CODES!$A$10,CV36)),ISNUMBER(FIND(CODES!$A$11,CV36))),CODES!$A$13,IF(OR(CV36&lt;CV$39,ISNUMBER(CV36)=FALSE),CV$40,CV36))))</f>
      </c>
      <c r="CW63" s="7" t="str">
        <f>IF(ISBLANK(CW36),"NO DATA",IF(ISNUMBER(FIND(CODES!$A$12,CW36)),CODES!$A$12,IF(OR(ISNUMBER(FIND(CODES!$A$10,CW36)),ISNUMBER(FIND(CODES!$A$11,CW36))),CODES!$A$13,IF(OR(CW36&lt;CW$39,ISNUMBER(CW36)=FALSE),CW$40,CW36))))</f>
      </c>
      <c r="CX63" s="7" t="str">
        <f>IF(ISBLANK(CX36),"NO DATA",IF(ISNUMBER(FIND(CODES!$A$12,CX36)),CODES!$A$12,IF(OR(ISNUMBER(FIND(CODES!$A$10,CX36)),ISNUMBER(FIND(CODES!$A$11,CX36))),CODES!$A$13,IF(OR(CX36&lt;CX$39,ISNUMBER(CX36)=FALSE),CX$40,CX36))))</f>
      </c>
      <c r="CY63" s="7" t="str">
        <f>IF(ISBLANK(CY36),"NO DATA",IF(ISNUMBER(FIND(CODES!$A$12,CY36)),CODES!$A$12,IF(OR(ISNUMBER(FIND(CODES!$A$10,CY36)),ISNUMBER(FIND(CODES!$A$11,CY36))),CODES!$A$13,IF(OR(CY36&lt;CY$39,ISNUMBER(CY36)=FALSE),CY$40,CY36))))</f>
      </c>
      <c r="CZ63" s="7" t="str">
        <f>IF(ISBLANK(CZ36),"NO DATA",IF(ISNUMBER(FIND(CODES!$A$12,CZ36)),CODES!$A$12,IF(OR(ISNUMBER(FIND(CODES!$A$10,CZ36)),ISNUMBER(FIND(CODES!$A$11,CZ36))),CODES!$A$13,IF(OR(CZ36&lt;CZ$39,ISNUMBER(CZ36)=FALSE),CZ$40,CZ36))))</f>
      </c>
      <c r="DA63" s="7" t="str">
        <f>IF(ISBLANK(DA36),"NO DATA",IF(ISNUMBER(FIND(CODES!$A$12,DA36)),CODES!$A$12,IF(OR(ISNUMBER(FIND(CODES!$A$10,DA36)),ISNUMBER(FIND(CODES!$A$11,DA36))),CODES!$A$13,IF(OR(DA36&lt;DA$39,ISNUMBER(DA36)=FALSE),DA$40,DA36))))</f>
      </c>
      <c r="DB63" s="7" t="str">
        <f>IF(ISBLANK(DB36),"NO DATA",IF(ISNUMBER(FIND(CODES!$A$12,DB36)),CODES!$A$12,IF(OR(ISNUMBER(FIND(CODES!$A$10,DB36)),ISNUMBER(FIND(CODES!$A$11,DB36))),CODES!$A$13,IF(OR(DB36&lt;DB$39,ISNUMBER(DB36)=FALSE),DB$40,DB36))))</f>
      </c>
      <c r="DC63" s="7" t="str">
        <f>IF(ISBLANK(DC36),"NO DATA",IF(ISNUMBER(FIND(CODES!$A$12,DC36)),CODES!$A$12,IF(OR(ISNUMBER(FIND(CODES!$A$10,DC36)),ISNUMBER(FIND(CODES!$A$11,DC36))),CODES!$A$13,IF(OR(DC36&lt;DC$39,ISNUMBER(DC36)=FALSE),DC$40,DC36))))</f>
      </c>
      <c r="DD63" s="7" t="str">
        <f>IF(ISBLANK(DD36),"NO DATA",IF(ISNUMBER(FIND(CODES!$A$12,DD36)),CODES!$A$12,IF(OR(ISNUMBER(FIND(CODES!$A$10,DD36)),ISNUMBER(FIND(CODES!$A$11,DD36))),CODES!$A$13,IF(OR(DD36&lt;DD$39,ISNUMBER(DD36)=FALSE),DD$40,DD36))))</f>
      </c>
      <c r="DE63" s="7" t="str">
        <f>IF(ISBLANK(DE36),"NO DATA",IF(ISNUMBER(FIND(CODES!$A$12,DE36)),CODES!$A$12,IF(OR(ISNUMBER(FIND(CODES!$A$10,DE36)),ISNUMBER(FIND(CODES!$A$11,DE36))),CODES!$A$13,IF(OR(DE36&lt;DE$39,ISNUMBER(DE36)=FALSE),DE$40,DE36))))</f>
      </c>
      <c r="DF63" s="7" t="str">
        <f>IF(ISBLANK(DF36),"NO DATA",IF(ISNUMBER(FIND(CODES!$A$12,DF36)),CODES!$A$12,IF(OR(ISNUMBER(FIND(CODES!$A$10,DF36)),ISNUMBER(FIND(CODES!$A$11,DF36))),CODES!$A$13,IF(OR(DF36&lt;DF$39,ISNUMBER(DF36)=FALSE),DF$40,DF36))))</f>
      </c>
      <c r="DG63" s="7" t="str">
        <f>IF(ISBLANK(DG36),"NO DATA",IF(ISNUMBER(FIND(CODES!$A$12,DG36)),CODES!$A$12,IF(OR(ISNUMBER(FIND(CODES!$A$10,DG36)),ISNUMBER(FIND(CODES!$A$11,DG36))),CODES!$A$13,IF(OR(DG36&lt;DG$39,ISNUMBER(DG36)=FALSE),DG$40,DG36))))</f>
      </c>
      <c r="DH63" s="7" t="str">
        <f>IF(ISBLANK(DH36),"NO DATA",IF(ISNUMBER(FIND(CODES!$A$12,DH36)),CODES!$A$12,IF(OR(ISNUMBER(FIND(CODES!$A$10,DH36)),ISNUMBER(FIND(CODES!$A$11,DH36))),CODES!$A$13,IF(OR(DH36&lt;DH$39,ISNUMBER(DH36)=FALSE),DH$40,DH36))))</f>
      </c>
      <c r="DI63" s="7" t="str">
        <f>IF(ISBLANK(DI36),"NO DATA",IF(ISNUMBER(FIND(CODES!$A$12,DI36)),CODES!$A$12,IF(OR(ISNUMBER(FIND(CODES!$A$10,DI36)),ISNUMBER(FIND(CODES!$A$11,DI36))),CODES!$A$13,IF(OR(DI36&lt;DI$39,ISNUMBER(DI36)=FALSE),DI$40,DI36))))</f>
      </c>
    </row>
    <row r="64" spans="1:113" x14ac:dyDescent="0.25">
      <c r="A64" s="16" t="str">
        <f t="shared" si="8"/>
      </c>
      <c r="B64" s="16" t="str">
        <f t="shared" si="8"/>
      </c>
      <c r="C64" s="7" t="str">
        <f>IF(ISBLANK(C37),"NO DATA",IF(ISNUMBER(FIND(CODES!$A$12,C37)),CODES!$A$12,IF(OR(ISNUMBER(FIND(CODES!$A$10,C37)),ISNUMBER(FIND(CODES!$A$11,C37))),CODES!$A$13,IF(OR(C37&lt;C$39,ISNUMBER(C37)=FALSE),C$40,C37))))</f>
      </c>
      <c r="D64" s="7" t="str">
        <f>IF(ISBLANK(D37),"NO DATA",IF(ISNUMBER(FIND(CODES!$A$12,D37)),CODES!$A$12,IF(OR(ISNUMBER(FIND(CODES!$A$10,D37)),ISNUMBER(FIND(CODES!$A$11,D37))),CODES!$A$13,IF(OR(D37&lt;D$39,ISNUMBER(D37)=FALSE),D$40,D37))))</f>
      </c>
      <c r="E64" s="7" t="str">
        <f>IF(ISBLANK(E37),"NO DATA",IF(ISNUMBER(FIND(CODES!$A$12,E37)),CODES!$A$12,IF(OR(ISNUMBER(FIND(CODES!$A$10,E37)),ISNUMBER(FIND(CODES!$A$11,E37))),CODES!$A$13,IF(OR(E37&lt;E$39,ISNUMBER(E37)=FALSE),E$40,E37))))</f>
      </c>
      <c r="F64" s="7" t="str">
        <f>IF(ISBLANK(F37),"NO DATA",IF(ISNUMBER(FIND(CODES!$A$12,F37)),CODES!$A$12,IF(OR(ISNUMBER(FIND(CODES!$A$10,F37)),ISNUMBER(FIND(CODES!$A$11,F37))),CODES!$A$13,IF(OR(F37&lt;F$39,ISNUMBER(F37)=FALSE),F$40,F37))))</f>
      </c>
      <c r="G64" s="7" t="str">
        <f>IF(ISBLANK(G37),"NO DATA",IF(ISNUMBER(FIND(CODES!$A$12,G37)),CODES!$A$12,IF(OR(ISNUMBER(FIND(CODES!$A$10,G37)),ISNUMBER(FIND(CODES!$A$11,G37))),CODES!$A$13,IF(OR(G37&lt;G$39,ISNUMBER(G37)=FALSE),G$40,G37))))</f>
      </c>
      <c r="H64" s="7" t="str">
        <f>IF(ISBLANK(H37),"NO DATA",IF(ISNUMBER(FIND(CODES!$A$12,H37)),CODES!$A$12,IF(OR(ISNUMBER(FIND(CODES!$A$10,H37)),ISNUMBER(FIND(CODES!$A$11,H37))),CODES!$A$13,IF(OR(H37&lt;H$39,ISNUMBER(H37)=FALSE),H$40,H37))))</f>
      </c>
      <c r="I64" s="7" t="str">
        <f>IF(ISBLANK(I37),"NO DATA",IF(ISNUMBER(FIND(CODES!$A$12,I37)),CODES!$A$12,IF(OR(ISNUMBER(FIND(CODES!$A$10,I37)),ISNUMBER(FIND(CODES!$A$11,I37))),CODES!$A$13,IF(OR(I37&lt;I$39,ISNUMBER(I37)=FALSE),I$40,I37))))</f>
      </c>
      <c r="J64" s="7" t="str">
        <f>IF(ISBLANK(J37),"NO DATA",IF(ISNUMBER(FIND(CODES!$A$12,J37)),CODES!$A$12,IF(OR(ISNUMBER(FIND(CODES!$A$10,J37)),ISNUMBER(FIND(CODES!$A$11,J37))),CODES!$A$13,IF(OR(J37&lt;J$39,ISNUMBER(J37)=FALSE),J$40,J37))))</f>
      </c>
      <c r="K64" s="7" t="str">
        <f>IF(ISBLANK(K37),"NO DATA",IF(ISNUMBER(FIND(CODES!$A$12,K37)),CODES!$A$12,IF(OR(ISNUMBER(FIND(CODES!$A$10,K37)),ISNUMBER(FIND(CODES!$A$11,K37))),CODES!$A$13,IF(OR(K37&lt;K$39,ISNUMBER(K37)=FALSE),K$40,K37))))</f>
      </c>
      <c r="L64" s="7" t="str">
        <f>IF(ISBLANK(L37),"NO DATA",IF(ISNUMBER(FIND(CODES!$A$12,L37)),CODES!$A$12,IF(OR(ISNUMBER(FIND(CODES!$A$10,L37)),ISNUMBER(FIND(CODES!$A$11,L37))),CODES!$A$13,IF(OR(L37&lt;L$39,ISNUMBER(L37)=FALSE),L$40,L37))))</f>
      </c>
      <c r="M64" s="7" t="str">
        <f>IF(ISBLANK(M37),"NO DATA",IF(ISNUMBER(FIND(CODES!$A$12,M37)),CODES!$A$12,IF(OR(ISNUMBER(FIND(CODES!$A$10,M37)),ISNUMBER(FIND(CODES!$A$11,M37))),CODES!$A$13,IF(OR(M37&lt;M$39,ISNUMBER(M37)=FALSE),M$40,M37))))</f>
      </c>
      <c r="N64" s="7" t="str">
        <f>IF(ISBLANK(N37),"NO DATA",IF(ISNUMBER(FIND(CODES!$A$12,N37)),CODES!$A$12,IF(OR(ISNUMBER(FIND(CODES!$A$10,N37)),ISNUMBER(FIND(CODES!$A$11,N37))),CODES!$A$13,IF(OR(N37&lt;N$39,ISNUMBER(N37)=FALSE),N$40,N37))))</f>
      </c>
      <c r="O64" s="7" t="str">
        <f>IF(ISBLANK(O37),"NO DATA",IF(ISNUMBER(FIND(CODES!$A$12,O37)),CODES!$A$12,IF(OR(ISNUMBER(FIND(CODES!$A$10,O37)),ISNUMBER(FIND(CODES!$A$11,O37))),CODES!$A$13,IF(OR(O37&lt;O$39,ISNUMBER(O37)=FALSE),O$40,O37))))</f>
      </c>
      <c r="P64" s="7" t="str">
        <f>IF(ISBLANK(P37),"NO DATA",IF(ISNUMBER(FIND(CODES!$A$12,P37)),CODES!$A$12,IF(OR(ISNUMBER(FIND(CODES!$A$10,P37)),ISNUMBER(FIND(CODES!$A$11,P37))),CODES!$A$13,IF(OR(P37&lt;P$39,ISNUMBER(P37)=FALSE),P$40,P37))))</f>
      </c>
      <c r="Q64" s="7" t="str">
        <f>IF(ISBLANK(Q37),"NO DATA",IF(ISNUMBER(FIND(CODES!$A$12,Q37)),CODES!$A$12,IF(OR(ISNUMBER(FIND(CODES!$A$10,Q37)),ISNUMBER(FIND(CODES!$A$11,Q37))),CODES!$A$13,IF(OR(Q37&lt;Q$39,ISNUMBER(Q37)=FALSE),Q$40,Q37))))</f>
      </c>
      <c r="R64" s="7" t="str">
        <f>IF(ISBLANK(R37),"NO DATA",IF(ISNUMBER(FIND(CODES!$A$12,R37)),CODES!$A$12,IF(OR(ISNUMBER(FIND(CODES!$A$10,R37)),ISNUMBER(FIND(CODES!$A$11,R37))),CODES!$A$13,IF(OR(R37&lt;R$39,ISNUMBER(R37)=FALSE),R$40,R37))))</f>
      </c>
      <c r="S64" s="7" t="str">
        <f>IF(ISBLANK(S37),"NO DATA",IF(ISNUMBER(FIND(CODES!$A$12,S37)),CODES!$A$12,IF(OR(ISNUMBER(FIND(CODES!$A$10,S37)),ISNUMBER(FIND(CODES!$A$11,S37))),CODES!$A$13,IF(OR(S37&lt;S$39,ISNUMBER(S37)=FALSE),S$40,S37))))</f>
      </c>
      <c r="T64" s="7" t="str">
        <f>IF(ISBLANK(T37),"NO DATA",IF(ISNUMBER(FIND(CODES!$A$12,T37)),CODES!$A$12,IF(OR(ISNUMBER(FIND(CODES!$A$10,T37)),ISNUMBER(FIND(CODES!$A$11,T37))),CODES!$A$13,IF(OR(T37&lt;T$39,ISNUMBER(T37)=FALSE),T$40,T37))))</f>
      </c>
      <c r="U64" s="7" t="str">
        <f>IF(ISBLANK(U37),"NO DATA",IF(ISNUMBER(FIND(CODES!$A$12,U37)),CODES!$A$12,IF(OR(ISNUMBER(FIND(CODES!$A$10,U37)),ISNUMBER(FIND(CODES!$A$11,U37))),CODES!$A$13,IF(OR(U37&lt;U$39,ISNUMBER(U37)=FALSE),U$40,U37))))</f>
      </c>
      <c r="V64" s="7" t="str">
        <f>IF(ISBLANK(V37),"NO DATA",IF(ISNUMBER(FIND(CODES!$A$12,V37)),CODES!$A$12,IF(OR(ISNUMBER(FIND(CODES!$A$10,V37)),ISNUMBER(FIND(CODES!$A$11,V37))),CODES!$A$13,IF(OR(V37&lt;V$39,ISNUMBER(V37)=FALSE),V$40,V37))))</f>
      </c>
      <c r="W64" s="7" t="str">
        <f>IF(ISBLANK(W37),"NO DATA",IF(ISNUMBER(FIND(CODES!$A$12,W37)),CODES!$A$12,IF(OR(ISNUMBER(FIND(CODES!$A$10,W37)),ISNUMBER(FIND(CODES!$A$11,W37))),CODES!$A$13,IF(OR(W37&lt;W$39,ISNUMBER(W37)=FALSE),W$40,W37))))</f>
      </c>
      <c r="X64" s="7" t="str">
        <f>IF(ISBLANK(X37),"NO DATA",IF(ISNUMBER(FIND(CODES!$A$12,X37)),CODES!$A$12,IF(OR(ISNUMBER(FIND(CODES!$A$10,X37)),ISNUMBER(FIND(CODES!$A$11,X37))),CODES!$A$13,IF(OR(X37&lt;X$39,ISNUMBER(X37)=FALSE),X$40,X37))))</f>
      </c>
      <c r="Y64" s="7" t="str">
        <f>IF(ISBLANK(Y37),"NO DATA",IF(ISNUMBER(FIND(CODES!$A$12,Y37)),CODES!$A$12,IF(OR(ISNUMBER(FIND(CODES!$A$10,Y37)),ISNUMBER(FIND(CODES!$A$11,Y37))),CODES!$A$13,IF(OR(Y37&lt;Y$39,ISNUMBER(Y37)=FALSE),Y$40,Y37))))</f>
      </c>
      <c r="Z64" s="7" t="str">
        <f>IF(ISBLANK(Z37),"NO DATA",IF(ISNUMBER(FIND(CODES!$A$12,Z37)),CODES!$A$12,IF(OR(ISNUMBER(FIND(CODES!$A$10,Z37)),ISNUMBER(FIND(CODES!$A$11,Z37))),CODES!$A$13,IF(OR(Z37&lt;Z$39,ISNUMBER(Z37)=FALSE),Z$40,Z37))))</f>
      </c>
      <c r="AA64" s="7" t="str">
        <f>IF(ISBLANK(AA37),"NO DATA",IF(ISNUMBER(FIND(CODES!$A$12,AA37)),CODES!$A$12,IF(OR(ISNUMBER(FIND(CODES!$A$10,AA37)),ISNUMBER(FIND(CODES!$A$11,AA37))),CODES!$A$13,IF(OR(AA37&lt;AA$39,ISNUMBER(AA37)=FALSE),AA$40,AA37))))</f>
      </c>
      <c r="AB64" s="7" t="str">
        <f>IF(ISBLANK(AB37),"NO DATA",IF(ISNUMBER(FIND(CODES!$A$12,AB37)),CODES!$A$12,IF(OR(ISNUMBER(FIND(CODES!$A$10,AB37)),ISNUMBER(FIND(CODES!$A$11,AB37))),CODES!$A$13,IF(OR(AB37&lt;AB$39,ISNUMBER(AB37)=FALSE),AB$40,AB37))))</f>
      </c>
      <c r="AC64" s="7" t="str">
        <f>IF(ISBLANK(AC37),"NO DATA",IF(ISNUMBER(FIND(CODES!$A$12,AC37)),CODES!$A$12,IF(OR(ISNUMBER(FIND(CODES!$A$10,AC37)),ISNUMBER(FIND(CODES!$A$11,AC37))),CODES!$A$13,IF(OR(AC37&lt;AC$39,ISNUMBER(AC37)=FALSE),AC$40,AC37))))</f>
      </c>
      <c r="AD64" s="7" t="str">
        <f>IF(ISBLANK(AD37),"NO DATA",IF(ISNUMBER(FIND(CODES!$A$12,AD37)),CODES!$A$12,IF(OR(ISNUMBER(FIND(CODES!$A$10,AD37)),ISNUMBER(FIND(CODES!$A$11,AD37))),CODES!$A$13,IF(OR(AD37&lt;AD$39,ISNUMBER(AD37)=FALSE),AD$40,AD37))))</f>
      </c>
      <c r="AE64" s="7" t="str">
        <f>IF(ISBLANK(AE37),"NO DATA",IF(ISNUMBER(FIND(CODES!$A$12,AE37)),CODES!$A$12,IF(OR(ISNUMBER(FIND(CODES!$A$10,AE37)),ISNUMBER(FIND(CODES!$A$11,AE37))),CODES!$A$13,IF(OR(AE37&lt;AE$39,ISNUMBER(AE37)=FALSE),AE$40,AE37))))</f>
      </c>
      <c r="AF64" s="7" t="str">
        <f>IF(ISBLANK(AF37),"NO DATA",IF(ISNUMBER(FIND(CODES!$A$12,AF37)),CODES!$A$12,IF(OR(ISNUMBER(FIND(CODES!$A$10,AF37)),ISNUMBER(FIND(CODES!$A$11,AF37))),CODES!$A$13,IF(OR(AF37&lt;AF$39,ISNUMBER(AF37)=FALSE),AF$40,AF37))))</f>
      </c>
      <c r="AG64" s="7" t="str">
        <f>IF(ISBLANK(AG37),"NO DATA",IF(ISNUMBER(FIND(CODES!$A$12,AG37)),CODES!$A$12,IF(OR(ISNUMBER(FIND(CODES!$A$10,AG37)),ISNUMBER(FIND(CODES!$A$11,AG37))),CODES!$A$13,IF(OR(AG37&lt;AG$39,ISNUMBER(AG37)=FALSE),AG$40,AG37))))</f>
      </c>
      <c r="AH64" s="7" t="str">
        <f>IF(ISBLANK(AH37),"NO DATA",IF(ISNUMBER(FIND(CODES!$A$12,AH37)),CODES!$A$12,IF(OR(ISNUMBER(FIND(CODES!$A$10,AH37)),ISNUMBER(FIND(CODES!$A$11,AH37))),CODES!$A$13,IF(OR(AH37&lt;AH$39,ISNUMBER(AH37)=FALSE),AH$40,AH37))))</f>
      </c>
      <c r="AI64" s="7" t="str">
        <f>IF(ISBLANK(AI37),"NO DATA",IF(ISNUMBER(FIND(CODES!$A$12,AI37)),CODES!$A$12,IF(OR(ISNUMBER(FIND(CODES!$A$10,AI37)),ISNUMBER(FIND(CODES!$A$11,AI37))),CODES!$A$13,IF(OR(AI37&lt;AI$39,ISNUMBER(AI37)=FALSE),AI$40,AI37))))</f>
      </c>
      <c r="AJ64" s="7" t="str">
        <f>IF(ISBLANK(AJ37),"NO DATA",IF(ISNUMBER(FIND(CODES!$A$12,AJ37)),CODES!$A$12,IF(OR(ISNUMBER(FIND(CODES!$A$10,AJ37)),ISNUMBER(FIND(CODES!$A$11,AJ37))),CODES!$A$13,IF(OR(AJ37&lt;AJ$39,ISNUMBER(AJ37)=FALSE),AJ$40,AJ37))))</f>
      </c>
      <c r="AK64" s="7" t="str">
        <f>IF(ISBLANK(AK37),"NO DATA",IF(ISNUMBER(FIND(CODES!$A$12,AK37)),CODES!$A$12,IF(OR(ISNUMBER(FIND(CODES!$A$10,AK37)),ISNUMBER(FIND(CODES!$A$11,AK37))),CODES!$A$13,IF(OR(AK37&lt;AK$39,ISNUMBER(AK37)=FALSE),AK$40,AK37))))</f>
      </c>
      <c r="AL64" s="7" t="str">
        <f>IF(ISBLANK(AL37),"NO DATA",IF(ISNUMBER(FIND(CODES!$A$12,AL37)),CODES!$A$12,IF(OR(ISNUMBER(FIND(CODES!$A$10,AL37)),ISNUMBER(FIND(CODES!$A$11,AL37))),CODES!$A$13,IF(OR(AL37&lt;AL$39,ISNUMBER(AL37)=FALSE),AL$40,AL37))))</f>
      </c>
      <c r="AM64" s="7" t="str">
        <f>IF(ISBLANK(AM37),"NO DATA",IF(ISNUMBER(FIND(CODES!$A$12,AM37)),CODES!$A$12,IF(OR(ISNUMBER(FIND(CODES!$A$10,AM37)),ISNUMBER(FIND(CODES!$A$11,AM37))),CODES!$A$13,IF(OR(AM37&lt;AM$39,ISNUMBER(AM37)=FALSE),AM$40,AM37))))</f>
      </c>
      <c r="AN64" s="7" t="str">
        <f>IF(ISBLANK(AN37),"NO DATA",IF(ISNUMBER(FIND(CODES!$A$12,AN37)),CODES!$A$12,IF(OR(ISNUMBER(FIND(CODES!$A$10,AN37)),ISNUMBER(FIND(CODES!$A$11,AN37))),CODES!$A$13,IF(OR(AN37&lt;AN$39,ISNUMBER(AN37)=FALSE),AN$40,AN37))))</f>
      </c>
      <c r="AO64" s="7" t="str">
        <f>IF(ISBLANK(AO37),"NO DATA",IF(ISNUMBER(FIND(CODES!$A$12,AO37)),CODES!$A$12,IF(OR(ISNUMBER(FIND(CODES!$A$10,AO37)),ISNUMBER(FIND(CODES!$A$11,AO37))),CODES!$A$13,IF(OR(AO37&lt;AO$39,ISNUMBER(AO37)=FALSE),AO$40,AO37))))</f>
      </c>
      <c r="AP64" s="7" t="str">
        <f>IF(ISBLANK(AP37),"NO DATA",IF(ISNUMBER(FIND(CODES!$A$12,AP37)),CODES!$A$12,IF(OR(ISNUMBER(FIND(CODES!$A$10,AP37)),ISNUMBER(FIND(CODES!$A$11,AP37))),CODES!$A$13,IF(OR(AP37&lt;AP$39,ISNUMBER(AP37)=FALSE),AP$40,AP37))))</f>
      </c>
      <c r="AQ64" s="7" t="str">
        <f>IF(ISBLANK(AQ37),"NO DATA",IF(ISNUMBER(FIND(CODES!$A$12,AQ37)),CODES!$A$12,IF(OR(ISNUMBER(FIND(CODES!$A$10,AQ37)),ISNUMBER(FIND(CODES!$A$11,AQ37))),CODES!$A$13,IF(OR(AQ37&lt;AQ$39,ISNUMBER(AQ37)=FALSE),AQ$40,AQ37))))</f>
      </c>
      <c r="AR64" s="7" t="str">
        <f>IF(ISBLANK(AR37),"NO DATA",IF(ISNUMBER(FIND(CODES!$A$12,AR37)),CODES!$A$12,IF(OR(ISNUMBER(FIND(CODES!$A$10,AR37)),ISNUMBER(FIND(CODES!$A$11,AR37))),CODES!$A$13,IF(OR(AR37&lt;AR$39,ISNUMBER(AR37)=FALSE),AR$40,AR37))))</f>
      </c>
      <c r="AS64" s="7" t="str">
        <f>IF(ISBLANK(AS37),"NO DATA",IF(ISNUMBER(FIND(CODES!$A$12,AS37)),CODES!$A$12,IF(OR(ISNUMBER(FIND(CODES!$A$10,AS37)),ISNUMBER(FIND(CODES!$A$11,AS37))),CODES!$A$13,IF(OR(AS37&lt;AS$39,ISNUMBER(AS37)=FALSE),AS$40,AS37))))</f>
      </c>
      <c r="AT64" s="7" t="str">
        <f>IF(ISBLANK(AT37),"NO DATA",IF(ISNUMBER(FIND(CODES!$A$12,AT37)),CODES!$A$12,IF(OR(ISNUMBER(FIND(CODES!$A$10,AT37)),ISNUMBER(FIND(CODES!$A$11,AT37))),CODES!$A$13,IF(OR(AT37&lt;AT$39,ISNUMBER(AT37)=FALSE),AT$40,AT37))))</f>
      </c>
      <c r="AU64" s="7" t="str">
        <f>IF(ISBLANK(AU37),"NO DATA",IF(ISNUMBER(FIND(CODES!$A$12,AU37)),CODES!$A$12,IF(OR(ISNUMBER(FIND(CODES!$A$10,AU37)),ISNUMBER(FIND(CODES!$A$11,AU37))),CODES!$A$13,IF(OR(AU37&lt;AU$39,ISNUMBER(AU37)=FALSE),AU$40,AU37))))</f>
      </c>
      <c r="AV64" s="7" t="str">
        <f>IF(ISBLANK(AV37),"NO DATA",IF(ISNUMBER(FIND(CODES!$A$12,AV37)),CODES!$A$12,IF(OR(ISNUMBER(FIND(CODES!$A$10,AV37)),ISNUMBER(FIND(CODES!$A$11,AV37))),CODES!$A$13,IF(OR(AV37&lt;AV$39,ISNUMBER(AV37)=FALSE),AV$40,AV37))))</f>
      </c>
      <c r="AW64" s="7" t="str">
        <f>IF(ISBLANK(AW37),"NO DATA",IF(ISNUMBER(FIND(CODES!$A$12,AW37)),CODES!$A$12,IF(OR(ISNUMBER(FIND(CODES!$A$10,AW37)),ISNUMBER(FIND(CODES!$A$11,AW37))),CODES!$A$13,IF(OR(AW37&lt;AW$39,ISNUMBER(AW37)=FALSE),AW$40,AW37))))</f>
      </c>
      <c r="AX64" s="7" t="str">
        <f>IF(ISBLANK(AX37),"NO DATA",IF(ISNUMBER(FIND(CODES!$A$12,AX37)),CODES!$A$12,IF(OR(ISNUMBER(FIND(CODES!$A$10,AX37)),ISNUMBER(FIND(CODES!$A$11,AX37))),CODES!$A$13,IF(OR(AX37&lt;AX$39,ISNUMBER(AX37)=FALSE),AX$40,AX37))))</f>
      </c>
      <c r="AY64" s="7" t="str">
        <f>IF(ISBLANK(AY37),"NO DATA",IF(ISNUMBER(FIND(CODES!$A$12,AY37)),CODES!$A$12,IF(OR(ISNUMBER(FIND(CODES!$A$10,AY37)),ISNUMBER(FIND(CODES!$A$11,AY37))),CODES!$A$13,IF(OR(AY37&lt;AY$39,ISNUMBER(AY37)=FALSE),AY$40,AY37))))</f>
      </c>
      <c r="AZ64" s="7" t="str">
        <f>IF(ISBLANK(AZ37),"NO DATA",IF(ISNUMBER(FIND(CODES!$A$12,AZ37)),CODES!$A$12,IF(OR(ISNUMBER(FIND(CODES!$A$10,AZ37)),ISNUMBER(FIND(CODES!$A$11,AZ37))),CODES!$A$13,IF(OR(AZ37&lt;AZ$39,ISNUMBER(AZ37)=FALSE),AZ$40,AZ37))))</f>
      </c>
      <c r="BA64" s="7" t="str">
        <f>IF(ISBLANK(BA37),"NO DATA",IF(ISNUMBER(FIND(CODES!$A$12,BA37)),CODES!$A$12,IF(OR(ISNUMBER(FIND(CODES!$A$10,BA37)),ISNUMBER(FIND(CODES!$A$11,BA37))),CODES!$A$13,IF(OR(BA37&lt;BA$39,ISNUMBER(BA37)=FALSE),BA$40,BA37))))</f>
      </c>
      <c r="BB64" s="7" t="str">
        <f>IF(ISBLANK(BB37),"NO DATA",IF(ISNUMBER(FIND(CODES!$A$12,BB37)),CODES!$A$12,IF(OR(ISNUMBER(FIND(CODES!$A$10,BB37)),ISNUMBER(FIND(CODES!$A$11,BB37))),CODES!$A$13,IF(OR(BB37&lt;BB$39,ISNUMBER(BB37)=FALSE),BB$40,BB37))))</f>
      </c>
      <c r="BC64" s="7" t="str">
        <f>IF(ISBLANK(BC37),"NO DATA",IF(ISNUMBER(FIND(CODES!$A$12,BC37)),CODES!$A$12,IF(OR(ISNUMBER(FIND(CODES!$A$10,BC37)),ISNUMBER(FIND(CODES!$A$11,BC37))),CODES!$A$13,IF(OR(BC37&lt;BC$39,ISNUMBER(BC37)=FALSE),BC$40,BC37))))</f>
      </c>
      <c r="BD64" s="7" t="str">
        <f>IF(ISBLANK(BD37),"NO DATA",IF(ISNUMBER(FIND(CODES!$A$12,BD37)),CODES!$A$12,IF(OR(ISNUMBER(FIND(CODES!$A$10,BD37)),ISNUMBER(FIND(CODES!$A$11,BD37))),CODES!$A$13,IF(OR(BD37&lt;BD$39,ISNUMBER(BD37)=FALSE),BD$40,BD37))))</f>
      </c>
      <c r="BE64" s="7" t="str">
        <f>IF(ISBLANK(BE37),"NO DATA",IF(ISNUMBER(FIND(CODES!$A$12,BE37)),CODES!$A$12,IF(OR(ISNUMBER(FIND(CODES!$A$10,BE37)),ISNUMBER(FIND(CODES!$A$11,BE37))),CODES!$A$13,IF(OR(BE37&lt;BE$39,ISNUMBER(BE37)=FALSE),BE$40,BE37))))</f>
      </c>
      <c r="BF64" s="7" t="str">
        <f>IF(ISBLANK(BF37),"NO DATA",IF(ISNUMBER(FIND(CODES!$A$12,BF37)),CODES!$A$12,IF(OR(ISNUMBER(FIND(CODES!$A$10,BF37)),ISNUMBER(FIND(CODES!$A$11,BF37))),CODES!$A$13,IF(OR(BF37&lt;BF$39,ISNUMBER(BF37)=FALSE),BF$40,BF37))))</f>
      </c>
      <c r="BG64" s="7" t="str">
        <f>IF(ISBLANK(BG37),"NO DATA",IF(ISNUMBER(FIND(CODES!$A$12,BG37)),CODES!$A$12,IF(OR(ISNUMBER(FIND(CODES!$A$10,BG37)),ISNUMBER(FIND(CODES!$A$11,BG37))),CODES!$A$13,IF(OR(BG37&lt;BG$39,ISNUMBER(BG37)=FALSE),BG$40,BG37))))</f>
      </c>
      <c r="BH64" s="7" t="str">
        <f>IF(ISBLANK(BH37),"NO DATA",IF(ISNUMBER(FIND(CODES!$A$12,BH37)),CODES!$A$12,IF(OR(ISNUMBER(FIND(CODES!$A$10,BH37)),ISNUMBER(FIND(CODES!$A$11,BH37))),CODES!$A$13,IF(OR(BH37&lt;BH$39,ISNUMBER(BH37)=FALSE),BH$40,BH37))))</f>
      </c>
      <c r="BI64" s="7" t="str">
        <f>IF(ISBLANK(BI37),"NO DATA",IF(ISNUMBER(FIND(CODES!$A$12,BI37)),CODES!$A$12,IF(OR(ISNUMBER(FIND(CODES!$A$10,BI37)),ISNUMBER(FIND(CODES!$A$11,BI37))),CODES!$A$13,IF(OR(BI37&lt;BI$39,ISNUMBER(BI37)=FALSE),BI$40,BI37))))</f>
      </c>
      <c r="BJ64" s="7" t="str">
        <f>IF(ISBLANK(BJ37),"NO DATA",IF(ISNUMBER(FIND(CODES!$A$12,BJ37)),CODES!$A$12,IF(OR(ISNUMBER(FIND(CODES!$A$10,BJ37)),ISNUMBER(FIND(CODES!$A$11,BJ37))),CODES!$A$13,IF(OR(BJ37&lt;BJ$39,ISNUMBER(BJ37)=FALSE),BJ$40,BJ37))))</f>
      </c>
      <c r="BK64" s="7" t="str">
        <f>IF(ISBLANK(BK37),"NO DATA",IF(ISNUMBER(FIND(CODES!$A$12,BK37)),CODES!$A$12,IF(OR(ISNUMBER(FIND(CODES!$A$10,BK37)),ISNUMBER(FIND(CODES!$A$11,BK37))),CODES!$A$13,IF(OR(BK37&lt;BK$39,ISNUMBER(BK37)=FALSE),BK$40,BK37))))</f>
      </c>
      <c r="BL64" s="7" t="str">
        <f>IF(ISBLANK(BL37),"NO DATA",IF(ISNUMBER(FIND(CODES!$A$12,BL37)),CODES!$A$12,IF(OR(ISNUMBER(FIND(CODES!$A$10,BL37)),ISNUMBER(FIND(CODES!$A$11,BL37))),CODES!$A$13,IF(OR(BL37&lt;BL$39,ISNUMBER(BL37)=FALSE),BL$40,BL37))))</f>
      </c>
      <c r="BM64" s="7" t="str">
        <f>IF(ISBLANK(BM37),"NO DATA",IF(ISNUMBER(FIND(CODES!$A$12,BM37)),CODES!$A$12,IF(OR(ISNUMBER(FIND(CODES!$A$10,BM37)),ISNUMBER(FIND(CODES!$A$11,BM37))),CODES!$A$13,IF(OR(BM37&lt;BM$39,ISNUMBER(BM37)=FALSE),BM$40,BM37))))</f>
      </c>
      <c r="BN64" s="7" t="str">
        <f>IF(ISBLANK(BN37),"NO DATA",IF(ISNUMBER(FIND(CODES!$A$12,BN37)),CODES!$A$12,IF(OR(ISNUMBER(FIND(CODES!$A$10,BN37)),ISNUMBER(FIND(CODES!$A$11,BN37))),CODES!$A$13,IF(OR(BN37&lt;BN$39,ISNUMBER(BN37)=FALSE),BN$40,BN37))))</f>
      </c>
      <c r="BO64" s="7" t="str">
        <f>IF(ISBLANK(BO37),"NO DATA",IF(ISNUMBER(FIND(CODES!$A$12,BO37)),CODES!$A$12,IF(OR(ISNUMBER(FIND(CODES!$A$10,BO37)),ISNUMBER(FIND(CODES!$A$11,BO37))),CODES!$A$13,IF(OR(BO37&lt;BO$39,ISNUMBER(BO37)=FALSE),BO$40,BO37))))</f>
      </c>
      <c r="BP64" s="7" t="str">
        <f>IF(ISBLANK(BP37),"NO DATA",IF(ISNUMBER(FIND(CODES!$A$12,BP37)),CODES!$A$12,IF(OR(ISNUMBER(FIND(CODES!$A$10,BP37)),ISNUMBER(FIND(CODES!$A$11,BP37))),CODES!$A$13,IF(OR(BP37&lt;BP$39,ISNUMBER(BP37)=FALSE),BP$40,BP37))))</f>
      </c>
      <c r="BQ64" s="7" t="str">
        <f>IF(ISBLANK(BQ37),"NO DATA",IF(ISNUMBER(FIND(CODES!$A$12,BQ37)),CODES!$A$12,IF(OR(ISNUMBER(FIND(CODES!$A$10,BQ37)),ISNUMBER(FIND(CODES!$A$11,BQ37))),CODES!$A$13,IF(OR(BQ37&lt;BQ$39,ISNUMBER(BQ37)=FALSE),BQ$40,BQ37))))</f>
      </c>
      <c r="BR64" s="7" t="str">
        <f>IF(ISBLANK(BR37),"NO DATA",IF(ISNUMBER(FIND(CODES!$A$12,BR37)),CODES!$A$12,IF(OR(ISNUMBER(FIND(CODES!$A$10,BR37)),ISNUMBER(FIND(CODES!$A$11,BR37))),CODES!$A$13,IF(OR(BR37&lt;BR$39,ISNUMBER(BR37)=FALSE),BR$40,BR37))))</f>
      </c>
      <c r="BS64" s="7" t="str">
        <f>IF(ISBLANK(BS37),"NO DATA",IF(ISNUMBER(FIND(CODES!$A$12,BS37)),CODES!$A$12,IF(OR(ISNUMBER(FIND(CODES!$A$10,BS37)),ISNUMBER(FIND(CODES!$A$11,BS37))),CODES!$A$13,IF(OR(BS37&lt;BS$39,ISNUMBER(BS37)=FALSE),BS$40,BS37))))</f>
      </c>
      <c r="BT64" s="7" t="str">
        <f>IF(ISBLANK(BT37),"NO DATA",IF(ISNUMBER(FIND(CODES!$A$12,BT37)),CODES!$A$12,IF(OR(ISNUMBER(FIND(CODES!$A$10,BT37)),ISNUMBER(FIND(CODES!$A$11,BT37))),CODES!$A$13,IF(OR(BT37&lt;BT$39,ISNUMBER(BT37)=FALSE),BT$40,BT37))))</f>
      </c>
      <c r="BU64" s="7" t="str">
        <f>IF(ISBLANK(BU37),"NO DATA",IF(ISNUMBER(FIND(CODES!$A$12,BU37)),CODES!$A$12,IF(OR(ISNUMBER(FIND(CODES!$A$10,BU37)),ISNUMBER(FIND(CODES!$A$11,BU37))),CODES!$A$13,IF(OR(BU37&lt;BU$39,ISNUMBER(BU37)=FALSE),BU$40,BU37))))</f>
      </c>
      <c r="BV64" s="7" t="str">
        <f>IF(ISBLANK(BV37),"NO DATA",IF(ISNUMBER(FIND(CODES!$A$12,BV37)),CODES!$A$12,IF(OR(ISNUMBER(FIND(CODES!$A$10,BV37)),ISNUMBER(FIND(CODES!$A$11,BV37))),CODES!$A$13,IF(OR(BV37&lt;BV$39,ISNUMBER(BV37)=FALSE),BV$40,BV37))))</f>
      </c>
      <c r="BW64" s="7" t="str">
        <f>IF(ISBLANK(BW37),"NO DATA",IF(ISNUMBER(FIND(CODES!$A$12,BW37)),CODES!$A$12,IF(OR(ISNUMBER(FIND(CODES!$A$10,BW37)),ISNUMBER(FIND(CODES!$A$11,BW37))),CODES!$A$13,IF(OR(BW37&lt;BW$39,ISNUMBER(BW37)=FALSE),BW$40,BW37))))</f>
      </c>
      <c r="BX64" s="7" t="str">
        <f>IF(ISBLANK(BX37),"NO DATA",IF(ISNUMBER(FIND(CODES!$A$12,BX37)),CODES!$A$12,IF(OR(ISNUMBER(FIND(CODES!$A$10,BX37)),ISNUMBER(FIND(CODES!$A$11,BX37))),CODES!$A$13,IF(OR(BX37&lt;BX$39,ISNUMBER(BX37)=FALSE),BX$40,BX37))))</f>
      </c>
      <c r="BY64" s="7" t="str">
        <f>IF(ISBLANK(BY37),"NO DATA",IF(ISNUMBER(FIND(CODES!$A$12,BY37)),CODES!$A$12,IF(OR(ISNUMBER(FIND(CODES!$A$10,BY37)),ISNUMBER(FIND(CODES!$A$11,BY37))),CODES!$A$13,IF(OR(BY37&lt;BY$39,ISNUMBER(BY37)=FALSE),BY$40,BY37))))</f>
      </c>
      <c r="BZ64" s="7" t="str">
        <f>IF(ISBLANK(BZ37),"NO DATA",IF(ISNUMBER(FIND(CODES!$A$12,BZ37)),CODES!$A$12,IF(OR(ISNUMBER(FIND(CODES!$A$10,BZ37)),ISNUMBER(FIND(CODES!$A$11,BZ37))),CODES!$A$13,IF(OR(BZ37&lt;BZ$39,ISNUMBER(BZ37)=FALSE),BZ$40,BZ37))))</f>
      </c>
      <c r="CA64" s="7" t="str">
        <f>IF(ISBLANK(CA37),"NO DATA",IF(ISNUMBER(FIND(CODES!$A$12,CA37)),CODES!$A$12,IF(OR(ISNUMBER(FIND(CODES!$A$10,CA37)),ISNUMBER(FIND(CODES!$A$11,CA37))),CODES!$A$13,IF(OR(CA37&lt;CA$39,ISNUMBER(CA37)=FALSE),CA$40,CA37))))</f>
      </c>
      <c r="CB64" s="7" t="str">
        <f>IF(ISBLANK(CB37),"NO DATA",IF(ISNUMBER(FIND(CODES!$A$12,CB37)),CODES!$A$12,IF(OR(ISNUMBER(FIND(CODES!$A$10,CB37)),ISNUMBER(FIND(CODES!$A$11,CB37))),CODES!$A$13,IF(OR(CB37&lt;CB$39,ISNUMBER(CB37)=FALSE),CB$40,CB37))))</f>
      </c>
      <c r="CC64" s="7" t="str">
        <f>IF(ISBLANK(CC37),"NO DATA",IF(ISNUMBER(FIND(CODES!$A$12,CC37)),CODES!$A$12,IF(OR(ISNUMBER(FIND(CODES!$A$10,CC37)),ISNUMBER(FIND(CODES!$A$11,CC37))),CODES!$A$13,IF(OR(CC37&lt;CC$39,ISNUMBER(CC37)=FALSE),CC$40,CC37))))</f>
      </c>
      <c r="CD64" s="7" t="str">
        <f>IF(ISBLANK(CD37),"NO DATA",IF(ISNUMBER(FIND(CODES!$A$12,CD37)),CODES!$A$12,IF(OR(ISNUMBER(FIND(CODES!$A$10,CD37)),ISNUMBER(FIND(CODES!$A$11,CD37))),CODES!$A$13,IF(OR(CD37&lt;CD$39,ISNUMBER(CD37)=FALSE),CD$40,CD37))))</f>
      </c>
      <c r="CE64" s="7" t="str">
        <f>IF(ISBLANK(CE37),"NO DATA",IF(ISNUMBER(FIND(CODES!$A$12,CE37)),CODES!$A$12,IF(OR(ISNUMBER(FIND(CODES!$A$10,CE37)),ISNUMBER(FIND(CODES!$A$11,CE37))),CODES!$A$13,IF(OR(CE37&lt;CE$39,ISNUMBER(CE37)=FALSE),CE$40,CE37))))</f>
      </c>
      <c r="CF64" s="7" t="str">
        <f>IF(ISBLANK(CF37),"NO DATA",IF(ISNUMBER(FIND(CODES!$A$12,CF37)),CODES!$A$12,IF(OR(ISNUMBER(FIND(CODES!$A$10,CF37)),ISNUMBER(FIND(CODES!$A$11,CF37))),CODES!$A$13,IF(OR(CF37&lt;CF$39,ISNUMBER(CF37)=FALSE),CF$40,CF37))))</f>
      </c>
      <c r="CG64" s="7" t="str">
        <f>IF(ISBLANK(CG37),"NO DATA",IF(ISNUMBER(FIND(CODES!$A$12,CG37)),CODES!$A$12,IF(OR(ISNUMBER(FIND(CODES!$A$10,CG37)),ISNUMBER(FIND(CODES!$A$11,CG37))),CODES!$A$13,IF(OR(CG37&lt;CG$39,ISNUMBER(CG37)=FALSE),CG$40,CG37))))</f>
      </c>
      <c r="CH64" s="7" t="str">
        <f>IF(ISBLANK(CH37),"NO DATA",IF(ISNUMBER(FIND(CODES!$A$12,CH37)),CODES!$A$12,IF(OR(ISNUMBER(FIND(CODES!$A$10,CH37)),ISNUMBER(FIND(CODES!$A$11,CH37))),CODES!$A$13,IF(OR(CH37&lt;CH$39,ISNUMBER(CH37)=FALSE),CH$40,CH37))))</f>
      </c>
      <c r="CI64" s="7" t="str">
        <f>IF(ISBLANK(CI37),"NO DATA",IF(ISNUMBER(FIND(CODES!$A$12,CI37)),CODES!$A$12,IF(OR(ISNUMBER(FIND(CODES!$A$10,CI37)),ISNUMBER(FIND(CODES!$A$11,CI37))),CODES!$A$13,IF(OR(CI37&lt;CI$39,ISNUMBER(CI37)=FALSE),CI$40,CI37))))</f>
      </c>
      <c r="CJ64" s="7" t="str">
        <f>IF(ISBLANK(CJ37),"NO DATA",IF(ISNUMBER(FIND(CODES!$A$12,CJ37)),CODES!$A$12,IF(OR(ISNUMBER(FIND(CODES!$A$10,CJ37)),ISNUMBER(FIND(CODES!$A$11,CJ37))),CODES!$A$13,IF(OR(CJ37&lt;CJ$39,ISNUMBER(CJ37)=FALSE),CJ$40,CJ37))))</f>
      </c>
      <c r="CK64" s="7" t="str">
        <f>IF(ISBLANK(CK37),"NO DATA",IF(ISNUMBER(FIND(CODES!$A$12,CK37)),CODES!$A$12,IF(OR(ISNUMBER(FIND(CODES!$A$10,CK37)),ISNUMBER(FIND(CODES!$A$11,CK37))),CODES!$A$13,IF(OR(CK37&lt;CK$39,ISNUMBER(CK37)=FALSE),CK$40,CK37))))</f>
      </c>
      <c r="CL64" s="7" t="str">
        <f>IF(ISBLANK(CL37),"NO DATA",IF(ISNUMBER(FIND(CODES!$A$12,CL37)),CODES!$A$12,IF(OR(ISNUMBER(FIND(CODES!$A$10,CL37)),ISNUMBER(FIND(CODES!$A$11,CL37))),CODES!$A$13,IF(OR(CL37&lt;CL$39,ISNUMBER(CL37)=FALSE),CL$40,CL37))))</f>
      </c>
      <c r="CM64" s="7" t="str">
        <f>IF(ISBLANK(CM37),"NO DATA",IF(ISNUMBER(FIND(CODES!$A$12,CM37)),CODES!$A$12,IF(OR(ISNUMBER(FIND(CODES!$A$10,CM37)),ISNUMBER(FIND(CODES!$A$11,CM37))),CODES!$A$13,IF(OR(CM37&lt;CM$39,ISNUMBER(CM37)=FALSE),CM$40,CM37))))</f>
      </c>
      <c r="CN64" s="7" t="str">
        <f>IF(ISBLANK(CN37),"NO DATA",IF(ISNUMBER(FIND(CODES!$A$12,CN37)),CODES!$A$12,IF(OR(ISNUMBER(FIND(CODES!$A$10,CN37)),ISNUMBER(FIND(CODES!$A$11,CN37))),CODES!$A$13,IF(OR(CN37&lt;CN$39,ISNUMBER(CN37)=FALSE),CN$40,CN37))))</f>
      </c>
      <c r="CO64" s="7" t="str">
        <f>IF(ISBLANK(CO37),"NO DATA",IF(ISNUMBER(FIND(CODES!$A$12,CO37)),CODES!$A$12,IF(OR(ISNUMBER(FIND(CODES!$A$10,CO37)),ISNUMBER(FIND(CODES!$A$11,CO37))),CODES!$A$13,IF(OR(CO37&lt;CO$39,ISNUMBER(CO37)=FALSE),CO$40,CO37))))</f>
      </c>
      <c r="CP64" s="7" t="str">
        <f>IF(ISBLANK(CP37),"NO DATA",IF(ISNUMBER(FIND(CODES!$A$12,CP37)),CODES!$A$12,IF(OR(ISNUMBER(FIND(CODES!$A$10,CP37)),ISNUMBER(FIND(CODES!$A$11,CP37))),CODES!$A$13,IF(OR(CP37&lt;CP$39,ISNUMBER(CP37)=FALSE),CP$40,CP37))))</f>
      </c>
      <c r="CQ64" s="7" t="str">
        <f>IF(ISBLANK(CQ37),"NO DATA",IF(ISNUMBER(FIND(CODES!$A$12,CQ37)),CODES!$A$12,IF(OR(ISNUMBER(FIND(CODES!$A$10,CQ37)),ISNUMBER(FIND(CODES!$A$11,CQ37))),CODES!$A$13,IF(OR(CQ37&lt;CQ$39,ISNUMBER(CQ37)=FALSE),CQ$40,CQ37))))</f>
      </c>
      <c r="CR64" s="7" t="str">
        <f>IF(ISBLANK(CR37),"NO DATA",IF(ISNUMBER(FIND(CODES!$A$12,CR37)),CODES!$A$12,IF(OR(ISNUMBER(FIND(CODES!$A$10,CR37)),ISNUMBER(FIND(CODES!$A$11,CR37))),CODES!$A$13,IF(OR(CR37&lt;CR$39,ISNUMBER(CR37)=FALSE),CR$40,CR37))))</f>
      </c>
      <c r="CS64" s="7" t="str">
        <f>IF(ISBLANK(CS37),"NO DATA",IF(ISNUMBER(FIND(CODES!$A$12,CS37)),CODES!$A$12,IF(OR(ISNUMBER(FIND(CODES!$A$10,CS37)),ISNUMBER(FIND(CODES!$A$11,CS37))),CODES!$A$13,IF(OR(CS37&lt;CS$39,ISNUMBER(CS37)=FALSE),CS$40,CS37))))</f>
      </c>
      <c r="CT64" s="7" t="str">
        <f>IF(ISBLANK(CT37),"NO DATA",IF(ISNUMBER(FIND(CODES!$A$12,CT37)),CODES!$A$12,IF(OR(ISNUMBER(FIND(CODES!$A$10,CT37)),ISNUMBER(FIND(CODES!$A$11,CT37))),CODES!$A$13,IF(OR(CT37&lt;CT$39,ISNUMBER(CT37)=FALSE),CT$40,CT37))))</f>
      </c>
      <c r="CU64" s="7" t="str">
        <f>IF(ISBLANK(CU37),"NO DATA",IF(ISNUMBER(FIND(CODES!$A$12,CU37)),CODES!$A$12,IF(OR(ISNUMBER(FIND(CODES!$A$10,CU37)),ISNUMBER(FIND(CODES!$A$11,CU37))),CODES!$A$13,IF(OR(CU37&lt;CU$39,ISNUMBER(CU37)=FALSE),CU$40,CU37))))</f>
      </c>
      <c r="CV64" s="7" t="str">
        <f>IF(ISBLANK(CV37),"NO DATA",IF(ISNUMBER(FIND(CODES!$A$12,CV37)),CODES!$A$12,IF(OR(ISNUMBER(FIND(CODES!$A$10,CV37)),ISNUMBER(FIND(CODES!$A$11,CV37))),CODES!$A$13,IF(OR(CV37&lt;CV$39,ISNUMBER(CV37)=FALSE),CV$40,CV37))))</f>
      </c>
      <c r="CW64" s="7" t="str">
        <f>IF(ISBLANK(CW37),"NO DATA",IF(ISNUMBER(FIND(CODES!$A$12,CW37)),CODES!$A$12,IF(OR(ISNUMBER(FIND(CODES!$A$10,CW37)),ISNUMBER(FIND(CODES!$A$11,CW37))),CODES!$A$13,IF(OR(CW37&lt;CW$39,ISNUMBER(CW37)=FALSE),CW$40,CW37))))</f>
      </c>
      <c r="CX64" s="7" t="str">
        <f>IF(ISBLANK(CX37),"NO DATA",IF(ISNUMBER(FIND(CODES!$A$12,CX37)),CODES!$A$12,IF(OR(ISNUMBER(FIND(CODES!$A$10,CX37)),ISNUMBER(FIND(CODES!$A$11,CX37))),CODES!$A$13,IF(OR(CX37&lt;CX$39,ISNUMBER(CX37)=FALSE),CX$40,CX37))))</f>
      </c>
      <c r="CY64" s="7" t="str">
        <f>IF(ISBLANK(CY37),"NO DATA",IF(ISNUMBER(FIND(CODES!$A$12,CY37)),CODES!$A$12,IF(OR(ISNUMBER(FIND(CODES!$A$10,CY37)),ISNUMBER(FIND(CODES!$A$11,CY37))),CODES!$A$13,IF(OR(CY37&lt;CY$39,ISNUMBER(CY37)=FALSE),CY$40,CY37))))</f>
      </c>
      <c r="CZ64" s="7" t="str">
        <f>IF(ISBLANK(CZ37),"NO DATA",IF(ISNUMBER(FIND(CODES!$A$12,CZ37)),CODES!$A$12,IF(OR(ISNUMBER(FIND(CODES!$A$10,CZ37)),ISNUMBER(FIND(CODES!$A$11,CZ37))),CODES!$A$13,IF(OR(CZ37&lt;CZ$39,ISNUMBER(CZ37)=FALSE),CZ$40,CZ37))))</f>
      </c>
      <c r="DA64" s="7" t="str">
        <f>IF(ISBLANK(DA37),"NO DATA",IF(ISNUMBER(FIND(CODES!$A$12,DA37)),CODES!$A$12,IF(OR(ISNUMBER(FIND(CODES!$A$10,DA37)),ISNUMBER(FIND(CODES!$A$11,DA37))),CODES!$A$13,IF(OR(DA37&lt;DA$39,ISNUMBER(DA37)=FALSE),DA$40,DA37))))</f>
      </c>
      <c r="DB64" s="7" t="str">
        <f>IF(ISBLANK(DB37),"NO DATA",IF(ISNUMBER(FIND(CODES!$A$12,DB37)),CODES!$A$12,IF(OR(ISNUMBER(FIND(CODES!$A$10,DB37)),ISNUMBER(FIND(CODES!$A$11,DB37))),CODES!$A$13,IF(OR(DB37&lt;DB$39,ISNUMBER(DB37)=FALSE),DB$40,DB37))))</f>
      </c>
      <c r="DC64" s="7" t="str">
        <f>IF(ISBLANK(DC37),"NO DATA",IF(ISNUMBER(FIND(CODES!$A$12,DC37)),CODES!$A$12,IF(OR(ISNUMBER(FIND(CODES!$A$10,DC37)),ISNUMBER(FIND(CODES!$A$11,DC37))),CODES!$A$13,IF(OR(DC37&lt;DC$39,ISNUMBER(DC37)=FALSE),DC$40,DC37))))</f>
      </c>
      <c r="DD64" s="7" t="str">
        <f>IF(ISBLANK(DD37),"NO DATA",IF(ISNUMBER(FIND(CODES!$A$12,DD37)),CODES!$A$12,IF(OR(ISNUMBER(FIND(CODES!$A$10,DD37)),ISNUMBER(FIND(CODES!$A$11,DD37))),CODES!$A$13,IF(OR(DD37&lt;DD$39,ISNUMBER(DD37)=FALSE),DD$40,DD37))))</f>
      </c>
      <c r="DE64" s="7" t="str">
        <f>IF(ISBLANK(DE37),"NO DATA",IF(ISNUMBER(FIND(CODES!$A$12,DE37)),CODES!$A$12,IF(OR(ISNUMBER(FIND(CODES!$A$10,DE37)),ISNUMBER(FIND(CODES!$A$11,DE37))),CODES!$A$13,IF(OR(DE37&lt;DE$39,ISNUMBER(DE37)=FALSE),DE$40,DE37))))</f>
      </c>
      <c r="DF64" s="7" t="str">
        <f>IF(ISBLANK(DF37),"NO DATA",IF(ISNUMBER(FIND(CODES!$A$12,DF37)),CODES!$A$12,IF(OR(ISNUMBER(FIND(CODES!$A$10,DF37)),ISNUMBER(FIND(CODES!$A$11,DF37))),CODES!$A$13,IF(OR(DF37&lt;DF$39,ISNUMBER(DF37)=FALSE),DF$40,DF37))))</f>
      </c>
      <c r="DG64" s="7" t="str">
        <f>IF(ISBLANK(DG37),"NO DATA",IF(ISNUMBER(FIND(CODES!$A$12,DG37)),CODES!$A$12,IF(OR(ISNUMBER(FIND(CODES!$A$10,DG37)),ISNUMBER(FIND(CODES!$A$11,DG37))),CODES!$A$13,IF(OR(DG37&lt;DG$39,ISNUMBER(DG37)=FALSE),DG$40,DG37))))</f>
      </c>
      <c r="DH64" s="7" t="str">
        <f>IF(ISBLANK(DH37),"NO DATA",IF(ISNUMBER(FIND(CODES!$A$12,DH37)),CODES!$A$12,IF(OR(ISNUMBER(FIND(CODES!$A$10,DH37)),ISNUMBER(FIND(CODES!$A$11,DH37))),CODES!$A$13,IF(OR(DH37&lt;DH$39,ISNUMBER(DH37)=FALSE),DH$40,DH37))))</f>
      </c>
      <c r="DI64" s="7" t="str">
        <f>IF(ISBLANK(DI37),"NO DATA",IF(ISNUMBER(FIND(CODES!$A$12,DI37)),CODES!$A$12,IF(OR(ISNUMBER(FIND(CODES!$A$10,DI37)),ISNUMBER(FIND(CODES!$A$11,DI37))),CODES!$A$13,IF(OR(DI37&lt;DI$39,ISNUMBER(DI37)=FALSE),DI$40,DI37))))</f>
      </c>
    </row>
    <row r="65" spans="1:113" x14ac:dyDescent="0.25">
      <c r="A65" s="16" t="str">
        <f t="shared" si="8"/>
      </c>
      <c r="B65" s="16" t="str">
        <f t="shared" si="8"/>
      </c>
      <c r="C65" s="7" t="str">
        <f>IF(ISBLANK(C38),"NO DATA",IF(ISNUMBER(FIND(CODES!$A$12,C38)),CODES!$A$12,IF(OR(ISNUMBER(FIND(CODES!$A$10,C38)),ISNUMBER(FIND(CODES!$A$11,C38))),CODES!$A$13,IF(OR(C38&lt;C$39,ISNUMBER(C38)=FALSE),C$40,C38))))</f>
      </c>
      <c r="D65" s="7" t="str">
        <f>IF(ISBLANK(D38),"NO DATA",IF(ISNUMBER(FIND(CODES!$A$12,D38)),CODES!$A$12,IF(OR(ISNUMBER(FIND(CODES!$A$10,D38)),ISNUMBER(FIND(CODES!$A$11,D38))),CODES!$A$13,IF(OR(D38&lt;D$39,ISNUMBER(D38)=FALSE),D$40,D38))))</f>
      </c>
      <c r="E65" s="7" t="str">
        <f>IF(ISBLANK(E38),"NO DATA",IF(ISNUMBER(FIND(CODES!$A$12,E38)),CODES!$A$12,IF(OR(ISNUMBER(FIND(CODES!$A$10,E38)),ISNUMBER(FIND(CODES!$A$11,E38))),CODES!$A$13,IF(OR(E38&lt;E$39,ISNUMBER(E38)=FALSE),E$40,E38))))</f>
      </c>
      <c r="F65" s="7" t="str">
        <f>IF(ISBLANK(F38),"NO DATA",IF(ISNUMBER(FIND(CODES!$A$12,F38)),CODES!$A$12,IF(OR(ISNUMBER(FIND(CODES!$A$10,F38)),ISNUMBER(FIND(CODES!$A$11,F38))),CODES!$A$13,IF(OR(F38&lt;F$39,ISNUMBER(F38)=FALSE),F$40,F38))))</f>
      </c>
      <c r="G65" s="7" t="str">
        <f>IF(ISBLANK(G38),"NO DATA",IF(ISNUMBER(FIND(CODES!$A$12,G38)),CODES!$A$12,IF(OR(ISNUMBER(FIND(CODES!$A$10,G38)),ISNUMBER(FIND(CODES!$A$11,G38))),CODES!$A$13,IF(OR(G38&lt;G$39,ISNUMBER(G38)=FALSE),G$40,G38))))</f>
      </c>
      <c r="H65" s="7" t="str">
        <f>IF(ISBLANK(H38),"NO DATA",IF(ISNUMBER(FIND(CODES!$A$12,H38)),CODES!$A$12,IF(OR(ISNUMBER(FIND(CODES!$A$10,H38)),ISNUMBER(FIND(CODES!$A$11,H38))),CODES!$A$13,IF(OR(H38&lt;H$39,ISNUMBER(H38)=FALSE),H$40,H38))))</f>
      </c>
      <c r="I65" s="7" t="str">
        <f>IF(ISBLANK(I38),"NO DATA",IF(ISNUMBER(FIND(CODES!$A$12,I38)),CODES!$A$12,IF(OR(ISNUMBER(FIND(CODES!$A$10,I38)),ISNUMBER(FIND(CODES!$A$11,I38))),CODES!$A$13,IF(OR(I38&lt;I$39,ISNUMBER(I38)=FALSE),I$40,I38))))</f>
      </c>
      <c r="J65" s="7" t="str">
        <f>IF(ISBLANK(J38),"NO DATA",IF(ISNUMBER(FIND(CODES!$A$12,J38)),CODES!$A$12,IF(OR(ISNUMBER(FIND(CODES!$A$10,J38)),ISNUMBER(FIND(CODES!$A$11,J38))),CODES!$A$13,IF(OR(J38&lt;J$39,ISNUMBER(J38)=FALSE),J$40,J38))))</f>
      </c>
      <c r="K65" s="7" t="str">
        <f>IF(ISBLANK(K38),"NO DATA",IF(ISNUMBER(FIND(CODES!$A$12,K38)),CODES!$A$12,IF(OR(ISNUMBER(FIND(CODES!$A$10,K38)),ISNUMBER(FIND(CODES!$A$11,K38))),CODES!$A$13,IF(OR(K38&lt;K$39,ISNUMBER(K38)=FALSE),K$40,K38))))</f>
      </c>
      <c r="L65" s="7" t="str">
        <f>IF(ISBLANK(L38),"NO DATA",IF(ISNUMBER(FIND(CODES!$A$12,L38)),CODES!$A$12,IF(OR(ISNUMBER(FIND(CODES!$A$10,L38)),ISNUMBER(FIND(CODES!$A$11,L38))),CODES!$A$13,IF(OR(L38&lt;L$39,ISNUMBER(L38)=FALSE),L$40,L38))))</f>
      </c>
      <c r="M65" s="7" t="str">
        <f>IF(ISBLANK(M38),"NO DATA",IF(ISNUMBER(FIND(CODES!$A$12,M38)),CODES!$A$12,IF(OR(ISNUMBER(FIND(CODES!$A$10,M38)),ISNUMBER(FIND(CODES!$A$11,M38))),CODES!$A$13,IF(OR(M38&lt;M$39,ISNUMBER(M38)=FALSE),M$40,M38))))</f>
      </c>
      <c r="N65" s="7" t="str">
        <f>IF(ISBLANK(N38),"NO DATA",IF(ISNUMBER(FIND(CODES!$A$12,N38)),CODES!$A$12,IF(OR(ISNUMBER(FIND(CODES!$A$10,N38)),ISNUMBER(FIND(CODES!$A$11,N38))),CODES!$A$13,IF(OR(N38&lt;N$39,ISNUMBER(N38)=FALSE),N$40,N38))))</f>
      </c>
      <c r="O65" s="7" t="str">
        <f>IF(ISBLANK(O38),"NO DATA",IF(ISNUMBER(FIND(CODES!$A$12,O38)),CODES!$A$12,IF(OR(ISNUMBER(FIND(CODES!$A$10,O38)),ISNUMBER(FIND(CODES!$A$11,O38))),CODES!$A$13,IF(OR(O38&lt;O$39,ISNUMBER(O38)=FALSE),O$40,O38))))</f>
      </c>
      <c r="P65" s="7" t="str">
        <f>IF(ISBLANK(P38),"NO DATA",IF(ISNUMBER(FIND(CODES!$A$12,P38)),CODES!$A$12,IF(OR(ISNUMBER(FIND(CODES!$A$10,P38)),ISNUMBER(FIND(CODES!$A$11,P38))),CODES!$A$13,IF(OR(P38&lt;P$39,ISNUMBER(P38)=FALSE),P$40,P38))))</f>
      </c>
      <c r="Q65" s="7" t="str">
        <f>IF(ISBLANK(Q38),"NO DATA",IF(ISNUMBER(FIND(CODES!$A$12,Q38)),CODES!$A$12,IF(OR(ISNUMBER(FIND(CODES!$A$10,Q38)),ISNUMBER(FIND(CODES!$A$11,Q38))),CODES!$A$13,IF(OR(Q38&lt;Q$39,ISNUMBER(Q38)=FALSE),Q$40,Q38))))</f>
      </c>
      <c r="R65" s="7" t="str">
        <f>IF(ISBLANK(R38),"NO DATA",IF(ISNUMBER(FIND(CODES!$A$12,R38)),CODES!$A$12,IF(OR(ISNUMBER(FIND(CODES!$A$10,R38)),ISNUMBER(FIND(CODES!$A$11,R38))),CODES!$A$13,IF(OR(R38&lt;R$39,ISNUMBER(R38)=FALSE),R$40,R38))))</f>
      </c>
      <c r="S65" s="7" t="str">
        <f>IF(ISBLANK(S38),"NO DATA",IF(ISNUMBER(FIND(CODES!$A$12,S38)),CODES!$A$12,IF(OR(ISNUMBER(FIND(CODES!$A$10,S38)),ISNUMBER(FIND(CODES!$A$11,S38))),CODES!$A$13,IF(OR(S38&lt;S$39,ISNUMBER(S38)=FALSE),S$40,S38))))</f>
      </c>
      <c r="T65" s="7" t="str">
        <f>IF(ISBLANK(T38),"NO DATA",IF(ISNUMBER(FIND(CODES!$A$12,T38)),CODES!$A$12,IF(OR(ISNUMBER(FIND(CODES!$A$10,T38)),ISNUMBER(FIND(CODES!$A$11,T38))),CODES!$A$13,IF(OR(T38&lt;T$39,ISNUMBER(T38)=FALSE),T$40,T38))))</f>
      </c>
      <c r="U65" s="7" t="str">
        <f>IF(ISBLANK(U38),"NO DATA",IF(ISNUMBER(FIND(CODES!$A$12,U38)),CODES!$A$12,IF(OR(ISNUMBER(FIND(CODES!$A$10,U38)),ISNUMBER(FIND(CODES!$A$11,U38))),CODES!$A$13,IF(OR(U38&lt;U$39,ISNUMBER(U38)=FALSE),U$40,U38))))</f>
      </c>
      <c r="V65" s="7" t="str">
        <f>IF(ISBLANK(V38),"NO DATA",IF(ISNUMBER(FIND(CODES!$A$12,V38)),CODES!$A$12,IF(OR(ISNUMBER(FIND(CODES!$A$10,V38)),ISNUMBER(FIND(CODES!$A$11,V38))),CODES!$A$13,IF(OR(V38&lt;V$39,ISNUMBER(V38)=FALSE),V$40,V38))))</f>
      </c>
      <c r="W65" s="7" t="str">
        <f>IF(ISBLANK(W38),"NO DATA",IF(ISNUMBER(FIND(CODES!$A$12,W38)),CODES!$A$12,IF(OR(ISNUMBER(FIND(CODES!$A$10,W38)),ISNUMBER(FIND(CODES!$A$11,W38))),CODES!$A$13,IF(OR(W38&lt;W$39,ISNUMBER(W38)=FALSE),W$40,W38))))</f>
      </c>
      <c r="X65" s="7" t="str">
        <f>IF(ISBLANK(X38),"NO DATA",IF(ISNUMBER(FIND(CODES!$A$12,X38)),CODES!$A$12,IF(OR(ISNUMBER(FIND(CODES!$A$10,X38)),ISNUMBER(FIND(CODES!$A$11,X38))),CODES!$A$13,IF(OR(X38&lt;X$39,ISNUMBER(X38)=FALSE),X$40,X38))))</f>
      </c>
      <c r="Y65" s="7" t="str">
        <f>IF(ISBLANK(Y38),"NO DATA",IF(ISNUMBER(FIND(CODES!$A$12,Y38)),CODES!$A$12,IF(OR(ISNUMBER(FIND(CODES!$A$10,Y38)),ISNUMBER(FIND(CODES!$A$11,Y38))),CODES!$A$13,IF(OR(Y38&lt;Y$39,ISNUMBER(Y38)=FALSE),Y$40,Y38))))</f>
      </c>
      <c r="Z65" s="7" t="str">
        <f>IF(ISBLANK(Z38),"NO DATA",IF(ISNUMBER(FIND(CODES!$A$12,Z38)),CODES!$A$12,IF(OR(ISNUMBER(FIND(CODES!$A$10,Z38)),ISNUMBER(FIND(CODES!$A$11,Z38))),CODES!$A$13,IF(OR(Z38&lt;Z$39,ISNUMBER(Z38)=FALSE),Z$40,Z38))))</f>
      </c>
      <c r="AA65" s="7" t="str">
        <f>IF(ISBLANK(AA38),"NO DATA",IF(ISNUMBER(FIND(CODES!$A$12,AA38)),CODES!$A$12,IF(OR(ISNUMBER(FIND(CODES!$A$10,AA38)),ISNUMBER(FIND(CODES!$A$11,AA38))),CODES!$A$13,IF(OR(AA38&lt;AA$39,ISNUMBER(AA38)=FALSE),AA$40,AA38))))</f>
      </c>
      <c r="AB65" s="7" t="str">
        <f>IF(ISBLANK(AB38),"NO DATA",IF(ISNUMBER(FIND(CODES!$A$12,AB38)),CODES!$A$12,IF(OR(ISNUMBER(FIND(CODES!$A$10,AB38)),ISNUMBER(FIND(CODES!$A$11,AB38))),CODES!$A$13,IF(OR(AB38&lt;AB$39,ISNUMBER(AB38)=FALSE),AB$40,AB38))))</f>
      </c>
      <c r="AC65" s="7" t="str">
        <f>IF(ISBLANK(AC38),"NO DATA",IF(ISNUMBER(FIND(CODES!$A$12,AC38)),CODES!$A$12,IF(OR(ISNUMBER(FIND(CODES!$A$10,AC38)),ISNUMBER(FIND(CODES!$A$11,AC38))),CODES!$A$13,IF(OR(AC38&lt;AC$39,ISNUMBER(AC38)=FALSE),AC$40,AC38))))</f>
      </c>
      <c r="AD65" s="7" t="str">
        <f>IF(ISBLANK(AD38),"NO DATA",IF(ISNUMBER(FIND(CODES!$A$12,AD38)),CODES!$A$12,IF(OR(ISNUMBER(FIND(CODES!$A$10,AD38)),ISNUMBER(FIND(CODES!$A$11,AD38))),CODES!$A$13,IF(OR(AD38&lt;AD$39,ISNUMBER(AD38)=FALSE),AD$40,AD38))))</f>
      </c>
      <c r="AE65" s="7" t="str">
        <f>IF(ISBLANK(AE38),"NO DATA",IF(ISNUMBER(FIND(CODES!$A$12,AE38)),CODES!$A$12,IF(OR(ISNUMBER(FIND(CODES!$A$10,AE38)),ISNUMBER(FIND(CODES!$A$11,AE38))),CODES!$A$13,IF(OR(AE38&lt;AE$39,ISNUMBER(AE38)=FALSE),AE$40,AE38))))</f>
      </c>
      <c r="AF65" s="7" t="str">
        <f>IF(ISBLANK(AF38),"NO DATA",IF(ISNUMBER(FIND(CODES!$A$12,AF38)),CODES!$A$12,IF(OR(ISNUMBER(FIND(CODES!$A$10,AF38)),ISNUMBER(FIND(CODES!$A$11,AF38))),CODES!$A$13,IF(OR(AF38&lt;AF$39,ISNUMBER(AF38)=FALSE),AF$40,AF38))))</f>
      </c>
      <c r="AG65" s="7" t="str">
        <f>IF(ISBLANK(AG38),"NO DATA",IF(ISNUMBER(FIND(CODES!$A$12,AG38)),CODES!$A$12,IF(OR(ISNUMBER(FIND(CODES!$A$10,AG38)),ISNUMBER(FIND(CODES!$A$11,AG38))),CODES!$A$13,IF(OR(AG38&lt;AG$39,ISNUMBER(AG38)=FALSE),AG$40,AG38))))</f>
      </c>
      <c r="AH65" s="7" t="str">
        <f>IF(ISBLANK(AH38),"NO DATA",IF(ISNUMBER(FIND(CODES!$A$12,AH38)),CODES!$A$12,IF(OR(ISNUMBER(FIND(CODES!$A$10,AH38)),ISNUMBER(FIND(CODES!$A$11,AH38))),CODES!$A$13,IF(OR(AH38&lt;AH$39,ISNUMBER(AH38)=FALSE),AH$40,AH38))))</f>
      </c>
      <c r="AI65" s="7" t="str">
        <f>IF(ISBLANK(AI38),"NO DATA",IF(ISNUMBER(FIND(CODES!$A$12,AI38)),CODES!$A$12,IF(OR(ISNUMBER(FIND(CODES!$A$10,AI38)),ISNUMBER(FIND(CODES!$A$11,AI38))),CODES!$A$13,IF(OR(AI38&lt;AI$39,ISNUMBER(AI38)=FALSE),AI$40,AI38))))</f>
      </c>
      <c r="AJ65" s="7" t="str">
        <f>IF(ISBLANK(AJ38),"NO DATA",IF(ISNUMBER(FIND(CODES!$A$12,AJ38)),CODES!$A$12,IF(OR(ISNUMBER(FIND(CODES!$A$10,AJ38)),ISNUMBER(FIND(CODES!$A$11,AJ38))),CODES!$A$13,IF(OR(AJ38&lt;AJ$39,ISNUMBER(AJ38)=FALSE),AJ$40,AJ38))))</f>
      </c>
      <c r="AK65" s="7" t="str">
        <f>IF(ISBLANK(AK38),"NO DATA",IF(ISNUMBER(FIND(CODES!$A$12,AK38)),CODES!$A$12,IF(OR(ISNUMBER(FIND(CODES!$A$10,AK38)),ISNUMBER(FIND(CODES!$A$11,AK38))),CODES!$A$13,IF(OR(AK38&lt;AK$39,ISNUMBER(AK38)=FALSE),AK$40,AK38))))</f>
      </c>
      <c r="AL65" s="7" t="str">
        <f>IF(ISBLANK(AL38),"NO DATA",IF(ISNUMBER(FIND(CODES!$A$12,AL38)),CODES!$A$12,IF(OR(ISNUMBER(FIND(CODES!$A$10,AL38)),ISNUMBER(FIND(CODES!$A$11,AL38))),CODES!$A$13,IF(OR(AL38&lt;AL$39,ISNUMBER(AL38)=FALSE),AL$40,AL38))))</f>
      </c>
      <c r="AM65" s="7" t="str">
        <f>IF(ISBLANK(AM38),"NO DATA",IF(ISNUMBER(FIND(CODES!$A$12,AM38)),CODES!$A$12,IF(OR(ISNUMBER(FIND(CODES!$A$10,AM38)),ISNUMBER(FIND(CODES!$A$11,AM38))),CODES!$A$13,IF(OR(AM38&lt;AM$39,ISNUMBER(AM38)=FALSE),AM$40,AM38))))</f>
      </c>
      <c r="AN65" s="7" t="str">
        <f>IF(ISBLANK(AN38),"NO DATA",IF(ISNUMBER(FIND(CODES!$A$12,AN38)),CODES!$A$12,IF(OR(ISNUMBER(FIND(CODES!$A$10,AN38)),ISNUMBER(FIND(CODES!$A$11,AN38))),CODES!$A$13,IF(OR(AN38&lt;AN$39,ISNUMBER(AN38)=FALSE),AN$40,AN38))))</f>
      </c>
      <c r="AO65" s="7" t="str">
        <f>IF(ISBLANK(AO38),"NO DATA",IF(ISNUMBER(FIND(CODES!$A$12,AO38)),CODES!$A$12,IF(OR(ISNUMBER(FIND(CODES!$A$10,AO38)),ISNUMBER(FIND(CODES!$A$11,AO38))),CODES!$A$13,IF(OR(AO38&lt;AO$39,ISNUMBER(AO38)=FALSE),AO$40,AO38))))</f>
      </c>
      <c r="AP65" s="7" t="str">
        <f>IF(ISBLANK(AP38),"NO DATA",IF(ISNUMBER(FIND(CODES!$A$12,AP38)),CODES!$A$12,IF(OR(ISNUMBER(FIND(CODES!$A$10,AP38)),ISNUMBER(FIND(CODES!$A$11,AP38))),CODES!$A$13,IF(OR(AP38&lt;AP$39,ISNUMBER(AP38)=FALSE),AP$40,AP38))))</f>
      </c>
      <c r="AQ65" s="7" t="str">
        <f>IF(ISBLANK(AQ38),"NO DATA",IF(ISNUMBER(FIND(CODES!$A$12,AQ38)),CODES!$A$12,IF(OR(ISNUMBER(FIND(CODES!$A$10,AQ38)),ISNUMBER(FIND(CODES!$A$11,AQ38))),CODES!$A$13,IF(OR(AQ38&lt;AQ$39,ISNUMBER(AQ38)=FALSE),AQ$40,AQ38))))</f>
      </c>
      <c r="AR65" s="7" t="str">
        <f>IF(ISBLANK(AR38),"NO DATA",IF(ISNUMBER(FIND(CODES!$A$12,AR38)),CODES!$A$12,IF(OR(ISNUMBER(FIND(CODES!$A$10,AR38)),ISNUMBER(FIND(CODES!$A$11,AR38))),CODES!$A$13,IF(OR(AR38&lt;AR$39,ISNUMBER(AR38)=FALSE),AR$40,AR38))))</f>
      </c>
      <c r="AS65" s="7" t="str">
        <f>IF(ISBLANK(AS38),"NO DATA",IF(ISNUMBER(FIND(CODES!$A$12,AS38)),CODES!$A$12,IF(OR(ISNUMBER(FIND(CODES!$A$10,AS38)),ISNUMBER(FIND(CODES!$A$11,AS38))),CODES!$A$13,IF(OR(AS38&lt;AS$39,ISNUMBER(AS38)=FALSE),AS$40,AS38))))</f>
      </c>
      <c r="AT65" s="7" t="str">
        <f>IF(ISBLANK(AT38),"NO DATA",IF(ISNUMBER(FIND(CODES!$A$12,AT38)),CODES!$A$12,IF(OR(ISNUMBER(FIND(CODES!$A$10,AT38)),ISNUMBER(FIND(CODES!$A$11,AT38))),CODES!$A$13,IF(OR(AT38&lt;AT$39,ISNUMBER(AT38)=FALSE),AT$40,AT38))))</f>
      </c>
      <c r="AU65" s="7" t="str">
        <f>IF(ISBLANK(AU38),"NO DATA",IF(ISNUMBER(FIND(CODES!$A$12,AU38)),CODES!$A$12,IF(OR(ISNUMBER(FIND(CODES!$A$10,AU38)),ISNUMBER(FIND(CODES!$A$11,AU38))),CODES!$A$13,IF(OR(AU38&lt;AU$39,ISNUMBER(AU38)=FALSE),AU$40,AU38))))</f>
      </c>
      <c r="AV65" s="7" t="str">
        <f>IF(ISBLANK(AV38),"NO DATA",IF(ISNUMBER(FIND(CODES!$A$12,AV38)),CODES!$A$12,IF(OR(ISNUMBER(FIND(CODES!$A$10,AV38)),ISNUMBER(FIND(CODES!$A$11,AV38))),CODES!$A$13,IF(OR(AV38&lt;AV$39,ISNUMBER(AV38)=FALSE),AV$40,AV38))))</f>
      </c>
      <c r="AW65" s="7" t="str">
        <f>IF(ISBLANK(AW38),"NO DATA",IF(ISNUMBER(FIND(CODES!$A$12,AW38)),CODES!$A$12,IF(OR(ISNUMBER(FIND(CODES!$A$10,AW38)),ISNUMBER(FIND(CODES!$A$11,AW38))),CODES!$A$13,IF(OR(AW38&lt;AW$39,ISNUMBER(AW38)=FALSE),AW$40,AW38))))</f>
      </c>
      <c r="AX65" s="7" t="str">
        <f>IF(ISBLANK(AX38),"NO DATA",IF(ISNUMBER(FIND(CODES!$A$12,AX38)),CODES!$A$12,IF(OR(ISNUMBER(FIND(CODES!$A$10,AX38)),ISNUMBER(FIND(CODES!$A$11,AX38))),CODES!$A$13,IF(OR(AX38&lt;AX$39,ISNUMBER(AX38)=FALSE),AX$40,AX38))))</f>
      </c>
      <c r="AY65" s="7" t="str">
        <f>IF(ISBLANK(AY38),"NO DATA",IF(ISNUMBER(FIND(CODES!$A$12,AY38)),CODES!$A$12,IF(OR(ISNUMBER(FIND(CODES!$A$10,AY38)),ISNUMBER(FIND(CODES!$A$11,AY38))),CODES!$A$13,IF(OR(AY38&lt;AY$39,ISNUMBER(AY38)=FALSE),AY$40,AY38))))</f>
      </c>
      <c r="AZ65" s="7" t="str">
        <f>IF(ISBLANK(AZ38),"NO DATA",IF(ISNUMBER(FIND(CODES!$A$12,AZ38)),CODES!$A$12,IF(OR(ISNUMBER(FIND(CODES!$A$10,AZ38)),ISNUMBER(FIND(CODES!$A$11,AZ38))),CODES!$A$13,IF(OR(AZ38&lt;AZ$39,ISNUMBER(AZ38)=FALSE),AZ$40,AZ38))))</f>
      </c>
      <c r="BA65" s="7" t="str">
        <f>IF(ISBLANK(BA38),"NO DATA",IF(ISNUMBER(FIND(CODES!$A$12,BA38)),CODES!$A$12,IF(OR(ISNUMBER(FIND(CODES!$A$10,BA38)),ISNUMBER(FIND(CODES!$A$11,BA38))),CODES!$A$13,IF(OR(BA38&lt;BA$39,ISNUMBER(BA38)=FALSE),BA$40,BA38))))</f>
      </c>
      <c r="BB65" s="7" t="str">
        <f>IF(ISBLANK(BB38),"NO DATA",IF(ISNUMBER(FIND(CODES!$A$12,BB38)),CODES!$A$12,IF(OR(ISNUMBER(FIND(CODES!$A$10,BB38)),ISNUMBER(FIND(CODES!$A$11,BB38))),CODES!$A$13,IF(OR(BB38&lt;BB$39,ISNUMBER(BB38)=FALSE),BB$40,BB38))))</f>
      </c>
      <c r="BC65" s="7" t="str">
        <f>IF(ISBLANK(BC38),"NO DATA",IF(ISNUMBER(FIND(CODES!$A$12,BC38)),CODES!$A$12,IF(OR(ISNUMBER(FIND(CODES!$A$10,BC38)),ISNUMBER(FIND(CODES!$A$11,BC38))),CODES!$A$13,IF(OR(BC38&lt;BC$39,ISNUMBER(BC38)=FALSE),BC$40,BC38))))</f>
      </c>
      <c r="BD65" s="7" t="str">
        <f>IF(ISBLANK(BD38),"NO DATA",IF(ISNUMBER(FIND(CODES!$A$12,BD38)),CODES!$A$12,IF(OR(ISNUMBER(FIND(CODES!$A$10,BD38)),ISNUMBER(FIND(CODES!$A$11,BD38))),CODES!$A$13,IF(OR(BD38&lt;BD$39,ISNUMBER(BD38)=FALSE),BD$40,BD38))))</f>
      </c>
      <c r="BE65" s="7" t="str">
        <f>IF(ISBLANK(BE38),"NO DATA",IF(ISNUMBER(FIND(CODES!$A$12,BE38)),CODES!$A$12,IF(OR(ISNUMBER(FIND(CODES!$A$10,BE38)),ISNUMBER(FIND(CODES!$A$11,BE38))),CODES!$A$13,IF(OR(BE38&lt;BE$39,ISNUMBER(BE38)=FALSE),BE$40,BE38))))</f>
      </c>
      <c r="BF65" s="7" t="str">
        <f>IF(ISBLANK(BF38),"NO DATA",IF(ISNUMBER(FIND(CODES!$A$12,BF38)),CODES!$A$12,IF(OR(ISNUMBER(FIND(CODES!$A$10,BF38)),ISNUMBER(FIND(CODES!$A$11,BF38))),CODES!$A$13,IF(OR(BF38&lt;BF$39,ISNUMBER(BF38)=FALSE),BF$40,BF38))))</f>
      </c>
      <c r="BG65" s="7" t="str">
        <f>IF(ISBLANK(BG38),"NO DATA",IF(ISNUMBER(FIND(CODES!$A$12,BG38)),CODES!$A$12,IF(OR(ISNUMBER(FIND(CODES!$A$10,BG38)),ISNUMBER(FIND(CODES!$A$11,BG38))),CODES!$A$13,IF(OR(BG38&lt;BG$39,ISNUMBER(BG38)=FALSE),BG$40,BG38))))</f>
      </c>
      <c r="BH65" s="7" t="str">
        <f>IF(ISBLANK(BH38),"NO DATA",IF(ISNUMBER(FIND(CODES!$A$12,BH38)),CODES!$A$12,IF(OR(ISNUMBER(FIND(CODES!$A$10,BH38)),ISNUMBER(FIND(CODES!$A$11,BH38))),CODES!$A$13,IF(OR(BH38&lt;BH$39,ISNUMBER(BH38)=FALSE),BH$40,BH38))))</f>
      </c>
      <c r="BI65" s="7" t="str">
        <f>IF(ISBLANK(BI38),"NO DATA",IF(ISNUMBER(FIND(CODES!$A$12,BI38)),CODES!$A$12,IF(OR(ISNUMBER(FIND(CODES!$A$10,BI38)),ISNUMBER(FIND(CODES!$A$11,BI38))),CODES!$A$13,IF(OR(BI38&lt;BI$39,ISNUMBER(BI38)=FALSE),BI$40,BI38))))</f>
      </c>
      <c r="BJ65" s="7" t="str">
        <f>IF(ISBLANK(BJ38),"NO DATA",IF(ISNUMBER(FIND(CODES!$A$12,BJ38)),CODES!$A$12,IF(OR(ISNUMBER(FIND(CODES!$A$10,BJ38)),ISNUMBER(FIND(CODES!$A$11,BJ38))),CODES!$A$13,IF(OR(BJ38&lt;BJ$39,ISNUMBER(BJ38)=FALSE),BJ$40,BJ38))))</f>
      </c>
      <c r="BK65" s="7" t="str">
        <f>IF(ISBLANK(BK38),"NO DATA",IF(ISNUMBER(FIND(CODES!$A$12,BK38)),CODES!$A$12,IF(OR(ISNUMBER(FIND(CODES!$A$10,BK38)),ISNUMBER(FIND(CODES!$A$11,BK38))),CODES!$A$13,IF(OR(BK38&lt;BK$39,ISNUMBER(BK38)=FALSE),BK$40,BK38))))</f>
      </c>
      <c r="BL65" s="7" t="str">
        <f>IF(ISBLANK(BL38),"NO DATA",IF(ISNUMBER(FIND(CODES!$A$12,BL38)),CODES!$A$12,IF(OR(ISNUMBER(FIND(CODES!$A$10,BL38)),ISNUMBER(FIND(CODES!$A$11,BL38))),CODES!$A$13,IF(OR(BL38&lt;BL$39,ISNUMBER(BL38)=FALSE),BL$40,BL38))))</f>
      </c>
      <c r="BM65" s="7" t="str">
        <f>IF(ISBLANK(BM38),"NO DATA",IF(ISNUMBER(FIND(CODES!$A$12,BM38)),CODES!$A$12,IF(OR(ISNUMBER(FIND(CODES!$A$10,BM38)),ISNUMBER(FIND(CODES!$A$11,BM38))),CODES!$A$13,IF(OR(BM38&lt;BM$39,ISNUMBER(BM38)=FALSE),BM$40,BM38))))</f>
      </c>
      <c r="BN65" s="7" t="str">
        <f>IF(ISBLANK(BN38),"NO DATA",IF(ISNUMBER(FIND(CODES!$A$12,BN38)),CODES!$A$12,IF(OR(ISNUMBER(FIND(CODES!$A$10,BN38)),ISNUMBER(FIND(CODES!$A$11,BN38))),CODES!$A$13,IF(OR(BN38&lt;BN$39,ISNUMBER(BN38)=FALSE),BN$40,BN38))))</f>
      </c>
      <c r="BO65" s="7" t="str">
        <f>IF(ISBLANK(BO38),"NO DATA",IF(ISNUMBER(FIND(CODES!$A$12,BO38)),CODES!$A$12,IF(OR(ISNUMBER(FIND(CODES!$A$10,BO38)),ISNUMBER(FIND(CODES!$A$11,BO38))),CODES!$A$13,IF(OR(BO38&lt;BO$39,ISNUMBER(BO38)=FALSE),BO$40,BO38))))</f>
      </c>
      <c r="BP65" s="7" t="str">
        <f>IF(ISBLANK(BP38),"NO DATA",IF(ISNUMBER(FIND(CODES!$A$12,BP38)),CODES!$A$12,IF(OR(ISNUMBER(FIND(CODES!$A$10,BP38)),ISNUMBER(FIND(CODES!$A$11,BP38))),CODES!$A$13,IF(OR(BP38&lt;BP$39,ISNUMBER(BP38)=FALSE),BP$40,BP38))))</f>
      </c>
      <c r="BQ65" s="7" t="str">
        <f>IF(ISBLANK(BQ38),"NO DATA",IF(ISNUMBER(FIND(CODES!$A$12,BQ38)),CODES!$A$12,IF(OR(ISNUMBER(FIND(CODES!$A$10,BQ38)),ISNUMBER(FIND(CODES!$A$11,BQ38))),CODES!$A$13,IF(OR(BQ38&lt;BQ$39,ISNUMBER(BQ38)=FALSE),BQ$40,BQ38))))</f>
      </c>
      <c r="BR65" s="7" t="str">
        <f>IF(ISBLANK(BR38),"NO DATA",IF(ISNUMBER(FIND(CODES!$A$12,BR38)),CODES!$A$12,IF(OR(ISNUMBER(FIND(CODES!$A$10,BR38)),ISNUMBER(FIND(CODES!$A$11,BR38))),CODES!$A$13,IF(OR(BR38&lt;BR$39,ISNUMBER(BR38)=FALSE),BR$40,BR38))))</f>
      </c>
      <c r="BS65" s="7" t="str">
        <f>IF(ISBLANK(BS38),"NO DATA",IF(ISNUMBER(FIND(CODES!$A$12,BS38)),CODES!$A$12,IF(OR(ISNUMBER(FIND(CODES!$A$10,BS38)),ISNUMBER(FIND(CODES!$A$11,BS38))),CODES!$A$13,IF(OR(BS38&lt;BS$39,ISNUMBER(BS38)=FALSE),BS$40,BS38))))</f>
      </c>
      <c r="BT65" s="7" t="str">
        <f>IF(ISBLANK(BT38),"NO DATA",IF(ISNUMBER(FIND(CODES!$A$12,BT38)),CODES!$A$12,IF(OR(ISNUMBER(FIND(CODES!$A$10,BT38)),ISNUMBER(FIND(CODES!$A$11,BT38))),CODES!$A$13,IF(OR(BT38&lt;BT$39,ISNUMBER(BT38)=FALSE),BT$40,BT38))))</f>
      </c>
      <c r="BU65" s="7" t="str">
        <f>IF(ISBLANK(BU38),"NO DATA",IF(ISNUMBER(FIND(CODES!$A$12,BU38)),CODES!$A$12,IF(OR(ISNUMBER(FIND(CODES!$A$10,BU38)),ISNUMBER(FIND(CODES!$A$11,BU38))),CODES!$A$13,IF(OR(BU38&lt;BU$39,ISNUMBER(BU38)=FALSE),BU$40,BU38))))</f>
      </c>
      <c r="BV65" s="7" t="str">
        <f>IF(ISBLANK(BV38),"NO DATA",IF(ISNUMBER(FIND(CODES!$A$12,BV38)),CODES!$A$12,IF(OR(ISNUMBER(FIND(CODES!$A$10,BV38)),ISNUMBER(FIND(CODES!$A$11,BV38))),CODES!$A$13,IF(OR(BV38&lt;BV$39,ISNUMBER(BV38)=FALSE),BV$40,BV38))))</f>
      </c>
      <c r="BW65" s="7" t="str">
        <f>IF(ISBLANK(BW38),"NO DATA",IF(ISNUMBER(FIND(CODES!$A$12,BW38)),CODES!$A$12,IF(OR(ISNUMBER(FIND(CODES!$A$10,BW38)),ISNUMBER(FIND(CODES!$A$11,BW38))),CODES!$A$13,IF(OR(BW38&lt;BW$39,ISNUMBER(BW38)=FALSE),BW$40,BW38))))</f>
      </c>
      <c r="BX65" s="7" t="str">
        <f>IF(ISBLANK(BX38),"NO DATA",IF(ISNUMBER(FIND(CODES!$A$12,BX38)),CODES!$A$12,IF(OR(ISNUMBER(FIND(CODES!$A$10,BX38)),ISNUMBER(FIND(CODES!$A$11,BX38))),CODES!$A$13,IF(OR(BX38&lt;BX$39,ISNUMBER(BX38)=FALSE),BX$40,BX38))))</f>
      </c>
      <c r="BY65" s="7" t="str">
        <f>IF(ISBLANK(BY38),"NO DATA",IF(ISNUMBER(FIND(CODES!$A$12,BY38)),CODES!$A$12,IF(OR(ISNUMBER(FIND(CODES!$A$10,BY38)),ISNUMBER(FIND(CODES!$A$11,BY38))),CODES!$A$13,IF(OR(BY38&lt;BY$39,ISNUMBER(BY38)=FALSE),BY$40,BY38))))</f>
      </c>
      <c r="BZ65" s="7" t="str">
        <f>IF(ISBLANK(BZ38),"NO DATA",IF(ISNUMBER(FIND(CODES!$A$12,BZ38)),CODES!$A$12,IF(OR(ISNUMBER(FIND(CODES!$A$10,BZ38)),ISNUMBER(FIND(CODES!$A$11,BZ38))),CODES!$A$13,IF(OR(BZ38&lt;BZ$39,ISNUMBER(BZ38)=FALSE),BZ$40,BZ38))))</f>
      </c>
      <c r="CA65" s="7" t="str">
        <f>IF(ISBLANK(CA38),"NO DATA",IF(ISNUMBER(FIND(CODES!$A$12,CA38)),CODES!$A$12,IF(OR(ISNUMBER(FIND(CODES!$A$10,CA38)),ISNUMBER(FIND(CODES!$A$11,CA38))),CODES!$A$13,IF(OR(CA38&lt;CA$39,ISNUMBER(CA38)=FALSE),CA$40,CA38))))</f>
      </c>
      <c r="CB65" s="7" t="str">
        <f>IF(ISBLANK(CB38),"NO DATA",IF(ISNUMBER(FIND(CODES!$A$12,CB38)),CODES!$A$12,IF(OR(ISNUMBER(FIND(CODES!$A$10,CB38)),ISNUMBER(FIND(CODES!$A$11,CB38))),CODES!$A$13,IF(OR(CB38&lt;CB$39,ISNUMBER(CB38)=FALSE),CB$40,CB38))))</f>
      </c>
      <c r="CC65" s="7" t="str">
        <f>IF(ISBLANK(CC38),"NO DATA",IF(ISNUMBER(FIND(CODES!$A$12,CC38)),CODES!$A$12,IF(OR(ISNUMBER(FIND(CODES!$A$10,CC38)),ISNUMBER(FIND(CODES!$A$11,CC38))),CODES!$A$13,IF(OR(CC38&lt;CC$39,ISNUMBER(CC38)=FALSE),CC$40,CC38))))</f>
      </c>
      <c r="CD65" s="7" t="str">
        <f>IF(ISBLANK(CD38),"NO DATA",IF(ISNUMBER(FIND(CODES!$A$12,CD38)),CODES!$A$12,IF(OR(ISNUMBER(FIND(CODES!$A$10,CD38)),ISNUMBER(FIND(CODES!$A$11,CD38))),CODES!$A$13,IF(OR(CD38&lt;CD$39,ISNUMBER(CD38)=FALSE),CD$40,CD38))))</f>
      </c>
      <c r="CE65" s="7" t="str">
        <f>IF(ISBLANK(CE38),"NO DATA",IF(ISNUMBER(FIND(CODES!$A$12,CE38)),CODES!$A$12,IF(OR(ISNUMBER(FIND(CODES!$A$10,CE38)),ISNUMBER(FIND(CODES!$A$11,CE38))),CODES!$A$13,IF(OR(CE38&lt;CE$39,ISNUMBER(CE38)=FALSE),CE$40,CE38))))</f>
      </c>
      <c r="CF65" s="7" t="str">
        <f>IF(ISBLANK(CF38),"NO DATA",IF(ISNUMBER(FIND(CODES!$A$12,CF38)),CODES!$A$12,IF(OR(ISNUMBER(FIND(CODES!$A$10,CF38)),ISNUMBER(FIND(CODES!$A$11,CF38))),CODES!$A$13,IF(OR(CF38&lt;CF$39,ISNUMBER(CF38)=FALSE),CF$40,CF38))))</f>
      </c>
      <c r="CG65" s="7" t="str">
        <f>IF(ISBLANK(CG38),"NO DATA",IF(ISNUMBER(FIND(CODES!$A$12,CG38)),CODES!$A$12,IF(OR(ISNUMBER(FIND(CODES!$A$10,CG38)),ISNUMBER(FIND(CODES!$A$11,CG38))),CODES!$A$13,IF(OR(CG38&lt;CG$39,ISNUMBER(CG38)=FALSE),CG$40,CG38))))</f>
      </c>
      <c r="CH65" s="7" t="str">
        <f>IF(ISBLANK(CH38),"NO DATA",IF(ISNUMBER(FIND(CODES!$A$12,CH38)),CODES!$A$12,IF(OR(ISNUMBER(FIND(CODES!$A$10,CH38)),ISNUMBER(FIND(CODES!$A$11,CH38))),CODES!$A$13,IF(OR(CH38&lt;CH$39,ISNUMBER(CH38)=FALSE),CH$40,CH38))))</f>
      </c>
      <c r="CI65" s="7" t="str">
        <f>IF(ISBLANK(CI38),"NO DATA",IF(ISNUMBER(FIND(CODES!$A$12,CI38)),CODES!$A$12,IF(OR(ISNUMBER(FIND(CODES!$A$10,CI38)),ISNUMBER(FIND(CODES!$A$11,CI38))),CODES!$A$13,IF(OR(CI38&lt;CI$39,ISNUMBER(CI38)=FALSE),CI$40,CI38))))</f>
      </c>
      <c r="CJ65" s="7" t="str">
        <f>IF(ISBLANK(CJ38),"NO DATA",IF(ISNUMBER(FIND(CODES!$A$12,CJ38)),CODES!$A$12,IF(OR(ISNUMBER(FIND(CODES!$A$10,CJ38)),ISNUMBER(FIND(CODES!$A$11,CJ38))),CODES!$A$13,IF(OR(CJ38&lt;CJ$39,ISNUMBER(CJ38)=FALSE),CJ$40,CJ38))))</f>
      </c>
      <c r="CK65" s="7" t="str">
        <f>IF(ISBLANK(CK38),"NO DATA",IF(ISNUMBER(FIND(CODES!$A$12,CK38)),CODES!$A$12,IF(OR(ISNUMBER(FIND(CODES!$A$10,CK38)),ISNUMBER(FIND(CODES!$A$11,CK38))),CODES!$A$13,IF(OR(CK38&lt;CK$39,ISNUMBER(CK38)=FALSE),CK$40,CK38))))</f>
      </c>
      <c r="CL65" s="7" t="str">
        <f>IF(ISBLANK(CL38),"NO DATA",IF(ISNUMBER(FIND(CODES!$A$12,CL38)),CODES!$A$12,IF(OR(ISNUMBER(FIND(CODES!$A$10,CL38)),ISNUMBER(FIND(CODES!$A$11,CL38))),CODES!$A$13,IF(OR(CL38&lt;CL$39,ISNUMBER(CL38)=FALSE),CL$40,CL38))))</f>
      </c>
      <c r="CM65" s="7" t="str">
        <f>IF(ISBLANK(CM38),"NO DATA",IF(ISNUMBER(FIND(CODES!$A$12,CM38)),CODES!$A$12,IF(OR(ISNUMBER(FIND(CODES!$A$10,CM38)),ISNUMBER(FIND(CODES!$A$11,CM38))),CODES!$A$13,IF(OR(CM38&lt;CM$39,ISNUMBER(CM38)=FALSE),CM$40,CM38))))</f>
      </c>
      <c r="CN65" s="7" t="str">
        <f>IF(ISBLANK(CN38),"NO DATA",IF(ISNUMBER(FIND(CODES!$A$12,CN38)),CODES!$A$12,IF(OR(ISNUMBER(FIND(CODES!$A$10,CN38)),ISNUMBER(FIND(CODES!$A$11,CN38))),CODES!$A$13,IF(OR(CN38&lt;CN$39,ISNUMBER(CN38)=FALSE),CN$40,CN38))))</f>
      </c>
      <c r="CO65" s="7" t="str">
        <f>IF(ISBLANK(CO38),"NO DATA",IF(ISNUMBER(FIND(CODES!$A$12,CO38)),CODES!$A$12,IF(OR(ISNUMBER(FIND(CODES!$A$10,CO38)),ISNUMBER(FIND(CODES!$A$11,CO38))),CODES!$A$13,IF(OR(CO38&lt;CO$39,ISNUMBER(CO38)=FALSE),CO$40,CO38))))</f>
      </c>
      <c r="CP65" s="7" t="str">
        <f>IF(ISBLANK(CP38),"NO DATA",IF(ISNUMBER(FIND(CODES!$A$12,CP38)),CODES!$A$12,IF(OR(ISNUMBER(FIND(CODES!$A$10,CP38)),ISNUMBER(FIND(CODES!$A$11,CP38))),CODES!$A$13,IF(OR(CP38&lt;CP$39,ISNUMBER(CP38)=FALSE),CP$40,CP38))))</f>
      </c>
      <c r="CQ65" s="7" t="str">
        <f>IF(ISBLANK(CQ38),"NO DATA",IF(ISNUMBER(FIND(CODES!$A$12,CQ38)),CODES!$A$12,IF(OR(ISNUMBER(FIND(CODES!$A$10,CQ38)),ISNUMBER(FIND(CODES!$A$11,CQ38))),CODES!$A$13,IF(OR(CQ38&lt;CQ$39,ISNUMBER(CQ38)=FALSE),CQ$40,CQ38))))</f>
      </c>
      <c r="CR65" s="7" t="str">
        <f>IF(ISBLANK(CR38),"NO DATA",IF(ISNUMBER(FIND(CODES!$A$12,CR38)),CODES!$A$12,IF(OR(ISNUMBER(FIND(CODES!$A$10,CR38)),ISNUMBER(FIND(CODES!$A$11,CR38))),CODES!$A$13,IF(OR(CR38&lt;CR$39,ISNUMBER(CR38)=FALSE),CR$40,CR38))))</f>
      </c>
      <c r="CS65" s="7" t="str">
        <f>IF(ISBLANK(CS38),"NO DATA",IF(ISNUMBER(FIND(CODES!$A$12,CS38)),CODES!$A$12,IF(OR(ISNUMBER(FIND(CODES!$A$10,CS38)),ISNUMBER(FIND(CODES!$A$11,CS38))),CODES!$A$13,IF(OR(CS38&lt;CS$39,ISNUMBER(CS38)=FALSE),CS$40,CS38))))</f>
      </c>
      <c r="CT65" s="7" t="str">
        <f>IF(ISBLANK(CT38),"NO DATA",IF(ISNUMBER(FIND(CODES!$A$12,CT38)),CODES!$A$12,IF(OR(ISNUMBER(FIND(CODES!$A$10,CT38)),ISNUMBER(FIND(CODES!$A$11,CT38))),CODES!$A$13,IF(OR(CT38&lt;CT$39,ISNUMBER(CT38)=FALSE),CT$40,CT38))))</f>
      </c>
      <c r="CU65" s="7" t="str">
        <f>IF(ISBLANK(CU38),"NO DATA",IF(ISNUMBER(FIND(CODES!$A$12,CU38)),CODES!$A$12,IF(OR(ISNUMBER(FIND(CODES!$A$10,CU38)),ISNUMBER(FIND(CODES!$A$11,CU38))),CODES!$A$13,IF(OR(CU38&lt;CU$39,ISNUMBER(CU38)=FALSE),CU$40,CU38))))</f>
      </c>
      <c r="CV65" s="7" t="str">
        <f>IF(ISBLANK(CV38),"NO DATA",IF(ISNUMBER(FIND(CODES!$A$12,CV38)),CODES!$A$12,IF(OR(ISNUMBER(FIND(CODES!$A$10,CV38)),ISNUMBER(FIND(CODES!$A$11,CV38))),CODES!$A$13,IF(OR(CV38&lt;CV$39,ISNUMBER(CV38)=FALSE),CV$40,CV38))))</f>
      </c>
      <c r="CW65" s="7" t="str">
        <f>IF(ISBLANK(CW38),"NO DATA",IF(ISNUMBER(FIND(CODES!$A$12,CW38)),CODES!$A$12,IF(OR(ISNUMBER(FIND(CODES!$A$10,CW38)),ISNUMBER(FIND(CODES!$A$11,CW38))),CODES!$A$13,IF(OR(CW38&lt;CW$39,ISNUMBER(CW38)=FALSE),CW$40,CW38))))</f>
      </c>
      <c r="CX65" s="7" t="str">
        <f>IF(ISBLANK(CX38),"NO DATA",IF(ISNUMBER(FIND(CODES!$A$12,CX38)),CODES!$A$12,IF(OR(ISNUMBER(FIND(CODES!$A$10,CX38)),ISNUMBER(FIND(CODES!$A$11,CX38))),CODES!$A$13,IF(OR(CX38&lt;CX$39,ISNUMBER(CX38)=FALSE),CX$40,CX38))))</f>
      </c>
      <c r="CY65" s="7" t="str">
        <f>IF(ISBLANK(CY38),"NO DATA",IF(ISNUMBER(FIND(CODES!$A$12,CY38)),CODES!$A$12,IF(OR(ISNUMBER(FIND(CODES!$A$10,CY38)),ISNUMBER(FIND(CODES!$A$11,CY38))),CODES!$A$13,IF(OR(CY38&lt;CY$39,ISNUMBER(CY38)=FALSE),CY$40,CY38))))</f>
      </c>
      <c r="CZ65" s="7" t="str">
        <f>IF(ISBLANK(CZ38),"NO DATA",IF(ISNUMBER(FIND(CODES!$A$12,CZ38)),CODES!$A$12,IF(OR(ISNUMBER(FIND(CODES!$A$10,CZ38)),ISNUMBER(FIND(CODES!$A$11,CZ38))),CODES!$A$13,IF(OR(CZ38&lt;CZ$39,ISNUMBER(CZ38)=FALSE),CZ$40,CZ38))))</f>
      </c>
      <c r="DA65" s="7" t="str">
        <f>IF(ISBLANK(DA38),"NO DATA",IF(ISNUMBER(FIND(CODES!$A$12,DA38)),CODES!$A$12,IF(OR(ISNUMBER(FIND(CODES!$A$10,DA38)),ISNUMBER(FIND(CODES!$A$11,DA38))),CODES!$A$13,IF(OR(DA38&lt;DA$39,ISNUMBER(DA38)=FALSE),DA$40,DA38))))</f>
      </c>
      <c r="DB65" s="7" t="str">
        <f>IF(ISBLANK(DB38),"NO DATA",IF(ISNUMBER(FIND(CODES!$A$12,DB38)),CODES!$A$12,IF(OR(ISNUMBER(FIND(CODES!$A$10,DB38)),ISNUMBER(FIND(CODES!$A$11,DB38))),CODES!$A$13,IF(OR(DB38&lt;DB$39,ISNUMBER(DB38)=FALSE),DB$40,DB38))))</f>
      </c>
      <c r="DC65" s="7" t="str">
        <f>IF(ISBLANK(DC38),"NO DATA",IF(ISNUMBER(FIND(CODES!$A$12,DC38)),CODES!$A$12,IF(OR(ISNUMBER(FIND(CODES!$A$10,DC38)),ISNUMBER(FIND(CODES!$A$11,DC38))),CODES!$A$13,IF(OR(DC38&lt;DC$39,ISNUMBER(DC38)=FALSE),DC$40,DC38))))</f>
      </c>
      <c r="DD65" s="7" t="str">
        <f>IF(ISBLANK(DD38),"NO DATA",IF(ISNUMBER(FIND(CODES!$A$12,DD38)),CODES!$A$12,IF(OR(ISNUMBER(FIND(CODES!$A$10,DD38)),ISNUMBER(FIND(CODES!$A$11,DD38))),CODES!$A$13,IF(OR(DD38&lt;DD$39,ISNUMBER(DD38)=FALSE),DD$40,DD38))))</f>
      </c>
      <c r="DE65" s="7" t="str">
        <f>IF(ISBLANK(DE38),"NO DATA",IF(ISNUMBER(FIND(CODES!$A$12,DE38)),CODES!$A$12,IF(OR(ISNUMBER(FIND(CODES!$A$10,DE38)),ISNUMBER(FIND(CODES!$A$11,DE38))),CODES!$A$13,IF(OR(DE38&lt;DE$39,ISNUMBER(DE38)=FALSE),DE$40,DE38))))</f>
      </c>
      <c r="DF65" s="7" t="str">
        <f>IF(ISBLANK(DF38),"NO DATA",IF(ISNUMBER(FIND(CODES!$A$12,DF38)),CODES!$A$12,IF(OR(ISNUMBER(FIND(CODES!$A$10,DF38)),ISNUMBER(FIND(CODES!$A$11,DF38))),CODES!$A$13,IF(OR(DF38&lt;DF$39,ISNUMBER(DF38)=FALSE),DF$40,DF38))))</f>
      </c>
      <c r="DG65" s="7" t="str">
        <f>IF(ISBLANK(DG38),"NO DATA",IF(ISNUMBER(FIND(CODES!$A$12,DG38)),CODES!$A$12,IF(OR(ISNUMBER(FIND(CODES!$A$10,DG38)),ISNUMBER(FIND(CODES!$A$11,DG38))),CODES!$A$13,IF(OR(DG38&lt;DG$39,ISNUMBER(DG38)=FALSE),DG$40,DG38))))</f>
      </c>
      <c r="DH65" s="7" t="str">
        <f>IF(ISBLANK(DH38),"NO DATA",IF(ISNUMBER(FIND(CODES!$A$12,DH38)),CODES!$A$12,IF(OR(ISNUMBER(FIND(CODES!$A$10,DH38)),ISNUMBER(FIND(CODES!$A$11,DH38))),CODES!$A$13,IF(OR(DH38&lt;DH$39,ISNUMBER(DH38)=FALSE),DH$40,DH38))))</f>
      </c>
      <c r="DI65" s="7" t="str">
        <f>IF(ISBLANK(DI38),"NO DATA",IF(ISNUMBER(FIND(CODES!$A$12,DI38)),CODES!$A$12,IF(OR(ISNUMBER(FIND(CODES!$A$10,DI38)),ISNUMBER(FIND(CODES!$A$11,DI38))),CODES!$A$13,IF(OR(DI38&lt;DI$39,ISNUMBER(DI38)=FALSE),DI$40,DI38))))</f>
      </c>
    </row>
    <row r="66" spans="1:113" x14ac:dyDescent="0.25">
      <c r="A66" s="9"/>
      <c r="B66" s="10"/>
      <c r="C66" s="15"/>
      <c r="D66" s="11"/>
      <c r="E66" s="12"/>
      <c r="F66" s="13"/>
      <c r="G66" s="17"/>
      <c r="H66" s="11"/>
      <c r="I66" s="11"/>
      <c r="J66" s="11"/>
      <c r="K66" s="12"/>
      <c r="L66" s="12"/>
      <c r="M66" s="12"/>
      <c r="N66" s="15"/>
      <c r="O66" s="15"/>
      <c r="P66" s="15"/>
      <c r="Q66" s="12"/>
      <c r="R66" s="17"/>
      <c r="S66" s="11"/>
      <c r="T66" s="12"/>
      <c r="U66" s="11"/>
      <c r="V66" s="14"/>
      <c r="W66" s="11"/>
      <c r="X66" s="11"/>
      <c r="Y66" s="13"/>
    </row>
    <row r="67" spans="1:113" x14ac:dyDescent="0.25">
      <c r="A67" s="9"/>
      <c r="B67" s="10"/>
      <c r="C67" s="15"/>
      <c r="D67" s="11"/>
      <c r="E67" s="12"/>
      <c r="F67" s="13"/>
      <c r="G67" s="17"/>
      <c r="H67" s="11"/>
      <c r="I67" s="11"/>
      <c r="J67" s="11"/>
      <c r="K67" s="12"/>
      <c r="L67" s="12"/>
      <c r="M67" s="12"/>
      <c r="N67" s="15"/>
      <c r="O67" s="15"/>
      <c r="P67" s="15"/>
      <c r="Q67" s="12"/>
      <c r="R67" s="17"/>
      <c r="S67" s="11"/>
      <c r="T67" s="12"/>
      <c r="U67" s="11"/>
      <c r="V67" s="14"/>
      <c r="W67" s="11"/>
      <c r="X67" s="11"/>
      <c r="Y67" s="13"/>
    </row>
    <row r="68" spans="1:113" x14ac:dyDescent="0.25">
      <c r="A68" s="46" t="s">
        <v>292</v>
      </c>
      <c r="B68" s="10"/>
      <c r="C68" s="15"/>
      <c r="D68" s="13"/>
      <c r="E68" s="11"/>
      <c r="F68" s="15"/>
      <c r="G68" s="12"/>
      <c r="H68" s="13"/>
      <c r="I68"/>
      <c r="J68"/>
      <c r="K68"/>
      <c r="L68"/>
      <c r="M68"/>
      <c r="N68"/>
      <c r="O68"/>
      <c r="P68"/>
      <c r="Q68"/>
      <c r="R68"/>
      <c r="S68"/>
      <c r="T68"/>
      <c r="U68"/>
      <c r="V68"/>
      <c r="W68"/>
      <c r="X68"/>
      <c r="Y68"/>
    </row>
    <row r="69" spans="1:113" x14ac:dyDescent="0.25">
      <c r="A69" s="100" t="s">
        <v>301</v>
      </c>
      <c r="B69" s="100"/>
      <c r="C69" s="48" t="str">
        <f>C17</f>
      </c>
      <c r="D69" s="8" t="str">
        <f t="shared" ref="D69:BO69" si="9">D17</f>
      </c>
      <c r="E69" s="48" t="str">
        <f t="shared" si="9"/>
      </c>
      <c r="F69" s="48" t="str">
        <f t="shared" si="9"/>
      </c>
      <c r="G69" s="8" t="str">
        <f t="shared" si="9"/>
      </c>
      <c r="H69" s="8" t="str">
        <f t="shared" si="9"/>
      </c>
      <c r="I69" s="48" t="str">
        <f t="shared" si="9"/>
      </c>
      <c r="J69" s="8" t="str">
        <f t="shared" si="9"/>
      </c>
      <c r="K69" s="48" t="str">
        <f t="shared" si="9"/>
      </c>
      <c r="L69" s="8" t="str">
        <f t="shared" si="9"/>
      </c>
      <c r="M69" s="48" t="str">
        <f t="shared" si="9"/>
      </c>
      <c r="N69" s="8" t="str">
        <f t="shared" si="9"/>
      </c>
      <c r="O69" s="48" t="str">
        <f t="shared" si="9"/>
      </c>
      <c r="P69" s="48" t="str">
        <f t="shared" si="9"/>
      </c>
      <c r="Q69" s="8" t="str">
        <f t="shared" si="9"/>
      </c>
      <c r="R69" s="48" t="str">
        <f t="shared" si="9"/>
      </c>
      <c r="S69" s="8" t="str">
        <f t="shared" si="9"/>
      </c>
      <c r="T69" s="48" t="str">
        <f t="shared" si="9"/>
      </c>
      <c r="U69" s="8" t="str">
        <f t="shared" si="9"/>
      </c>
      <c r="V69" s="48" t="str">
        <f t="shared" si="9"/>
      </c>
      <c r="W69" s="8" t="str">
        <f t="shared" si="9"/>
      </c>
      <c r="X69" s="8" t="str">
        <f t="shared" si="9"/>
      </c>
      <c r="Y69" s="48" t="str">
        <f t="shared" si="9"/>
      </c>
      <c r="Z69" s="48" t="str">
        <f t="shared" si="9"/>
      </c>
      <c r="AA69" s="8" t="str">
        <f t="shared" si="9"/>
      </c>
      <c r="AB69" s="48" t="str">
        <f t="shared" si="9"/>
      </c>
      <c r="AC69" s="8" t="str">
        <f t="shared" si="9"/>
      </c>
      <c r="AD69" s="48" t="str">
        <f t="shared" si="9"/>
      </c>
      <c r="AE69" s="8" t="str">
        <f t="shared" si="9"/>
      </c>
      <c r="AF69" s="48" t="str">
        <f t="shared" si="9"/>
      </c>
      <c r="AG69" s="8" t="str">
        <f t="shared" si="9"/>
      </c>
      <c r="AH69" s="48" t="str">
        <f t="shared" si="9"/>
      </c>
      <c r="AI69" s="48" t="str">
        <f t="shared" si="9"/>
      </c>
      <c r="AJ69" s="8" t="str">
        <f t="shared" si="9"/>
      </c>
      <c r="AK69" s="8" t="str">
        <f t="shared" si="9"/>
      </c>
      <c r="AL69" s="48" t="str">
        <f t="shared" si="9"/>
      </c>
      <c r="AM69" s="8" t="str">
        <f t="shared" si="9"/>
      </c>
      <c r="AN69" s="48" t="str">
        <f t="shared" si="9"/>
      </c>
      <c r="AO69" s="8" t="str">
        <f t="shared" si="9"/>
      </c>
      <c r="AP69" s="48" t="str">
        <f t="shared" si="9"/>
      </c>
      <c r="AQ69" s="8" t="str">
        <f t="shared" si="9"/>
      </c>
      <c r="AR69" s="48" t="str">
        <f t="shared" si="9"/>
      </c>
      <c r="AS69" s="48" t="str">
        <f t="shared" si="9"/>
      </c>
      <c r="AT69" s="48" t="str">
        <f t="shared" si="9"/>
      </c>
      <c r="AU69" s="8" t="str">
        <f t="shared" si="9"/>
      </c>
      <c r="AV69" s="8" t="str">
        <f t="shared" si="9"/>
      </c>
      <c r="AW69" s="48" t="str">
        <f t="shared" si="9"/>
      </c>
      <c r="AX69" s="48" t="str">
        <f t="shared" si="9"/>
      </c>
      <c r="AY69" s="8" t="str">
        <f t="shared" si="9"/>
      </c>
      <c r="AZ69" s="48" t="str">
        <f t="shared" si="9"/>
      </c>
      <c r="BA69" s="8" t="str">
        <f t="shared" si="9"/>
      </c>
      <c r="BB69" s="48" t="str">
        <f t="shared" si="9"/>
      </c>
      <c r="BC69" s="8" t="str">
        <f t="shared" si="9"/>
      </c>
      <c r="BD69" s="48" t="str">
        <f t="shared" si="9"/>
      </c>
      <c r="BE69" s="8" t="str">
        <f t="shared" si="9"/>
      </c>
      <c r="BF69" s="8" t="str">
        <f t="shared" si="9"/>
      </c>
      <c r="BG69" s="48" t="str">
        <f t="shared" si="9"/>
      </c>
      <c r="BH69" s="8" t="str">
        <f t="shared" si="9"/>
      </c>
      <c r="BI69" s="48" t="str">
        <f t="shared" si="9"/>
      </c>
      <c r="BJ69" s="48" t="str">
        <f t="shared" si="9"/>
      </c>
      <c r="BK69" s="8" t="str">
        <f t="shared" si="9"/>
      </c>
      <c r="BL69" s="8" t="str">
        <f t="shared" si="9"/>
      </c>
      <c r="BM69" s="48" t="str">
        <f t="shared" si="9"/>
      </c>
      <c r="BN69" s="8" t="str">
        <f t="shared" si="9"/>
      </c>
      <c r="BO69" s="8" t="str">
        <f t="shared" si="9"/>
      </c>
      <c r="BP69" s="48" t="str">
        <f t="shared" ref="BP69:DI69" si="10">BP17</f>
      </c>
      <c r="BQ69" s="48" t="str">
        <f t="shared" si="10"/>
      </c>
      <c r="BR69" s="48" t="str">
        <f t="shared" si="10"/>
      </c>
      <c r="BS69" s="8" t="str">
        <f t="shared" si="10"/>
      </c>
      <c r="BT69" s="48" t="str">
        <f t="shared" si="10"/>
      </c>
      <c r="BU69" s="48" t="str">
        <f t="shared" si="10"/>
      </c>
      <c r="BV69" s="8" t="str">
        <f t="shared" si="10"/>
      </c>
      <c r="BW69" s="8" t="str">
        <f t="shared" si="10"/>
      </c>
      <c r="BX69" s="48" t="str">
        <f t="shared" si="10"/>
      </c>
      <c r="BY69" s="48" t="str">
        <f t="shared" si="10"/>
      </c>
      <c r="BZ69" s="8" t="str">
        <f t="shared" si="10"/>
      </c>
      <c r="CA69" s="48" t="str">
        <f t="shared" si="10"/>
      </c>
      <c r="CB69" s="8" t="str">
        <f t="shared" si="10"/>
      </c>
      <c r="CC69" s="48" t="str">
        <f t="shared" si="10"/>
      </c>
      <c r="CD69" s="8" t="str">
        <f t="shared" si="10"/>
      </c>
      <c r="CE69" s="48" t="str">
        <f t="shared" si="10"/>
      </c>
      <c r="CF69" s="8" t="str">
        <f t="shared" si="10"/>
      </c>
      <c r="CG69" s="48" t="str">
        <f t="shared" si="10"/>
      </c>
      <c r="CH69" s="8" t="str">
        <f t="shared" si="10"/>
      </c>
      <c r="CI69" s="8" t="str">
        <f t="shared" si="10"/>
      </c>
      <c r="CJ69" s="48" t="str">
        <f t="shared" si="10"/>
      </c>
      <c r="CK69" s="8" t="str">
        <f t="shared" si="10"/>
      </c>
      <c r="CL69" s="48" t="str">
        <f t="shared" si="10"/>
      </c>
      <c r="CM69" s="8" t="str">
        <f t="shared" si="10"/>
      </c>
      <c r="CN69" s="48" t="str">
        <f t="shared" si="10"/>
      </c>
      <c r="CO69" s="48" t="str">
        <f t="shared" si="10"/>
      </c>
      <c r="CP69" s="8" t="str">
        <f t="shared" si="10"/>
      </c>
      <c r="CQ69" s="48" t="str">
        <f t="shared" si="10"/>
      </c>
      <c r="CR69" s="8" t="str">
        <f t="shared" si="10"/>
      </c>
      <c r="CS69" s="8" t="str">
        <f t="shared" si="10"/>
      </c>
      <c r="CT69" s="48" t="str">
        <f t="shared" si="10"/>
      </c>
      <c r="CU69" s="8" t="str">
        <f t="shared" si="10"/>
      </c>
      <c r="CV69" s="8" t="str">
        <f t="shared" si="10"/>
      </c>
      <c r="CW69" s="48" t="str">
        <f t="shared" si="10"/>
      </c>
      <c r="CX69" s="48" t="str">
        <f t="shared" si="10"/>
      </c>
      <c r="CY69" s="8" t="str">
        <f t="shared" si="10"/>
      </c>
      <c r="CZ69" s="48" t="str">
        <f t="shared" si="10"/>
      </c>
      <c r="DA69" s="8" t="str">
        <f t="shared" si="10"/>
      </c>
      <c r="DB69" s="8" t="str">
        <f t="shared" si="10"/>
      </c>
      <c r="DC69" s="48" t="str">
        <f t="shared" si="10"/>
      </c>
      <c r="DD69" s="48" t="str">
        <f t="shared" si="10"/>
      </c>
      <c r="DE69" s="8" t="str">
        <f t="shared" si="10"/>
      </c>
      <c r="DF69" s="8" t="str">
        <f t="shared" si="10"/>
      </c>
      <c r="DG69" s="48" t="str">
        <f t="shared" si="10"/>
      </c>
      <c r="DH69" s="8" t="str">
        <f t="shared" si="10"/>
      </c>
      <c r="DI69" s="48" t="str">
        <f t="shared" si="10"/>
      </c>
    </row>
    <row r="70" spans="1:113" x14ac:dyDescent="0.25">
      <c r="A70" s="47" t="s">
        <v>122</v>
      </c>
      <c r="B70" s="47" t="s">
        <v>123</v>
      </c>
      <c r="C70" s="48" t="str">
        <f>C18</f>
      </c>
      <c r="D70" s="8" t="str">
        <f t="shared" ref="D70:BO70" si="11">D18</f>
      </c>
      <c r="E70" s="48" t="str">
        <f t="shared" si="11"/>
      </c>
      <c r="F70" s="48" t="str">
        <f t="shared" si="11"/>
      </c>
      <c r="G70" s="8" t="str">
        <f t="shared" si="11"/>
      </c>
      <c r="H70" s="8" t="str">
        <f t="shared" si="11"/>
      </c>
      <c r="I70" s="48" t="str">
        <f t="shared" si="11"/>
      </c>
      <c r="J70" s="8" t="str">
        <f t="shared" si="11"/>
      </c>
      <c r="K70" s="48" t="str">
        <f t="shared" si="11"/>
      </c>
      <c r="L70" s="8" t="str">
        <f t="shared" si="11"/>
      </c>
      <c r="M70" s="48" t="str">
        <f t="shared" si="11"/>
      </c>
      <c r="N70" s="8" t="str">
        <f t="shared" si="11"/>
      </c>
      <c r="O70" s="48" t="str">
        <f t="shared" si="11"/>
      </c>
      <c r="P70" s="48" t="str">
        <f t="shared" si="11"/>
      </c>
      <c r="Q70" s="8" t="str">
        <f t="shared" si="11"/>
      </c>
      <c r="R70" s="48" t="str">
        <f t="shared" si="11"/>
      </c>
      <c r="S70" s="8" t="str">
        <f t="shared" si="11"/>
      </c>
      <c r="T70" s="48" t="str">
        <f t="shared" si="11"/>
      </c>
      <c r="U70" s="8" t="str">
        <f t="shared" si="11"/>
      </c>
      <c r="V70" s="48" t="str">
        <f t="shared" si="11"/>
      </c>
      <c r="W70" s="8" t="str">
        <f t="shared" si="11"/>
      </c>
      <c r="X70" s="8" t="str">
        <f t="shared" si="11"/>
      </c>
      <c r="Y70" s="48" t="str">
        <f t="shared" si="11"/>
      </c>
      <c r="Z70" s="48" t="str">
        <f t="shared" si="11"/>
      </c>
      <c r="AA70" s="8" t="str">
        <f t="shared" si="11"/>
      </c>
      <c r="AB70" s="48" t="str">
        <f t="shared" si="11"/>
      </c>
      <c r="AC70" s="8" t="str">
        <f t="shared" si="11"/>
      </c>
      <c r="AD70" s="48" t="str">
        <f t="shared" si="11"/>
      </c>
      <c r="AE70" s="8" t="str">
        <f t="shared" si="11"/>
      </c>
      <c r="AF70" s="48" t="str">
        <f t="shared" si="11"/>
      </c>
      <c r="AG70" s="8" t="str">
        <f t="shared" si="11"/>
      </c>
      <c r="AH70" s="48" t="str">
        <f t="shared" si="11"/>
      </c>
      <c r="AI70" s="48" t="str">
        <f t="shared" si="11"/>
      </c>
      <c r="AJ70" s="8" t="str">
        <f t="shared" si="11"/>
      </c>
      <c r="AK70" s="8" t="str">
        <f t="shared" si="11"/>
      </c>
      <c r="AL70" s="48" t="str">
        <f t="shared" si="11"/>
      </c>
      <c r="AM70" s="8" t="str">
        <f t="shared" si="11"/>
      </c>
      <c r="AN70" s="48" t="str">
        <f t="shared" si="11"/>
      </c>
      <c r="AO70" s="8" t="str">
        <f t="shared" si="11"/>
      </c>
      <c r="AP70" s="48" t="str">
        <f t="shared" si="11"/>
      </c>
      <c r="AQ70" s="8" t="str">
        <f t="shared" si="11"/>
      </c>
      <c r="AR70" s="48" t="str">
        <f t="shared" si="11"/>
      </c>
      <c r="AS70" s="48" t="str">
        <f t="shared" si="11"/>
      </c>
      <c r="AT70" s="48" t="str">
        <f t="shared" si="11"/>
      </c>
      <c r="AU70" s="8" t="str">
        <f t="shared" si="11"/>
      </c>
      <c r="AV70" s="8" t="str">
        <f t="shared" si="11"/>
      </c>
      <c r="AW70" s="48" t="str">
        <f t="shared" si="11"/>
      </c>
      <c r="AX70" s="48" t="str">
        <f t="shared" si="11"/>
      </c>
      <c r="AY70" s="8" t="str">
        <f t="shared" si="11"/>
      </c>
      <c r="AZ70" s="48" t="str">
        <f t="shared" si="11"/>
      </c>
      <c r="BA70" s="8" t="str">
        <f t="shared" si="11"/>
      </c>
      <c r="BB70" s="48" t="str">
        <f t="shared" si="11"/>
      </c>
      <c r="BC70" s="8" t="str">
        <f t="shared" si="11"/>
      </c>
      <c r="BD70" s="48" t="str">
        <f t="shared" si="11"/>
      </c>
      <c r="BE70" s="8" t="str">
        <f t="shared" si="11"/>
      </c>
      <c r="BF70" s="8" t="str">
        <f t="shared" si="11"/>
      </c>
      <c r="BG70" s="48" t="str">
        <f t="shared" si="11"/>
      </c>
      <c r="BH70" s="8" t="str">
        <f t="shared" si="11"/>
      </c>
      <c r="BI70" s="48" t="str">
        <f t="shared" si="11"/>
      </c>
      <c r="BJ70" s="48" t="str">
        <f t="shared" si="11"/>
      </c>
      <c r="BK70" s="8" t="str">
        <f t="shared" si="11"/>
      </c>
      <c r="BL70" s="8" t="str">
        <f t="shared" si="11"/>
      </c>
      <c r="BM70" s="48" t="str">
        <f t="shared" si="11"/>
      </c>
      <c r="BN70" s="8" t="str">
        <f t="shared" si="11"/>
      </c>
      <c r="BO70" s="8" t="str">
        <f t="shared" si="11"/>
      </c>
      <c r="BP70" s="48" t="str">
        <f t="shared" ref="BP70:DI70" si="12">BP18</f>
      </c>
      <c r="BQ70" s="48" t="str">
        <f t="shared" si="12"/>
      </c>
      <c r="BR70" s="48" t="str">
        <f t="shared" si="12"/>
      </c>
      <c r="BS70" s="8" t="str">
        <f t="shared" si="12"/>
      </c>
      <c r="BT70" s="48" t="str">
        <f t="shared" si="12"/>
      </c>
      <c r="BU70" s="48" t="str">
        <f t="shared" si="12"/>
      </c>
      <c r="BV70" s="8" t="str">
        <f t="shared" si="12"/>
      </c>
      <c r="BW70" s="8" t="str">
        <f t="shared" si="12"/>
      </c>
      <c r="BX70" s="48" t="str">
        <f t="shared" si="12"/>
      </c>
      <c r="BY70" s="48" t="str">
        <f t="shared" si="12"/>
      </c>
      <c r="BZ70" s="8" t="str">
        <f t="shared" si="12"/>
      </c>
      <c r="CA70" s="48" t="str">
        <f t="shared" si="12"/>
      </c>
      <c r="CB70" s="8" t="str">
        <f t="shared" si="12"/>
      </c>
      <c r="CC70" s="48" t="str">
        <f t="shared" si="12"/>
      </c>
      <c r="CD70" s="8" t="str">
        <f t="shared" si="12"/>
      </c>
      <c r="CE70" s="48" t="str">
        <f t="shared" si="12"/>
      </c>
      <c r="CF70" s="8" t="str">
        <f t="shared" si="12"/>
      </c>
      <c r="CG70" s="48" t="str">
        <f t="shared" si="12"/>
      </c>
      <c r="CH70" s="8" t="str">
        <f t="shared" si="12"/>
      </c>
      <c r="CI70" s="8" t="str">
        <f t="shared" si="12"/>
      </c>
      <c r="CJ70" s="48" t="str">
        <f t="shared" si="12"/>
      </c>
      <c r="CK70" s="8" t="str">
        <f t="shared" si="12"/>
      </c>
      <c r="CL70" s="48" t="str">
        <f t="shared" si="12"/>
      </c>
      <c r="CM70" s="8" t="str">
        <f t="shared" si="12"/>
      </c>
      <c r="CN70" s="48" t="str">
        <f t="shared" si="12"/>
      </c>
      <c r="CO70" s="48" t="str">
        <f t="shared" si="12"/>
      </c>
      <c r="CP70" s="8" t="str">
        <f t="shared" si="12"/>
      </c>
      <c r="CQ70" s="48" t="str">
        <f t="shared" si="12"/>
      </c>
      <c r="CR70" s="8" t="str">
        <f t="shared" si="12"/>
      </c>
      <c r="CS70" s="8" t="str">
        <f t="shared" si="12"/>
      </c>
      <c r="CT70" s="48" t="str">
        <f t="shared" si="12"/>
      </c>
      <c r="CU70" s="8" t="str">
        <f t="shared" si="12"/>
      </c>
      <c r="CV70" s="8" t="str">
        <f t="shared" si="12"/>
      </c>
      <c r="CW70" s="48" t="str">
        <f t="shared" si="12"/>
      </c>
      <c r="CX70" s="48" t="str">
        <f t="shared" si="12"/>
      </c>
      <c r="CY70" s="8" t="str">
        <f t="shared" si="12"/>
      </c>
      <c r="CZ70" s="48" t="str">
        <f t="shared" si="12"/>
      </c>
      <c r="DA70" s="8" t="str">
        <f t="shared" si="12"/>
      </c>
      <c r="DB70" s="8" t="str">
        <f t="shared" si="12"/>
      </c>
      <c r="DC70" s="48" t="str">
        <f t="shared" si="12"/>
      </c>
      <c r="DD70" s="48" t="str">
        <f t="shared" si="12"/>
      </c>
      <c r="DE70" s="8" t="str">
        <f t="shared" si="12"/>
      </c>
      <c r="DF70" s="8" t="str">
        <f t="shared" si="12"/>
      </c>
      <c r="DG70" s="48" t="str">
        <f t="shared" si="12"/>
      </c>
      <c r="DH70" s="8" t="str">
        <f t="shared" si="12"/>
      </c>
      <c r="DI70" s="48" t="str">
        <f t="shared" si="12"/>
      </c>
    </row>
    <row r="71" spans="1:113" x14ac:dyDescent="0.25">
      <c r="A71" s="16" t="str">
        <f>A19</f>
      </c>
      <c r="B71" s="16" t="str">
        <f>B19</f>
      </c>
      <c r="C71" s="7">
        <f>IF(C46=C$40,0,C46)</f>
      </c>
      <c r="D71" s="7">
        <f t="shared" ref="D71:BO72" si="13">IF(D46=D$40,0,D46)</f>
      </c>
      <c r="E71" s="7">
        <f t="shared" si="13"/>
      </c>
      <c r="F71" s="7">
        <f t="shared" si="13"/>
      </c>
      <c r="G71" s="7">
        <f t="shared" si="13"/>
      </c>
      <c r="H71" s="7">
        <f t="shared" si="13"/>
      </c>
      <c r="I71" s="7">
        <f t="shared" si="13"/>
      </c>
      <c r="J71" s="7">
        <f t="shared" si="13"/>
      </c>
      <c r="K71" s="7">
        <f t="shared" si="13"/>
      </c>
      <c r="L71" s="7">
        <f t="shared" si="13"/>
      </c>
      <c r="M71" s="7">
        <f t="shared" si="13"/>
      </c>
      <c r="N71" s="7" t="str">
        <f t="shared" si="13"/>
      </c>
      <c r="O71" s="7" t="str">
        <f t="shared" si="13"/>
      </c>
      <c r="P71" s="7">
        <f t="shared" si="13"/>
      </c>
      <c r="Q71" s="7">
        <f t="shared" si="13"/>
      </c>
      <c r="R71" s="7">
        <f t="shared" si="13"/>
      </c>
      <c r="S71" s="7">
        <f t="shared" si="13"/>
      </c>
      <c r="T71" s="7">
        <f t="shared" si="13"/>
      </c>
      <c r="U71" s="7">
        <f t="shared" si="13"/>
      </c>
      <c r="V71" s="7">
        <f t="shared" si="13"/>
      </c>
      <c r="W71" s="7">
        <f t="shared" si="13"/>
      </c>
      <c r="X71" s="7">
        <f t="shared" si="13"/>
      </c>
      <c r="Y71" s="7">
        <f t="shared" si="13"/>
      </c>
      <c r="Z71" s="7">
        <f t="shared" si="13"/>
      </c>
      <c r="AA71" s="7">
        <f t="shared" si="13"/>
      </c>
      <c r="AB71" s="7">
        <f t="shared" si="13"/>
      </c>
      <c r="AC71" s="7">
        <f t="shared" si="13"/>
      </c>
      <c r="AD71" s="7">
        <f t="shared" si="13"/>
      </c>
      <c r="AE71" s="7">
        <f t="shared" si="13"/>
      </c>
      <c r="AF71" s="7">
        <f t="shared" si="13"/>
      </c>
      <c r="AG71" s="7">
        <f t="shared" si="13"/>
      </c>
      <c r="AH71" s="7">
        <f t="shared" si="13"/>
      </c>
      <c r="AI71" s="7">
        <f t="shared" si="13"/>
      </c>
      <c r="AJ71" s="7">
        <f t="shared" si="13"/>
      </c>
      <c r="AK71" s="7">
        <f t="shared" si="13"/>
      </c>
      <c r="AL71" s="7">
        <f t="shared" si="13"/>
      </c>
      <c r="AM71" s="7">
        <f t="shared" si="13"/>
      </c>
      <c r="AN71" s="7">
        <f t="shared" si="13"/>
      </c>
      <c r="AO71" s="7">
        <f t="shared" si="13"/>
      </c>
      <c r="AP71" s="7">
        <f t="shared" si="13"/>
      </c>
      <c r="AQ71" s="7">
        <f t="shared" si="13"/>
      </c>
      <c r="AR71" s="7">
        <f t="shared" si="13"/>
      </c>
      <c r="AS71" s="7">
        <f t="shared" si="13"/>
      </c>
      <c r="AT71" s="7">
        <f t="shared" si="13"/>
      </c>
      <c r="AU71" s="7">
        <f t="shared" si="13"/>
      </c>
      <c r="AV71" s="7" t="str">
        <f t="shared" si="13"/>
      </c>
      <c r="AW71" s="7" t="str">
        <f t="shared" si="13"/>
      </c>
      <c r="AX71" s="7">
        <f t="shared" si="13"/>
      </c>
      <c r="AY71" s="7">
        <f t="shared" si="13"/>
      </c>
      <c r="AZ71" s="7">
        <f t="shared" si="13"/>
      </c>
      <c r="BA71" s="7">
        <f t="shared" si="13"/>
      </c>
      <c r="BB71" s="7">
        <f t="shared" si="13"/>
      </c>
      <c r="BC71" s="7">
        <f t="shared" si="13"/>
      </c>
      <c r="BD71" s="7">
        <f t="shared" si="13"/>
      </c>
      <c r="BE71" s="7">
        <f t="shared" si="13"/>
      </c>
      <c r="BF71" s="7">
        <f t="shared" si="13"/>
      </c>
      <c r="BG71" s="7">
        <f t="shared" si="13"/>
      </c>
      <c r="BH71" s="7">
        <f t="shared" si="13"/>
      </c>
      <c r="BI71" s="7">
        <f t="shared" si="13"/>
      </c>
      <c r="BJ71" s="7">
        <f t="shared" si="13"/>
      </c>
      <c r="BK71" s="7">
        <f t="shared" si="13"/>
      </c>
      <c r="BL71" s="7">
        <f t="shared" si="13"/>
      </c>
      <c r="BM71" s="7">
        <f t="shared" si="13"/>
      </c>
      <c r="BN71" s="7">
        <f t="shared" si="13"/>
      </c>
      <c r="BO71" s="7" t="str">
        <f t="shared" si="13"/>
      </c>
      <c r="BP71" s="7">
        <f t="shared" ref="BP71:DI75" si="14">IF(BP46=BP$40,0,BP46)</f>
      </c>
      <c r="BQ71" s="7">
        <f t="shared" si="14"/>
      </c>
      <c r="BR71" s="7">
        <f t="shared" si="14"/>
      </c>
      <c r="BS71" s="7">
        <f t="shared" si="14"/>
      </c>
      <c r="BT71" s="7">
        <f t="shared" si="14"/>
      </c>
      <c r="BU71" s="7">
        <f t="shared" si="14"/>
      </c>
      <c r="BV71" s="7">
        <f t="shared" si="14"/>
      </c>
      <c r="BW71" s="7" t="str">
        <f t="shared" si="14"/>
      </c>
      <c r="BX71" s="7" t="str">
        <f t="shared" si="14"/>
      </c>
      <c r="BY71" s="7">
        <f t="shared" si="14"/>
      </c>
      <c r="BZ71" s="7">
        <f t="shared" si="14"/>
      </c>
      <c r="CA71" s="7">
        <f t="shared" si="14"/>
      </c>
      <c r="CB71" s="7">
        <f t="shared" si="14"/>
      </c>
      <c r="CC71" s="7">
        <f t="shared" si="14"/>
      </c>
      <c r="CD71" s="7">
        <f t="shared" si="14"/>
      </c>
      <c r="CE71" s="7">
        <f t="shared" si="14"/>
      </c>
      <c r="CF71" s="7">
        <f t="shared" si="14"/>
      </c>
      <c r="CG71" s="7">
        <f t="shared" si="14"/>
      </c>
      <c r="CH71" s="7">
        <f t="shared" si="14"/>
      </c>
      <c r="CI71" s="7">
        <f t="shared" si="14"/>
      </c>
      <c r="CJ71" s="7">
        <f t="shared" si="14"/>
      </c>
      <c r="CK71" s="7">
        <f t="shared" si="14"/>
      </c>
      <c r="CL71" s="7">
        <f t="shared" si="14"/>
      </c>
      <c r="CM71" s="7">
        <f t="shared" si="14"/>
      </c>
      <c r="CN71" s="7">
        <f t="shared" si="14"/>
      </c>
      <c r="CO71" s="7">
        <f t="shared" si="14"/>
      </c>
      <c r="CP71" s="7">
        <f t="shared" si="14"/>
      </c>
      <c r="CQ71" s="7">
        <f t="shared" si="14"/>
      </c>
      <c r="CR71" s="7">
        <f t="shared" si="14"/>
      </c>
      <c r="CS71" s="7">
        <f t="shared" si="14"/>
      </c>
      <c r="CT71" s="7">
        <f t="shared" si="14"/>
      </c>
      <c r="CU71" s="7">
        <f t="shared" si="14"/>
      </c>
      <c r="CV71" s="7">
        <f t="shared" si="14"/>
      </c>
      <c r="CW71" s="7">
        <f t="shared" si="14"/>
      </c>
      <c r="CX71" s="7">
        <f t="shared" si="14"/>
      </c>
      <c r="CY71" s="7">
        <f t="shared" si="14"/>
      </c>
      <c r="CZ71" s="7">
        <f t="shared" si="14"/>
      </c>
      <c r="DA71" s="7">
        <f t="shared" si="14"/>
      </c>
      <c r="DB71" s="7" t="str">
        <f t="shared" si="14"/>
      </c>
      <c r="DC71" s="7" t="str">
        <f t="shared" si="14"/>
      </c>
      <c r="DD71" s="7">
        <f t="shared" si="14"/>
      </c>
      <c r="DE71" s="7">
        <f t="shared" si="14"/>
      </c>
      <c r="DF71" s="7">
        <f t="shared" si="14"/>
      </c>
      <c r="DG71" s="7">
        <f t="shared" si="14"/>
      </c>
      <c r="DH71" s="7">
        <f t="shared" si="14"/>
      </c>
      <c r="DI71" s="7">
        <f t="shared" si="14"/>
      </c>
    </row>
    <row r="72" spans="1:113" x14ac:dyDescent="0.25">
      <c r="A72" s="16" t="str">
        <f t="shared" ref="A72:B90" si="15">A20</f>
      </c>
      <c r="B72" s="16" t="str">
        <f t="shared" si="15"/>
      </c>
      <c r="C72" s="7">
        <f t="shared" ref="C72:R82" si="16">IF(C47=C$40,0,C47)</f>
      </c>
      <c r="D72" s="7">
        <f t="shared" si="16"/>
      </c>
      <c r="E72" s="7">
        <f t="shared" si="16"/>
      </c>
      <c r="F72" s="7">
        <f t="shared" si="16"/>
      </c>
      <c r="G72" s="7">
        <f t="shared" si="16"/>
      </c>
      <c r="H72" s="7">
        <f t="shared" si="16"/>
      </c>
      <c r="I72" s="7">
        <f t="shared" si="16"/>
      </c>
      <c r="J72" s="7">
        <f t="shared" si="16"/>
      </c>
      <c r="K72" s="7">
        <f t="shared" si="16"/>
      </c>
      <c r="L72" s="7">
        <f t="shared" si="16"/>
      </c>
      <c r="M72" s="7">
        <f t="shared" si="16"/>
      </c>
      <c r="N72" s="7" t="str">
        <f t="shared" si="16"/>
      </c>
      <c r="O72" s="7" t="str">
        <f t="shared" si="16"/>
      </c>
      <c r="P72" s="7">
        <f t="shared" si="16"/>
      </c>
      <c r="Q72" s="7">
        <f t="shared" si="16"/>
      </c>
      <c r="R72" s="7">
        <f t="shared" si="16"/>
      </c>
      <c r="S72" s="7">
        <f t="shared" si="13"/>
      </c>
      <c r="T72" s="7">
        <f t="shared" si="13"/>
      </c>
      <c r="U72" s="7">
        <f t="shared" si="13"/>
      </c>
      <c r="V72" s="7">
        <f t="shared" si="13"/>
      </c>
      <c r="W72" s="7">
        <f t="shared" si="13"/>
      </c>
      <c r="X72" s="7">
        <f t="shared" si="13"/>
      </c>
      <c r="Y72" s="7">
        <f t="shared" si="13"/>
      </c>
      <c r="Z72" s="7">
        <f t="shared" si="13"/>
      </c>
      <c r="AA72" s="7">
        <f t="shared" si="13"/>
      </c>
      <c r="AB72" s="7">
        <f t="shared" si="13"/>
      </c>
      <c r="AC72" s="7">
        <f t="shared" si="13"/>
      </c>
      <c r="AD72" s="7">
        <f t="shared" si="13"/>
      </c>
      <c r="AE72" s="7">
        <f t="shared" si="13"/>
      </c>
      <c r="AF72" s="7">
        <f t="shared" si="13"/>
      </c>
      <c r="AG72" s="7">
        <f t="shared" si="13"/>
      </c>
      <c r="AH72" s="7">
        <f t="shared" si="13"/>
      </c>
      <c r="AI72" s="7">
        <f t="shared" si="13"/>
      </c>
      <c r="AJ72" s="7">
        <f t="shared" si="13"/>
      </c>
      <c r="AK72" s="7">
        <f t="shared" si="13"/>
      </c>
      <c r="AL72" s="7">
        <f t="shared" si="13"/>
      </c>
      <c r="AM72" s="7">
        <f t="shared" si="13"/>
      </c>
      <c r="AN72" s="7">
        <f t="shared" si="13"/>
      </c>
      <c r="AO72" s="7">
        <f t="shared" si="13"/>
      </c>
      <c r="AP72" s="7">
        <f t="shared" si="13"/>
      </c>
      <c r="AQ72" s="7">
        <f t="shared" si="13"/>
      </c>
      <c r="AR72" s="7">
        <f t="shared" si="13"/>
      </c>
      <c r="AS72" s="7">
        <f t="shared" si="13"/>
      </c>
      <c r="AT72" s="7">
        <f t="shared" si="13"/>
      </c>
      <c r="AU72" s="7">
        <f t="shared" si="13"/>
      </c>
      <c r="AV72" s="7" t="str">
        <f t="shared" si="13"/>
      </c>
      <c r="AW72" s="7" t="str">
        <f t="shared" si="13"/>
      </c>
      <c r="AX72" s="7">
        <f t="shared" si="13"/>
      </c>
      <c r="AY72" s="7">
        <f t="shared" si="13"/>
      </c>
      <c r="AZ72" s="7">
        <f t="shared" si="13"/>
      </c>
      <c r="BA72" s="7">
        <f t="shared" si="13"/>
      </c>
      <c r="BB72" s="7">
        <f t="shared" si="13"/>
      </c>
      <c r="BC72" s="7">
        <f t="shared" si="13"/>
      </c>
      <c r="BD72" s="7">
        <f t="shared" si="13"/>
      </c>
      <c r="BE72" s="7">
        <f t="shared" si="13"/>
      </c>
      <c r="BF72" s="7">
        <f t="shared" si="13"/>
      </c>
      <c r="BG72" s="7">
        <f t="shared" si="13"/>
      </c>
      <c r="BH72" s="7">
        <f t="shared" si="13"/>
      </c>
      <c r="BI72" s="7">
        <f t="shared" si="13"/>
      </c>
      <c r="BJ72" s="7">
        <f t="shared" si="13"/>
      </c>
      <c r="BK72" s="7">
        <f t="shared" si="13"/>
      </c>
      <c r="BL72" s="7">
        <f t="shared" si="13"/>
      </c>
      <c r="BM72" s="7">
        <f t="shared" si="13"/>
      </c>
      <c r="BN72" s="7">
        <f t="shared" si="13"/>
      </c>
      <c r="BO72" s="7" t="str">
        <f t="shared" si="13"/>
      </c>
      <c r="BP72" s="7">
        <f t="shared" si="14"/>
      </c>
      <c r="BQ72" s="7">
        <f t="shared" si="14"/>
      </c>
      <c r="BR72" s="7">
        <f t="shared" si="14"/>
      </c>
      <c r="BS72" s="7">
        <f t="shared" si="14"/>
      </c>
      <c r="BT72" s="7">
        <f t="shared" si="14"/>
      </c>
      <c r="BU72" s="7">
        <f t="shared" si="14"/>
      </c>
      <c r="BV72" s="7">
        <f t="shared" si="14"/>
      </c>
      <c r="BW72" s="7" t="str">
        <f t="shared" si="14"/>
      </c>
      <c r="BX72" s="7" t="str">
        <f t="shared" si="14"/>
      </c>
      <c r="BY72" s="7">
        <f t="shared" si="14"/>
      </c>
      <c r="BZ72" s="7">
        <f t="shared" si="14"/>
      </c>
      <c r="CA72" s="7">
        <f t="shared" si="14"/>
      </c>
      <c r="CB72" s="7">
        <f t="shared" si="14"/>
      </c>
      <c r="CC72" s="7">
        <f t="shared" si="14"/>
      </c>
      <c r="CD72" s="7">
        <f t="shared" si="14"/>
      </c>
      <c r="CE72" s="7">
        <f t="shared" si="14"/>
      </c>
      <c r="CF72" s="7">
        <f t="shared" si="14"/>
      </c>
      <c r="CG72" s="7">
        <f t="shared" si="14"/>
      </c>
      <c r="CH72" s="7">
        <f t="shared" si="14"/>
      </c>
      <c r="CI72" s="7">
        <f t="shared" si="14"/>
      </c>
      <c r="CJ72" s="7">
        <f t="shared" si="14"/>
      </c>
      <c r="CK72" s="7">
        <f t="shared" si="14"/>
      </c>
      <c r="CL72" s="7">
        <f t="shared" si="14"/>
      </c>
      <c r="CM72" s="7">
        <f t="shared" si="14"/>
      </c>
      <c r="CN72" s="7">
        <f t="shared" si="14"/>
      </c>
      <c r="CO72" s="7">
        <f t="shared" si="14"/>
      </c>
      <c r="CP72" s="7">
        <f t="shared" si="14"/>
      </c>
      <c r="CQ72" s="7">
        <f t="shared" si="14"/>
      </c>
      <c r="CR72" s="7">
        <f t="shared" si="14"/>
      </c>
      <c r="CS72" s="7">
        <f t="shared" si="14"/>
      </c>
      <c r="CT72" s="7">
        <f t="shared" si="14"/>
      </c>
      <c r="CU72" s="7">
        <f t="shared" si="14"/>
      </c>
      <c r="CV72" s="7">
        <f t="shared" si="14"/>
      </c>
      <c r="CW72" s="7">
        <f t="shared" si="14"/>
      </c>
      <c r="CX72" s="7">
        <f t="shared" si="14"/>
      </c>
      <c r="CY72" s="7">
        <f t="shared" si="14"/>
      </c>
      <c r="CZ72" s="7">
        <f t="shared" si="14"/>
      </c>
      <c r="DA72" s="7">
        <f t="shared" si="14"/>
      </c>
      <c r="DB72" s="7" t="str">
        <f t="shared" si="14"/>
      </c>
      <c r="DC72" s="7" t="str">
        <f t="shared" si="14"/>
      </c>
      <c r="DD72" s="7">
        <f t="shared" si="14"/>
      </c>
      <c r="DE72" s="7">
        <f t="shared" si="14"/>
      </c>
      <c r="DF72" s="7">
        <f t="shared" si="14"/>
      </c>
      <c r="DG72" s="7">
        <f t="shared" si="14"/>
      </c>
      <c r="DH72" s="7">
        <f t="shared" si="14"/>
      </c>
      <c r="DI72" s="7">
        <f t="shared" si="14"/>
      </c>
    </row>
    <row r="73" spans="1:113" x14ac:dyDescent="0.25">
      <c r="A73" s="16" t="str">
        <f t="shared" si="15"/>
      </c>
      <c r="B73" s="16" t="str">
        <f t="shared" si="15"/>
      </c>
      <c r="C73" s="7">
        <f t="shared" si="16"/>
      </c>
      <c r="D73" s="7">
        <f t="shared" ref="D73:BO76" si="17">IF(D48=D$40,0,D48)</f>
      </c>
      <c r="E73" s="7">
        <f t="shared" si="17"/>
      </c>
      <c r="F73" s="7">
        <f t="shared" si="17"/>
      </c>
      <c r="G73" s="7">
        <f t="shared" si="17"/>
      </c>
      <c r="H73" s="7">
        <f t="shared" si="17"/>
      </c>
      <c r="I73" s="7">
        <f t="shared" si="17"/>
      </c>
      <c r="J73" s="7">
        <f t="shared" si="17"/>
      </c>
      <c r="K73" s="7">
        <f t="shared" si="17"/>
      </c>
      <c r="L73" s="7">
        <f t="shared" si="17"/>
      </c>
      <c r="M73" s="7">
        <f t="shared" si="17"/>
      </c>
      <c r="N73" s="7" t="str">
        <f t="shared" si="17"/>
      </c>
      <c r="O73" s="7" t="str">
        <f t="shared" si="17"/>
      </c>
      <c r="P73" s="7">
        <f t="shared" si="17"/>
      </c>
      <c r="Q73" s="7">
        <f t="shared" si="17"/>
      </c>
      <c r="R73" s="7">
        <f t="shared" si="17"/>
      </c>
      <c r="S73" s="7">
        <f t="shared" si="17"/>
      </c>
      <c r="T73" s="7">
        <f t="shared" si="17"/>
      </c>
      <c r="U73" s="7">
        <f t="shared" si="17"/>
      </c>
      <c r="V73" s="7">
        <f t="shared" si="17"/>
      </c>
      <c r="W73" s="7">
        <f t="shared" si="17"/>
      </c>
      <c r="X73" s="7">
        <f t="shared" si="17"/>
      </c>
      <c r="Y73" s="7">
        <f t="shared" si="17"/>
      </c>
      <c r="Z73" s="7">
        <f t="shared" si="17"/>
      </c>
      <c r="AA73" s="7">
        <f t="shared" si="17"/>
      </c>
      <c r="AB73" s="7">
        <f t="shared" si="17"/>
      </c>
      <c r="AC73" s="7">
        <f t="shared" si="17"/>
      </c>
      <c r="AD73" s="7">
        <f t="shared" si="17"/>
      </c>
      <c r="AE73" s="7">
        <f t="shared" si="17"/>
      </c>
      <c r="AF73" s="7">
        <f t="shared" si="17"/>
      </c>
      <c r="AG73" s="7">
        <f t="shared" si="17"/>
      </c>
      <c r="AH73" s="7">
        <f t="shared" si="17"/>
      </c>
      <c r="AI73" s="7">
        <f t="shared" si="17"/>
      </c>
      <c r="AJ73" s="7">
        <f t="shared" si="17"/>
      </c>
      <c r="AK73" s="7">
        <f t="shared" si="17"/>
      </c>
      <c r="AL73" s="7">
        <f t="shared" si="17"/>
      </c>
      <c r="AM73" s="7">
        <f t="shared" si="17"/>
      </c>
      <c r="AN73" s="7">
        <f t="shared" si="17"/>
      </c>
      <c r="AO73" s="7">
        <f t="shared" si="17"/>
      </c>
      <c r="AP73" s="7">
        <f t="shared" si="17"/>
      </c>
      <c r="AQ73" s="7">
        <f t="shared" si="17"/>
      </c>
      <c r="AR73" s="7">
        <f t="shared" si="17"/>
      </c>
      <c r="AS73" s="7">
        <f t="shared" si="17"/>
      </c>
      <c r="AT73" s="7">
        <f t="shared" si="17"/>
      </c>
      <c r="AU73" s="7">
        <f t="shared" si="17"/>
      </c>
      <c r="AV73" s="7" t="str">
        <f t="shared" si="17"/>
      </c>
      <c r="AW73" s="7" t="str">
        <f t="shared" si="17"/>
      </c>
      <c r="AX73" s="7">
        <f t="shared" si="17"/>
      </c>
      <c r="AY73" s="7">
        <f t="shared" si="17"/>
      </c>
      <c r="AZ73" s="7">
        <f t="shared" si="17"/>
      </c>
      <c r="BA73" s="7">
        <f t="shared" si="17"/>
      </c>
      <c r="BB73" s="7">
        <f t="shared" si="17"/>
      </c>
      <c r="BC73" s="7">
        <f t="shared" si="17"/>
      </c>
      <c r="BD73" s="7">
        <f t="shared" si="17"/>
      </c>
      <c r="BE73" s="7">
        <f t="shared" si="17"/>
      </c>
      <c r="BF73" s="7">
        <f t="shared" si="17"/>
      </c>
      <c r="BG73" s="7">
        <f t="shared" si="17"/>
      </c>
      <c r="BH73" s="7">
        <f t="shared" si="17"/>
      </c>
      <c r="BI73" s="7">
        <f t="shared" si="17"/>
      </c>
      <c r="BJ73" s="7">
        <f t="shared" si="17"/>
      </c>
      <c r="BK73" s="7">
        <f t="shared" si="17"/>
      </c>
      <c r="BL73" s="7">
        <f t="shared" si="17"/>
      </c>
      <c r="BM73" s="7">
        <f t="shared" si="17"/>
      </c>
      <c r="BN73" s="7">
        <f t="shared" si="17"/>
      </c>
      <c r="BO73" s="7" t="str">
        <f t="shared" si="17"/>
      </c>
      <c r="BP73" s="7">
        <f t="shared" si="14"/>
      </c>
      <c r="BQ73" s="7">
        <f t="shared" si="14"/>
      </c>
      <c r="BR73" s="7">
        <f t="shared" si="14"/>
      </c>
      <c r="BS73" s="7">
        <f t="shared" si="14"/>
      </c>
      <c r="BT73" s="7">
        <f t="shared" si="14"/>
      </c>
      <c r="BU73" s="7">
        <f t="shared" si="14"/>
      </c>
      <c r="BV73" s="7">
        <f t="shared" si="14"/>
      </c>
      <c r="BW73" s="7" t="str">
        <f t="shared" si="14"/>
      </c>
      <c r="BX73" s="7" t="str">
        <f t="shared" si="14"/>
      </c>
      <c r="BY73" s="7">
        <f t="shared" si="14"/>
      </c>
      <c r="BZ73" s="7">
        <f t="shared" si="14"/>
      </c>
      <c r="CA73" s="7">
        <f t="shared" si="14"/>
      </c>
      <c r="CB73" s="7">
        <f t="shared" si="14"/>
      </c>
      <c r="CC73" s="7">
        <f t="shared" si="14"/>
      </c>
      <c r="CD73" s="7">
        <f t="shared" si="14"/>
      </c>
      <c r="CE73" s="7">
        <f t="shared" si="14"/>
      </c>
      <c r="CF73" s="7">
        <f t="shared" si="14"/>
      </c>
      <c r="CG73" s="7">
        <f t="shared" si="14"/>
      </c>
      <c r="CH73" s="7">
        <f t="shared" si="14"/>
      </c>
      <c r="CI73" s="7">
        <f t="shared" si="14"/>
      </c>
      <c r="CJ73" s="7">
        <f t="shared" si="14"/>
      </c>
      <c r="CK73" s="7">
        <f t="shared" si="14"/>
      </c>
      <c r="CL73" s="7">
        <f t="shared" si="14"/>
      </c>
      <c r="CM73" s="7">
        <f t="shared" si="14"/>
      </c>
      <c r="CN73" s="7">
        <f t="shared" si="14"/>
      </c>
      <c r="CO73" s="7">
        <f t="shared" si="14"/>
      </c>
      <c r="CP73" s="7">
        <f t="shared" si="14"/>
      </c>
      <c r="CQ73" s="7">
        <f t="shared" si="14"/>
      </c>
      <c r="CR73" s="7">
        <f t="shared" si="14"/>
      </c>
      <c r="CS73" s="7">
        <f t="shared" si="14"/>
      </c>
      <c r="CT73" s="7">
        <f t="shared" si="14"/>
      </c>
      <c r="CU73" s="7">
        <f t="shared" si="14"/>
      </c>
      <c r="CV73" s="7">
        <f t="shared" si="14"/>
      </c>
      <c r="CW73" s="7">
        <f t="shared" si="14"/>
      </c>
      <c r="CX73" s="7">
        <f t="shared" si="14"/>
      </c>
      <c r="CY73" s="7">
        <f t="shared" si="14"/>
      </c>
      <c r="CZ73" s="7">
        <f t="shared" si="14"/>
      </c>
      <c r="DA73" s="7">
        <f t="shared" si="14"/>
      </c>
      <c r="DB73" s="7" t="str">
        <f t="shared" si="14"/>
      </c>
      <c r="DC73" s="7" t="str">
        <f t="shared" si="14"/>
      </c>
      <c r="DD73" s="7">
        <f t="shared" si="14"/>
      </c>
      <c r="DE73" s="7">
        <f t="shared" si="14"/>
      </c>
      <c r="DF73" s="7">
        <f t="shared" si="14"/>
      </c>
      <c r="DG73" s="7">
        <f t="shared" si="14"/>
      </c>
      <c r="DH73" s="7">
        <f t="shared" si="14"/>
      </c>
      <c r="DI73" s="7">
        <f t="shared" si="14"/>
      </c>
    </row>
    <row r="74" spans="1:113" x14ac:dyDescent="0.25">
      <c r="A74" s="16" t="str">
        <f t="shared" si="15"/>
      </c>
      <c r="B74" s="16" t="str">
        <f t="shared" si="15"/>
      </c>
      <c r="C74" s="7">
        <f t="shared" si="16"/>
      </c>
      <c r="D74" s="7">
        <f t="shared" si="17"/>
      </c>
      <c r="E74" s="7">
        <f t="shared" si="17"/>
      </c>
      <c r="F74" s="7">
        <f t="shared" si="17"/>
      </c>
      <c r="G74" s="7">
        <f t="shared" si="17"/>
      </c>
      <c r="H74" s="7">
        <f t="shared" si="17"/>
      </c>
      <c r="I74" s="7">
        <f t="shared" si="17"/>
      </c>
      <c r="J74" s="7">
        <f t="shared" si="17"/>
      </c>
      <c r="K74" s="7">
        <f t="shared" si="17"/>
      </c>
      <c r="L74" s="7">
        <f t="shared" si="17"/>
      </c>
      <c r="M74" s="7">
        <f t="shared" si="17"/>
      </c>
      <c r="N74" s="7" t="str">
        <f t="shared" si="17"/>
      </c>
      <c r="O74" s="7" t="str">
        <f t="shared" si="17"/>
      </c>
      <c r="P74" s="7">
        <f t="shared" si="17"/>
      </c>
      <c r="Q74" s="7">
        <f t="shared" si="17"/>
      </c>
      <c r="R74" s="7">
        <f t="shared" si="17"/>
      </c>
      <c r="S74" s="7">
        <f t="shared" si="17"/>
      </c>
      <c r="T74" s="7">
        <f t="shared" si="17"/>
      </c>
      <c r="U74" s="7">
        <f t="shared" si="17"/>
      </c>
      <c r="V74" s="7">
        <f t="shared" si="17"/>
      </c>
      <c r="W74" s="7">
        <f t="shared" si="17"/>
      </c>
      <c r="X74" s="7">
        <f t="shared" si="17"/>
      </c>
      <c r="Y74" s="7">
        <f t="shared" si="17"/>
      </c>
      <c r="Z74" s="7">
        <f t="shared" si="17"/>
      </c>
      <c r="AA74" s="7">
        <f t="shared" si="17"/>
      </c>
      <c r="AB74" s="7">
        <f t="shared" si="17"/>
      </c>
      <c r="AC74" s="7">
        <f t="shared" si="17"/>
      </c>
      <c r="AD74" s="7">
        <f t="shared" si="17"/>
      </c>
      <c r="AE74" s="7">
        <f t="shared" si="17"/>
      </c>
      <c r="AF74" s="7">
        <f t="shared" si="17"/>
      </c>
      <c r="AG74" s="7">
        <f t="shared" si="17"/>
      </c>
      <c r="AH74" s="7">
        <f t="shared" si="17"/>
      </c>
      <c r="AI74" s="7">
        <f t="shared" si="17"/>
      </c>
      <c r="AJ74" s="7">
        <f t="shared" si="17"/>
      </c>
      <c r="AK74" s="7">
        <f t="shared" si="17"/>
      </c>
      <c r="AL74" s="7">
        <f t="shared" si="17"/>
      </c>
      <c r="AM74" s="7">
        <f t="shared" si="17"/>
      </c>
      <c r="AN74" s="7">
        <f t="shared" si="17"/>
      </c>
      <c r="AO74" s="7">
        <f t="shared" si="17"/>
      </c>
      <c r="AP74" s="7">
        <f t="shared" si="17"/>
      </c>
      <c r="AQ74" s="7">
        <f t="shared" si="17"/>
      </c>
      <c r="AR74" s="7">
        <f t="shared" si="17"/>
      </c>
      <c r="AS74" s="7">
        <f t="shared" si="17"/>
      </c>
      <c r="AT74" s="7">
        <f t="shared" si="17"/>
      </c>
      <c r="AU74" s="7">
        <f t="shared" si="17"/>
      </c>
      <c r="AV74" s="7" t="str">
        <f t="shared" si="17"/>
      </c>
      <c r="AW74" s="7" t="str">
        <f t="shared" si="17"/>
      </c>
      <c r="AX74" s="7">
        <f t="shared" si="17"/>
      </c>
      <c r="AY74" s="7">
        <f t="shared" si="17"/>
      </c>
      <c r="AZ74" s="7">
        <f t="shared" si="17"/>
      </c>
      <c r="BA74" s="7">
        <f t="shared" si="17"/>
      </c>
      <c r="BB74" s="7">
        <f t="shared" si="17"/>
      </c>
      <c r="BC74" s="7">
        <f t="shared" si="17"/>
      </c>
      <c r="BD74" s="7">
        <f t="shared" si="17"/>
      </c>
      <c r="BE74" s="7">
        <f t="shared" si="17"/>
      </c>
      <c r="BF74" s="7">
        <f t="shared" si="17"/>
      </c>
      <c r="BG74" s="7">
        <f t="shared" si="17"/>
      </c>
      <c r="BH74" s="7">
        <f t="shared" si="17"/>
      </c>
      <c r="BI74" s="7">
        <f t="shared" si="17"/>
      </c>
      <c r="BJ74" s="7">
        <f t="shared" si="17"/>
      </c>
      <c r="BK74" s="7">
        <f t="shared" si="17"/>
      </c>
      <c r="BL74" s="7">
        <f t="shared" si="17"/>
      </c>
      <c r="BM74" s="7">
        <f t="shared" si="17"/>
      </c>
      <c r="BN74" s="7">
        <f t="shared" si="17"/>
      </c>
      <c r="BO74" s="7" t="str">
        <f t="shared" si="17"/>
      </c>
      <c r="BP74" s="7">
        <f t="shared" si="14"/>
      </c>
      <c r="BQ74" s="7">
        <f t="shared" si="14"/>
      </c>
      <c r="BR74" s="7">
        <f t="shared" si="14"/>
      </c>
      <c r="BS74" s="7">
        <f t="shared" si="14"/>
      </c>
      <c r="BT74" s="7">
        <f t="shared" si="14"/>
      </c>
      <c r="BU74" s="7">
        <f t="shared" si="14"/>
      </c>
      <c r="BV74" s="7">
        <f t="shared" si="14"/>
      </c>
      <c r="BW74" s="7" t="str">
        <f t="shared" si="14"/>
      </c>
      <c r="BX74" s="7" t="str">
        <f t="shared" si="14"/>
      </c>
      <c r="BY74" s="7">
        <f t="shared" si="14"/>
      </c>
      <c r="BZ74" s="7">
        <f t="shared" si="14"/>
      </c>
      <c r="CA74" s="7">
        <f t="shared" si="14"/>
      </c>
      <c r="CB74" s="7">
        <f t="shared" si="14"/>
      </c>
      <c r="CC74" s="7">
        <f t="shared" si="14"/>
      </c>
      <c r="CD74" s="7">
        <f t="shared" si="14"/>
      </c>
      <c r="CE74" s="7">
        <f t="shared" si="14"/>
      </c>
      <c r="CF74" s="7">
        <f t="shared" si="14"/>
      </c>
      <c r="CG74" s="7">
        <f t="shared" si="14"/>
      </c>
      <c r="CH74" s="7">
        <f t="shared" si="14"/>
      </c>
      <c r="CI74" s="7">
        <f t="shared" si="14"/>
      </c>
      <c r="CJ74" s="7">
        <f t="shared" si="14"/>
      </c>
      <c r="CK74" s="7">
        <f t="shared" si="14"/>
      </c>
      <c r="CL74" s="7">
        <f t="shared" si="14"/>
      </c>
      <c r="CM74" s="7">
        <f t="shared" si="14"/>
      </c>
      <c r="CN74" s="7">
        <f t="shared" si="14"/>
      </c>
      <c r="CO74" s="7">
        <f t="shared" si="14"/>
      </c>
      <c r="CP74" s="7">
        <f t="shared" si="14"/>
      </c>
      <c r="CQ74" s="7">
        <f t="shared" si="14"/>
      </c>
      <c r="CR74" s="7">
        <f t="shared" si="14"/>
      </c>
      <c r="CS74" s="7">
        <f t="shared" si="14"/>
      </c>
      <c r="CT74" s="7">
        <f t="shared" si="14"/>
      </c>
      <c r="CU74" s="7">
        <f t="shared" si="14"/>
      </c>
      <c r="CV74" s="7">
        <f t="shared" si="14"/>
      </c>
      <c r="CW74" s="7">
        <f t="shared" si="14"/>
      </c>
      <c r="CX74" s="7">
        <f t="shared" si="14"/>
      </c>
      <c r="CY74" s="7">
        <f t="shared" si="14"/>
      </c>
      <c r="CZ74" s="7">
        <f t="shared" si="14"/>
      </c>
      <c r="DA74" s="7">
        <f t="shared" si="14"/>
      </c>
      <c r="DB74" s="7" t="str">
        <f t="shared" si="14"/>
      </c>
      <c r="DC74" s="7" t="str">
        <f t="shared" si="14"/>
      </c>
      <c r="DD74" s="7">
        <f t="shared" si="14"/>
      </c>
      <c r="DE74" s="7">
        <f t="shared" si="14"/>
      </c>
      <c r="DF74" s="7">
        <f t="shared" si="14"/>
      </c>
      <c r="DG74" s="7">
        <f t="shared" si="14"/>
      </c>
      <c r="DH74" s="7">
        <f t="shared" si="14"/>
      </c>
      <c r="DI74" s="7">
        <f t="shared" si="14"/>
      </c>
    </row>
    <row r="75" spans="1:113" x14ac:dyDescent="0.25">
      <c r="A75" s="16" t="str">
        <f t="shared" si="15"/>
      </c>
      <c r="B75" s="16" t="str">
        <f t="shared" si="15"/>
      </c>
      <c r="C75" s="7">
        <f t="shared" si="16"/>
      </c>
      <c r="D75" s="7">
        <f t="shared" si="17"/>
      </c>
      <c r="E75" s="7">
        <f t="shared" si="17"/>
      </c>
      <c r="F75" s="7">
        <f t="shared" si="17"/>
      </c>
      <c r="G75" s="7">
        <f t="shared" si="17"/>
      </c>
      <c r="H75" s="7">
        <f t="shared" si="17"/>
      </c>
      <c r="I75" s="7">
        <f t="shared" si="17"/>
      </c>
      <c r="J75" s="7">
        <f t="shared" si="17"/>
      </c>
      <c r="K75" s="7">
        <f t="shared" si="17"/>
      </c>
      <c r="L75" s="7">
        <f t="shared" si="17"/>
      </c>
      <c r="M75" s="7">
        <f t="shared" si="17"/>
      </c>
      <c r="N75" s="7" t="str">
        <f t="shared" si="17"/>
      </c>
      <c r="O75" s="7" t="str">
        <f t="shared" si="17"/>
      </c>
      <c r="P75" s="7">
        <f t="shared" si="17"/>
      </c>
      <c r="Q75" s="7">
        <f t="shared" si="17"/>
      </c>
      <c r="R75" s="7">
        <f t="shared" si="17"/>
      </c>
      <c r="S75" s="7">
        <f t="shared" si="17"/>
      </c>
      <c r="T75" s="7">
        <f t="shared" si="17"/>
      </c>
      <c r="U75" s="7">
        <f t="shared" si="17"/>
      </c>
      <c r="V75" s="7">
        <f t="shared" si="17"/>
      </c>
      <c r="W75" s="7">
        <f t="shared" si="17"/>
      </c>
      <c r="X75" s="7">
        <f t="shared" si="17"/>
      </c>
      <c r="Y75" s="7">
        <f t="shared" si="17"/>
      </c>
      <c r="Z75" s="7">
        <f t="shared" si="17"/>
      </c>
      <c r="AA75" s="7">
        <f t="shared" si="17"/>
      </c>
      <c r="AB75" s="7">
        <f t="shared" si="17"/>
      </c>
      <c r="AC75" s="7">
        <f t="shared" si="17"/>
      </c>
      <c r="AD75" s="7">
        <f t="shared" si="17"/>
      </c>
      <c r="AE75" s="7">
        <f t="shared" si="17"/>
      </c>
      <c r="AF75" s="7">
        <f t="shared" si="17"/>
      </c>
      <c r="AG75" s="7">
        <f t="shared" si="17"/>
      </c>
      <c r="AH75" s="7">
        <f t="shared" si="17"/>
      </c>
      <c r="AI75" s="7">
        <f t="shared" si="17"/>
      </c>
      <c r="AJ75" s="7">
        <f t="shared" si="17"/>
      </c>
      <c r="AK75" s="7">
        <f t="shared" si="17"/>
      </c>
      <c r="AL75" s="7">
        <f t="shared" si="17"/>
      </c>
      <c r="AM75" s="7">
        <f t="shared" si="17"/>
      </c>
      <c r="AN75" s="7">
        <f t="shared" si="17"/>
      </c>
      <c r="AO75" s="7">
        <f t="shared" si="17"/>
      </c>
      <c r="AP75" s="7">
        <f t="shared" si="17"/>
      </c>
      <c r="AQ75" s="7">
        <f t="shared" si="17"/>
      </c>
      <c r="AR75" s="7">
        <f t="shared" si="17"/>
      </c>
      <c r="AS75" s="7">
        <f t="shared" si="17"/>
      </c>
      <c r="AT75" s="7">
        <f t="shared" si="17"/>
      </c>
      <c r="AU75" s="7">
        <f t="shared" si="17"/>
      </c>
      <c r="AV75" s="7" t="str">
        <f t="shared" si="17"/>
      </c>
      <c r="AW75" s="7" t="str">
        <f t="shared" si="17"/>
      </c>
      <c r="AX75" s="7">
        <f t="shared" si="17"/>
      </c>
      <c r="AY75" s="7">
        <f t="shared" si="17"/>
      </c>
      <c r="AZ75" s="7">
        <f t="shared" si="17"/>
      </c>
      <c r="BA75" s="7">
        <f t="shared" si="17"/>
      </c>
      <c r="BB75" s="7">
        <f t="shared" si="17"/>
      </c>
      <c r="BC75" s="7">
        <f t="shared" si="17"/>
      </c>
      <c r="BD75" s="7">
        <f t="shared" si="17"/>
      </c>
      <c r="BE75" s="7">
        <f t="shared" si="17"/>
      </c>
      <c r="BF75" s="7">
        <f t="shared" si="17"/>
      </c>
      <c r="BG75" s="7">
        <f t="shared" si="17"/>
      </c>
      <c r="BH75" s="7">
        <f t="shared" si="17"/>
      </c>
      <c r="BI75" s="7">
        <f t="shared" si="17"/>
      </c>
      <c r="BJ75" s="7">
        <f t="shared" si="17"/>
      </c>
      <c r="BK75" s="7">
        <f t="shared" si="17"/>
      </c>
      <c r="BL75" s="7">
        <f t="shared" si="17"/>
      </c>
      <c r="BM75" s="7">
        <f t="shared" si="17"/>
      </c>
      <c r="BN75" s="7">
        <f t="shared" si="17"/>
      </c>
      <c r="BO75" s="7" t="str">
        <f t="shared" si="17"/>
      </c>
      <c r="BP75" s="7">
        <f t="shared" si="14"/>
      </c>
      <c r="BQ75" s="7">
        <f t="shared" si="14"/>
      </c>
      <c r="BR75" s="7">
        <f t="shared" si="14"/>
      </c>
      <c r="BS75" s="7">
        <f t="shared" si="14"/>
      </c>
      <c r="BT75" s="7">
        <f t="shared" si="14"/>
      </c>
      <c r="BU75" s="7">
        <f t="shared" si="14"/>
      </c>
      <c r="BV75" s="7">
        <f t="shared" si="14"/>
      </c>
      <c r="BW75" s="7" t="str">
        <f t="shared" si="14"/>
      </c>
      <c r="BX75" s="7" t="str">
        <f t="shared" si="14"/>
      </c>
      <c r="BY75" s="7">
        <f t="shared" si="14"/>
      </c>
      <c r="BZ75" s="7">
        <f t="shared" si="14"/>
      </c>
      <c r="CA75" s="7">
        <f t="shared" si="14"/>
      </c>
      <c r="CB75" s="7">
        <f t="shared" si="14"/>
      </c>
      <c r="CC75" s="7">
        <f t="shared" si="14"/>
      </c>
      <c r="CD75" s="7">
        <f t="shared" si="14"/>
      </c>
      <c r="CE75" s="7">
        <f t="shared" si="14"/>
      </c>
      <c r="CF75" s="7">
        <f t="shared" si="14"/>
      </c>
      <c r="CG75" s="7">
        <f t="shared" si="14"/>
      </c>
      <c r="CH75" s="7">
        <f t="shared" si="14"/>
      </c>
      <c r="CI75" s="7">
        <f t="shared" si="14"/>
      </c>
      <c r="CJ75" s="7">
        <f t="shared" si="14"/>
      </c>
      <c r="CK75" s="7">
        <f t="shared" si="14"/>
      </c>
      <c r="CL75" s="7">
        <f t="shared" si="14"/>
      </c>
      <c r="CM75" s="7">
        <f t="shared" si="14"/>
      </c>
      <c r="CN75" s="7">
        <f t="shared" si="14"/>
      </c>
      <c r="CO75" s="7">
        <f t="shared" si="14"/>
      </c>
      <c r="CP75" s="7">
        <f t="shared" si="14"/>
      </c>
      <c r="CQ75" s="7">
        <f t="shared" si="14"/>
      </c>
      <c r="CR75" s="7">
        <f t="shared" si="14"/>
      </c>
      <c r="CS75" s="7">
        <f t="shared" si="14"/>
      </c>
      <c r="CT75" s="7">
        <f t="shared" si="14"/>
      </c>
      <c r="CU75" s="7">
        <f t="shared" si="14"/>
      </c>
      <c r="CV75" s="7">
        <f t="shared" si="14"/>
      </c>
      <c r="CW75" s="7">
        <f t="shared" si="14"/>
      </c>
      <c r="CX75" s="7">
        <f t="shared" si="14"/>
      </c>
      <c r="CY75" s="7">
        <f t="shared" si="14"/>
      </c>
      <c r="CZ75" s="7">
        <f t="shared" si="14"/>
      </c>
      <c r="DA75" s="7">
        <f t="shared" si="14"/>
      </c>
      <c r="DB75" s="7" t="str">
        <f t="shared" si="14"/>
      </c>
      <c r="DC75" s="7" t="str">
        <f t="shared" si="14"/>
      </c>
      <c r="DD75" s="7">
        <f t="shared" si="14"/>
      </c>
      <c r="DE75" s="7">
        <f t="shared" si="14"/>
      </c>
      <c r="DF75" s="7">
        <f t="shared" si="14"/>
      </c>
      <c r="DG75" s="7">
        <f t="shared" si="14"/>
      </c>
      <c r="DH75" s="7">
        <f t="shared" si="14"/>
      </c>
      <c r="DI75" s="7">
        <f t="shared" si="14"/>
      </c>
    </row>
    <row r="76" spans="1:113" x14ac:dyDescent="0.25">
      <c r="A76" s="16" t="str">
        <f t="shared" si="15"/>
      </c>
      <c r="B76" s="16" t="str">
        <f t="shared" si="15"/>
      </c>
      <c r="C76" s="7">
        <f t="shared" si="16"/>
      </c>
      <c r="D76" s="7">
        <f t="shared" si="17"/>
      </c>
      <c r="E76" s="7">
        <f t="shared" si="17"/>
      </c>
      <c r="F76" s="7">
        <f t="shared" si="17"/>
      </c>
      <c r="G76" s="7">
        <f t="shared" si="17"/>
      </c>
      <c r="H76" s="7">
        <f t="shared" si="17"/>
      </c>
      <c r="I76" s="7">
        <f t="shared" si="17"/>
      </c>
      <c r="J76" s="7">
        <f t="shared" si="17"/>
      </c>
      <c r="K76" s="7">
        <f t="shared" si="17"/>
      </c>
      <c r="L76" s="7">
        <f t="shared" si="17"/>
      </c>
      <c r="M76" s="7">
        <f t="shared" si="17"/>
      </c>
      <c r="N76" s="7" t="str">
        <f t="shared" si="17"/>
      </c>
      <c r="O76" s="7" t="str">
        <f t="shared" si="17"/>
      </c>
      <c r="P76" s="7">
        <f t="shared" si="17"/>
      </c>
      <c r="Q76" s="7">
        <f t="shared" si="17"/>
      </c>
      <c r="R76" s="7">
        <f t="shared" si="17"/>
      </c>
      <c r="S76" s="7">
        <f t="shared" si="17"/>
      </c>
      <c r="T76" s="7">
        <f t="shared" si="17"/>
      </c>
      <c r="U76" s="7">
        <f t="shared" si="17"/>
      </c>
      <c r="V76" s="7">
        <f t="shared" si="17"/>
      </c>
      <c r="W76" s="7">
        <f t="shared" si="17"/>
      </c>
      <c r="X76" s="7">
        <f t="shared" si="17"/>
      </c>
      <c r="Y76" s="7">
        <f t="shared" si="17"/>
      </c>
      <c r="Z76" s="7">
        <f t="shared" si="17"/>
      </c>
      <c r="AA76" s="7">
        <f t="shared" si="17"/>
      </c>
      <c r="AB76" s="7">
        <f t="shared" si="17"/>
      </c>
      <c r="AC76" s="7">
        <f t="shared" si="17"/>
      </c>
      <c r="AD76" s="7">
        <f t="shared" si="17"/>
      </c>
      <c r="AE76" s="7">
        <f t="shared" si="17"/>
      </c>
      <c r="AF76" s="7">
        <f t="shared" si="17"/>
      </c>
      <c r="AG76" s="7">
        <f t="shared" si="17"/>
      </c>
      <c r="AH76" s="7">
        <f t="shared" si="17"/>
      </c>
      <c r="AI76" s="7">
        <f t="shared" si="17"/>
      </c>
      <c r="AJ76" s="7">
        <f t="shared" si="17"/>
      </c>
      <c r="AK76" s="7">
        <f t="shared" si="17"/>
      </c>
      <c r="AL76" s="7">
        <f t="shared" si="17"/>
      </c>
      <c r="AM76" s="7">
        <f t="shared" si="17"/>
      </c>
      <c r="AN76" s="7">
        <f t="shared" si="17"/>
      </c>
      <c r="AO76" s="7">
        <f t="shared" si="17"/>
      </c>
      <c r="AP76" s="7">
        <f t="shared" si="17"/>
      </c>
      <c r="AQ76" s="7">
        <f t="shared" si="17"/>
      </c>
      <c r="AR76" s="7">
        <f t="shared" si="17"/>
      </c>
      <c r="AS76" s="7">
        <f t="shared" si="17"/>
      </c>
      <c r="AT76" s="7">
        <f t="shared" si="17"/>
      </c>
      <c r="AU76" s="7">
        <f t="shared" si="17"/>
      </c>
      <c r="AV76" s="7" t="str">
        <f t="shared" si="17"/>
      </c>
      <c r="AW76" s="7" t="str">
        <f t="shared" si="17"/>
      </c>
      <c r="AX76" s="7">
        <f t="shared" si="17"/>
      </c>
      <c r="AY76" s="7">
        <f t="shared" si="17"/>
      </c>
      <c r="AZ76" s="7">
        <f t="shared" si="17"/>
      </c>
      <c r="BA76" s="7">
        <f t="shared" si="17"/>
      </c>
      <c r="BB76" s="7">
        <f t="shared" si="17"/>
      </c>
      <c r="BC76" s="7">
        <f t="shared" si="17"/>
      </c>
      <c r="BD76" s="7">
        <f t="shared" si="17"/>
      </c>
      <c r="BE76" s="7">
        <f t="shared" si="17"/>
      </c>
      <c r="BF76" s="7">
        <f t="shared" si="17"/>
      </c>
      <c r="BG76" s="7">
        <f t="shared" si="17"/>
      </c>
      <c r="BH76" s="7">
        <f t="shared" si="17"/>
      </c>
      <c r="BI76" s="7">
        <f t="shared" si="17"/>
      </c>
      <c r="BJ76" s="7">
        <f t="shared" si="17"/>
      </c>
      <c r="BK76" s="7">
        <f t="shared" si="17"/>
      </c>
      <c r="BL76" s="7">
        <f t="shared" si="17"/>
      </c>
      <c r="BM76" s="7">
        <f t="shared" si="17"/>
      </c>
      <c r="BN76" s="7">
        <f t="shared" si="17"/>
      </c>
      <c r="BO76" s="7" t="str">
        <f t="shared" ref="BO76:DI79" si="18">IF(BO51=BO$40,0,BO51)</f>
      </c>
      <c r="BP76" s="7">
        <f t="shared" si="18"/>
      </c>
      <c r="BQ76" s="7">
        <f t="shared" si="18"/>
      </c>
      <c r="BR76" s="7">
        <f t="shared" si="18"/>
      </c>
      <c r="BS76" s="7">
        <f t="shared" si="18"/>
      </c>
      <c r="BT76" s="7">
        <f t="shared" si="18"/>
      </c>
      <c r="BU76" s="7">
        <f t="shared" si="18"/>
      </c>
      <c r="BV76" s="7">
        <f t="shared" si="18"/>
      </c>
      <c r="BW76" s="7" t="str">
        <f t="shared" si="18"/>
      </c>
      <c r="BX76" s="7" t="str">
        <f t="shared" si="18"/>
      </c>
      <c r="BY76" s="7">
        <f t="shared" si="18"/>
      </c>
      <c r="BZ76" s="7">
        <f t="shared" si="18"/>
      </c>
      <c r="CA76" s="7" t="str">
        <f t="shared" si="18"/>
      </c>
      <c r="CB76" s="7" t="str">
        <f t="shared" si="18"/>
      </c>
      <c r="CC76" s="7">
        <f t="shared" si="18"/>
      </c>
      <c r="CD76" s="7">
        <f t="shared" si="18"/>
      </c>
      <c r="CE76" s="7">
        <f t="shared" si="18"/>
      </c>
      <c r="CF76" s="7">
        <f t="shared" si="18"/>
      </c>
      <c r="CG76" s="7">
        <f t="shared" si="18"/>
      </c>
      <c r="CH76" s="7">
        <f t="shared" si="18"/>
      </c>
      <c r="CI76" s="7">
        <f t="shared" si="18"/>
      </c>
      <c r="CJ76" s="7">
        <f t="shared" si="18"/>
      </c>
      <c r="CK76" s="7">
        <f t="shared" si="18"/>
      </c>
      <c r="CL76" s="7">
        <f t="shared" si="18"/>
      </c>
      <c r="CM76" s="7">
        <f t="shared" si="18"/>
      </c>
      <c r="CN76" s="7">
        <f t="shared" si="18"/>
      </c>
      <c r="CO76" s="7">
        <f t="shared" si="18"/>
      </c>
      <c r="CP76" s="7">
        <f t="shared" si="18"/>
      </c>
      <c r="CQ76" s="7">
        <f t="shared" si="18"/>
      </c>
      <c r="CR76" s="7">
        <f t="shared" si="18"/>
      </c>
      <c r="CS76" s="7">
        <f t="shared" si="18"/>
      </c>
      <c r="CT76" s="7">
        <f t="shared" si="18"/>
      </c>
      <c r="CU76" s="7">
        <f t="shared" si="18"/>
      </c>
      <c r="CV76" s="7">
        <f t="shared" si="18"/>
      </c>
      <c r="CW76" s="7">
        <f t="shared" si="18"/>
      </c>
      <c r="CX76" s="7">
        <f t="shared" si="18"/>
      </c>
      <c r="CY76" s="7">
        <f t="shared" si="18"/>
      </c>
      <c r="CZ76" s="7">
        <f t="shared" si="18"/>
      </c>
      <c r="DA76" s="7">
        <f t="shared" si="18"/>
      </c>
      <c r="DB76" s="7" t="str">
        <f t="shared" si="18"/>
      </c>
      <c r="DC76" s="7" t="str">
        <f t="shared" si="18"/>
      </c>
      <c r="DD76" s="7">
        <f t="shared" si="18"/>
      </c>
      <c r="DE76" s="7">
        <f t="shared" si="18"/>
      </c>
      <c r="DF76" s="7">
        <f t="shared" si="18"/>
      </c>
      <c r="DG76" s="7">
        <f t="shared" si="18"/>
      </c>
      <c r="DH76" s="7">
        <f t="shared" si="18"/>
      </c>
      <c r="DI76" s="7">
        <f t="shared" si="18"/>
      </c>
    </row>
    <row r="77" spans="1:113" x14ac:dyDescent="0.25">
      <c r="A77" s="16" t="str">
        <f t="shared" si="15"/>
      </c>
      <c r="B77" s="16" t="str">
        <f t="shared" si="15"/>
      </c>
      <c r="C77" s="7">
        <f t="shared" si="16"/>
      </c>
      <c r="D77" s="7">
        <f t="shared" ref="D77:BO80" si="19">IF(D52=D$40,0,D52)</f>
      </c>
      <c r="E77" s="7">
        <f t="shared" si="19"/>
      </c>
      <c r="F77" s="7">
        <f t="shared" si="19"/>
      </c>
      <c r="G77" s="7">
        <f t="shared" si="19"/>
      </c>
      <c r="H77" s="7">
        <f t="shared" si="19"/>
      </c>
      <c r="I77" s="7">
        <f t="shared" si="19"/>
      </c>
      <c r="J77" s="7">
        <f t="shared" si="19"/>
      </c>
      <c r="K77" s="7">
        <f t="shared" si="19"/>
      </c>
      <c r="L77" s="7">
        <f t="shared" si="19"/>
      </c>
      <c r="M77" s="7">
        <f t="shared" si="19"/>
      </c>
      <c r="N77" s="7" t="str">
        <f t="shared" si="19"/>
      </c>
      <c r="O77" s="7" t="str">
        <f t="shared" si="19"/>
      </c>
      <c r="P77" s="7">
        <f t="shared" si="19"/>
      </c>
      <c r="Q77" s="7">
        <f t="shared" si="19"/>
      </c>
      <c r="R77" s="7">
        <f t="shared" si="19"/>
      </c>
      <c r="S77" s="7">
        <f t="shared" si="19"/>
      </c>
      <c r="T77" s="7">
        <f t="shared" si="19"/>
      </c>
      <c r="U77" s="7">
        <f t="shared" si="19"/>
      </c>
      <c r="V77" s="7">
        <f t="shared" si="19"/>
      </c>
      <c r="W77" s="7">
        <f t="shared" si="19"/>
      </c>
      <c r="X77" s="7">
        <f t="shared" si="19"/>
      </c>
      <c r="Y77" s="7">
        <f t="shared" si="19"/>
      </c>
      <c r="Z77" s="7">
        <f t="shared" si="19"/>
      </c>
      <c r="AA77" s="7">
        <f t="shared" si="19"/>
      </c>
      <c r="AB77" s="7">
        <f t="shared" si="19"/>
      </c>
      <c r="AC77" s="7">
        <f t="shared" si="19"/>
      </c>
      <c r="AD77" s="7">
        <f t="shared" si="19"/>
      </c>
      <c r="AE77" s="7">
        <f t="shared" si="19"/>
      </c>
      <c r="AF77" s="7">
        <f t="shared" si="19"/>
      </c>
      <c r="AG77" s="7">
        <f t="shared" si="19"/>
      </c>
      <c r="AH77" s="7">
        <f t="shared" si="19"/>
      </c>
      <c r="AI77" s="7">
        <f t="shared" si="19"/>
      </c>
      <c r="AJ77" s="7">
        <f t="shared" si="19"/>
      </c>
      <c r="AK77" s="7">
        <f t="shared" si="19"/>
      </c>
      <c r="AL77" s="7">
        <f t="shared" si="19"/>
      </c>
      <c r="AM77" s="7">
        <f t="shared" si="19"/>
      </c>
      <c r="AN77" s="7">
        <f t="shared" si="19"/>
      </c>
      <c r="AO77" s="7">
        <f t="shared" si="19"/>
      </c>
      <c r="AP77" s="7">
        <f t="shared" si="19"/>
      </c>
      <c r="AQ77" s="7">
        <f t="shared" si="19"/>
      </c>
      <c r="AR77" s="7">
        <f t="shared" si="19"/>
      </c>
      <c r="AS77" s="7">
        <f t="shared" si="19"/>
      </c>
      <c r="AT77" s="7">
        <f t="shared" si="19"/>
      </c>
      <c r="AU77" s="7">
        <f t="shared" si="19"/>
      </c>
      <c r="AV77" s="7" t="str">
        <f t="shared" si="19"/>
      </c>
      <c r="AW77" s="7" t="str">
        <f t="shared" si="19"/>
      </c>
      <c r="AX77" s="7">
        <f t="shared" si="19"/>
      </c>
      <c r="AY77" s="7">
        <f t="shared" si="19"/>
      </c>
      <c r="AZ77" s="7">
        <f t="shared" si="19"/>
      </c>
      <c r="BA77" s="7">
        <f t="shared" si="19"/>
      </c>
      <c r="BB77" s="7">
        <f t="shared" si="19"/>
      </c>
      <c r="BC77" s="7">
        <f t="shared" si="19"/>
      </c>
      <c r="BD77" s="7">
        <f t="shared" si="19"/>
      </c>
      <c r="BE77" s="7">
        <f t="shared" si="19"/>
      </c>
      <c r="BF77" s="7">
        <f t="shared" si="19"/>
      </c>
      <c r="BG77" s="7">
        <f t="shared" si="19"/>
      </c>
      <c r="BH77" s="7">
        <f t="shared" si="19"/>
      </c>
      <c r="BI77" s="7">
        <f t="shared" si="19"/>
      </c>
      <c r="BJ77" s="7">
        <f t="shared" si="19"/>
      </c>
      <c r="BK77" s="7">
        <f t="shared" si="19"/>
      </c>
      <c r="BL77" s="7">
        <f t="shared" si="19"/>
      </c>
      <c r="BM77" s="7">
        <f t="shared" si="19"/>
      </c>
      <c r="BN77" s="7">
        <f t="shared" si="19"/>
      </c>
      <c r="BO77" s="7" t="str">
        <f t="shared" si="19"/>
      </c>
      <c r="BP77" s="7">
        <f t="shared" si="18"/>
      </c>
      <c r="BQ77" s="7">
        <f t="shared" si="18"/>
      </c>
      <c r="BR77" s="7">
        <f t="shared" si="18"/>
      </c>
      <c r="BS77" s="7">
        <f t="shared" si="18"/>
      </c>
      <c r="BT77" s="7">
        <f t="shared" si="18"/>
      </c>
      <c r="BU77" s="7">
        <f t="shared" si="18"/>
      </c>
      <c r="BV77" s="7">
        <f t="shared" si="18"/>
      </c>
      <c r="BW77" s="7" t="str">
        <f t="shared" si="18"/>
      </c>
      <c r="BX77" s="7" t="str">
        <f t="shared" si="18"/>
      </c>
      <c r="BY77" s="7">
        <f t="shared" si="18"/>
      </c>
      <c r="BZ77" s="7">
        <f t="shared" si="18"/>
      </c>
      <c r="CA77" s="7" t="str">
        <f t="shared" si="18"/>
      </c>
      <c r="CB77" s="7" t="str">
        <f t="shared" si="18"/>
      </c>
      <c r="CC77" s="7">
        <f t="shared" si="18"/>
      </c>
      <c r="CD77" s="7">
        <f t="shared" si="18"/>
      </c>
      <c r="CE77" s="7">
        <f t="shared" si="18"/>
      </c>
      <c r="CF77" s="7">
        <f t="shared" si="18"/>
      </c>
      <c r="CG77" s="7">
        <f t="shared" si="18"/>
      </c>
      <c r="CH77" s="7">
        <f t="shared" si="18"/>
      </c>
      <c r="CI77" s="7">
        <f t="shared" si="18"/>
      </c>
      <c r="CJ77" s="7">
        <f t="shared" si="18"/>
      </c>
      <c r="CK77" s="7">
        <f t="shared" si="18"/>
      </c>
      <c r="CL77" s="7">
        <f t="shared" si="18"/>
      </c>
      <c r="CM77" s="7">
        <f t="shared" si="18"/>
      </c>
      <c r="CN77" s="7">
        <f t="shared" si="18"/>
      </c>
      <c r="CO77" s="7">
        <f t="shared" si="18"/>
      </c>
      <c r="CP77" s="7">
        <f t="shared" si="18"/>
      </c>
      <c r="CQ77" s="7">
        <f t="shared" si="18"/>
      </c>
      <c r="CR77" s="7">
        <f t="shared" si="18"/>
      </c>
      <c r="CS77" s="7">
        <f t="shared" si="18"/>
      </c>
      <c r="CT77" s="7">
        <f t="shared" si="18"/>
      </c>
      <c r="CU77" s="7">
        <f t="shared" si="18"/>
      </c>
      <c r="CV77" s="7">
        <f t="shared" si="18"/>
      </c>
      <c r="CW77" s="7">
        <f t="shared" si="18"/>
      </c>
      <c r="CX77" s="7">
        <f t="shared" si="18"/>
      </c>
      <c r="CY77" s="7">
        <f t="shared" si="18"/>
      </c>
      <c r="CZ77" s="7">
        <f t="shared" si="18"/>
      </c>
      <c r="DA77" s="7">
        <f t="shared" si="18"/>
      </c>
      <c r="DB77" s="7" t="str">
        <f t="shared" si="18"/>
      </c>
      <c r="DC77" s="7" t="str">
        <f t="shared" si="18"/>
      </c>
      <c r="DD77" s="7">
        <f t="shared" si="18"/>
      </c>
      <c r="DE77" s="7">
        <f t="shared" si="18"/>
      </c>
      <c r="DF77" s="7">
        <f t="shared" si="18"/>
      </c>
      <c r="DG77" s="7">
        <f t="shared" si="18"/>
      </c>
      <c r="DH77" s="7">
        <f t="shared" si="18"/>
      </c>
      <c r="DI77" s="7">
        <f t="shared" si="18"/>
      </c>
    </row>
    <row r="78" spans="1:113" x14ac:dyDescent="0.25">
      <c r="A78" s="16" t="str">
        <f t="shared" si="15"/>
      </c>
      <c r="B78" s="16" t="str">
        <f t="shared" si="15"/>
      </c>
      <c r="C78" s="7">
        <f t="shared" si="16"/>
      </c>
      <c r="D78" s="7">
        <f t="shared" si="19"/>
      </c>
      <c r="E78" s="7">
        <f t="shared" si="19"/>
      </c>
      <c r="F78" s="7">
        <f t="shared" si="19"/>
      </c>
      <c r="G78" s="7">
        <f t="shared" si="19"/>
      </c>
      <c r="H78" s="7">
        <f t="shared" si="19"/>
      </c>
      <c r="I78" s="7">
        <f t="shared" si="19"/>
      </c>
      <c r="J78" s="7">
        <f t="shared" si="19"/>
      </c>
      <c r="K78" s="7">
        <f t="shared" si="19"/>
      </c>
      <c r="L78" s="7">
        <f t="shared" si="19"/>
      </c>
      <c r="M78" s="7">
        <f t="shared" si="19"/>
      </c>
      <c r="N78" s="7" t="str">
        <f t="shared" si="19"/>
      </c>
      <c r="O78" s="7" t="str">
        <f t="shared" si="19"/>
      </c>
      <c r="P78" s="7">
        <f t="shared" si="19"/>
      </c>
      <c r="Q78" s="7">
        <f t="shared" si="19"/>
      </c>
      <c r="R78" s="7">
        <f t="shared" si="19"/>
      </c>
      <c r="S78" s="7">
        <f t="shared" si="19"/>
      </c>
      <c r="T78" s="7">
        <f t="shared" si="19"/>
      </c>
      <c r="U78" s="7">
        <f t="shared" si="19"/>
      </c>
      <c r="V78" s="7">
        <f t="shared" si="19"/>
      </c>
      <c r="W78" s="7">
        <f t="shared" si="19"/>
      </c>
      <c r="X78" s="7">
        <f t="shared" si="19"/>
      </c>
      <c r="Y78" s="7">
        <f t="shared" si="19"/>
      </c>
      <c r="Z78" s="7">
        <f t="shared" si="19"/>
      </c>
      <c r="AA78" s="7">
        <f t="shared" si="19"/>
      </c>
      <c r="AB78" s="7">
        <f t="shared" si="19"/>
      </c>
      <c r="AC78" s="7">
        <f t="shared" si="19"/>
      </c>
      <c r="AD78" s="7">
        <f t="shared" si="19"/>
      </c>
      <c r="AE78" s="7">
        <f t="shared" si="19"/>
      </c>
      <c r="AF78" s="7">
        <f t="shared" si="19"/>
      </c>
      <c r="AG78" s="7">
        <f t="shared" si="19"/>
      </c>
      <c r="AH78" s="7">
        <f t="shared" si="19"/>
      </c>
      <c r="AI78" s="7">
        <f t="shared" si="19"/>
      </c>
      <c r="AJ78" s="7">
        <f t="shared" si="19"/>
      </c>
      <c r="AK78" s="7">
        <f t="shared" si="19"/>
      </c>
      <c r="AL78" s="7">
        <f t="shared" si="19"/>
      </c>
      <c r="AM78" s="7">
        <f t="shared" si="19"/>
      </c>
      <c r="AN78" s="7">
        <f t="shared" si="19"/>
      </c>
      <c r="AO78" s="7">
        <f t="shared" si="19"/>
      </c>
      <c r="AP78" s="7">
        <f t="shared" si="19"/>
      </c>
      <c r="AQ78" s="7">
        <f t="shared" si="19"/>
      </c>
      <c r="AR78" s="7">
        <f t="shared" si="19"/>
      </c>
      <c r="AS78" s="7">
        <f t="shared" si="19"/>
      </c>
      <c r="AT78" s="7">
        <f t="shared" si="19"/>
      </c>
      <c r="AU78" s="7">
        <f t="shared" si="19"/>
      </c>
      <c r="AV78" s="7" t="str">
        <f t="shared" si="19"/>
      </c>
      <c r="AW78" s="7" t="str">
        <f t="shared" si="19"/>
      </c>
      <c r="AX78" s="7">
        <f t="shared" si="19"/>
      </c>
      <c r="AY78" s="7">
        <f t="shared" si="19"/>
      </c>
      <c r="AZ78" s="7">
        <f t="shared" si="19"/>
      </c>
      <c r="BA78" s="7">
        <f t="shared" si="19"/>
      </c>
      <c r="BB78" s="7">
        <f t="shared" si="19"/>
      </c>
      <c r="BC78" s="7">
        <f t="shared" si="19"/>
      </c>
      <c r="BD78" s="7">
        <f t="shared" si="19"/>
      </c>
      <c r="BE78" s="7">
        <f t="shared" si="19"/>
      </c>
      <c r="BF78" s="7">
        <f t="shared" si="19"/>
      </c>
      <c r="BG78" s="7">
        <f t="shared" si="19"/>
      </c>
      <c r="BH78" s="7">
        <f t="shared" si="19"/>
      </c>
      <c r="BI78" s="7">
        <f t="shared" si="19"/>
      </c>
      <c r="BJ78" s="7">
        <f t="shared" si="19"/>
      </c>
      <c r="BK78" s="7">
        <f t="shared" si="19"/>
      </c>
      <c r="BL78" s="7">
        <f t="shared" si="19"/>
      </c>
      <c r="BM78" s="7">
        <f t="shared" si="19"/>
      </c>
      <c r="BN78" s="7">
        <f t="shared" si="19"/>
      </c>
      <c r="BO78" s="7" t="str">
        <f t="shared" si="19"/>
      </c>
      <c r="BP78" s="7">
        <f t="shared" si="18"/>
      </c>
      <c r="BQ78" s="7">
        <f t="shared" si="18"/>
      </c>
      <c r="BR78" s="7">
        <f t="shared" si="18"/>
      </c>
      <c r="BS78" s="7">
        <f t="shared" si="18"/>
      </c>
      <c r="BT78" s="7">
        <f t="shared" si="18"/>
      </c>
      <c r="BU78" s="7">
        <f t="shared" si="18"/>
      </c>
      <c r="BV78" s="7">
        <f t="shared" si="18"/>
      </c>
      <c r="BW78" s="7" t="str">
        <f t="shared" si="18"/>
      </c>
      <c r="BX78" s="7" t="str">
        <f t="shared" si="18"/>
      </c>
      <c r="BY78" s="7">
        <f t="shared" si="18"/>
      </c>
      <c r="BZ78" s="7">
        <f t="shared" si="18"/>
      </c>
      <c r="CA78" s="7">
        <f t="shared" si="18"/>
      </c>
      <c r="CB78" s="7">
        <f t="shared" si="18"/>
      </c>
      <c r="CC78" s="7">
        <f t="shared" si="18"/>
      </c>
      <c r="CD78" s="7">
        <f t="shared" si="18"/>
      </c>
      <c r="CE78" s="7">
        <f t="shared" si="18"/>
      </c>
      <c r="CF78" s="7">
        <f t="shared" si="18"/>
      </c>
      <c r="CG78" s="7">
        <f t="shared" si="18"/>
      </c>
      <c r="CH78" s="7">
        <f t="shared" si="18"/>
      </c>
      <c r="CI78" s="7">
        <f t="shared" si="18"/>
      </c>
      <c r="CJ78" s="7">
        <f t="shared" si="18"/>
      </c>
      <c r="CK78" s="7">
        <f t="shared" si="18"/>
      </c>
      <c r="CL78" s="7">
        <f t="shared" si="18"/>
      </c>
      <c r="CM78" s="7">
        <f t="shared" si="18"/>
      </c>
      <c r="CN78" s="7">
        <f t="shared" si="18"/>
      </c>
      <c r="CO78" s="7">
        <f t="shared" si="18"/>
      </c>
      <c r="CP78" s="7">
        <f t="shared" si="18"/>
      </c>
      <c r="CQ78" s="7">
        <f t="shared" si="18"/>
      </c>
      <c r="CR78" s="7">
        <f t="shared" si="18"/>
      </c>
      <c r="CS78" s="7">
        <f t="shared" si="18"/>
      </c>
      <c r="CT78" s="7">
        <f t="shared" si="18"/>
      </c>
      <c r="CU78" s="7">
        <f t="shared" si="18"/>
      </c>
      <c r="CV78" s="7">
        <f t="shared" si="18"/>
      </c>
      <c r="CW78" s="7">
        <f t="shared" si="18"/>
      </c>
      <c r="CX78" s="7">
        <f t="shared" si="18"/>
      </c>
      <c r="CY78" s="7">
        <f t="shared" si="18"/>
      </c>
      <c r="CZ78" s="7">
        <f t="shared" si="18"/>
      </c>
      <c r="DA78" s="7">
        <f t="shared" si="18"/>
      </c>
      <c r="DB78" s="7" t="str">
        <f t="shared" si="18"/>
      </c>
      <c r="DC78" s="7" t="str">
        <f t="shared" si="18"/>
      </c>
      <c r="DD78" s="7">
        <f t="shared" si="18"/>
      </c>
      <c r="DE78" s="7">
        <f t="shared" si="18"/>
      </c>
      <c r="DF78" s="7">
        <f t="shared" si="18"/>
      </c>
      <c r="DG78" s="7">
        <f t="shared" si="18"/>
      </c>
      <c r="DH78" s="7">
        <f t="shared" si="18"/>
      </c>
      <c r="DI78" s="7">
        <f t="shared" si="18"/>
      </c>
    </row>
    <row r="79" spans="1:113" x14ac:dyDescent="0.25">
      <c r="A79" s="16" t="str">
        <f t="shared" si="15"/>
      </c>
      <c r="B79" s="16" t="str">
        <f t="shared" si="15"/>
      </c>
      <c r="C79" s="7">
        <f t="shared" si="16"/>
      </c>
      <c r="D79" s="7">
        <f t="shared" si="19"/>
      </c>
      <c r="E79" s="7">
        <f t="shared" si="19"/>
      </c>
      <c r="F79" s="7">
        <f t="shared" si="19"/>
      </c>
      <c r="G79" s="7">
        <f t="shared" si="19"/>
      </c>
      <c r="H79" s="7">
        <f t="shared" si="19"/>
      </c>
      <c r="I79" s="7">
        <f t="shared" si="19"/>
      </c>
      <c r="J79" s="7">
        <f t="shared" si="19"/>
      </c>
      <c r="K79" s="7">
        <f t="shared" si="19"/>
      </c>
      <c r="L79" s="7">
        <f t="shared" si="19"/>
      </c>
      <c r="M79" s="7">
        <f t="shared" si="19"/>
      </c>
      <c r="N79" s="7" t="str">
        <f t="shared" si="19"/>
      </c>
      <c r="O79" s="7" t="str">
        <f t="shared" si="19"/>
      </c>
      <c r="P79" s="7">
        <f t="shared" si="19"/>
      </c>
      <c r="Q79" s="7">
        <f t="shared" si="19"/>
      </c>
      <c r="R79" s="7">
        <f t="shared" si="19"/>
      </c>
      <c r="S79" s="7">
        <f t="shared" si="19"/>
      </c>
      <c r="T79" s="7">
        <f t="shared" si="19"/>
      </c>
      <c r="U79" s="7">
        <f t="shared" si="19"/>
      </c>
      <c r="V79" s="7">
        <f t="shared" si="19"/>
      </c>
      <c r="W79" s="7">
        <f t="shared" si="19"/>
      </c>
      <c r="X79" s="7">
        <f t="shared" si="19"/>
      </c>
      <c r="Y79" s="7">
        <f t="shared" si="19"/>
      </c>
      <c r="Z79" s="7">
        <f t="shared" si="19"/>
      </c>
      <c r="AA79" s="7">
        <f t="shared" si="19"/>
      </c>
      <c r="AB79" s="7">
        <f t="shared" si="19"/>
      </c>
      <c r="AC79" s="7">
        <f t="shared" si="19"/>
      </c>
      <c r="AD79" s="7">
        <f t="shared" si="19"/>
      </c>
      <c r="AE79" s="7">
        <f t="shared" si="19"/>
      </c>
      <c r="AF79" s="7">
        <f t="shared" si="19"/>
      </c>
      <c r="AG79" s="7">
        <f t="shared" si="19"/>
      </c>
      <c r="AH79" s="7">
        <f t="shared" si="19"/>
      </c>
      <c r="AI79" s="7">
        <f t="shared" si="19"/>
      </c>
      <c r="AJ79" s="7">
        <f t="shared" si="19"/>
      </c>
      <c r="AK79" s="7">
        <f t="shared" si="19"/>
      </c>
      <c r="AL79" s="7">
        <f t="shared" si="19"/>
      </c>
      <c r="AM79" s="7">
        <f t="shared" si="19"/>
      </c>
      <c r="AN79" s="7">
        <f t="shared" si="19"/>
      </c>
      <c r="AO79" s="7">
        <f t="shared" si="19"/>
      </c>
      <c r="AP79" s="7">
        <f t="shared" si="19"/>
      </c>
      <c r="AQ79" s="7">
        <f t="shared" si="19"/>
      </c>
      <c r="AR79" s="7">
        <f t="shared" si="19"/>
      </c>
      <c r="AS79" s="7">
        <f t="shared" si="19"/>
      </c>
      <c r="AT79" s="7">
        <f t="shared" si="19"/>
      </c>
      <c r="AU79" s="7">
        <f t="shared" si="19"/>
      </c>
      <c r="AV79" s="7" t="str">
        <f t="shared" si="19"/>
      </c>
      <c r="AW79" s="7" t="str">
        <f t="shared" si="19"/>
      </c>
      <c r="AX79" s="7">
        <f t="shared" si="19"/>
      </c>
      <c r="AY79" s="7">
        <f t="shared" si="19"/>
      </c>
      <c r="AZ79" s="7">
        <f t="shared" si="19"/>
      </c>
      <c r="BA79" s="7">
        <f t="shared" si="19"/>
      </c>
      <c r="BB79" s="7">
        <f t="shared" si="19"/>
      </c>
      <c r="BC79" s="7">
        <f t="shared" si="19"/>
      </c>
      <c r="BD79" s="7">
        <f t="shared" si="19"/>
      </c>
      <c r="BE79" s="7">
        <f t="shared" si="19"/>
      </c>
      <c r="BF79" s="7">
        <f t="shared" si="19"/>
      </c>
      <c r="BG79" s="7">
        <f t="shared" si="19"/>
      </c>
      <c r="BH79" s="7">
        <f t="shared" si="19"/>
      </c>
      <c r="BI79" s="7">
        <f t="shared" si="19"/>
      </c>
      <c r="BJ79" s="7">
        <f t="shared" si="19"/>
      </c>
      <c r="BK79" s="7">
        <f t="shared" si="19"/>
      </c>
      <c r="BL79" s="7">
        <f t="shared" si="19"/>
      </c>
      <c r="BM79" s="7">
        <f t="shared" si="19"/>
      </c>
      <c r="BN79" s="7">
        <f t="shared" si="19"/>
      </c>
      <c r="BO79" s="7" t="str">
        <f t="shared" si="19"/>
      </c>
      <c r="BP79" s="7">
        <f t="shared" si="18"/>
      </c>
      <c r="BQ79" s="7">
        <f t="shared" si="18"/>
      </c>
      <c r="BR79" s="7">
        <f t="shared" si="18"/>
      </c>
      <c r="BS79" s="7">
        <f t="shared" si="18"/>
      </c>
      <c r="BT79" s="7">
        <f t="shared" si="18"/>
      </c>
      <c r="BU79" s="7">
        <f t="shared" si="18"/>
      </c>
      <c r="BV79" s="7">
        <f t="shared" si="18"/>
      </c>
      <c r="BW79" s="7" t="str">
        <f t="shared" si="18"/>
      </c>
      <c r="BX79" s="7" t="str">
        <f t="shared" si="18"/>
      </c>
      <c r="BY79" s="7">
        <f t="shared" si="18"/>
      </c>
      <c r="BZ79" s="7">
        <f t="shared" si="18"/>
      </c>
      <c r="CA79" s="7">
        <f t="shared" si="18"/>
      </c>
      <c r="CB79" s="7">
        <f t="shared" si="18"/>
      </c>
      <c r="CC79" s="7">
        <f t="shared" si="18"/>
      </c>
      <c r="CD79" s="7">
        <f t="shared" si="18"/>
      </c>
      <c r="CE79" s="7">
        <f t="shared" si="18"/>
      </c>
      <c r="CF79" s="7">
        <f t="shared" si="18"/>
      </c>
      <c r="CG79" s="7">
        <f t="shared" si="18"/>
      </c>
      <c r="CH79" s="7">
        <f t="shared" si="18"/>
      </c>
      <c r="CI79" s="7">
        <f t="shared" si="18"/>
      </c>
      <c r="CJ79" s="7">
        <f t="shared" si="18"/>
      </c>
      <c r="CK79" s="7">
        <f t="shared" si="18"/>
      </c>
      <c r="CL79" s="7">
        <f t="shared" si="18"/>
      </c>
      <c r="CM79" s="7">
        <f t="shared" si="18"/>
      </c>
      <c r="CN79" s="7">
        <f t="shared" si="18"/>
      </c>
      <c r="CO79" s="7">
        <f t="shared" si="18"/>
      </c>
      <c r="CP79" s="7">
        <f t="shared" si="18"/>
      </c>
      <c r="CQ79" s="7">
        <f t="shared" si="18"/>
      </c>
      <c r="CR79" s="7">
        <f t="shared" si="18"/>
      </c>
      <c r="CS79" s="7">
        <f t="shared" si="18"/>
      </c>
      <c r="CT79" s="7">
        <f t="shared" si="18"/>
      </c>
      <c r="CU79" s="7">
        <f t="shared" si="18"/>
      </c>
      <c r="CV79" s="7">
        <f t="shared" si="18"/>
      </c>
      <c r="CW79" s="7">
        <f t="shared" si="18"/>
      </c>
      <c r="CX79" s="7">
        <f t="shared" si="18"/>
      </c>
      <c r="CY79" s="7">
        <f t="shared" si="18"/>
      </c>
      <c r="CZ79" s="7">
        <f t="shared" si="18"/>
      </c>
      <c r="DA79" s="7">
        <f t="shared" si="18"/>
      </c>
      <c r="DB79" s="7" t="str">
        <f t="shared" si="18"/>
      </c>
      <c r="DC79" s="7" t="str">
        <f t="shared" si="18"/>
      </c>
      <c r="DD79" s="7">
        <f t="shared" si="18"/>
      </c>
      <c r="DE79" s="7">
        <f t="shared" si="18"/>
      </c>
      <c r="DF79" s="7">
        <f t="shared" si="18"/>
      </c>
      <c r="DG79" s="7">
        <f t="shared" si="18"/>
      </c>
      <c r="DH79" s="7">
        <f t="shared" si="18"/>
      </c>
      <c r="DI79" s="7">
        <f t="shared" si="18"/>
      </c>
    </row>
    <row r="80" spans="1:113" x14ac:dyDescent="0.25">
      <c r="A80" s="16" t="str">
        <f t="shared" si="15"/>
      </c>
      <c r="B80" s="16" t="str">
        <f t="shared" si="15"/>
      </c>
      <c r="C80" s="7">
        <f t="shared" si="16"/>
      </c>
      <c r="D80" s="7">
        <f t="shared" si="19"/>
      </c>
      <c r="E80" s="7">
        <f t="shared" si="19"/>
      </c>
      <c r="F80" s="7">
        <f t="shared" si="19"/>
      </c>
      <c r="G80" s="7">
        <f t="shared" si="19"/>
      </c>
      <c r="H80" s="7">
        <f t="shared" si="19"/>
      </c>
      <c r="I80" s="7">
        <f t="shared" si="19"/>
      </c>
      <c r="J80" s="7">
        <f t="shared" si="19"/>
      </c>
      <c r="K80" s="7">
        <f t="shared" si="19"/>
      </c>
      <c r="L80" s="7">
        <f t="shared" si="19"/>
      </c>
      <c r="M80" s="7">
        <f t="shared" si="19"/>
      </c>
      <c r="N80" s="7" t="str">
        <f t="shared" si="19"/>
      </c>
      <c r="O80" s="7" t="str">
        <f t="shared" si="19"/>
      </c>
      <c r="P80" s="7">
        <f t="shared" si="19"/>
      </c>
      <c r="Q80" s="7">
        <f t="shared" si="19"/>
      </c>
      <c r="R80" s="7">
        <f t="shared" si="19"/>
      </c>
      <c r="S80" s="7">
        <f t="shared" si="19"/>
      </c>
      <c r="T80" s="7">
        <f t="shared" si="19"/>
      </c>
      <c r="U80" s="7">
        <f t="shared" si="19"/>
      </c>
      <c r="V80" s="7">
        <f t="shared" si="19"/>
      </c>
      <c r="W80" s="7">
        <f t="shared" si="19"/>
      </c>
      <c r="X80" s="7">
        <f t="shared" si="19"/>
      </c>
      <c r="Y80" s="7">
        <f t="shared" si="19"/>
      </c>
      <c r="Z80" s="7">
        <f t="shared" si="19"/>
      </c>
      <c r="AA80" s="7">
        <f t="shared" si="19"/>
      </c>
      <c r="AB80" s="7">
        <f t="shared" si="19"/>
      </c>
      <c r="AC80" s="7">
        <f t="shared" si="19"/>
      </c>
      <c r="AD80" s="7">
        <f t="shared" si="19"/>
      </c>
      <c r="AE80" s="7">
        <f t="shared" si="19"/>
      </c>
      <c r="AF80" s="7">
        <f t="shared" si="19"/>
      </c>
      <c r="AG80" s="7">
        <f t="shared" si="19"/>
      </c>
      <c r="AH80" s="7">
        <f t="shared" si="19"/>
      </c>
      <c r="AI80" s="7">
        <f t="shared" si="19"/>
      </c>
      <c r="AJ80" s="7">
        <f t="shared" si="19"/>
      </c>
      <c r="AK80" s="7">
        <f t="shared" si="19"/>
      </c>
      <c r="AL80" s="7">
        <f t="shared" si="19"/>
      </c>
      <c r="AM80" s="7">
        <f t="shared" si="19"/>
      </c>
      <c r="AN80" s="7">
        <f t="shared" si="19"/>
      </c>
      <c r="AO80" s="7">
        <f t="shared" si="19"/>
      </c>
      <c r="AP80" s="7">
        <f t="shared" si="19"/>
      </c>
      <c r="AQ80" s="7">
        <f t="shared" si="19"/>
      </c>
      <c r="AR80" s="7">
        <f t="shared" si="19"/>
      </c>
      <c r="AS80" s="7">
        <f t="shared" si="19"/>
      </c>
      <c r="AT80" s="7">
        <f t="shared" si="19"/>
      </c>
      <c r="AU80" s="7">
        <f t="shared" si="19"/>
      </c>
      <c r="AV80" s="7" t="str">
        <f t="shared" si="19"/>
      </c>
      <c r="AW80" s="7" t="str">
        <f t="shared" si="19"/>
      </c>
      <c r="AX80" s="7">
        <f t="shared" si="19"/>
      </c>
      <c r="AY80" s="7">
        <f t="shared" si="19"/>
      </c>
      <c r="AZ80" s="7">
        <f t="shared" si="19"/>
      </c>
      <c r="BA80" s="7">
        <f t="shared" si="19"/>
      </c>
      <c r="BB80" s="7">
        <f t="shared" si="19"/>
      </c>
      <c r="BC80" s="7">
        <f t="shared" si="19"/>
      </c>
      <c r="BD80" s="7">
        <f t="shared" si="19"/>
      </c>
      <c r="BE80" s="7">
        <f t="shared" si="19"/>
      </c>
      <c r="BF80" s="7">
        <f t="shared" si="19"/>
      </c>
      <c r="BG80" s="7">
        <f t="shared" si="19"/>
      </c>
      <c r="BH80" s="7">
        <f t="shared" si="19"/>
      </c>
      <c r="BI80" s="7" t="str">
        <f t="shared" si="19"/>
      </c>
      <c r="BJ80" s="7">
        <f t="shared" si="19"/>
      </c>
      <c r="BK80" s="7">
        <f t="shared" si="19"/>
      </c>
      <c r="BL80" s="7">
        <f t="shared" si="19"/>
      </c>
      <c r="BM80" s="7">
        <f t="shared" si="19"/>
      </c>
      <c r="BN80" s="7">
        <f t="shared" si="19"/>
      </c>
      <c r="BO80" s="7" t="str">
        <f t="shared" ref="BO80:DI82" si="20">IF(BO55=BO$40,0,BO55)</f>
      </c>
      <c r="BP80" s="7">
        <f t="shared" si="20"/>
      </c>
      <c r="BQ80" s="7">
        <f t="shared" si="20"/>
      </c>
      <c r="BR80" s="7">
        <f t="shared" si="20"/>
      </c>
      <c r="BS80" s="7">
        <f t="shared" si="20"/>
      </c>
      <c r="BT80" s="7">
        <f t="shared" si="20"/>
      </c>
      <c r="BU80" s="7">
        <f t="shared" si="20"/>
      </c>
      <c r="BV80" s="7">
        <f t="shared" si="20"/>
      </c>
      <c r="BW80" s="7" t="str">
        <f t="shared" si="20"/>
      </c>
      <c r="BX80" s="7" t="str">
        <f t="shared" si="20"/>
      </c>
      <c r="BY80" s="7">
        <f t="shared" si="20"/>
      </c>
      <c r="BZ80" s="7">
        <f t="shared" si="20"/>
      </c>
      <c r="CA80" s="7">
        <f t="shared" si="20"/>
      </c>
      <c r="CB80" s="7">
        <f t="shared" si="20"/>
      </c>
      <c r="CC80" s="7">
        <f t="shared" si="20"/>
      </c>
      <c r="CD80" s="7">
        <f t="shared" si="20"/>
      </c>
      <c r="CE80" s="7">
        <f t="shared" si="20"/>
      </c>
      <c r="CF80" s="7">
        <f t="shared" si="20"/>
      </c>
      <c r="CG80" s="7">
        <f t="shared" si="20"/>
      </c>
      <c r="CH80" s="7">
        <f t="shared" si="20"/>
      </c>
      <c r="CI80" s="7">
        <f t="shared" si="20"/>
      </c>
      <c r="CJ80" s="7">
        <f t="shared" si="20"/>
      </c>
      <c r="CK80" s="7">
        <f t="shared" si="20"/>
      </c>
      <c r="CL80" s="7">
        <f t="shared" si="20"/>
      </c>
      <c r="CM80" s="7">
        <f t="shared" si="20"/>
      </c>
      <c r="CN80" s="7">
        <f t="shared" si="20"/>
      </c>
      <c r="CO80" s="7">
        <f t="shared" si="20"/>
      </c>
      <c r="CP80" s="7">
        <f t="shared" si="20"/>
      </c>
      <c r="CQ80" s="7">
        <f t="shared" si="20"/>
      </c>
      <c r="CR80" s="7">
        <f t="shared" si="20"/>
      </c>
      <c r="CS80" s="7">
        <f t="shared" si="20"/>
      </c>
      <c r="CT80" s="7">
        <f t="shared" si="20"/>
      </c>
      <c r="CU80" s="7">
        <f t="shared" si="20"/>
      </c>
      <c r="CV80" s="7">
        <f t="shared" si="20"/>
      </c>
      <c r="CW80" s="7">
        <f t="shared" si="20"/>
      </c>
      <c r="CX80" s="7">
        <f t="shared" si="20"/>
      </c>
      <c r="CY80" s="7">
        <f t="shared" si="20"/>
      </c>
      <c r="CZ80" s="7">
        <f t="shared" si="20"/>
      </c>
      <c r="DA80" s="7">
        <f t="shared" si="20"/>
      </c>
      <c r="DB80" s="7" t="str">
        <f t="shared" si="20"/>
      </c>
      <c r="DC80" s="7" t="str">
        <f t="shared" si="20"/>
      </c>
      <c r="DD80" s="7">
        <f t="shared" si="20"/>
      </c>
      <c r="DE80" s="7">
        <f t="shared" si="20"/>
      </c>
      <c r="DF80" s="7">
        <f t="shared" si="20"/>
      </c>
      <c r="DG80" s="7">
        <f t="shared" si="20"/>
      </c>
      <c r="DH80" s="7">
        <f t="shared" si="20"/>
      </c>
      <c r="DI80" s="7">
        <f t="shared" si="20"/>
      </c>
    </row>
    <row r="81" spans="1:113" x14ac:dyDescent="0.25">
      <c r="A81" s="16" t="str">
        <f t="shared" si="15"/>
      </c>
      <c r="B81" s="16" t="str">
        <f t="shared" si="15"/>
      </c>
      <c r="C81" s="7">
        <f t="shared" si="16"/>
      </c>
      <c r="D81" s="7">
        <f t="shared" ref="D81:BO82" si="21">IF(D56=D$40,0,D56)</f>
      </c>
      <c r="E81" s="7" t="str">
        <f t="shared" si="21"/>
      </c>
      <c r="F81" s="7">
        <f t="shared" si="21"/>
      </c>
      <c r="G81" s="7">
        <f t="shared" si="21"/>
      </c>
      <c r="H81" s="7">
        <f t="shared" si="21"/>
      </c>
      <c r="I81" s="7">
        <f t="shared" si="21"/>
      </c>
      <c r="J81" s="7">
        <f t="shared" si="21"/>
      </c>
      <c r="K81" s="7">
        <f t="shared" si="21"/>
      </c>
      <c r="L81" s="7">
        <f t="shared" si="21"/>
      </c>
      <c r="M81" s="7">
        <f t="shared" si="21"/>
      </c>
      <c r="N81" s="7" t="str">
        <f t="shared" si="21"/>
      </c>
      <c r="O81" s="7" t="str">
        <f t="shared" si="21"/>
      </c>
      <c r="P81" s="7">
        <f t="shared" si="21"/>
      </c>
      <c r="Q81" s="7">
        <f t="shared" si="21"/>
      </c>
      <c r="R81" s="7">
        <f t="shared" si="21"/>
      </c>
      <c r="S81" s="7">
        <f t="shared" si="21"/>
      </c>
      <c r="T81" s="7">
        <f t="shared" si="21"/>
      </c>
      <c r="U81" s="7">
        <f t="shared" si="21"/>
      </c>
      <c r="V81" s="7">
        <f t="shared" si="21"/>
      </c>
      <c r="W81" s="7">
        <f t="shared" si="21"/>
      </c>
      <c r="X81" s="7">
        <f t="shared" si="21"/>
      </c>
      <c r="Y81" s="7">
        <f t="shared" si="21"/>
      </c>
      <c r="Z81" s="7">
        <f t="shared" si="21"/>
      </c>
      <c r="AA81" s="7">
        <f t="shared" si="21"/>
      </c>
      <c r="AB81" s="7">
        <f t="shared" si="21"/>
      </c>
      <c r="AC81" s="7">
        <f t="shared" si="21"/>
      </c>
      <c r="AD81" s="7">
        <f t="shared" si="21"/>
      </c>
      <c r="AE81" s="7">
        <f t="shared" si="21"/>
      </c>
      <c r="AF81" s="7">
        <f t="shared" si="21"/>
      </c>
      <c r="AG81" s="7" t="str">
        <f t="shared" si="21"/>
      </c>
      <c r="AH81" s="7" t="str">
        <f t="shared" si="21"/>
      </c>
      <c r="AI81" s="7">
        <f t="shared" si="21"/>
      </c>
      <c r="AJ81" s="7">
        <f t="shared" si="21"/>
      </c>
      <c r="AK81" s="7">
        <f t="shared" si="21"/>
      </c>
      <c r="AL81" s="7">
        <f t="shared" si="21"/>
      </c>
      <c r="AM81" s="7">
        <f t="shared" si="21"/>
      </c>
      <c r="AN81" s="7">
        <f t="shared" si="21"/>
      </c>
      <c r="AO81" s="7">
        <f t="shared" si="21"/>
      </c>
      <c r="AP81" s="7">
        <f t="shared" si="21"/>
      </c>
      <c r="AQ81" s="7">
        <f t="shared" si="21"/>
      </c>
      <c r="AR81" s="7">
        <f t="shared" si="21"/>
      </c>
      <c r="AS81" s="7">
        <f t="shared" si="21"/>
      </c>
      <c r="AT81" s="7">
        <f t="shared" si="21"/>
      </c>
      <c r="AU81" s="7">
        <f t="shared" si="21"/>
      </c>
      <c r="AV81" s="7" t="str">
        <f t="shared" si="21"/>
      </c>
      <c r="AW81" s="7" t="str">
        <f t="shared" si="21"/>
      </c>
      <c r="AX81" s="7">
        <f t="shared" si="21"/>
      </c>
      <c r="AY81" s="7">
        <f t="shared" si="21"/>
      </c>
      <c r="AZ81" s="7">
        <f t="shared" si="21"/>
      </c>
      <c r="BA81" s="7">
        <f t="shared" si="21"/>
      </c>
      <c r="BB81" s="7">
        <f t="shared" si="21"/>
      </c>
      <c r="BC81" s="7">
        <f t="shared" si="21"/>
      </c>
      <c r="BD81" s="7">
        <f t="shared" si="21"/>
      </c>
      <c r="BE81" s="7">
        <f t="shared" si="21"/>
      </c>
      <c r="BF81" s="7">
        <f t="shared" si="21"/>
      </c>
      <c r="BG81" s="7">
        <f t="shared" si="21"/>
      </c>
      <c r="BH81" s="7">
        <f t="shared" si="21"/>
      </c>
      <c r="BI81" s="7" t="str">
        <f t="shared" si="21"/>
      </c>
      <c r="BJ81" s="7">
        <f t="shared" si="21"/>
      </c>
      <c r="BK81" s="7">
        <f t="shared" si="21"/>
      </c>
      <c r="BL81" s="7" t="str">
        <f t="shared" si="21"/>
      </c>
      <c r="BM81" s="7" t="str">
        <f t="shared" si="21"/>
      </c>
      <c r="BN81" s="7">
        <f t="shared" si="21"/>
      </c>
      <c r="BO81" s="7" t="str">
        <f t="shared" si="21"/>
      </c>
      <c r="BP81" s="7">
        <f t="shared" si="20"/>
      </c>
      <c r="BQ81" s="7">
        <f t="shared" si="20"/>
      </c>
      <c r="BR81" s="7">
        <f t="shared" si="20"/>
      </c>
      <c r="BS81" s="7">
        <f t="shared" si="20"/>
      </c>
      <c r="BT81" s="7">
        <f t="shared" si="20"/>
      </c>
      <c r="BU81" s="7">
        <f t="shared" si="20"/>
      </c>
      <c r="BV81" s="7">
        <f t="shared" si="20"/>
      </c>
      <c r="BW81" s="7" t="str">
        <f t="shared" si="20"/>
      </c>
      <c r="BX81" s="7" t="str">
        <f t="shared" si="20"/>
      </c>
      <c r="BY81" s="7">
        <f t="shared" si="20"/>
      </c>
      <c r="BZ81" s="7">
        <f t="shared" si="20"/>
      </c>
      <c r="CA81" s="7">
        <f t="shared" si="20"/>
      </c>
      <c r="CB81" s="7">
        <f t="shared" si="20"/>
      </c>
      <c r="CC81" s="7">
        <f t="shared" si="20"/>
      </c>
      <c r="CD81" s="7">
        <f t="shared" si="20"/>
      </c>
      <c r="CE81" s="7">
        <f t="shared" si="20"/>
      </c>
      <c r="CF81" s="7">
        <f t="shared" si="20"/>
      </c>
      <c r="CG81" s="7">
        <f t="shared" si="20"/>
      </c>
      <c r="CH81" s="7">
        <f t="shared" si="20"/>
      </c>
      <c r="CI81" s="7">
        <f t="shared" si="20"/>
      </c>
      <c r="CJ81" s="7">
        <f t="shared" si="20"/>
      </c>
      <c r="CK81" s="7" t="str">
        <f t="shared" si="20"/>
      </c>
      <c r="CL81" s="7">
        <f t="shared" si="20"/>
      </c>
      <c r="CM81" s="7">
        <f t="shared" si="20"/>
      </c>
      <c r="CN81" s="7">
        <f t="shared" si="20"/>
      </c>
      <c r="CO81" s="7">
        <f t="shared" si="20"/>
      </c>
      <c r="CP81" s="7">
        <f t="shared" si="20"/>
      </c>
      <c r="CQ81" s="7">
        <f t="shared" si="20"/>
      </c>
      <c r="CR81" s="7">
        <f t="shared" si="20"/>
      </c>
      <c r="CS81" s="7">
        <f t="shared" si="20"/>
      </c>
      <c r="CT81" s="7">
        <f t="shared" si="20"/>
      </c>
      <c r="CU81" s="7">
        <f t="shared" si="20"/>
      </c>
      <c r="CV81" s="7">
        <f t="shared" si="20"/>
      </c>
      <c r="CW81" s="7">
        <f t="shared" si="20"/>
      </c>
      <c r="CX81" s="7">
        <f t="shared" si="20"/>
      </c>
      <c r="CY81" s="7">
        <f t="shared" si="20"/>
      </c>
      <c r="CZ81" s="7">
        <f t="shared" si="20"/>
      </c>
      <c r="DA81" s="7">
        <f t="shared" si="20"/>
      </c>
      <c r="DB81" s="7" t="str">
        <f t="shared" si="20"/>
      </c>
      <c r="DC81" s="7" t="str">
        <f t="shared" si="20"/>
      </c>
      <c r="DD81" s="7">
        <f t="shared" si="20"/>
      </c>
      <c r="DE81" s="7">
        <f t="shared" si="20"/>
      </c>
      <c r="DF81" s="7">
        <f t="shared" si="20"/>
      </c>
      <c r="DG81" s="7">
        <f t="shared" si="20"/>
      </c>
      <c r="DH81" s="7">
        <f t="shared" si="20"/>
      </c>
      <c r="DI81" s="7">
        <f t="shared" si="20"/>
      </c>
    </row>
    <row r="82" spans="1:113" x14ac:dyDescent="0.25">
      <c r="A82" s="16" t="str">
        <f t="shared" si="15"/>
      </c>
      <c r="B82" s="16" t="str">
        <f t="shared" si="15"/>
      </c>
      <c r="C82" s="7">
        <f t="shared" si="16"/>
      </c>
      <c r="D82" s="7">
        <f t="shared" si="21"/>
      </c>
      <c r="E82" s="7">
        <f t="shared" si="21"/>
      </c>
      <c r="F82" s="7">
        <f t="shared" si="21"/>
      </c>
      <c r="G82" s="7">
        <f t="shared" si="21"/>
      </c>
      <c r="H82" s="7">
        <f t="shared" si="21"/>
      </c>
      <c r="I82" s="7">
        <f t="shared" si="21"/>
      </c>
      <c r="J82" s="7">
        <f t="shared" si="21"/>
      </c>
      <c r="K82" s="7">
        <f t="shared" si="21"/>
      </c>
      <c r="L82" s="7">
        <f t="shared" si="21"/>
      </c>
      <c r="M82" s="7">
        <f t="shared" si="21"/>
      </c>
      <c r="N82" s="7" t="str">
        <f t="shared" si="21"/>
      </c>
      <c r="O82" s="7" t="str">
        <f t="shared" si="21"/>
      </c>
      <c r="P82" s="7">
        <f t="shared" si="21"/>
      </c>
      <c r="Q82" s="7">
        <f t="shared" si="21"/>
      </c>
      <c r="R82" s="7">
        <f t="shared" si="21"/>
      </c>
      <c r="S82" s="7">
        <f t="shared" si="21"/>
      </c>
      <c r="T82" s="7">
        <f t="shared" si="21"/>
      </c>
      <c r="U82" s="7">
        <f t="shared" si="21"/>
      </c>
      <c r="V82" s="7">
        <f t="shared" si="21"/>
      </c>
      <c r="W82" s="7">
        <f t="shared" si="21"/>
      </c>
      <c r="X82" s="7">
        <f t="shared" si="21"/>
      </c>
      <c r="Y82" s="7">
        <f t="shared" si="21"/>
      </c>
      <c r="Z82" s="7">
        <f t="shared" si="21"/>
      </c>
      <c r="AA82" s="7">
        <f t="shared" si="21"/>
      </c>
      <c r="AB82" s="7">
        <f t="shared" si="21"/>
      </c>
      <c r="AC82" s="7">
        <f t="shared" si="21"/>
      </c>
      <c r="AD82" s="7">
        <f t="shared" si="21"/>
      </c>
      <c r="AE82" s="7">
        <f t="shared" si="21"/>
      </c>
      <c r="AF82" s="7">
        <f t="shared" si="21"/>
      </c>
      <c r="AG82" s="7">
        <f t="shared" si="21"/>
      </c>
      <c r="AH82" s="7">
        <f t="shared" si="21"/>
      </c>
      <c r="AI82" s="7">
        <f t="shared" si="21"/>
      </c>
      <c r="AJ82" s="7">
        <f t="shared" si="21"/>
      </c>
      <c r="AK82" s="7">
        <f t="shared" si="21"/>
      </c>
      <c r="AL82" s="7">
        <f t="shared" si="21"/>
      </c>
      <c r="AM82" s="7">
        <f t="shared" si="21"/>
      </c>
      <c r="AN82" s="7">
        <f t="shared" si="21"/>
      </c>
      <c r="AO82" s="7">
        <f t="shared" si="21"/>
      </c>
      <c r="AP82" s="7">
        <f t="shared" si="21"/>
      </c>
      <c r="AQ82" s="7">
        <f t="shared" si="21"/>
      </c>
      <c r="AR82" s="7">
        <f t="shared" si="21"/>
      </c>
      <c r="AS82" s="7">
        <f t="shared" si="21"/>
      </c>
      <c r="AT82" s="7">
        <f t="shared" si="21"/>
      </c>
      <c r="AU82" s="7">
        <f t="shared" si="21"/>
      </c>
      <c r="AV82" s="7" t="str">
        <f t="shared" si="21"/>
      </c>
      <c r="AW82" s="7" t="str">
        <f t="shared" si="21"/>
      </c>
      <c r="AX82" s="7">
        <f t="shared" si="21"/>
      </c>
      <c r="AY82" s="7">
        <f t="shared" si="21"/>
      </c>
      <c r="AZ82" s="7">
        <f t="shared" si="21"/>
      </c>
      <c r="BA82" s="7">
        <f t="shared" si="21"/>
      </c>
      <c r="BB82" s="7">
        <f t="shared" si="21"/>
      </c>
      <c r="BC82" s="7">
        <f t="shared" si="21"/>
      </c>
      <c r="BD82" s="7">
        <f t="shared" si="21"/>
      </c>
      <c r="BE82" s="7">
        <f t="shared" si="21"/>
      </c>
      <c r="BF82" s="7">
        <f t="shared" si="21"/>
      </c>
      <c r="BG82" s="7">
        <f t="shared" si="21"/>
      </c>
      <c r="BH82" s="7">
        <f t="shared" si="21"/>
      </c>
      <c r="BI82" s="7" t="str">
        <f t="shared" si="21"/>
      </c>
      <c r="BJ82" s="7">
        <f t="shared" si="21"/>
      </c>
      <c r="BK82" s="7">
        <f t="shared" si="21"/>
      </c>
      <c r="BL82" s="7">
        <f t="shared" si="21"/>
      </c>
      <c r="BM82" s="7">
        <f t="shared" si="21"/>
      </c>
      <c r="BN82" s="7">
        <f t="shared" si="21"/>
      </c>
      <c r="BO82" s="7" t="str">
        <f t="shared" si="21"/>
      </c>
      <c r="BP82" s="7">
        <f t="shared" si="20"/>
      </c>
      <c r="BQ82" s="7">
        <f t="shared" si="20"/>
      </c>
      <c r="BR82" s="7">
        <f t="shared" si="20"/>
      </c>
      <c r="BS82" s="7">
        <f t="shared" si="20"/>
      </c>
      <c r="BT82" s="7">
        <f t="shared" si="20"/>
      </c>
      <c r="BU82" s="7">
        <f t="shared" si="20"/>
      </c>
      <c r="BV82" s="7">
        <f t="shared" si="20"/>
      </c>
      <c r="BW82" s="7" t="str">
        <f t="shared" si="20"/>
      </c>
      <c r="BX82" s="7" t="str">
        <f t="shared" si="20"/>
      </c>
      <c r="BY82" s="7">
        <f t="shared" si="20"/>
      </c>
      <c r="BZ82" s="7">
        <f t="shared" si="20"/>
      </c>
      <c r="CA82" s="7">
        <f t="shared" si="20"/>
      </c>
      <c r="CB82" s="7">
        <f t="shared" si="20"/>
      </c>
      <c r="CC82" s="7">
        <f t="shared" si="20"/>
      </c>
      <c r="CD82" s="7">
        <f t="shared" si="20"/>
      </c>
      <c r="CE82" s="7">
        <f t="shared" si="20"/>
      </c>
      <c r="CF82" s="7">
        <f t="shared" si="20"/>
      </c>
      <c r="CG82" s="7">
        <f t="shared" si="20"/>
      </c>
      <c r="CH82" s="7">
        <f t="shared" si="20"/>
      </c>
      <c r="CI82" s="7">
        <f t="shared" si="20"/>
      </c>
      <c r="CJ82" s="7">
        <f t="shared" si="20"/>
      </c>
      <c r="CK82" s="7">
        <f t="shared" si="20"/>
      </c>
      <c r="CL82" s="7">
        <f t="shared" si="20"/>
      </c>
      <c r="CM82" s="7">
        <f t="shared" si="20"/>
      </c>
      <c r="CN82" s="7">
        <f t="shared" si="20"/>
      </c>
      <c r="CO82" s="7">
        <f t="shared" si="20"/>
      </c>
      <c r="CP82" s="7">
        <f t="shared" si="20"/>
      </c>
      <c r="CQ82" s="7">
        <f t="shared" si="20"/>
      </c>
      <c r="CR82" s="7">
        <f t="shared" si="20"/>
      </c>
      <c r="CS82" s="7">
        <f t="shared" si="20"/>
      </c>
      <c r="CT82" s="7">
        <f t="shared" si="20"/>
      </c>
      <c r="CU82" s="7">
        <f t="shared" si="20"/>
      </c>
      <c r="CV82" s="7">
        <f t="shared" si="20"/>
      </c>
      <c r="CW82" s="7">
        <f t="shared" si="20"/>
      </c>
      <c r="CX82" s="7">
        <f t="shared" si="20"/>
      </c>
      <c r="CY82" s="7">
        <f t="shared" si="20"/>
      </c>
      <c r="CZ82" s="7">
        <f t="shared" si="20"/>
      </c>
      <c r="DA82" s="7">
        <f t="shared" si="20"/>
      </c>
      <c r="DB82" s="7" t="str">
        <f t="shared" si="20"/>
      </c>
      <c r="DC82" s="7" t="str">
        <f t="shared" si="20"/>
      </c>
      <c r="DD82" s="7">
        <f t="shared" si="20"/>
      </c>
      <c r="DE82" s="7">
        <f t="shared" si="20"/>
      </c>
      <c r="DF82" s="7">
        <f t="shared" si="20"/>
      </c>
      <c r="DG82" s="7">
        <f t="shared" si="20"/>
      </c>
      <c r="DH82" s="7">
        <f t="shared" si="20"/>
      </c>
      <c r="DI82" s="7">
        <f t="shared" si="20"/>
      </c>
    </row>
    <row r="83" spans="1:113" x14ac:dyDescent="0.25">
      <c r="A83" s="16" t="str">
        <f t="shared" si="15"/>
      </c>
      <c r="B83" s="16" t="str">
        <f t="shared" si="15"/>
      </c>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row>
    <row r="84" spans="1:113" x14ac:dyDescent="0.25">
      <c r="A84" s="16" t="str">
        <f t="shared" si="15"/>
      </c>
      <c r="B84" s="16" t="str">
        <f t="shared" si="15"/>
      </c>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row>
    <row r="85" spans="1:113" x14ac:dyDescent="0.25">
      <c r="A85" s="16" t="str">
        <f t="shared" si="15"/>
      </c>
      <c r="B85" s="16" t="str">
        <f t="shared" si="15"/>
      </c>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row>
    <row r="86" spans="1:113" x14ac:dyDescent="0.25">
      <c r="A86" s="16" t="str">
        <f t="shared" si="15"/>
      </c>
      <c r="B86" s="16" t="str">
        <f t="shared" si="15"/>
      </c>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row>
    <row r="87" spans="1:113" x14ac:dyDescent="0.25">
      <c r="A87" s="16" t="str">
        <f t="shared" si="15"/>
      </c>
      <c r="B87" s="16" t="str">
        <f t="shared" si="15"/>
      </c>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row>
    <row r="88" spans="1:113" x14ac:dyDescent="0.25">
      <c r="A88" s="16" t="str">
        <f t="shared" si="15"/>
      </c>
      <c r="B88" s="16" t="str">
        <f t="shared" si="15"/>
      </c>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row>
    <row r="89" spans="1:113" x14ac:dyDescent="0.25">
      <c r="A89" s="16" t="str">
        <f t="shared" si="15"/>
      </c>
      <c r="B89" s="16" t="str">
        <f t="shared" si="15"/>
      </c>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row>
    <row r="90" spans="1:113" x14ac:dyDescent="0.25">
      <c r="A90" s="16" t="str">
        <f t="shared" si="15"/>
      </c>
      <c r="B90" s="16" t="str">
        <f t="shared" si="15"/>
      </c>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row>
    <row r="91" spans="1:113" x14ac:dyDescent="0.25">
      <c r="A91" s="9"/>
      <c r="B91" s="10"/>
      <c r="C91" s="15"/>
      <c r="D91" s="11"/>
      <c r="E91" s="12"/>
      <c r="F91" s="13"/>
      <c r="G91" s="17"/>
      <c r="H91" s="11"/>
      <c r="I91" s="11"/>
      <c r="J91" s="11"/>
      <c r="K91" s="12"/>
      <c r="L91" s="12"/>
      <c r="M91" s="12"/>
      <c r="N91" s="15"/>
      <c r="O91" s="15"/>
      <c r="P91" s="15"/>
      <c r="Q91" s="12"/>
      <c r="R91" s="17"/>
      <c r="S91" s="11"/>
      <c r="T91" s="12"/>
      <c r="U91" s="11"/>
      <c r="V91" s="14"/>
      <c r="W91" s="11"/>
      <c r="X91" s="11"/>
      <c r="Y91" s="13"/>
    </row>
    <row r="93" spans="1:113" x14ac:dyDescent="0.25">
      <c r="A93" s="46" t="s">
        <v>292</v>
      </c>
      <c r="B93" s="10"/>
      <c r="C93" s="15"/>
      <c r="D93" s="13"/>
      <c r="E93" s="11"/>
      <c r="F93" s="15"/>
      <c r="G93" s="12"/>
      <c r="H93" s="13"/>
      <c r="I93"/>
      <c r="J93"/>
      <c r="K93"/>
      <c r="L93"/>
      <c r="M93"/>
      <c r="N93"/>
      <c r="O93"/>
      <c r="P93"/>
      <c r="Q93"/>
      <c r="R93"/>
      <c r="S93"/>
      <c r="T93"/>
      <c r="U93"/>
      <c r="V93"/>
      <c r="W93"/>
      <c r="X93"/>
      <c r="Y93"/>
    </row>
    <row r="94" spans="1:113" x14ac:dyDescent="0.25">
      <c r="A94" s="100" t="s">
        <v>309</v>
      </c>
      <c r="B94" s="100"/>
      <c r="C94" s="48" t="str">
        <f>C17</f>
      </c>
      <c r="D94" s="8" t="str">
        <f t="shared" ref="D94:BO94" si="22">D17</f>
      </c>
      <c r="E94" s="48" t="str">
        <f t="shared" si="22"/>
      </c>
      <c r="F94" s="48" t="str">
        <f t="shared" si="22"/>
      </c>
      <c r="G94" s="8" t="str">
        <f t="shared" si="22"/>
      </c>
      <c r="H94" s="8" t="str">
        <f t="shared" si="22"/>
      </c>
      <c r="I94" s="48" t="str">
        <f t="shared" si="22"/>
      </c>
      <c r="J94" s="8" t="str">
        <f t="shared" si="22"/>
      </c>
      <c r="K94" s="48" t="str">
        <f t="shared" si="22"/>
      </c>
      <c r="L94" s="8" t="str">
        <f t="shared" si="22"/>
      </c>
      <c r="M94" s="48" t="str">
        <f t="shared" si="22"/>
      </c>
      <c r="N94" s="8" t="str">
        <f t="shared" si="22"/>
      </c>
      <c r="O94" s="48" t="str">
        <f t="shared" si="22"/>
      </c>
      <c r="P94" s="48" t="str">
        <f t="shared" si="22"/>
      </c>
      <c r="Q94" s="8" t="str">
        <f t="shared" si="22"/>
      </c>
      <c r="R94" s="48" t="str">
        <f t="shared" si="22"/>
      </c>
      <c r="S94" s="8" t="str">
        <f t="shared" si="22"/>
      </c>
      <c r="T94" s="48" t="str">
        <f t="shared" si="22"/>
      </c>
      <c r="U94" s="8" t="str">
        <f t="shared" si="22"/>
      </c>
      <c r="V94" s="48" t="str">
        <f t="shared" si="22"/>
      </c>
      <c r="W94" s="8" t="str">
        <f t="shared" si="22"/>
      </c>
      <c r="X94" s="8" t="str">
        <f t="shared" si="22"/>
      </c>
      <c r="Y94" s="48" t="str">
        <f t="shared" si="22"/>
      </c>
      <c r="Z94" s="48" t="str">
        <f t="shared" si="22"/>
      </c>
      <c r="AA94" s="8" t="str">
        <f t="shared" si="22"/>
      </c>
      <c r="AB94" s="48" t="str">
        <f t="shared" si="22"/>
      </c>
      <c r="AC94" s="8" t="str">
        <f t="shared" si="22"/>
      </c>
      <c r="AD94" s="48" t="str">
        <f t="shared" si="22"/>
      </c>
      <c r="AE94" s="8" t="str">
        <f t="shared" si="22"/>
      </c>
      <c r="AF94" s="48" t="str">
        <f t="shared" si="22"/>
      </c>
      <c r="AG94" s="8" t="str">
        <f t="shared" si="22"/>
      </c>
      <c r="AH94" s="48" t="str">
        <f t="shared" si="22"/>
      </c>
      <c r="AI94" s="48" t="str">
        <f t="shared" si="22"/>
      </c>
      <c r="AJ94" s="8" t="str">
        <f t="shared" si="22"/>
      </c>
      <c r="AK94" s="8" t="str">
        <f t="shared" si="22"/>
      </c>
      <c r="AL94" s="48" t="str">
        <f t="shared" si="22"/>
      </c>
      <c r="AM94" s="8" t="str">
        <f t="shared" si="22"/>
      </c>
      <c r="AN94" s="48" t="str">
        <f t="shared" si="22"/>
      </c>
      <c r="AO94" s="8" t="str">
        <f t="shared" si="22"/>
      </c>
      <c r="AP94" s="48" t="str">
        <f t="shared" si="22"/>
      </c>
      <c r="AQ94" s="8" t="str">
        <f t="shared" si="22"/>
      </c>
      <c r="AR94" s="48" t="str">
        <f t="shared" si="22"/>
      </c>
      <c r="AS94" s="48" t="str">
        <f t="shared" si="22"/>
      </c>
      <c r="AT94" s="48" t="str">
        <f t="shared" si="22"/>
      </c>
      <c r="AU94" s="8" t="str">
        <f t="shared" si="22"/>
      </c>
      <c r="AV94" s="8" t="str">
        <f t="shared" si="22"/>
      </c>
      <c r="AW94" s="48" t="str">
        <f t="shared" si="22"/>
      </c>
      <c r="AX94" s="48" t="str">
        <f t="shared" si="22"/>
      </c>
      <c r="AY94" s="8" t="str">
        <f t="shared" si="22"/>
      </c>
      <c r="AZ94" s="48" t="str">
        <f t="shared" si="22"/>
      </c>
      <c r="BA94" s="8" t="str">
        <f t="shared" si="22"/>
      </c>
      <c r="BB94" s="48" t="str">
        <f t="shared" si="22"/>
      </c>
      <c r="BC94" s="8" t="str">
        <f t="shared" si="22"/>
      </c>
      <c r="BD94" s="48" t="str">
        <f t="shared" si="22"/>
      </c>
      <c r="BE94" s="8" t="str">
        <f t="shared" si="22"/>
      </c>
      <c r="BF94" s="8" t="str">
        <f t="shared" si="22"/>
      </c>
      <c r="BG94" s="48" t="str">
        <f t="shared" si="22"/>
      </c>
      <c r="BH94" s="8" t="str">
        <f t="shared" si="22"/>
      </c>
      <c r="BI94" s="48" t="str">
        <f t="shared" si="22"/>
      </c>
      <c r="BJ94" s="48" t="str">
        <f t="shared" si="22"/>
      </c>
      <c r="BK94" s="8" t="str">
        <f t="shared" si="22"/>
      </c>
      <c r="BL94" s="8" t="str">
        <f t="shared" si="22"/>
      </c>
      <c r="BM94" s="48" t="str">
        <f t="shared" si="22"/>
      </c>
      <c r="BN94" s="8" t="str">
        <f t="shared" si="22"/>
      </c>
      <c r="BO94" s="8" t="str">
        <f t="shared" si="22"/>
      </c>
      <c r="BP94" s="48" t="str">
        <f t="shared" ref="BP94:DI94" si="23">BP17</f>
      </c>
      <c r="BQ94" s="48" t="str">
        <f t="shared" si="23"/>
      </c>
      <c r="BR94" s="48" t="str">
        <f t="shared" si="23"/>
      </c>
      <c r="BS94" s="8" t="str">
        <f t="shared" si="23"/>
      </c>
      <c r="BT94" s="48" t="str">
        <f t="shared" si="23"/>
      </c>
      <c r="BU94" s="48" t="str">
        <f t="shared" si="23"/>
      </c>
      <c r="BV94" s="8" t="str">
        <f t="shared" si="23"/>
      </c>
      <c r="BW94" s="8" t="str">
        <f t="shared" si="23"/>
      </c>
      <c r="BX94" s="48" t="str">
        <f t="shared" si="23"/>
      </c>
      <c r="BY94" s="48" t="str">
        <f t="shared" si="23"/>
      </c>
      <c r="BZ94" s="8" t="str">
        <f t="shared" si="23"/>
      </c>
      <c r="CA94" s="48" t="str">
        <f t="shared" si="23"/>
      </c>
      <c r="CB94" s="8" t="str">
        <f t="shared" si="23"/>
      </c>
      <c r="CC94" s="48" t="str">
        <f t="shared" si="23"/>
      </c>
      <c r="CD94" s="8" t="str">
        <f t="shared" si="23"/>
      </c>
      <c r="CE94" s="48" t="str">
        <f t="shared" si="23"/>
      </c>
      <c r="CF94" s="8" t="str">
        <f t="shared" si="23"/>
      </c>
      <c r="CG94" s="48" t="str">
        <f t="shared" si="23"/>
      </c>
      <c r="CH94" s="8" t="str">
        <f t="shared" si="23"/>
      </c>
      <c r="CI94" s="8" t="str">
        <f t="shared" si="23"/>
      </c>
      <c r="CJ94" s="48" t="str">
        <f t="shared" si="23"/>
      </c>
      <c r="CK94" s="8" t="str">
        <f t="shared" si="23"/>
      </c>
      <c r="CL94" s="48" t="str">
        <f t="shared" si="23"/>
      </c>
      <c r="CM94" s="8" t="str">
        <f t="shared" si="23"/>
      </c>
      <c r="CN94" s="48" t="str">
        <f t="shared" si="23"/>
      </c>
      <c r="CO94" s="48" t="str">
        <f t="shared" si="23"/>
      </c>
      <c r="CP94" s="8" t="str">
        <f t="shared" si="23"/>
      </c>
      <c r="CQ94" s="48" t="str">
        <f t="shared" si="23"/>
      </c>
      <c r="CR94" s="8" t="str">
        <f t="shared" si="23"/>
      </c>
      <c r="CS94" s="8" t="str">
        <f t="shared" si="23"/>
      </c>
      <c r="CT94" s="48" t="str">
        <f t="shared" si="23"/>
      </c>
      <c r="CU94" s="8" t="str">
        <f t="shared" si="23"/>
      </c>
      <c r="CV94" s="8" t="str">
        <f t="shared" si="23"/>
      </c>
      <c r="CW94" s="48" t="str">
        <f t="shared" si="23"/>
      </c>
      <c r="CX94" s="48" t="str">
        <f t="shared" si="23"/>
      </c>
      <c r="CY94" s="8" t="str">
        <f t="shared" si="23"/>
      </c>
      <c r="CZ94" s="48" t="str">
        <f t="shared" si="23"/>
      </c>
      <c r="DA94" s="8" t="str">
        <f t="shared" si="23"/>
      </c>
      <c r="DB94" s="8" t="str">
        <f t="shared" si="23"/>
      </c>
      <c r="DC94" s="48" t="str">
        <f t="shared" si="23"/>
      </c>
      <c r="DD94" s="48" t="str">
        <f t="shared" si="23"/>
      </c>
      <c r="DE94" s="8" t="str">
        <f t="shared" si="23"/>
      </c>
      <c r="DF94" s="8" t="str">
        <f t="shared" si="23"/>
      </c>
      <c r="DG94" s="48" t="str">
        <f t="shared" si="23"/>
      </c>
      <c r="DH94" s="8" t="str">
        <f t="shared" si="23"/>
      </c>
      <c r="DI94" s="48" t="str">
        <f t="shared" si="23"/>
      </c>
    </row>
    <row r="95" spans="1:113" x14ac:dyDescent="0.25">
      <c r="A95" s="47" t="s">
        <v>122</v>
      </c>
      <c r="B95" s="47" t="s">
        <v>123</v>
      </c>
      <c r="C95" s="48" t="str">
        <f>C18</f>
      </c>
      <c r="D95" s="8" t="str">
        <f t="shared" ref="D95:BO95" si="24">D18</f>
      </c>
      <c r="E95" s="48" t="str">
        <f t="shared" si="24"/>
      </c>
      <c r="F95" s="48" t="str">
        <f t="shared" si="24"/>
      </c>
      <c r="G95" s="8" t="str">
        <f t="shared" si="24"/>
      </c>
      <c r="H95" s="8" t="str">
        <f t="shared" si="24"/>
      </c>
      <c r="I95" s="48" t="str">
        <f t="shared" si="24"/>
      </c>
      <c r="J95" s="8" t="str">
        <f t="shared" si="24"/>
      </c>
      <c r="K95" s="48" t="str">
        <f t="shared" si="24"/>
      </c>
      <c r="L95" s="8" t="str">
        <f t="shared" si="24"/>
      </c>
      <c r="M95" s="48" t="str">
        <f t="shared" si="24"/>
      </c>
      <c r="N95" s="8" t="str">
        <f t="shared" si="24"/>
      </c>
      <c r="O95" s="48" t="str">
        <f t="shared" si="24"/>
      </c>
      <c r="P95" s="48" t="str">
        <f t="shared" si="24"/>
      </c>
      <c r="Q95" s="8" t="str">
        <f t="shared" si="24"/>
      </c>
      <c r="R95" s="48" t="str">
        <f t="shared" si="24"/>
      </c>
      <c r="S95" s="8" t="str">
        <f t="shared" si="24"/>
      </c>
      <c r="T95" s="48" t="str">
        <f t="shared" si="24"/>
      </c>
      <c r="U95" s="8" t="str">
        <f t="shared" si="24"/>
      </c>
      <c r="V95" s="48" t="str">
        <f t="shared" si="24"/>
      </c>
      <c r="W95" s="8" t="str">
        <f t="shared" si="24"/>
      </c>
      <c r="X95" s="8" t="str">
        <f t="shared" si="24"/>
      </c>
      <c r="Y95" s="48" t="str">
        <f t="shared" si="24"/>
      </c>
      <c r="Z95" s="48" t="str">
        <f t="shared" si="24"/>
      </c>
      <c r="AA95" s="8" t="str">
        <f t="shared" si="24"/>
      </c>
      <c r="AB95" s="48" t="str">
        <f t="shared" si="24"/>
      </c>
      <c r="AC95" s="8" t="str">
        <f t="shared" si="24"/>
      </c>
      <c r="AD95" s="48" t="str">
        <f t="shared" si="24"/>
      </c>
      <c r="AE95" s="8" t="str">
        <f t="shared" si="24"/>
      </c>
      <c r="AF95" s="48" t="str">
        <f t="shared" si="24"/>
      </c>
      <c r="AG95" s="8" t="str">
        <f t="shared" si="24"/>
      </c>
      <c r="AH95" s="48" t="str">
        <f t="shared" si="24"/>
      </c>
      <c r="AI95" s="48" t="str">
        <f t="shared" si="24"/>
      </c>
      <c r="AJ95" s="8" t="str">
        <f t="shared" si="24"/>
      </c>
      <c r="AK95" s="8" t="str">
        <f t="shared" si="24"/>
      </c>
      <c r="AL95" s="48" t="str">
        <f t="shared" si="24"/>
      </c>
      <c r="AM95" s="8" t="str">
        <f t="shared" si="24"/>
      </c>
      <c r="AN95" s="48" t="str">
        <f t="shared" si="24"/>
      </c>
      <c r="AO95" s="8" t="str">
        <f t="shared" si="24"/>
      </c>
      <c r="AP95" s="48" t="str">
        <f t="shared" si="24"/>
      </c>
      <c r="AQ95" s="8" t="str">
        <f t="shared" si="24"/>
      </c>
      <c r="AR95" s="48" t="str">
        <f t="shared" si="24"/>
      </c>
      <c r="AS95" s="48" t="str">
        <f t="shared" si="24"/>
      </c>
      <c r="AT95" s="48" t="str">
        <f t="shared" si="24"/>
      </c>
      <c r="AU95" s="8" t="str">
        <f t="shared" si="24"/>
      </c>
      <c r="AV95" s="8" t="str">
        <f t="shared" si="24"/>
      </c>
      <c r="AW95" s="48" t="str">
        <f t="shared" si="24"/>
      </c>
      <c r="AX95" s="48" t="str">
        <f t="shared" si="24"/>
      </c>
      <c r="AY95" s="8" t="str">
        <f t="shared" si="24"/>
      </c>
      <c r="AZ95" s="48" t="str">
        <f t="shared" si="24"/>
      </c>
      <c r="BA95" s="8" t="str">
        <f t="shared" si="24"/>
      </c>
      <c r="BB95" s="48" t="str">
        <f t="shared" si="24"/>
      </c>
      <c r="BC95" s="8" t="str">
        <f t="shared" si="24"/>
      </c>
      <c r="BD95" s="48" t="str">
        <f t="shared" si="24"/>
      </c>
      <c r="BE95" s="8" t="str">
        <f t="shared" si="24"/>
      </c>
      <c r="BF95" s="8" t="str">
        <f t="shared" si="24"/>
      </c>
      <c r="BG95" s="48" t="str">
        <f t="shared" si="24"/>
      </c>
      <c r="BH95" s="8" t="str">
        <f t="shared" si="24"/>
      </c>
      <c r="BI95" s="48" t="str">
        <f t="shared" si="24"/>
      </c>
      <c r="BJ95" s="48" t="str">
        <f t="shared" si="24"/>
      </c>
      <c r="BK95" s="8" t="str">
        <f t="shared" si="24"/>
      </c>
      <c r="BL95" s="8" t="str">
        <f t="shared" si="24"/>
      </c>
      <c r="BM95" s="48" t="str">
        <f t="shared" si="24"/>
      </c>
      <c r="BN95" s="8" t="str">
        <f t="shared" si="24"/>
      </c>
      <c r="BO95" s="8" t="str">
        <f t="shared" si="24"/>
      </c>
      <c r="BP95" s="48" t="str">
        <f t="shared" ref="BP95:DI95" si="25">BP18</f>
      </c>
      <c r="BQ95" s="48" t="str">
        <f t="shared" si="25"/>
      </c>
      <c r="BR95" s="48" t="str">
        <f t="shared" si="25"/>
      </c>
      <c r="BS95" s="8" t="str">
        <f t="shared" si="25"/>
      </c>
      <c r="BT95" s="48" t="str">
        <f t="shared" si="25"/>
      </c>
      <c r="BU95" s="48" t="str">
        <f t="shared" si="25"/>
      </c>
      <c r="BV95" s="8" t="str">
        <f t="shared" si="25"/>
      </c>
      <c r="BW95" s="8" t="str">
        <f t="shared" si="25"/>
      </c>
      <c r="BX95" s="48" t="str">
        <f t="shared" si="25"/>
      </c>
      <c r="BY95" s="48" t="str">
        <f t="shared" si="25"/>
      </c>
      <c r="BZ95" s="8" t="str">
        <f t="shared" si="25"/>
      </c>
      <c r="CA95" s="48" t="str">
        <f t="shared" si="25"/>
      </c>
      <c r="CB95" s="8" t="str">
        <f t="shared" si="25"/>
      </c>
      <c r="CC95" s="48" t="str">
        <f t="shared" si="25"/>
      </c>
      <c r="CD95" s="8" t="str">
        <f t="shared" si="25"/>
      </c>
      <c r="CE95" s="48" t="str">
        <f t="shared" si="25"/>
      </c>
      <c r="CF95" s="8" t="str">
        <f t="shared" si="25"/>
      </c>
      <c r="CG95" s="48" t="str">
        <f t="shared" si="25"/>
      </c>
      <c r="CH95" s="8" t="str">
        <f t="shared" si="25"/>
      </c>
      <c r="CI95" s="8" t="str">
        <f t="shared" si="25"/>
      </c>
      <c r="CJ95" s="48" t="str">
        <f t="shared" si="25"/>
      </c>
      <c r="CK95" s="8" t="str">
        <f t="shared" si="25"/>
      </c>
      <c r="CL95" s="48" t="str">
        <f t="shared" si="25"/>
      </c>
      <c r="CM95" s="8" t="str">
        <f t="shared" si="25"/>
      </c>
      <c r="CN95" s="48" t="str">
        <f t="shared" si="25"/>
      </c>
      <c r="CO95" s="48" t="str">
        <f t="shared" si="25"/>
      </c>
      <c r="CP95" s="8" t="str">
        <f t="shared" si="25"/>
      </c>
      <c r="CQ95" s="48" t="str">
        <f t="shared" si="25"/>
      </c>
      <c r="CR95" s="8" t="str">
        <f t="shared" si="25"/>
      </c>
      <c r="CS95" s="8" t="str">
        <f t="shared" si="25"/>
      </c>
      <c r="CT95" s="48" t="str">
        <f t="shared" si="25"/>
      </c>
      <c r="CU95" s="8" t="str">
        <f t="shared" si="25"/>
      </c>
      <c r="CV95" s="8" t="str">
        <f t="shared" si="25"/>
      </c>
      <c r="CW95" s="48" t="str">
        <f t="shared" si="25"/>
      </c>
      <c r="CX95" s="48" t="str">
        <f t="shared" si="25"/>
      </c>
      <c r="CY95" s="8" t="str">
        <f t="shared" si="25"/>
      </c>
      <c r="CZ95" s="48" t="str">
        <f t="shared" si="25"/>
      </c>
      <c r="DA95" s="8" t="str">
        <f t="shared" si="25"/>
      </c>
      <c r="DB95" s="8" t="str">
        <f t="shared" si="25"/>
      </c>
      <c r="DC95" s="48" t="str">
        <f t="shared" si="25"/>
      </c>
      <c r="DD95" s="48" t="str">
        <f t="shared" si="25"/>
      </c>
      <c r="DE95" s="8" t="str">
        <f t="shared" si="25"/>
      </c>
      <c r="DF95" s="8" t="str">
        <f t="shared" si="25"/>
      </c>
      <c r="DG95" s="48" t="str">
        <f t="shared" si="25"/>
      </c>
      <c r="DH95" s="8" t="str">
        <f t="shared" si="25"/>
      </c>
      <c r="DI95" s="48" t="str">
        <f t="shared" si="25"/>
      </c>
    </row>
    <row r="96" spans="1:113" x14ac:dyDescent="0.25">
      <c r="A96" s="16" t="str">
        <f>A19</f>
      </c>
      <c r="B96" s="16" t="str">
        <f>B19</f>
      </c>
      <c r="C96" s="7" t="str">
        <f>IF(C46=C40,"PASS","FAIL")</f>
      </c>
      <c r="D96" s="7" t="str">
        <f t="shared" ref="D96:BO96" si="26">IF(D46=D40,"PASS","FAIL")</f>
      </c>
      <c r="E96" s="7" t="str">
        <f t="shared" si="26"/>
      </c>
      <c r="F96" s="7" t="str">
        <f t="shared" si="26"/>
      </c>
      <c r="G96" s="7" t="str">
        <f t="shared" si="26"/>
      </c>
      <c r="H96" s="7" t="str">
        <f t="shared" si="26"/>
      </c>
      <c r="I96" s="7" t="str">
        <f t="shared" si="26"/>
      </c>
      <c r="J96" s="7" t="str">
        <f t="shared" si="26"/>
      </c>
      <c r="K96" s="7" t="str">
        <f t="shared" si="26"/>
      </c>
      <c r="L96" s="7" t="str">
        <f t="shared" si="26"/>
      </c>
      <c r="M96" s="7" t="str">
        <f t="shared" si="26"/>
      </c>
      <c r="N96" s="7" t="str">
        <f t="shared" si="26"/>
      </c>
      <c r="O96" s="7" t="str">
        <f t="shared" si="26"/>
      </c>
      <c r="P96" s="7" t="str">
        <f t="shared" si="26"/>
      </c>
      <c r="Q96" s="7" t="str">
        <f t="shared" si="26"/>
      </c>
      <c r="R96" s="7" t="str">
        <f t="shared" si="26"/>
      </c>
      <c r="S96" s="7" t="str">
        <f t="shared" si="26"/>
      </c>
      <c r="T96" s="7" t="str">
        <f t="shared" si="26"/>
      </c>
      <c r="U96" s="7" t="str">
        <f t="shared" si="26"/>
      </c>
      <c r="V96" s="7" t="str">
        <f t="shared" si="26"/>
      </c>
      <c r="W96" s="7" t="str">
        <f t="shared" si="26"/>
      </c>
      <c r="X96" s="7" t="str">
        <f t="shared" si="26"/>
      </c>
      <c r="Y96" s="7" t="str">
        <f t="shared" si="26"/>
      </c>
      <c r="Z96" s="7" t="str">
        <f t="shared" si="26"/>
      </c>
      <c r="AA96" s="7" t="str">
        <f t="shared" si="26"/>
      </c>
      <c r="AB96" s="7" t="str">
        <f t="shared" si="26"/>
      </c>
      <c r="AC96" s="7" t="str">
        <f t="shared" si="26"/>
      </c>
      <c r="AD96" s="7" t="str">
        <f t="shared" si="26"/>
      </c>
      <c r="AE96" s="7" t="str">
        <f t="shared" si="26"/>
      </c>
      <c r="AF96" s="7" t="str">
        <f t="shared" si="26"/>
      </c>
      <c r="AG96" s="7" t="str">
        <f t="shared" si="26"/>
      </c>
      <c r="AH96" s="7" t="str">
        <f t="shared" si="26"/>
      </c>
      <c r="AI96" s="7" t="str">
        <f t="shared" si="26"/>
      </c>
      <c r="AJ96" s="7" t="str">
        <f t="shared" si="26"/>
      </c>
      <c r="AK96" s="7" t="str">
        <f t="shared" si="26"/>
      </c>
      <c r="AL96" s="7" t="str">
        <f t="shared" si="26"/>
      </c>
      <c r="AM96" s="7" t="str">
        <f t="shared" si="26"/>
      </c>
      <c r="AN96" s="7" t="str">
        <f t="shared" si="26"/>
      </c>
      <c r="AO96" s="7" t="str">
        <f t="shared" si="26"/>
      </c>
      <c r="AP96" s="7" t="str">
        <f t="shared" si="26"/>
      </c>
      <c r="AQ96" s="7" t="str">
        <f t="shared" si="26"/>
      </c>
      <c r="AR96" s="7" t="str">
        <f t="shared" si="26"/>
      </c>
      <c r="AS96" s="7" t="str">
        <f t="shared" si="26"/>
      </c>
      <c r="AT96" s="7" t="str">
        <f t="shared" si="26"/>
      </c>
      <c r="AU96" s="7" t="str">
        <f t="shared" si="26"/>
      </c>
      <c r="AV96" s="7" t="str">
        <f t="shared" si="26"/>
      </c>
      <c r="AW96" s="7" t="str">
        <f t="shared" si="26"/>
      </c>
      <c r="AX96" s="7" t="str">
        <f t="shared" si="26"/>
      </c>
      <c r="AY96" s="7" t="str">
        <f t="shared" si="26"/>
      </c>
      <c r="AZ96" s="7" t="str">
        <f t="shared" si="26"/>
      </c>
      <c r="BA96" s="7" t="str">
        <f t="shared" si="26"/>
      </c>
      <c r="BB96" s="7" t="str">
        <f t="shared" si="26"/>
      </c>
      <c r="BC96" s="7" t="str">
        <f t="shared" si="26"/>
      </c>
      <c r="BD96" s="7" t="str">
        <f t="shared" si="26"/>
      </c>
      <c r="BE96" s="7" t="str">
        <f t="shared" si="26"/>
      </c>
      <c r="BF96" s="7" t="str">
        <f t="shared" si="26"/>
      </c>
      <c r="BG96" s="7" t="str">
        <f t="shared" si="26"/>
      </c>
      <c r="BH96" s="7" t="str">
        <f t="shared" si="26"/>
      </c>
      <c r="BI96" s="7" t="str">
        <f t="shared" si="26"/>
      </c>
      <c r="BJ96" s="7" t="str">
        <f t="shared" si="26"/>
      </c>
      <c r="BK96" s="7" t="str">
        <f t="shared" si="26"/>
      </c>
      <c r="BL96" s="7" t="str">
        <f t="shared" si="26"/>
      </c>
      <c r="BM96" s="7" t="str">
        <f t="shared" si="26"/>
      </c>
      <c r="BN96" s="7" t="str">
        <f t="shared" si="26"/>
      </c>
      <c r="BO96" s="7" t="str">
        <f t="shared" si="26"/>
      </c>
      <c r="BP96" s="7" t="str">
        <f t="shared" ref="BP96:DI96" si="27">IF(BP46=BP40,"PASS","FAIL")</f>
      </c>
      <c r="BQ96" s="7" t="str">
        <f t="shared" si="27"/>
      </c>
      <c r="BR96" s="7" t="str">
        <f t="shared" si="27"/>
      </c>
      <c r="BS96" s="7" t="str">
        <f t="shared" si="27"/>
      </c>
      <c r="BT96" s="7" t="str">
        <f t="shared" si="27"/>
      </c>
      <c r="BU96" s="7" t="str">
        <f t="shared" si="27"/>
      </c>
      <c r="BV96" s="7" t="str">
        <f t="shared" si="27"/>
      </c>
      <c r="BW96" s="7" t="str">
        <f t="shared" si="27"/>
      </c>
      <c r="BX96" s="7" t="str">
        <f t="shared" si="27"/>
      </c>
      <c r="BY96" s="7" t="str">
        <f t="shared" si="27"/>
      </c>
      <c r="BZ96" s="7" t="str">
        <f t="shared" si="27"/>
      </c>
      <c r="CA96" s="7" t="str">
        <f t="shared" si="27"/>
      </c>
      <c r="CB96" s="7" t="str">
        <f t="shared" si="27"/>
      </c>
      <c r="CC96" s="7" t="str">
        <f t="shared" si="27"/>
      </c>
      <c r="CD96" s="7" t="str">
        <f t="shared" si="27"/>
      </c>
      <c r="CE96" s="7" t="str">
        <f t="shared" si="27"/>
      </c>
      <c r="CF96" s="7" t="str">
        <f t="shared" si="27"/>
      </c>
      <c r="CG96" s="7" t="str">
        <f t="shared" si="27"/>
      </c>
      <c r="CH96" s="7" t="str">
        <f t="shared" si="27"/>
      </c>
      <c r="CI96" s="7" t="str">
        <f t="shared" si="27"/>
      </c>
      <c r="CJ96" s="7" t="str">
        <f t="shared" si="27"/>
      </c>
      <c r="CK96" s="7" t="str">
        <f t="shared" si="27"/>
      </c>
      <c r="CL96" s="7" t="str">
        <f t="shared" si="27"/>
      </c>
      <c r="CM96" s="7" t="str">
        <f t="shared" si="27"/>
      </c>
      <c r="CN96" s="7" t="str">
        <f t="shared" si="27"/>
      </c>
      <c r="CO96" s="7" t="str">
        <f t="shared" si="27"/>
      </c>
      <c r="CP96" s="7" t="str">
        <f t="shared" si="27"/>
      </c>
      <c r="CQ96" s="7" t="str">
        <f t="shared" si="27"/>
      </c>
      <c r="CR96" s="7" t="str">
        <f t="shared" si="27"/>
      </c>
      <c r="CS96" s="7" t="str">
        <f t="shared" si="27"/>
      </c>
      <c r="CT96" s="7" t="str">
        <f t="shared" si="27"/>
      </c>
      <c r="CU96" s="7" t="str">
        <f t="shared" si="27"/>
      </c>
      <c r="CV96" s="7" t="str">
        <f t="shared" si="27"/>
      </c>
      <c r="CW96" s="7" t="str">
        <f t="shared" si="27"/>
      </c>
      <c r="CX96" s="7" t="str">
        <f t="shared" si="27"/>
      </c>
      <c r="CY96" s="7" t="str">
        <f t="shared" si="27"/>
      </c>
      <c r="CZ96" s="7" t="str">
        <f t="shared" si="27"/>
      </c>
      <c r="DA96" s="7" t="str">
        <f t="shared" si="27"/>
      </c>
      <c r="DB96" s="7" t="str">
        <f t="shared" si="27"/>
      </c>
      <c r="DC96" s="7" t="str">
        <f t="shared" si="27"/>
      </c>
      <c r="DD96" s="7" t="str">
        <f t="shared" si="27"/>
      </c>
      <c r="DE96" s="7" t="str">
        <f t="shared" si="27"/>
      </c>
      <c r="DF96" s="7" t="str">
        <f t="shared" si="27"/>
      </c>
      <c r="DG96" s="7" t="str">
        <f t="shared" si="27"/>
      </c>
      <c r="DH96" s="7" t="str">
        <f t="shared" si="27"/>
      </c>
      <c r="DI96" s="7" t="str">
        <f t="shared" si="27"/>
      </c>
    </row>
    <row r="97" spans="1:113" x14ac:dyDescent="0.25">
      <c r="A97" s="16" t="str">
        <f t="shared" ref="A97:B97" si="28">A20</f>
      </c>
      <c r="B97" s="16" t="str">
        <f t="shared" si="28"/>
      </c>
      <c r="C97" s="7">
        <f>((C72)/CODES!$B$49)*100</f>
      </c>
      <c r="D97" s="7">
        <f>((D72)/CODES!$B$49)*100</f>
      </c>
      <c r="E97" s="7">
        <f>((E72)/CODES!$B$49)*100</f>
      </c>
      <c r="F97" s="7">
        <f>((F72)/CODES!$B$49)*100</f>
      </c>
      <c r="G97" s="7">
        <f>((G72)/CODES!$B$49)*100</f>
      </c>
      <c r="H97" s="7">
        <f>((H72)/CODES!$B$49)*100</f>
      </c>
      <c r="I97" s="7">
        <f>((I72)/CODES!$B$49)*100</f>
      </c>
      <c r="J97" s="7">
        <f>((J72)/CODES!$B$49)*100</f>
      </c>
      <c r="K97" s="7">
        <f>((K72)/CODES!$B$49)*100</f>
      </c>
      <c r="L97" s="7">
        <f>((L72)/CODES!$B$49)*100</f>
      </c>
      <c r="M97" s="7">
        <f>((M72)/CODES!$B$49)*100</f>
      </c>
      <c r="N97" s="7" t="e">
        <f>((N72)/CODES!$B$49)*100</f>
      </c>
      <c r="O97" s="7" t="e">
        <f>((O72)/CODES!$B$49)*100</f>
      </c>
      <c r="P97" s="7">
        <f>((P72)/CODES!$B$49)*100</f>
      </c>
      <c r="Q97" s="7">
        <f>((Q72)/CODES!$B$49)*100</f>
      </c>
      <c r="R97" s="7">
        <f>((R72)/CODES!$B$49)*100</f>
      </c>
      <c r="S97" s="7">
        <f>((S72)/CODES!$B$49)*100</f>
      </c>
      <c r="T97" s="7">
        <f>((T72)/CODES!$B$49)*100</f>
      </c>
      <c r="U97" s="7">
        <f>((U72)/CODES!$B$49)*100</f>
      </c>
      <c r="V97" s="7">
        <f>((V72)/CODES!$B$49)*100</f>
      </c>
      <c r="W97" s="7">
        <f>((W72)/CODES!$B$49)*100</f>
      </c>
      <c r="X97" s="7">
        <f>((X72)/CODES!$B$49)*100</f>
      </c>
      <c r="Y97" s="7">
        <f>((Y72)/CODES!$B$49)*100</f>
      </c>
      <c r="Z97" s="7">
        <f>((Z72)/CODES!$B$49)*100</f>
      </c>
      <c r="AA97" s="7">
        <f>((AA72)/CODES!$B$49)*100</f>
      </c>
      <c r="AB97" s="7">
        <f>((AB72)/CODES!$B$49)*100</f>
      </c>
      <c r="AC97" s="7">
        <f>((AC72)/CODES!$B$49)*100</f>
      </c>
      <c r="AD97" s="7">
        <f>((AD72)/CODES!$B$49)*100</f>
      </c>
      <c r="AE97" s="7">
        <f>((AE72)/CODES!$B$49)*100</f>
      </c>
      <c r="AF97" s="7">
        <f>((AF72)/CODES!$B$49)*100</f>
      </c>
      <c r="AG97" s="7">
        <f>((AG72)/CODES!$B$49)*100</f>
      </c>
      <c r="AH97" s="7">
        <f>((AH72)/CODES!$B$49)*100</f>
      </c>
      <c r="AI97" s="7">
        <f>((AI72)/CODES!$B$49)*100</f>
      </c>
      <c r="AJ97" s="7">
        <f>((AJ72)/CODES!$B$49)*100</f>
      </c>
      <c r="AK97" s="7">
        <f>((AK72)/CODES!$B$49)*100</f>
      </c>
      <c r="AL97" s="7">
        <f>((AL72)/CODES!$B$49)*100</f>
      </c>
      <c r="AM97" s="7">
        <f>((AM72)/CODES!$B$49)*100</f>
      </c>
      <c r="AN97" s="7">
        <f>((AN72)/CODES!$B$49)*100</f>
      </c>
      <c r="AO97" s="7">
        <f>((AO72)/CODES!$B$49)*100</f>
      </c>
      <c r="AP97" s="7">
        <f>((AP72)/CODES!$B$49)*100</f>
      </c>
      <c r="AQ97" s="7">
        <f>((AQ72)/CODES!$B$49)*100</f>
      </c>
      <c r="AR97" s="7">
        <f>((AR72)/CODES!$B$49)*100</f>
      </c>
      <c r="AS97" s="7">
        <f>((AS72)/CODES!$B$49)*100</f>
      </c>
      <c r="AT97" s="7">
        <f>((AT72)/CODES!$B$49)*100</f>
      </c>
      <c r="AU97" s="7">
        <f>((AU72)/CODES!$B$49)*100</f>
      </c>
      <c r="AV97" s="7" t="e">
        <f>((AV72)/CODES!$B$49)*100</f>
      </c>
      <c r="AW97" s="7" t="e">
        <f>((AW72)/CODES!$B$49)*100</f>
      </c>
      <c r="AX97" s="7">
        <f>((AX72)/CODES!$B$49)*100</f>
      </c>
      <c r="AY97" s="7">
        <f>((AY72)/CODES!$B$49)*100</f>
      </c>
      <c r="AZ97" s="7">
        <f>((AZ72)/CODES!$B$49)*100</f>
      </c>
      <c r="BA97" s="7">
        <f>((BA72)/CODES!$B$49)*100</f>
      </c>
      <c r="BB97" s="7">
        <f>((BB72)/CODES!$B$49)*100</f>
      </c>
      <c r="BC97" s="7">
        <f>((BC72)/CODES!$B$49)*100</f>
      </c>
      <c r="BD97" s="7">
        <f>((BD72)/CODES!$B$49)*100</f>
      </c>
      <c r="BE97" s="7">
        <f>((BE72)/CODES!$B$49)*100</f>
      </c>
      <c r="BF97" s="7">
        <f>((BF72)/CODES!$B$49)*100</f>
      </c>
      <c r="BG97" s="7">
        <f>((BG72)/CODES!$B$49)*100</f>
      </c>
      <c r="BH97" s="7">
        <f>((BH72)/CODES!$B$49)*100</f>
      </c>
      <c r="BI97" s="7">
        <f>((BI72)/CODES!$B$49)*100</f>
      </c>
      <c r="BJ97" s="7">
        <f>((BJ72)/CODES!$B$49)*100</f>
      </c>
      <c r="BK97" s="7">
        <f>((BK72)/CODES!$B$49)*100</f>
      </c>
      <c r="BL97" s="7">
        <f>((BL72)/CODES!$B$49)*100</f>
      </c>
      <c r="BM97" s="7">
        <f>((BM72)/CODES!$B$49)*100</f>
      </c>
      <c r="BN97" s="7">
        <f>((BN72)/CODES!$B$49)*100</f>
      </c>
      <c r="BO97" s="7" t="e">
        <f>((BO72)/CODES!$B$49)*100</f>
      </c>
      <c r="BP97" s="7">
        <f>((BP72)/CODES!$B$49)*100</f>
      </c>
      <c r="BQ97" s="7">
        <f>((BQ72)/CODES!$B$49)*100</f>
      </c>
      <c r="BR97" s="7">
        <f>((BR72)/CODES!$B$49)*100</f>
      </c>
      <c r="BS97" s="7">
        <f>((BS72)/CODES!$B$49)*100</f>
      </c>
      <c r="BT97" s="7">
        <f>((BT72)/CODES!$B$49)*100</f>
      </c>
      <c r="BU97" s="7">
        <f>((BU72)/CODES!$B$49)*100</f>
      </c>
      <c r="BV97" s="7">
        <f>((BV72)/CODES!$B$49)*100</f>
      </c>
      <c r="BW97" s="7" t="e">
        <f>((BW72)/CODES!$B$49)*100</f>
      </c>
      <c r="BX97" s="7" t="e">
        <f>((BX72)/CODES!$B$49)*100</f>
      </c>
      <c r="BY97" s="7">
        <f>((BY72)/CODES!$B$49)*100</f>
      </c>
      <c r="BZ97" s="7">
        <f>((BZ72)/CODES!$B$49)*100</f>
      </c>
      <c r="CA97" s="7">
        <f>((CA72)/CODES!$B$49)*100</f>
      </c>
      <c r="CB97" s="7">
        <f>((CB72)/CODES!$B$49)*100</f>
      </c>
      <c r="CC97" s="7">
        <f>((CC72)/CODES!$B$49)*100</f>
      </c>
      <c r="CD97" s="7">
        <f>((CD72)/CODES!$B$49)*100</f>
      </c>
      <c r="CE97" s="7">
        <f>((CE72)/CODES!$B$49)*100</f>
      </c>
      <c r="CF97" s="7">
        <f>((CF72)/CODES!$B$49)*100</f>
      </c>
      <c r="CG97" s="7">
        <f>((CG72)/CODES!$B$49)*100</f>
      </c>
      <c r="CH97" s="7">
        <f>((CH72)/CODES!$B$49)*100</f>
      </c>
      <c r="CI97" s="7">
        <f>((CI72)/CODES!$B$49)*100</f>
      </c>
      <c r="CJ97" s="7">
        <f>((CJ72)/CODES!$B$49)*100</f>
      </c>
      <c r="CK97" s="7">
        <f>((CK72)/CODES!$B$49)*100</f>
      </c>
      <c r="CL97" s="7">
        <f>((CL72)/CODES!$B$49)*100</f>
      </c>
      <c r="CM97" s="7">
        <f>((CM72)/CODES!$B$49)*100</f>
      </c>
      <c r="CN97" s="7">
        <f>((CN72)/CODES!$B$49)*100</f>
      </c>
      <c r="CO97" s="7">
        <f>((CO72)/CODES!$B$49)*100</f>
      </c>
      <c r="CP97" s="7">
        <f>((CP72)/CODES!$B$49)*100</f>
      </c>
      <c r="CQ97" s="7">
        <f>((CQ72)/CODES!$B$49)*100</f>
      </c>
      <c r="CR97" s="7">
        <f>((CR72)/CODES!$B$49)*100</f>
      </c>
      <c r="CS97" s="7">
        <f>((CS72)/CODES!$B$49)*100</f>
      </c>
      <c r="CT97" s="7">
        <f>((CT72)/CODES!$B$49)*100</f>
      </c>
      <c r="CU97" s="7">
        <f>((CU72)/CODES!$B$49)*100</f>
      </c>
      <c r="CV97" s="7">
        <f>((CV72)/CODES!$B$49)*100</f>
      </c>
      <c r="CW97" s="7">
        <f>((CW72)/CODES!$B$49)*100</f>
      </c>
      <c r="CX97" s="7">
        <f>((CX72)/CODES!$B$49)*100</f>
      </c>
      <c r="CY97" s="7">
        <f>((CY72)/CODES!$B$49)*100</f>
      </c>
      <c r="CZ97" s="7">
        <f>((CZ72)/CODES!$B$49)*100</f>
      </c>
      <c r="DA97" s="7">
        <f>((DA72)/CODES!$B$49)*100</f>
      </c>
      <c r="DB97" s="7" t="e">
        <f>((DB72)/CODES!$B$49)*100</f>
      </c>
      <c r="DC97" s="7" t="e">
        <f>((DC72)/CODES!$B$49)*100</f>
      </c>
      <c r="DD97" s="7">
        <f>((DD72)/CODES!$B$49)*100</f>
      </c>
      <c r="DE97" s="7">
        <f>((DE72)/CODES!$B$49)*100</f>
      </c>
      <c r="DF97" s="7">
        <f>((DF72)/CODES!$B$49)*100</f>
      </c>
      <c r="DG97" s="7">
        <f>((DG72)/CODES!$B$49)*100</f>
      </c>
      <c r="DH97" s="7">
        <f>((DH72)/CODES!$B$49)*100</f>
      </c>
      <c r="DI97" s="7">
        <f>((DI72)/CODES!$B$49)*100</f>
      </c>
    </row>
    <row r="98" spans="1:113" x14ac:dyDescent="0.25">
      <c r="A98" s="16" t="str">
        <f t="shared" ref="A98:B98" si="29">A21</f>
      </c>
      <c r="B98" s="16" t="str">
        <f t="shared" si="29"/>
      </c>
      <c r="C98" s="7">
        <f>((C73)/CODES!$B$49)*100</f>
      </c>
      <c r="D98" s="7">
        <f>((D73)/CODES!$B$49)*100</f>
      </c>
      <c r="E98" s="7">
        <f>((E73)/CODES!$B$49)*100</f>
      </c>
      <c r="F98" s="7">
        <f>((F73)/CODES!$B$49)*100</f>
      </c>
      <c r="G98" s="7">
        <f>((G73)/CODES!$B$49)*100</f>
      </c>
      <c r="H98" s="7">
        <f>((H73)/CODES!$B$49)*100</f>
      </c>
      <c r="I98" s="7">
        <f>((I73)/CODES!$B$49)*100</f>
      </c>
      <c r="J98" s="7">
        <f>((J73)/CODES!$B$49)*100</f>
      </c>
      <c r="K98" s="7">
        <f>((K73)/CODES!$B$49)*100</f>
      </c>
      <c r="L98" s="7">
        <f>((L73)/CODES!$B$49)*100</f>
      </c>
      <c r="M98" s="7">
        <f>((M73)/CODES!$B$49)*100</f>
      </c>
      <c r="N98" s="7" t="e">
        <f>((N73)/CODES!$B$49)*100</f>
      </c>
      <c r="O98" s="7" t="e">
        <f>((O73)/CODES!$B$49)*100</f>
      </c>
      <c r="P98" s="7">
        <f>((P73)/CODES!$B$49)*100</f>
      </c>
      <c r="Q98" s="7">
        <f>((Q73)/CODES!$B$49)*100</f>
      </c>
      <c r="R98" s="7">
        <f>((R73)/CODES!$B$49)*100</f>
      </c>
      <c r="S98" s="7">
        <f>((S73)/CODES!$B$49)*100</f>
      </c>
      <c r="T98" s="7">
        <f>((T73)/CODES!$B$49)*100</f>
      </c>
      <c r="U98" s="7">
        <f>((U73)/CODES!$B$49)*100</f>
      </c>
      <c r="V98" s="7">
        <f>((V73)/CODES!$B$49)*100</f>
      </c>
      <c r="W98" s="7">
        <f>((W73)/CODES!$B$49)*100</f>
      </c>
      <c r="X98" s="7">
        <f>((X73)/CODES!$B$49)*100</f>
      </c>
      <c r="Y98" s="7">
        <f>((Y73)/CODES!$B$49)*100</f>
      </c>
      <c r="Z98" s="7">
        <f>((Z73)/CODES!$B$49)*100</f>
      </c>
      <c r="AA98" s="7">
        <f>((AA73)/CODES!$B$49)*100</f>
      </c>
      <c r="AB98" s="7">
        <f>((AB73)/CODES!$B$49)*100</f>
      </c>
      <c r="AC98" s="7">
        <f>((AC73)/CODES!$B$49)*100</f>
      </c>
      <c r="AD98" s="7">
        <f>((AD73)/CODES!$B$49)*100</f>
      </c>
      <c r="AE98" s="7">
        <f>((AE73)/CODES!$B$49)*100</f>
      </c>
      <c r="AF98" s="7">
        <f>((AF73)/CODES!$B$49)*100</f>
      </c>
      <c r="AG98" s="7">
        <f>((AG73)/CODES!$B$49)*100</f>
      </c>
      <c r="AH98" s="7">
        <f>((AH73)/CODES!$B$49)*100</f>
      </c>
      <c r="AI98" s="7">
        <f>((AI73)/CODES!$B$49)*100</f>
      </c>
      <c r="AJ98" s="7">
        <f>((AJ73)/CODES!$B$49)*100</f>
      </c>
      <c r="AK98" s="7">
        <f>((AK73)/CODES!$B$49)*100</f>
      </c>
      <c r="AL98" s="7">
        <f>((AL73)/CODES!$B$49)*100</f>
      </c>
      <c r="AM98" s="7">
        <f>((AM73)/CODES!$B$49)*100</f>
      </c>
      <c r="AN98" s="7">
        <f>((AN73)/CODES!$B$49)*100</f>
      </c>
      <c r="AO98" s="7">
        <f>((AO73)/CODES!$B$49)*100</f>
      </c>
      <c r="AP98" s="7">
        <f>((AP73)/CODES!$B$49)*100</f>
      </c>
      <c r="AQ98" s="7">
        <f>((AQ73)/CODES!$B$49)*100</f>
      </c>
      <c r="AR98" s="7">
        <f>((AR73)/CODES!$B$49)*100</f>
      </c>
      <c r="AS98" s="7">
        <f>((AS73)/CODES!$B$49)*100</f>
      </c>
      <c r="AT98" s="7">
        <f>((AT73)/CODES!$B$49)*100</f>
      </c>
      <c r="AU98" s="7">
        <f>((AU73)/CODES!$B$49)*100</f>
      </c>
      <c r="AV98" s="7" t="e">
        <f>((AV73)/CODES!$B$49)*100</f>
      </c>
      <c r="AW98" s="7" t="e">
        <f>((AW73)/CODES!$B$49)*100</f>
      </c>
      <c r="AX98" s="7">
        <f>((AX73)/CODES!$B$49)*100</f>
      </c>
      <c r="AY98" s="7">
        <f>((AY73)/CODES!$B$49)*100</f>
      </c>
      <c r="AZ98" s="7">
        <f>((AZ73)/CODES!$B$49)*100</f>
      </c>
      <c r="BA98" s="7">
        <f>((BA73)/CODES!$B$49)*100</f>
      </c>
      <c r="BB98" s="7">
        <f>((BB73)/CODES!$B$49)*100</f>
      </c>
      <c r="BC98" s="7">
        <f>((BC73)/CODES!$B$49)*100</f>
      </c>
      <c r="BD98" s="7">
        <f>((BD73)/CODES!$B$49)*100</f>
      </c>
      <c r="BE98" s="7">
        <f>((BE73)/CODES!$B$49)*100</f>
      </c>
      <c r="BF98" s="7">
        <f>((BF73)/CODES!$B$49)*100</f>
      </c>
      <c r="BG98" s="7">
        <f>((BG73)/CODES!$B$49)*100</f>
      </c>
      <c r="BH98" s="7">
        <f>((BH73)/CODES!$B$49)*100</f>
      </c>
      <c r="BI98" s="7">
        <f>((BI73)/CODES!$B$49)*100</f>
      </c>
      <c r="BJ98" s="7">
        <f>((BJ73)/CODES!$B$49)*100</f>
      </c>
      <c r="BK98" s="7">
        <f>((BK73)/CODES!$B$49)*100</f>
      </c>
      <c r="BL98" s="7">
        <f>((BL73)/CODES!$B$49)*100</f>
      </c>
      <c r="BM98" s="7">
        <f>((BM73)/CODES!$B$49)*100</f>
      </c>
      <c r="BN98" s="7">
        <f>((BN73)/CODES!$B$49)*100</f>
      </c>
      <c r="BO98" s="7" t="e">
        <f>((BO73)/CODES!$B$49)*100</f>
      </c>
      <c r="BP98" s="7">
        <f>((BP73)/CODES!$B$49)*100</f>
      </c>
      <c r="BQ98" s="7">
        <f>((BQ73)/CODES!$B$49)*100</f>
      </c>
      <c r="BR98" s="7">
        <f>((BR73)/CODES!$B$49)*100</f>
      </c>
      <c r="BS98" s="7">
        <f>((BS73)/CODES!$B$49)*100</f>
      </c>
      <c r="BT98" s="7">
        <f>((BT73)/CODES!$B$49)*100</f>
      </c>
      <c r="BU98" s="7">
        <f>((BU73)/CODES!$B$49)*100</f>
      </c>
      <c r="BV98" s="7">
        <f>((BV73)/CODES!$B$49)*100</f>
      </c>
      <c r="BW98" s="7" t="e">
        <f>((BW73)/CODES!$B$49)*100</f>
      </c>
      <c r="BX98" s="7" t="e">
        <f>((BX73)/CODES!$B$49)*100</f>
      </c>
      <c r="BY98" s="7">
        <f>((BY73)/CODES!$B$49)*100</f>
      </c>
      <c r="BZ98" s="7">
        <f>((BZ73)/CODES!$B$49)*100</f>
      </c>
      <c r="CA98" s="7">
        <f>((CA73)/CODES!$B$49)*100</f>
      </c>
      <c r="CB98" s="7">
        <f>((CB73)/CODES!$B$49)*100</f>
      </c>
      <c r="CC98" s="7">
        <f>((CC73)/CODES!$B$49)*100</f>
      </c>
      <c r="CD98" s="7">
        <f>((CD73)/CODES!$B$49)*100</f>
      </c>
      <c r="CE98" s="7">
        <f>((CE73)/CODES!$B$49)*100</f>
      </c>
      <c r="CF98" s="7">
        <f>((CF73)/CODES!$B$49)*100</f>
      </c>
      <c r="CG98" s="7">
        <f>((CG73)/CODES!$B$49)*100</f>
      </c>
      <c r="CH98" s="7">
        <f>((CH73)/CODES!$B$49)*100</f>
      </c>
      <c r="CI98" s="7">
        <f>((CI73)/CODES!$B$49)*100</f>
      </c>
      <c r="CJ98" s="7">
        <f>((CJ73)/CODES!$B$49)*100</f>
      </c>
      <c r="CK98" s="7">
        <f>((CK73)/CODES!$B$49)*100</f>
      </c>
      <c r="CL98" s="7">
        <f>((CL73)/CODES!$B$49)*100</f>
      </c>
      <c r="CM98" s="7">
        <f>((CM73)/CODES!$B$49)*100</f>
      </c>
      <c r="CN98" s="7">
        <f>((CN73)/CODES!$B$49)*100</f>
      </c>
      <c r="CO98" s="7">
        <f>((CO73)/CODES!$B$49)*100</f>
      </c>
      <c r="CP98" s="7">
        <f>((CP73)/CODES!$B$49)*100</f>
      </c>
      <c r="CQ98" s="7">
        <f>((CQ73)/CODES!$B$49)*100</f>
      </c>
      <c r="CR98" s="7">
        <f>((CR73)/CODES!$B$49)*100</f>
      </c>
      <c r="CS98" s="7">
        <f>((CS73)/CODES!$B$49)*100</f>
      </c>
      <c r="CT98" s="7">
        <f>((CT73)/CODES!$B$49)*100</f>
      </c>
      <c r="CU98" s="7">
        <f>((CU73)/CODES!$B$49)*100</f>
      </c>
      <c r="CV98" s="7">
        <f>((CV73)/CODES!$B$49)*100</f>
      </c>
      <c r="CW98" s="7">
        <f>((CW73)/CODES!$B$49)*100</f>
      </c>
      <c r="CX98" s="7">
        <f>((CX73)/CODES!$B$49)*100</f>
      </c>
      <c r="CY98" s="7">
        <f>((CY73)/CODES!$B$49)*100</f>
      </c>
      <c r="CZ98" s="7">
        <f>((CZ73)/CODES!$B$49)*100</f>
      </c>
      <c r="DA98" s="7">
        <f>((DA73)/CODES!$B$49)*100</f>
      </c>
      <c r="DB98" s="7" t="e">
        <f>((DB73)/CODES!$B$49)*100</f>
      </c>
      <c r="DC98" s="7" t="e">
        <f>((DC73)/CODES!$B$49)*100</f>
      </c>
      <c r="DD98" s="7">
        <f>((DD73)/CODES!$B$49)*100</f>
      </c>
      <c r="DE98" s="7">
        <f>((DE73)/CODES!$B$49)*100</f>
      </c>
      <c r="DF98" s="7">
        <f>((DF73)/CODES!$B$49)*100</f>
      </c>
      <c r="DG98" s="7">
        <f>((DG73)/CODES!$B$49)*100</f>
      </c>
      <c r="DH98" s="7">
        <f>((DH73)/CODES!$B$49)*100</f>
      </c>
      <c r="DI98" s="7">
        <f>((DI73)/CODES!$B$49)*100</f>
      </c>
    </row>
    <row r="99" spans="1:113" x14ac:dyDescent="0.25">
      <c r="A99" s="16" t="str">
        <f t="shared" ref="A99:B99" si="30">A22</f>
      </c>
      <c r="B99" s="16" t="str">
        <f t="shared" si="30"/>
      </c>
      <c r="C99" s="7" t="str">
        <f>IF(C49=C40,"PASS","FAIL")</f>
      </c>
      <c r="D99" s="7" t="str">
        <f t="shared" ref="D99:BO99" si="31">IF(D49=D40,"PASS","FAIL")</f>
      </c>
      <c r="E99" s="7" t="str">
        <f t="shared" si="31"/>
      </c>
      <c r="F99" s="7" t="str">
        <f t="shared" si="31"/>
      </c>
      <c r="G99" s="7" t="str">
        <f t="shared" si="31"/>
      </c>
      <c r="H99" s="7" t="str">
        <f t="shared" si="31"/>
      </c>
      <c r="I99" s="7" t="str">
        <f t="shared" si="31"/>
      </c>
      <c r="J99" s="7" t="str">
        <f t="shared" si="31"/>
      </c>
      <c r="K99" s="7" t="str">
        <f t="shared" si="31"/>
      </c>
      <c r="L99" s="7" t="str">
        <f t="shared" si="31"/>
      </c>
      <c r="M99" s="7" t="str">
        <f t="shared" si="31"/>
      </c>
      <c r="N99" s="7" t="str">
        <f t="shared" si="31"/>
      </c>
      <c r="O99" s="7" t="str">
        <f t="shared" si="31"/>
      </c>
      <c r="P99" s="7" t="str">
        <f t="shared" si="31"/>
      </c>
      <c r="Q99" s="7" t="str">
        <f t="shared" si="31"/>
      </c>
      <c r="R99" s="7" t="str">
        <f t="shared" si="31"/>
      </c>
      <c r="S99" s="7" t="str">
        <f t="shared" si="31"/>
      </c>
      <c r="T99" s="7" t="str">
        <f t="shared" si="31"/>
      </c>
      <c r="U99" s="7" t="str">
        <f t="shared" si="31"/>
      </c>
      <c r="V99" s="7" t="str">
        <f t="shared" si="31"/>
      </c>
      <c r="W99" s="7" t="str">
        <f t="shared" si="31"/>
      </c>
      <c r="X99" s="7" t="str">
        <f t="shared" si="31"/>
      </c>
      <c r="Y99" s="7" t="str">
        <f t="shared" si="31"/>
      </c>
      <c r="Z99" s="7" t="str">
        <f t="shared" si="31"/>
      </c>
      <c r="AA99" s="7" t="str">
        <f t="shared" si="31"/>
      </c>
      <c r="AB99" s="7" t="str">
        <f t="shared" si="31"/>
      </c>
      <c r="AC99" s="7" t="str">
        <f t="shared" si="31"/>
      </c>
      <c r="AD99" s="7" t="str">
        <f t="shared" si="31"/>
      </c>
      <c r="AE99" s="7" t="str">
        <f t="shared" si="31"/>
      </c>
      <c r="AF99" s="7" t="str">
        <f t="shared" si="31"/>
      </c>
      <c r="AG99" s="7" t="str">
        <f t="shared" si="31"/>
      </c>
      <c r="AH99" s="7" t="str">
        <f t="shared" si="31"/>
      </c>
      <c r="AI99" s="7" t="str">
        <f t="shared" si="31"/>
      </c>
      <c r="AJ99" s="7" t="str">
        <f t="shared" si="31"/>
      </c>
      <c r="AK99" s="7" t="str">
        <f t="shared" si="31"/>
      </c>
      <c r="AL99" s="7" t="str">
        <f t="shared" si="31"/>
      </c>
      <c r="AM99" s="7" t="str">
        <f t="shared" si="31"/>
      </c>
      <c r="AN99" s="7" t="str">
        <f t="shared" si="31"/>
      </c>
      <c r="AO99" s="7" t="str">
        <f t="shared" si="31"/>
      </c>
      <c r="AP99" s="7" t="str">
        <f t="shared" si="31"/>
      </c>
      <c r="AQ99" s="7" t="str">
        <f t="shared" si="31"/>
      </c>
      <c r="AR99" s="7" t="str">
        <f t="shared" si="31"/>
      </c>
      <c r="AS99" s="7" t="str">
        <f t="shared" si="31"/>
      </c>
      <c r="AT99" s="7" t="str">
        <f t="shared" si="31"/>
      </c>
      <c r="AU99" s="7" t="str">
        <f t="shared" si="31"/>
      </c>
      <c r="AV99" s="7" t="str">
        <f t="shared" si="31"/>
      </c>
      <c r="AW99" s="7" t="str">
        <f t="shared" si="31"/>
      </c>
      <c r="AX99" s="7" t="str">
        <f t="shared" si="31"/>
      </c>
      <c r="AY99" s="7" t="str">
        <f t="shared" si="31"/>
      </c>
      <c r="AZ99" s="7" t="str">
        <f t="shared" si="31"/>
      </c>
      <c r="BA99" s="7" t="str">
        <f t="shared" si="31"/>
      </c>
      <c r="BB99" s="7" t="str">
        <f t="shared" si="31"/>
      </c>
      <c r="BC99" s="7" t="str">
        <f t="shared" si="31"/>
      </c>
      <c r="BD99" s="7" t="str">
        <f t="shared" si="31"/>
      </c>
      <c r="BE99" s="7" t="str">
        <f t="shared" si="31"/>
      </c>
      <c r="BF99" s="7" t="str">
        <f t="shared" si="31"/>
      </c>
      <c r="BG99" s="7" t="str">
        <f t="shared" si="31"/>
      </c>
      <c r="BH99" s="7" t="str">
        <f t="shared" si="31"/>
      </c>
      <c r="BI99" s="7" t="str">
        <f t="shared" si="31"/>
      </c>
      <c r="BJ99" s="7" t="str">
        <f t="shared" si="31"/>
      </c>
      <c r="BK99" s="7" t="str">
        <f t="shared" si="31"/>
      </c>
      <c r="BL99" s="7" t="str">
        <f t="shared" si="31"/>
      </c>
      <c r="BM99" s="7" t="str">
        <f t="shared" si="31"/>
      </c>
      <c r="BN99" s="7" t="str">
        <f t="shared" si="31"/>
      </c>
      <c r="BO99" s="7" t="str">
        <f t="shared" si="31"/>
      </c>
      <c r="BP99" s="7" t="str">
        <f t="shared" ref="BP99:DI99" si="32">IF(BP49=BP40,"PASS","FAIL")</f>
      </c>
      <c r="BQ99" s="7" t="str">
        <f t="shared" si="32"/>
      </c>
      <c r="BR99" s="7" t="str">
        <f t="shared" si="32"/>
      </c>
      <c r="BS99" s="7" t="str">
        <f t="shared" si="32"/>
      </c>
      <c r="BT99" s="7" t="str">
        <f t="shared" si="32"/>
      </c>
      <c r="BU99" s="7" t="str">
        <f t="shared" si="32"/>
      </c>
      <c r="BV99" s="7" t="str">
        <f t="shared" si="32"/>
      </c>
      <c r="BW99" s="7" t="str">
        <f t="shared" si="32"/>
      </c>
      <c r="BX99" s="7" t="str">
        <f t="shared" si="32"/>
      </c>
      <c r="BY99" s="7" t="str">
        <f t="shared" si="32"/>
      </c>
      <c r="BZ99" s="7" t="str">
        <f t="shared" si="32"/>
      </c>
      <c r="CA99" s="7" t="str">
        <f t="shared" si="32"/>
      </c>
      <c r="CB99" s="7" t="str">
        <f t="shared" si="32"/>
      </c>
      <c r="CC99" s="7" t="str">
        <f t="shared" si="32"/>
      </c>
      <c r="CD99" s="7" t="str">
        <f t="shared" si="32"/>
      </c>
      <c r="CE99" s="7" t="str">
        <f t="shared" si="32"/>
      </c>
      <c r="CF99" s="7" t="str">
        <f t="shared" si="32"/>
      </c>
      <c r="CG99" s="7" t="str">
        <f t="shared" si="32"/>
      </c>
      <c r="CH99" s="7" t="str">
        <f t="shared" si="32"/>
      </c>
      <c r="CI99" s="7" t="str">
        <f t="shared" si="32"/>
      </c>
      <c r="CJ99" s="7" t="str">
        <f t="shared" si="32"/>
      </c>
      <c r="CK99" s="7" t="str">
        <f t="shared" si="32"/>
      </c>
      <c r="CL99" s="7" t="str">
        <f t="shared" si="32"/>
      </c>
      <c r="CM99" s="7" t="str">
        <f t="shared" si="32"/>
      </c>
      <c r="CN99" s="7" t="str">
        <f t="shared" si="32"/>
      </c>
      <c r="CO99" s="7" t="str">
        <f t="shared" si="32"/>
      </c>
      <c r="CP99" s="7" t="str">
        <f t="shared" si="32"/>
      </c>
      <c r="CQ99" s="7" t="str">
        <f t="shared" si="32"/>
      </c>
      <c r="CR99" s="7" t="str">
        <f t="shared" si="32"/>
      </c>
      <c r="CS99" s="7" t="str">
        <f t="shared" si="32"/>
      </c>
      <c r="CT99" s="7" t="str">
        <f t="shared" si="32"/>
      </c>
      <c r="CU99" s="7" t="str">
        <f t="shared" si="32"/>
      </c>
      <c r="CV99" s="7" t="str">
        <f t="shared" si="32"/>
      </c>
      <c r="CW99" s="7" t="str">
        <f t="shared" si="32"/>
      </c>
      <c r="CX99" s="7" t="str">
        <f t="shared" si="32"/>
      </c>
      <c r="CY99" s="7" t="str">
        <f t="shared" si="32"/>
      </c>
      <c r="CZ99" s="7" t="str">
        <f t="shared" si="32"/>
      </c>
      <c r="DA99" s="7" t="str">
        <f t="shared" si="32"/>
      </c>
      <c r="DB99" s="7" t="str">
        <f t="shared" si="32"/>
      </c>
      <c r="DC99" s="7" t="str">
        <f t="shared" si="32"/>
      </c>
      <c r="DD99" s="7" t="str">
        <f t="shared" si="32"/>
      </c>
      <c r="DE99" s="7" t="str">
        <f t="shared" si="32"/>
      </c>
      <c r="DF99" s="7" t="str">
        <f t="shared" si="32"/>
      </c>
      <c r="DG99" s="7" t="str">
        <f t="shared" si="32"/>
      </c>
      <c r="DH99" s="7" t="str">
        <f t="shared" si="32"/>
      </c>
      <c r="DI99" s="7" t="str">
        <f t="shared" si="32"/>
      </c>
    </row>
    <row r="100" spans="1:113" x14ac:dyDescent="0.25">
      <c r="A100" s="16" t="str">
        <f t="shared" ref="A100:B100" si="33">A23</f>
      </c>
      <c r="B100" s="16" t="str">
        <f t="shared" si="33"/>
      </c>
      <c r="C100" s="7">
        <f>((C75-C74)/CODES!$B$48)*100</f>
      </c>
      <c r="D100" s="7">
        <f>((D75-D74)/CODES!$B$48)*100</f>
      </c>
      <c r="E100" s="7">
        <f>((E75-E74)/CODES!$B$48)*100</f>
      </c>
      <c r="F100" s="7">
        <f>((F75-F74)/CODES!$B$48)*100</f>
      </c>
      <c r="G100" s="7">
        <f>((G75-G74)/CODES!$B$48)*100</f>
      </c>
      <c r="H100" s="7">
        <f>((H75-H74)/CODES!$B$48)*100</f>
      </c>
      <c r="I100" s="7">
        <f>((I75-I74)/CODES!$B$48)*100</f>
      </c>
      <c r="J100" s="7">
        <f>((J75-J74)/CODES!$B$48)*100</f>
      </c>
      <c r="K100" s="7">
        <f>((K75-K74)/CODES!$B$48)*100</f>
      </c>
      <c r="L100" s="7">
        <f>((L75-L74)/CODES!$B$48)*100</f>
      </c>
      <c r="M100" s="7">
        <f>((M75-M74)/CODES!$B$48)*100</f>
      </c>
      <c r="N100" s="7" t="e">
        <f>((N75-N74)/CODES!$B$48)*100</f>
      </c>
      <c r="O100" s="7" t="e">
        <f>((O75-O74)/CODES!$B$48)*100</f>
      </c>
      <c r="P100" s="7">
        <f>((P75-P74)/CODES!$B$48)*100</f>
      </c>
      <c r="Q100" s="7">
        <f>((Q75-Q74)/CODES!$B$48)*100</f>
      </c>
      <c r="R100" s="7">
        <f>((R75-R74)/CODES!$B$48)*100</f>
      </c>
      <c r="S100" s="7">
        <f>((S75-S74)/CODES!$B$48)*100</f>
      </c>
      <c r="T100" s="7">
        <f>((T75-T74)/CODES!$B$48)*100</f>
      </c>
      <c r="U100" s="7">
        <f>((U75-U74)/CODES!$B$48)*100</f>
      </c>
      <c r="V100" s="7">
        <f>((V75-V74)/CODES!$B$48)*100</f>
      </c>
      <c r="W100" s="7">
        <f>((W75-W74)/CODES!$B$48)*100</f>
      </c>
      <c r="X100" s="7">
        <f>((X75-X74)/CODES!$B$48)*100</f>
      </c>
      <c r="Y100" s="7">
        <f>((Y75-Y74)/CODES!$B$48)*100</f>
      </c>
      <c r="Z100" s="7">
        <f>((Z75-Z74)/CODES!$B$48)*100</f>
      </c>
      <c r="AA100" s="7">
        <f>((AA75-AA74)/CODES!$B$48)*100</f>
      </c>
      <c r="AB100" s="7">
        <f>((AB75-AB74)/CODES!$B$48)*100</f>
      </c>
      <c r="AC100" s="7">
        <f>((AC75-AC74)/CODES!$B$48)*100</f>
      </c>
      <c r="AD100" s="7">
        <f>((AD75-AD74)/CODES!$B$48)*100</f>
      </c>
      <c r="AE100" s="7">
        <f>((AE75-AE74)/CODES!$B$48)*100</f>
      </c>
      <c r="AF100" s="7">
        <f>((AF75-AF74)/CODES!$B$48)*100</f>
      </c>
      <c r="AG100" s="7">
        <f>((AG75-AG74)/CODES!$B$48)*100</f>
      </c>
      <c r="AH100" s="7">
        <f>((AH75-AH74)/CODES!$B$48)*100</f>
      </c>
      <c r="AI100" s="7">
        <f>((AI75-AI74)/CODES!$B$48)*100</f>
      </c>
      <c r="AJ100" s="7">
        <f>((AJ75-AJ74)/CODES!$B$48)*100</f>
      </c>
      <c r="AK100" s="7">
        <f>((AK75-AK74)/CODES!$B$48)*100</f>
      </c>
      <c r="AL100" s="7">
        <f>((AL75-AL74)/CODES!$B$48)*100</f>
      </c>
      <c r="AM100" s="7">
        <f>((AM75-AM74)/CODES!$B$48)*100</f>
      </c>
      <c r="AN100" s="7">
        <f>((AN75-AN74)/CODES!$B$48)*100</f>
      </c>
      <c r="AO100" s="7">
        <f>((AO75-AO74)/CODES!$C$48)*100</f>
      </c>
      <c r="AP100" s="7">
        <f>((AP75-AP74)/CODES!$C$48)*100</f>
      </c>
      <c r="AQ100" s="7">
        <f>((AQ75-AQ74)/CODES!$B$48)*100</f>
      </c>
      <c r="AR100" s="7">
        <f>((AR75-AR74)/CODES!$B$48)*100</f>
      </c>
      <c r="AS100" s="7">
        <f>((AS75-AS74)/CODES!$B$48)*100</f>
      </c>
      <c r="AT100" s="7">
        <f>((AT75-AT74)/CODES!$B$48)*100</f>
      </c>
      <c r="AU100" s="7">
        <f>((AU75-AU74)/CODES!$B$48)*100</f>
      </c>
      <c r="AV100" s="7" t="e">
        <f>((AV75-AV74)/CODES!$B$48)*100</f>
      </c>
      <c r="AW100" s="7" t="e">
        <f>((AW75-AW74)/CODES!$B$48)*100</f>
      </c>
      <c r="AX100" s="7">
        <f>((AX75-AX74)/CODES!$B$48)*100</f>
      </c>
      <c r="AY100" s="7">
        <f>((AY75-AY74)/CODES!$B$48)*100</f>
      </c>
      <c r="AZ100" s="7">
        <f>((AZ75-AZ74)/CODES!$B$48)*100</f>
      </c>
      <c r="BA100" s="7">
        <f>((BA75-BA74)/CODES!$B$48)*100</f>
      </c>
      <c r="BB100" s="7">
        <f>((BB75-BB74)/CODES!$B$48)*100</f>
      </c>
      <c r="BC100" s="7">
        <f>((BC75-BC74)/CODES!$B$48)*100</f>
      </c>
      <c r="BD100" s="7">
        <f>((BD75-BD74)/CODES!$B$48)*100</f>
      </c>
      <c r="BE100" s="7">
        <f>((BE75-BE74)/CODES!$B$48)*100</f>
      </c>
      <c r="BF100" s="7">
        <f>((BF75-BF74)/CODES!$B$48)*100</f>
      </c>
      <c r="BG100" s="7">
        <f>((BG75-BG74)/CODES!$B$48)*100</f>
      </c>
      <c r="BH100" s="7">
        <f>((BH75-BH74)/CODES!$B$48)*100</f>
      </c>
      <c r="BI100" s="7">
        <f>((BI75-BI74)/CODES!$B$48)*100</f>
      </c>
      <c r="BJ100" s="7">
        <f>((BJ75-BJ74)/CODES!$B$48)*100</f>
      </c>
      <c r="BK100" s="7">
        <f>((BK75-BK74)/CODES!$B$48)*100</f>
      </c>
      <c r="BL100" s="7">
        <f>((BL75-BL74)/CODES!$B$48)*100</f>
      </c>
      <c r="BM100" s="7">
        <f>((BM75-BM74)/CODES!$B$48)*100</f>
      </c>
      <c r="BN100" s="7">
        <f>((BN75-BN74)/CODES!$B$48)*100</f>
      </c>
      <c r="BO100" s="7" t="e">
        <f>((BO75-BO74)/CODES!$B$48)*100</f>
      </c>
      <c r="BP100" s="7">
        <f>((BP75-BP74)/CODES!$B$48)*100</f>
      </c>
      <c r="BQ100" s="7">
        <f>((BQ75-BQ74)/CODES!$B$48)*100</f>
      </c>
      <c r="BR100" s="7">
        <f>((BR75-BR74)/CODES!$B$48)*100</f>
      </c>
      <c r="BS100" s="7">
        <f>((BS75-BS74)/CODES!$B$48)*100</f>
      </c>
      <c r="BT100" s="7">
        <f>((BT75-BT74)/CODES!$B$48)*100</f>
      </c>
      <c r="BU100" s="7">
        <f>((BU75-BU74)/CODES!$B$48)*100</f>
      </c>
      <c r="BV100" s="7">
        <f>((BV75-BV74)/CODES!$B$48)*100</f>
      </c>
      <c r="BW100" s="7" t="e">
        <f>((BW75-BW74)/CODES!$B$48)*100</f>
      </c>
      <c r="BX100" s="7" t="e">
        <f>((BX75-BX74)/CODES!$B$48)*100</f>
      </c>
      <c r="BY100" s="7">
        <f>((BY75-BY74)/CODES!$B$48)*100</f>
      </c>
      <c r="BZ100" s="7">
        <f>((BZ75-BZ74)/CODES!$B$48)*100</f>
      </c>
      <c r="CA100" s="7">
        <f>((CA75-CA74)/CODES!$B$48)*100</f>
      </c>
      <c r="CB100" s="7">
        <f>((CB75-CB74)/CODES!$B$48)*100</f>
      </c>
      <c r="CC100" s="7">
        <f>((CC75-CC74)/CODES!$B$48)*100</f>
      </c>
      <c r="CD100" s="7">
        <f>((CD75-CD74)/CODES!$B$48)*100</f>
      </c>
      <c r="CE100" s="7">
        <f>((CE75-CE74)/CODES!$B$48)*100</f>
      </c>
      <c r="CF100" s="7">
        <f>((CF75-CF74)/CODES!$B$48)*100</f>
      </c>
      <c r="CG100" s="7">
        <f>((CG75-CG74)/CODES!$B$48)*100</f>
      </c>
      <c r="CH100" s="7">
        <f>((CH75-CH74)/CODES!$B$48)*100</f>
      </c>
      <c r="CI100" s="7">
        <f>((CI75-CI74)/CODES!$B$48)*100</f>
      </c>
      <c r="CJ100" s="7">
        <f>((CJ75-CJ74)/CODES!$B$48)*100</f>
      </c>
      <c r="CK100" s="7">
        <f>((CK75-CK74)/CODES!$B$48)*100</f>
      </c>
      <c r="CL100" s="7">
        <f>((CL75-CL74)/CODES!$B$48)*100</f>
      </c>
      <c r="CM100" s="7">
        <f>((CM75-CM74)/CODES!$B$48)*100</f>
      </c>
      <c r="CN100" s="7">
        <f>((CN75-CN74)/CODES!$B$48)*100</f>
      </c>
      <c r="CO100" s="7">
        <f>((CO75-CO74)/CODES!$B$48)*100</f>
      </c>
      <c r="CP100" s="7">
        <f>((CP75-CP74)/CODES!$B$48)*100</f>
      </c>
      <c r="CQ100" s="7">
        <f>((CQ75-CQ74)/CODES!$B$48)*100</f>
      </c>
      <c r="CR100" s="7">
        <f>((CR75-CR74)/CODES!$B$48)*100</f>
      </c>
      <c r="CS100" s="7">
        <f>((CS75-CS74)/CODES!$B$48)*100</f>
      </c>
      <c r="CT100" s="7">
        <f>((CT75-CT74)/CODES!$B$48)*100</f>
      </c>
      <c r="CU100" s="7">
        <f>((CU75-CU74)/CODES!$B$48)*100</f>
      </c>
      <c r="CV100" s="7">
        <f>((CV75-CV74)/CODES!$B$48)*100</f>
      </c>
      <c r="CW100" s="7">
        <f>((CW75-CW74)/CODES!$B$48)*100</f>
      </c>
      <c r="CX100" s="7">
        <f>((CX75-CX74)/CODES!$B$48)*100</f>
      </c>
      <c r="CY100" s="7">
        <f>((CY75-CY74)/CODES!$B$48)*100</f>
      </c>
      <c r="CZ100" s="7">
        <f>((CZ75-CZ74)/CODES!$B$48)*100</f>
      </c>
      <c r="DA100" s="7">
        <f>((DA75-DA74)/CODES!$B$48)*100</f>
      </c>
      <c r="DB100" s="7" t="e">
        <f>((DB75-DB74)/CODES!$B$48)*100</f>
      </c>
      <c r="DC100" s="7" t="e">
        <f>((DC75-DC74)/CODES!$B$48)*100</f>
      </c>
      <c r="DD100" s="7">
        <f>((DD75-DD74)/CODES!$B$48)*100</f>
      </c>
      <c r="DE100" s="7">
        <f>((DE75-DE74)/CODES!$B$48)*100</f>
      </c>
      <c r="DF100" s="7">
        <f>((DF75-DF74)/CODES!$B$48)*100</f>
      </c>
      <c r="DG100" s="7">
        <f>((DG75-DG74)/CODES!$B$48)*100</f>
      </c>
      <c r="DH100" s="7">
        <f>((DH75-DH74)/CODES!$B$48)*100</f>
      </c>
      <c r="DI100" s="7">
        <f>((DI75-DI74)/CODES!$B$48)*100</f>
      </c>
    </row>
    <row r="101" spans="1:113" x14ac:dyDescent="0.25">
      <c r="A101" s="16" t="str">
        <f t="shared" ref="A101:B101" si="34">A25</f>
      </c>
      <c r="B101" s="16" t="str">
        <f t="shared" si="34"/>
      </c>
      <c r="C101" s="7" t="str">
        <f>IF(AND(C76=0,C77=0),"PASS, Both &lt;RL",(ABS(C77-C76)/((C77+C76)/2))*100)</f>
      </c>
      <c r="D101" s="7" t="str">
        <f t="shared" ref="D101:BO101" si="35">IF(AND(D76=0,D77=0),"PASS, Both &lt;RL",(ABS(D77-D76)/((D77+D76)/2))*100)</f>
      </c>
      <c r="E101" s="7" t="str">
        <f t="shared" si="35"/>
      </c>
      <c r="F101" s="7" t="str">
        <f t="shared" si="35"/>
      </c>
      <c r="G101" s="7" t="str">
        <f t="shared" si="35"/>
      </c>
      <c r="H101" s="7">
        <f t="shared" si="35"/>
      </c>
      <c r="I101" s="7">
        <f t="shared" si="35"/>
      </c>
      <c r="J101" s="7">
        <f t="shared" si="35"/>
      </c>
      <c r="K101" s="7">
        <f t="shared" si="35"/>
      </c>
      <c r="L101" s="7" t="str">
        <f t="shared" si="35"/>
      </c>
      <c r="M101" s="7" t="str">
        <f t="shared" si="35"/>
      </c>
      <c r="N101" s="7" t="e">
        <f t="shared" si="35"/>
      </c>
      <c r="O101" s="7" t="e">
        <f t="shared" si="35"/>
      </c>
      <c r="P101" s="7">
        <f t="shared" si="35"/>
      </c>
      <c r="Q101" s="7">
        <f t="shared" si="35"/>
      </c>
      <c r="R101" s="7" t="str">
        <f t="shared" si="35"/>
      </c>
      <c r="S101" s="7" t="str">
        <f t="shared" si="35"/>
      </c>
      <c r="T101" s="7" t="str">
        <f t="shared" si="35"/>
      </c>
      <c r="U101" s="7" t="str">
        <f t="shared" si="35"/>
      </c>
      <c r="V101" s="7" t="str">
        <f t="shared" si="35"/>
      </c>
      <c r="W101" s="7" t="str">
        <f t="shared" si="35"/>
      </c>
      <c r="X101" s="7" t="str">
        <f t="shared" si="35"/>
      </c>
      <c r="Y101" s="7" t="str">
        <f t="shared" si="35"/>
      </c>
      <c r="Z101" s="7">
        <f t="shared" si="35"/>
      </c>
      <c r="AA101" s="7" t="str">
        <f t="shared" si="35"/>
      </c>
      <c r="AB101" s="7" t="str">
        <f t="shared" si="35"/>
      </c>
      <c r="AC101" s="7" t="str">
        <f t="shared" si="35"/>
      </c>
      <c r="AD101" s="7" t="str">
        <f t="shared" si="35"/>
      </c>
      <c r="AE101" s="7" t="str">
        <f t="shared" si="35"/>
      </c>
      <c r="AF101" s="7" t="str">
        <f t="shared" si="35"/>
      </c>
      <c r="AG101" s="7">
        <f t="shared" si="35"/>
      </c>
      <c r="AH101" s="7">
        <f t="shared" si="35"/>
      </c>
      <c r="AI101" s="7" t="str">
        <f t="shared" si="35"/>
      </c>
      <c r="AJ101" s="7" t="str">
        <f t="shared" si="35"/>
      </c>
      <c r="AK101" s="7">
        <f t="shared" si="35"/>
      </c>
      <c r="AL101" s="7" t="str">
        <f t="shared" si="35"/>
      </c>
      <c r="AM101" s="7" t="str">
        <f t="shared" si="35"/>
      </c>
      <c r="AN101" s="7" t="str">
        <f t="shared" si="35"/>
      </c>
      <c r="AO101" s="7" t="str">
        <f t="shared" si="35"/>
      </c>
      <c r="AP101" s="7" t="str">
        <f t="shared" si="35"/>
      </c>
      <c r="AQ101" s="7" t="str">
        <f t="shared" si="35"/>
      </c>
      <c r="AR101" s="7" t="str">
        <f t="shared" si="35"/>
      </c>
      <c r="AS101" s="7">
        <f t="shared" si="35"/>
      </c>
      <c r="AT101" s="7">
        <f t="shared" si="35"/>
      </c>
      <c r="AU101" s="7" t="str">
        <f t="shared" si="35"/>
      </c>
      <c r="AV101" s="7" t="e">
        <f t="shared" si="35"/>
      </c>
      <c r="AW101" s="7" t="e">
        <f t="shared" si="35"/>
      </c>
      <c r="AX101" s="7" t="str">
        <f t="shared" si="35"/>
      </c>
      <c r="AY101" s="7" t="str">
        <f t="shared" si="35"/>
      </c>
      <c r="AZ101" s="7">
        <f t="shared" si="35"/>
      </c>
      <c r="BA101" s="7">
        <f t="shared" si="35"/>
      </c>
      <c r="BB101" s="7">
        <f t="shared" si="35"/>
      </c>
      <c r="BC101" s="7">
        <f t="shared" si="35"/>
      </c>
      <c r="BD101" s="7">
        <f t="shared" si="35"/>
      </c>
      <c r="BE101" s="7" t="str">
        <f t="shared" si="35"/>
      </c>
      <c r="BF101" s="7">
        <f t="shared" si="35"/>
      </c>
      <c r="BG101" s="7">
        <f t="shared" si="35"/>
      </c>
      <c r="BH101" s="7" t="str">
        <f t="shared" si="35"/>
      </c>
      <c r="BI101" s="7" t="str">
        <f t="shared" si="35"/>
      </c>
      <c r="BJ101" s="7" t="str">
        <f t="shared" si="35"/>
      </c>
      <c r="BK101" s="7" t="str">
        <f t="shared" si="35"/>
      </c>
      <c r="BL101" s="7" t="str">
        <f t="shared" si="35"/>
      </c>
      <c r="BM101" s="7" t="str">
        <f t="shared" si="35"/>
      </c>
      <c r="BN101" s="7" t="str">
        <f t="shared" si="35"/>
      </c>
      <c r="BO101" s="7" t="e">
        <f t="shared" si="35"/>
      </c>
      <c r="BP101" s="7">
        <f t="shared" ref="BP101:DI101" si="36">IF(AND(BP76=0,BP77=0),"PASS, Both &lt;RL",(ABS(BP77-BP76)/((BP77+BP76)/2))*100)</f>
      </c>
      <c r="BQ101" s="7" t="str">
        <f t="shared" si="36"/>
      </c>
      <c r="BR101" s="7" t="str">
        <f t="shared" si="36"/>
      </c>
      <c r="BS101" s="7">
        <f t="shared" si="36"/>
      </c>
      <c r="BT101" s="7">
        <f t="shared" si="36"/>
      </c>
      <c r="BU101" s="7" t="str">
        <f t="shared" si="36"/>
      </c>
      <c r="BV101" s="7" t="str">
        <f t="shared" si="36"/>
      </c>
      <c r="BW101" s="7" t="e">
        <f t="shared" si="36"/>
      </c>
      <c r="BX101" s="7" t="e">
        <f t="shared" si="36"/>
      </c>
      <c r="BY101" s="7" t="str">
        <f t="shared" si="36"/>
      </c>
      <c r="BZ101" s="7" t="str">
        <f t="shared" si="36"/>
      </c>
      <c r="CA101" s="7" t="e">
        <f t="shared" si="36"/>
      </c>
      <c r="CB101" s="7" t="e">
        <f t="shared" si="36"/>
      </c>
      <c r="CC101" s="7" t="str">
        <f t="shared" si="36"/>
      </c>
      <c r="CD101" s="7" t="str">
        <f t="shared" si="36"/>
      </c>
      <c r="CE101" s="7" t="str">
        <f t="shared" si="36"/>
      </c>
      <c r="CF101" s="7" t="str">
        <f t="shared" si="36"/>
      </c>
      <c r="CG101" s="7">
        <f t="shared" si="36"/>
      </c>
      <c r="CH101" s="7">
        <f t="shared" si="36"/>
      </c>
      <c r="CI101" s="7" t="str">
        <f t="shared" si="36"/>
      </c>
      <c r="CJ101" s="7" t="str">
        <f t="shared" si="36"/>
      </c>
      <c r="CK101" s="7" t="str">
        <f t="shared" si="36"/>
      </c>
      <c r="CL101" s="7" t="str">
        <f t="shared" si="36"/>
      </c>
      <c r="CM101" s="7" t="str">
        <f t="shared" si="36"/>
      </c>
      <c r="CN101" s="7" t="str">
        <f t="shared" si="36"/>
      </c>
      <c r="CO101" s="7" t="str">
        <f t="shared" si="36"/>
      </c>
      <c r="CP101" s="7" t="str">
        <f t="shared" si="36"/>
      </c>
      <c r="CQ101" s="7" t="str">
        <f t="shared" si="36"/>
      </c>
      <c r="CR101" s="7" t="str">
        <f t="shared" si="36"/>
      </c>
      <c r="CS101" s="7" t="str">
        <f t="shared" si="36"/>
      </c>
      <c r="CT101" s="7" t="str">
        <f t="shared" si="36"/>
      </c>
      <c r="CU101" s="7" t="str">
        <f t="shared" si="36"/>
      </c>
      <c r="CV101" s="7">
        <f t="shared" si="36"/>
      </c>
      <c r="CW101" s="7" t="str">
        <f t="shared" si="36"/>
      </c>
      <c r="CX101" s="7" t="str">
        <f t="shared" si="36"/>
      </c>
      <c r="CY101" s="7">
        <f t="shared" si="36"/>
      </c>
      <c r="CZ101" s="7" t="str">
        <f t="shared" si="36"/>
      </c>
      <c r="DA101" s="7" t="str">
        <f t="shared" si="36"/>
      </c>
      <c r="DB101" s="7" t="e">
        <f t="shared" si="36"/>
      </c>
      <c r="DC101" s="7" t="e">
        <f t="shared" si="36"/>
      </c>
      <c r="DD101" s="7" t="str">
        <f t="shared" si="36"/>
      </c>
      <c r="DE101" s="7" t="str">
        <f t="shared" si="36"/>
      </c>
      <c r="DF101" s="7">
        <f t="shared" si="36"/>
      </c>
      <c r="DG101" s="7">
        <f t="shared" si="36"/>
      </c>
      <c r="DH101" s="7" t="str">
        <f t="shared" si="36"/>
      </c>
      <c r="DI101" s="7" t="str">
        <f t="shared" si="36"/>
      </c>
    </row>
    <row r="102" spans="1:113" x14ac:dyDescent="0.25">
      <c r="A102" s="16" t="str">
        <f t="shared" ref="A102:B102" si="37">A27</f>
      </c>
      <c r="B102" s="16" t="str">
        <f t="shared" si="37"/>
      </c>
      <c r="C102" s="7">
        <f>IF(C53=C40,((C79-C78)/CODES!$B$48)*100,IF(CODES!$B$48/C78&lt;0.3,"Spike &lt; 30% of Sample Matrix",((C79-C78)/CODES!$B$48)*100))</f>
      </c>
      <c r="D102" s="7">
        <f>IF(D53=D40,((D79-D78)/CODES!$B$48)*100,IF(CODES!$B$48/D78&lt;0.3,"Spike &lt; 30% of Sample Matrix",((D79-D78)/CODES!$B$48)*100))</f>
      </c>
      <c r="E102" s="7">
        <f>IF(E53=E40,((E79-E78)/CODES!$B$48)*100,IF(CODES!$B$48/E78&lt;0.3,"Spike &lt; 30% of Sample Matrix",((E79-E78)/CODES!$B$48)*100))</f>
      </c>
      <c r="F102" s="7">
        <f>IF(F53=F40,((F79-F78)/CODES!$B$48)*100,IF(CODES!$B$48/F78&lt;0.3,"Spike &lt; 30% of Sample Matrix",((F79-F78)/CODES!$B$48)*100))</f>
      </c>
      <c r="G102" s="7">
        <f>IF(G53=G40,((G79-G78)/CODES!$B$48)*100,IF(CODES!$B$48/G78&lt;0.3,"Spike &lt; 30% of Sample Matrix",((G79-G78)/CODES!$B$48)*100))</f>
      </c>
      <c r="H102" s="7">
        <f>IF(H53=H40,((H79-H78)/CODES!$B$48)*100,IF(CODES!$B$48/H78&lt;0.3,"Spike &lt; 30% of Sample Matrix",((H79-H78)/CODES!$B$48)*100))</f>
      </c>
      <c r="I102" s="7">
        <f>IF(I53=I40,((I79-I78)/CODES!$B$48)*100,IF(CODES!$B$48/I78&lt;0.3,"Spike &lt; 30% of Sample Matrix",((I79-I78)/CODES!$B$48)*100))</f>
      </c>
      <c r="J102" s="7">
        <f>IF(J53=J40,((J79-J78)/CODES!$B$48)*100,IF(CODES!$B$48/J78&lt;0.3,"Spike &lt; 30% of Sample Matrix",((J79-J78)/CODES!$B$48)*100))</f>
      </c>
      <c r="K102" s="7">
        <f>IF(K53=K40,((K79-K78)/CODES!$B$48)*100,IF(CODES!$B$48/K78&lt;0.3,"Spike &lt; 30% of Sample Matrix",((K79-K78)/CODES!$B$48)*100))</f>
      </c>
      <c r="L102" s="7">
        <f>IF(L53=L40,((L79-L78)/CODES!$B$48)*100,IF(CODES!$B$48/L78&lt;0.3,"Spike &lt; 30% of Sample Matrix",((L79-L78)/CODES!$B$48)*100))</f>
      </c>
      <c r="M102" s="7">
        <f>IF(M53=M40,((M79-M78)/CODES!$B$48)*100,IF(CODES!$B$48/M78&lt;0.3,"Spike &lt; 30% of Sample Matrix",((M79-M78)/CODES!$B$48)*100))</f>
      </c>
      <c r="N102" s="7" t="e">
        <f>IF(N53=N40,((N79-N78)/CODES!$B$48)*100,IF(CODES!$B$48/N78&lt;0.3,"Spike &lt; 30% of Sample Matrix",((N79-N78)/CODES!$B$48)*100))</f>
      </c>
      <c r="O102" s="7" t="e">
        <f>IF(O53=O40,((O79-O78)/CODES!$B$48)*100,IF(CODES!$B$48/O78&lt;0.3,"Spike &lt; 30% of Sample Matrix",((O79-O78)/CODES!$B$48)*100))</f>
      </c>
      <c r="P102" s="7" t="str">
        <f>IF(P53=P40,((P79-P78)/CODES!$B$48)*100,IF(CODES!$B$48/P78&lt;0.3,"Spike &lt; 30% of Sample Matrix",((P79-P78)/CODES!$B$48)*100))</f>
      </c>
      <c r="Q102" s="7" t="str">
        <f>IF(Q53=Q40,((Q79-Q78)/CODES!$B$48)*100,IF(CODES!$B$48/Q78&lt;0.3,"Spike &lt; 30% of Sample Matrix",((Q79-Q78)/CODES!$B$48)*100))</f>
      </c>
      <c r="R102" s="7">
        <f>IF(R53=R40,((R79-R78)/CODES!$B$48)*100,IF(CODES!$B$48/R78&lt;0.3,"Spike &lt; 30% of Sample Matrix",((R79-R78)/CODES!$B$48)*100))</f>
      </c>
      <c r="S102" s="7">
        <f>IF(S53=S40,((S79-S78)/CODES!$B$48)*100,IF(CODES!$B$48/S78&lt;0.3,"Spike &lt; 30% of Sample Matrix",((S79-S78)/CODES!$B$48)*100))</f>
      </c>
      <c r="T102" s="7">
        <f>IF(T53=T40,((T79-T78)/CODES!$B$48)*100,IF(CODES!$B$48/T78&lt;0.3,"Spike &lt; 30% of Sample Matrix",((T79-T78)/CODES!$B$48)*100))</f>
      </c>
      <c r="U102" s="7">
        <f>IF(U53=U40,((U79-U78)/CODES!$B$48)*100,IF(CODES!$B$48/U78&lt;0.3,"Spike &lt; 30% of Sample Matrix",((U79-U78)/CODES!$B$48)*100))</f>
      </c>
      <c r="V102" s="7">
        <f>IF(V53=V40,((V79-V78)/CODES!$B$48)*100,IF(CODES!$B$48/V78&lt;0.3,"Spike &lt; 30% of Sample Matrix",((V79-V78)/CODES!$B$48)*100))</f>
      </c>
      <c r="W102" s="7">
        <f>IF(W53=W40,((W79-W78)/CODES!$B$48)*100,IF(CODES!$B$48/W78&lt;0.3,"Spike &lt; 30% of Sample Matrix",((W79-W78)/CODES!$B$48)*100))</f>
      </c>
      <c r="X102" s="7">
        <f>IF(X53=X40,((X79-X78)/CODES!$B$48)*100,IF(CODES!$B$48/X78&lt;0.3,"Spike &lt; 30% of Sample Matrix",((X79-X78)/CODES!$B$48)*100))</f>
      </c>
      <c r="Y102" s="7">
        <f>IF(Y53=Y40,((Y79-Y78)/CODES!$B$48)*100,IF(CODES!$B$48/Y78&lt;0.3,"Spike &lt; 30% of Sample Matrix",((Y79-Y78)/CODES!$B$48)*100))</f>
      </c>
      <c r="Z102" s="7">
        <f>IF(Z53=Z40,((Z79-Z78)/CODES!$B$48)*100,IF(CODES!$B$48/Z78&lt;0.3,"Spike &lt; 30% of Sample Matrix",((Z79-Z78)/CODES!$B$48)*100))</f>
      </c>
      <c r="AA102" s="7">
        <f>IF(AA53=AA40,((AA79-AA78)/CODES!$B$48)*100,IF(CODES!$B$48/AA78&lt;0.3,"Spike &lt; 30% of Sample Matrix",((AA79-AA78)/CODES!$B$48)*100))</f>
      </c>
      <c r="AB102" s="7">
        <f>IF(AB53=AB40,((AB79-AB78)/CODES!$B$48)*100,IF(CODES!$B$48/AB78&lt;0.3,"Spike &lt; 30% of Sample Matrix",((AB79-AB78)/CODES!$B$48)*100))</f>
      </c>
      <c r="AC102" s="7">
        <f>IF(AC53=AC40,((AC79-AC78)/CODES!$B$48)*100,IF(CODES!$B$48/AC78&lt;0.3,"Spike &lt; 30% of Sample Matrix",((AC79-AC78)/CODES!$B$48)*100))</f>
      </c>
      <c r="AD102" s="7">
        <f>IF(AD53=AD40,((AD79-AD78)/CODES!$B$48)*100,IF(CODES!$B$48/AD78&lt;0.3,"Spike &lt; 30% of Sample Matrix",((AD79-AD78)/CODES!$B$48)*100))</f>
      </c>
      <c r="AE102" s="7">
        <f>IF(AE53=AE40,((AE79-AE78)/CODES!$B$48)*100,IF(CODES!$B$48/AE78&lt;0.3,"Spike &lt; 30% of Sample Matrix",((AE79-AE78)/CODES!$B$48)*100))</f>
      </c>
      <c r="AF102" s="7">
        <f>IF(AF53=AF40,((AF79-AF78)/CODES!$B$48)*100,IF(CODES!$B$48/AF78&lt;0.3,"Spike &lt; 30% of Sample Matrix",((AF79-AF78)/CODES!$B$48)*100))</f>
      </c>
      <c r="AG102" s="7">
        <f>IF(AG53=AG40,((AG79-AG78)/CODES!$B$48)*100,IF(CODES!$B$48/AG78&lt;0.3,"Spike &lt; 30% of Sample Matrix",((AG79-AG78)/CODES!$B$48)*100))</f>
      </c>
      <c r="AH102" s="7">
        <f>IF(AH53=AH40,((AH79-AH78)/CODES!$B$48)*100,IF(CODES!$B$48/AH78&lt;0.3,"Spike &lt; 30% of Sample Matrix",((AH79-AH78)/CODES!$B$48)*100))</f>
      </c>
      <c r="AI102" s="7">
        <f>IF(AI53=AI40,((AI79-AI78)/CODES!$B$48)*100,IF(CODES!$B$48/AI78&lt;0.3,"Spike &lt; 30% of Sample Matrix",((AI79-AI78)/CODES!$B$48)*100))</f>
      </c>
      <c r="AJ102" s="7">
        <f>IF(AJ53=AJ40,((AJ79-AJ78)/CODES!$B$48)*100,IF(CODES!$B$48/AJ78&lt;0.3,"Spike &lt; 30% of Sample Matrix",((AJ79-AJ78)/CODES!$B$48)*100))</f>
      </c>
      <c r="AK102" s="7">
        <f>IF(AK53=AK40,((AK79-AK78)/CODES!$B$48)*100,IF(CODES!$B$48/AK78&lt;0.3,"Spike &lt; 30% of Sample Matrix",((AK79-AK78)/CODES!$B$48)*100))</f>
      </c>
      <c r="AL102" s="7">
        <f>IF(AL53=AL40,((AL79-AL78)/CODES!$B$48)*100,IF(CODES!$B$48/AL78&lt;0.3,"Spike &lt; 30% of Sample Matrix",((AL79-AL78)/CODES!$B$48)*100))</f>
      </c>
      <c r="AM102" s="7">
        <f>IF(AM53=AM40,((AM79-AM78)/CODES!$B$48)*100,IF(CODES!$B$48/AM78&lt;0.3,"Spike &lt; 30% of Sample Matrix",((AM79-AM78)/CODES!$B$48)*100))</f>
      </c>
      <c r="AN102" s="7">
        <f>IF(AN53=AN40,((AN79-AN78)/CODES!$B$48)*100,IF(CODES!$B$48/AN78&lt;0.3,"Spike &lt; 30% of Sample Matrix",((AN79-AN78)/CODES!$B$48)*100))</f>
      </c>
      <c r="AO102" s="7">
        <f>IF(AO53=AO40,((AO79-AO78)/CODES!$B$48)*100,IF(CODES!$B$48/AO78&lt;0.3,"Spike &lt; 30% of Sample Matrix",((AO79-AO78)/CODES!$B$48)*100))</f>
      </c>
      <c r="AP102" s="7">
        <f>IF(AP53=AP40,((AP79-AP78)/CODES!$B$48)*100,IF(CODES!$B$48/AP78&lt;0.3,"Spike &lt; 30% of Sample Matrix",((AP79-AP78)/CODES!$B$48)*100))</f>
      </c>
      <c r="AQ102" s="7">
        <f>IF(AQ53=AQ40,((AQ79-AQ78)/CODES!$B$48)*100,IF(CODES!$B$48/AQ78&lt;0.3,"Spike &lt; 30% of Sample Matrix",((AQ79-AQ78)/CODES!$B$48)*100))</f>
      </c>
      <c r="AR102" s="7">
        <f>IF(AR53=AR40,((AR79-AR78)/CODES!$B$48)*100,IF(CODES!$B$48/AR78&lt;0.3,"Spike &lt; 30% of Sample Matrix",((AR79-AR78)/CODES!$B$48)*100))</f>
      </c>
      <c r="AS102" s="7">
        <f>IF(AS53=AS40,((AS79-AS78)/CODES!$B$48)*100,IF(CODES!$B$48/AS78&lt;0.3,"Spike &lt; 30% of Sample Matrix",((AS79-AS78)/CODES!$B$48)*100))</f>
      </c>
      <c r="AT102" s="7">
        <f>IF(AT53=AT40,((AT79-AT78)/CODES!$B$48)*100,IF(CODES!$B$48/AT78&lt;0.3,"Spike &lt; 30% of Sample Matrix",((AT79-AT78)/CODES!$B$48)*100))</f>
      </c>
      <c r="AU102" s="7">
        <f>IF(AU53=AU40,((AU79-AU78)/CODES!$B$48)*100,IF(CODES!$B$48/AU78&lt;0.3,"Spike &lt; 30% of Sample Matrix",((AU79-AU78)/CODES!$B$48)*100))</f>
      </c>
      <c r="AV102" s="7" t="e">
        <f>IF(AV53=AV40,((AV79-AV78)/CODES!$B$48)*100,IF(CODES!$B$48/AV78&lt;0.3,"Spike &lt; 30% of Sample Matrix",((AV79-AV78)/CODES!$B$48)*100))</f>
      </c>
      <c r="AW102" s="7" t="e">
        <f>IF(AW53=AW40,((AW79-AW78)/CODES!$B$48)*100,IF(CODES!$B$48/AW78&lt;0.3,"Spike &lt; 30% of Sample Matrix",((AW79-AW78)/CODES!$B$48)*100))</f>
      </c>
      <c r="AX102" s="7">
        <f>IF(AX53=AX40,((AX79-AX78)/CODES!$B$48)*100,IF(CODES!$B$48/AX78&lt;0.3,"Spike &lt; 30% of Sample Matrix",((AX79-AX78)/CODES!$B$48)*100))</f>
      </c>
      <c r="AY102" s="7">
        <f>IF(AY53=AY40,((AY79-AY78)/CODES!$B$48)*100,IF(CODES!$B$48/AY78&lt;0.3,"Spike &lt; 30% of Sample Matrix",((AY79-AY78)/CODES!$B$48)*100))</f>
      </c>
      <c r="AZ102" s="7" t="str">
        <f>IF(AZ53=AZ40,((AZ79-AZ78)/CODES!$B$48)*100,IF(CODES!$B$48/AZ78&lt;0.3,"Spike &lt; 30% of Sample Matrix",((AZ79-AZ78)/CODES!$B$48)*100))</f>
      </c>
      <c r="BA102" s="7" t="str">
        <f>IF(BA53=BA40,((BA79-BA78)/CODES!$B$48)*100,IF(CODES!$B$48/BA78&lt;0.3,"Spike &lt; 30% of Sample Matrix",((BA79-BA78)/CODES!$B$48)*100))</f>
      </c>
      <c r="BB102" s="7">
        <f>IF(BB53=BB40,((BB79-BB78)/CODES!$B$48)*100,IF(CODES!$B$48/BB78&lt;0.3,"Spike &lt; 30% of Sample Matrix",((BB79-BB78)/CODES!$B$48)*100))</f>
      </c>
      <c r="BC102" s="7">
        <f>IF(BC53=BC40,((BC79-BC78)/CODES!$B$48)*100,IF(CODES!$B$48/BC78&lt;0.3,"Spike &lt; 30% of Sample Matrix",((BC79-BC78)/CODES!$B$48)*100))</f>
      </c>
      <c r="BD102" s="7">
        <f>IF(BD53=BD40,((BD79-BD78)/CODES!$B$48)*100,IF(CODES!$B$48/BD78&lt;0.3,"Spike &lt; 30% of Sample Matrix",((BD79-BD78)/CODES!$B$48)*100))</f>
      </c>
      <c r="BE102" s="7">
        <f>IF(BE53=BE40,((BE79-BE78)/CODES!$B$48)*100,IF(CODES!$B$48/BE78&lt;0.3,"Spike &lt; 30% of Sample Matrix",((BE79-BE78)/CODES!$B$48)*100))</f>
      </c>
      <c r="BF102" s="7" t="str">
        <f>IF(BF53=BF40,((BF79-BF78)/CODES!$B$48)*100,IF(CODES!$B$48/BF78&lt;0.3,"Spike &lt; 30% of Sample Matrix",((BF79-BF78)/CODES!$B$48)*100))</f>
      </c>
      <c r="BG102" s="7" t="str">
        <f>IF(BG53=BG40,((BG79-BG78)/CODES!$B$48)*100,IF(CODES!$B$48/BG78&lt;0.3,"Spike &lt; 30% of Sample Matrix",((BG79-BG78)/CODES!$B$48)*100))</f>
      </c>
      <c r="BH102" s="7">
        <f>IF(BH53=BH40,((BH79-BH78)/CODES!$B$48)*100,IF(CODES!$B$48/BH78&lt;0.3,"Spike &lt; 30% of Sample Matrix",((BH79-BH78)/CODES!$B$48)*100))</f>
      </c>
      <c r="BI102" s="7">
        <f>IF(BI53=BI40,((BI79-BI78)/CODES!$B$48)*100,IF(CODES!$B$48/BI78&lt;0.3,"Spike &lt; 30% of Sample Matrix",((BI79-BI78)/CODES!$B$48)*100))</f>
      </c>
      <c r="BJ102" s="7">
        <f>IF(BJ53=BJ40,((BJ79-BJ78)/CODES!$B$48)*100,IF(CODES!$B$48/BJ78&lt;0.3,"Spike &lt; 30% of Sample Matrix",((BJ79-BJ78)/CODES!$B$48)*100))</f>
      </c>
      <c r="BK102" s="7">
        <f>IF(BK53=BK40,((BK79-BK78)/CODES!$B$48)*100,IF(CODES!$B$48/BK78&lt;0.3,"Spike &lt; 30% of Sample Matrix",((BK79-BK78)/CODES!$B$48)*100))</f>
      </c>
      <c r="BL102" s="7">
        <f>IF(BL53=BL40,((BL79-BL78)/CODES!$B$48)*100,IF(CODES!$B$48/BL78&lt;0.3,"Spike &lt; 30% of Sample Matrix",((BL79-BL78)/CODES!$B$48)*100))</f>
      </c>
      <c r="BM102" s="7">
        <f>IF(BM53=BM40,((BM79-BM78)/CODES!$B$48)*100,IF(CODES!$B$48/BM78&lt;0.3,"Spike &lt; 30% of Sample Matrix",((BM79-BM78)/CODES!$B$48)*100))</f>
      </c>
      <c r="BN102" s="7">
        <f>IF(BN53=BN40,((BN79-BN78)/CODES!$B$48)*100,IF(CODES!$B$48/BN78&lt;0.3,"Spike &lt; 30% of Sample Matrix",((BN79-BN78)/CODES!$B$48)*100))</f>
      </c>
      <c r="BO102" s="7" t="e">
        <f>IF(BO53=BO40,((BO79-BO78)/CODES!$B$48)*100,IF(CODES!$B$48/BO78&lt;0.3,"Spike &lt; 30% of Sample Matrix",((BO79-BO78)/CODES!$B$48)*100))</f>
      </c>
      <c r="BP102" s="7">
        <f>IF(BP53=BP40,((BP79-BP78)/CODES!$B$48)*100,IF(CODES!$B$48/BP78&lt;0.3,"Spike &lt; 30% of Sample Matrix",((BP79-BP78)/CODES!$B$48)*100))</f>
      </c>
      <c r="BQ102" s="7">
        <f>IF(BQ53=BQ40,((BQ79-BQ78)/CODES!$B$48)*100,IF(CODES!$B$48/BQ78&lt;0.3,"Spike &lt; 30% of Sample Matrix",((BQ79-BQ78)/CODES!$B$48)*100))</f>
      </c>
      <c r="BR102" s="7">
        <f>IF(BR53=BR40,((BR79-BR78)/CODES!$B$48)*100,IF(CODES!$B$48/BR78&lt;0.3,"Spike &lt; 30% of Sample Matrix",((BR79-BR78)/CODES!$B$48)*100))</f>
      </c>
      <c r="BS102" s="7">
        <f>IF(BS53=BS40,((BS79-BS78)/CODES!$B$48)*100,IF(CODES!$B$48/BS78&lt;0.3,"Spike &lt; 30% of Sample Matrix",((BS79-BS78)/CODES!$B$48)*100))</f>
      </c>
      <c r="BT102" s="7">
        <f>IF(BT53=BT40,((BT79-BT78)/CODES!$B$48)*100,IF(CODES!$B$48/BT78&lt;0.3,"Spike &lt; 30% of Sample Matrix",((BT79-BT78)/CODES!$B$48)*100))</f>
      </c>
      <c r="BU102" s="7">
        <f>IF(BU53=BU40,((BU79-BU78)/CODES!$B$48)*100,IF(CODES!$B$48/BU78&lt;0.3,"Spike &lt; 30% of Sample Matrix",((BU79-BU78)/CODES!$B$48)*100))</f>
      </c>
      <c r="BV102" s="7">
        <f>IF(BV53=BV40,((BV79-BV78)/CODES!$B$48)*100,IF(CODES!$B$48/BV78&lt;0.3,"Spike &lt; 30% of Sample Matrix",((BV79-BV78)/CODES!$B$48)*100))</f>
      </c>
      <c r="BW102" s="7" t="e">
        <f>IF(BW53=BW40,((BW79-BW78)/CODES!$B$48)*100,IF(CODES!$B$48/BW78&lt;0.3,"Spike &lt; 30% of Sample Matrix",((BW79-BW78)/CODES!$B$48)*100))</f>
      </c>
      <c r="BX102" s="7" t="e">
        <f>IF(BX53=BX40,((BX79-BX78)/CODES!$B$48)*100,IF(CODES!$B$48/BX78&lt;0.3,"Spike &lt; 30% of Sample Matrix",((BX79-BX78)/CODES!$B$48)*100))</f>
      </c>
      <c r="BY102" s="7">
        <f>IF(BY53=BY40,((BY79-BY78)/CODES!$B$48)*100,IF(CODES!$B$48/BY78&lt;0.3,"Spike &lt; 30% of Sample Matrix",((BY79-BY78)/CODES!$B$48)*100))</f>
      </c>
      <c r="BZ102" s="7">
        <f>IF(BZ53=BZ40,((BZ79-BZ78)/CODES!$B$48)*100,IF(CODES!$B$48/BZ78&lt;0.3,"Spike &lt; 30% of Sample Matrix",((BZ79-BZ78)/CODES!$B$48)*100))</f>
      </c>
      <c r="CA102" s="7" t="str">
        <f>IF(CA53=CA40,((CA79-CA78)/CODES!$B$48)*100,IF(CODES!$B$48/CA78&lt;0.3,"Spike &lt; 30% of Sample Matrix",((CA79-CA78)/CODES!$B$48)*100))</f>
      </c>
      <c r="CB102" s="7" t="str">
        <f>IF(CB53=CB40,((CB79-CB78)/CODES!$B$48)*100,IF(CODES!$B$48/CB78&lt;0.3,"Spike &lt; 30% of Sample Matrix",((CB79-CB78)/CODES!$B$48)*100))</f>
      </c>
      <c r="CC102" s="7">
        <f>IF(CC53=CC40,((CC79-CC78)/CODES!$B$48)*100,IF(CODES!$B$48/CC78&lt;0.3,"Spike &lt; 30% of Sample Matrix",((CC79-CC78)/CODES!$B$48)*100))</f>
      </c>
      <c r="CD102" s="7">
        <f>IF(CD53=CD40,((CD79-CD78)/CODES!$B$48)*100,IF(CODES!$B$48/CD78&lt;0.3,"Spike &lt; 30% of Sample Matrix",((CD79-CD78)/CODES!$B$48)*100))</f>
      </c>
      <c r="CE102" s="7">
        <f>IF(CE53=CE40,((CE79-CE78)/CODES!$B$48)*100,IF(CODES!$B$48/CE78&lt;0.3,"Spike &lt; 30% of Sample Matrix",((CE79-CE78)/CODES!$B$48)*100))</f>
      </c>
      <c r="CF102" s="7">
        <f>IF(CF53=CF40,((CF79-CF78)/CODES!$B$48)*100,IF(CODES!$B$48/CF78&lt;0.3,"Spike &lt; 30% of Sample Matrix",((CF79-CF78)/CODES!$B$48)*100))</f>
      </c>
      <c r="CG102" s="7">
        <f>IF(CG53=CG40,((CG79-CG78)/CODES!$B$48)*100,IF(CODES!$B$48/CG78&lt;0.3,"Spike &lt; 30% of Sample Matrix",((CG79-CG78)/CODES!$B$48)*100))</f>
      </c>
      <c r="CH102" s="7">
        <f>IF(CH53=CH40,((CH79-CH78)/CODES!$B$48)*100,IF(CODES!$B$48/CH78&lt;0.3,"Spike &lt; 30% of Sample Matrix",((CH79-CH78)/CODES!$B$48)*100))</f>
      </c>
      <c r="CI102" s="7">
        <f>IF(CI53=CI40,((CI79-CI78)/CODES!$B$48)*100,IF(CODES!$B$48/CI78&lt;0.3,"Spike &lt; 30% of Sample Matrix",((CI79-CI78)/CODES!$B$48)*100))</f>
      </c>
      <c r="CJ102" s="7">
        <f>IF(CJ53=CJ40,((CJ79-CJ78)/CODES!$B$48)*100,IF(CODES!$B$48/CJ78&lt;0.3,"Spike &lt; 30% of Sample Matrix",((CJ79-CJ78)/CODES!$B$48)*100))</f>
      </c>
      <c r="CK102" s="7">
        <f>IF(CK53=CK40,((CK79-CK78)/CODES!$B$48)*100,IF(CODES!$B$48/CK78&lt;0.3,"Spike &lt; 30% of Sample Matrix",((CK79-CK78)/CODES!$B$48)*100))</f>
      </c>
      <c r="CL102" s="7">
        <f>IF(CL53=CL40,((CL79-CL78)/CODES!$B$48)*100,IF(CODES!$B$48/CL78&lt;0.3,"Spike &lt; 30% of Sample Matrix",((CL79-CL78)/CODES!$B$48)*100))</f>
      </c>
      <c r="CM102" s="7">
        <f>IF(CM53=CM40,((CM79-CM78)/CODES!$B$48)*100,IF(CODES!$B$48/CM78&lt;0.3,"Spike &lt; 30% of Sample Matrix",((CM79-CM78)/CODES!$B$48)*100))</f>
      </c>
      <c r="CN102" s="7">
        <f>IF(CN53=CN40,((CN79-CN78)/CODES!$B$48)*100,IF(CODES!$B$48/CN78&lt;0.3,"Spike &lt; 30% of Sample Matrix",((CN79-CN78)/CODES!$B$48)*100))</f>
      </c>
      <c r="CO102" s="7">
        <f>IF(CO53=CO40,((CO79-CO78)/CODES!$B$48)*100,IF(CODES!$B$48/CO78&lt;0.3,"Spike &lt; 30% of Sample Matrix",((CO79-CO78)/CODES!$B$48)*100))</f>
      </c>
      <c r="CP102" s="7">
        <f>IF(CP53=CP40,((CP79-CP78)/CODES!$B$48)*100,IF(CODES!$B$48/CP78&lt;0.3,"Spike &lt; 30% of Sample Matrix",((CP79-CP78)/CODES!$B$48)*100))</f>
      </c>
      <c r="CQ102" s="7">
        <f>IF(CQ53=CQ40,((CQ79-CQ78)/CODES!$B$48)*100,IF(CODES!$B$48/CQ78&lt;0.3,"Spike &lt; 30% of Sample Matrix",((CQ79-CQ78)/CODES!$B$48)*100))</f>
      </c>
      <c r="CR102" s="7">
        <f>IF(CR53=CR40,((CR79-CR78)/CODES!$B$48)*100,IF(CODES!$B$48/CR78&lt;0.3,"Spike &lt; 30% of Sample Matrix",((CR79-CR78)/CODES!$B$48)*100))</f>
      </c>
      <c r="CS102" s="7">
        <f>IF(CS53=CS40,((CS79-CS78)/CODES!$B$48)*100,IF(CODES!$B$48/CS78&lt;0.3,"Spike &lt; 30% of Sample Matrix",((CS79-CS78)/CODES!$B$48)*100))</f>
      </c>
      <c r="CT102" s="7">
        <f>IF(CT53=CT40,((CT79-CT78)/CODES!$B$48)*100,IF(CODES!$B$48/CT78&lt;0.3,"Spike &lt; 30% of Sample Matrix",((CT79-CT78)/CODES!$B$48)*100))</f>
      </c>
      <c r="CU102" s="7">
        <f>IF(CU53=CU40,((CU79-CU78)/CODES!$B$48)*100,IF(CODES!$B$48/CU78&lt;0.3,"Spike &lt; 30% of Sample Matrix",((CU79-CU78)/CODES!$B$48)*100))</f>
      </c>
      <c r="CV102" s="7">
        <f>IF(CV53=CV40,((CV79-CV78)/CODES!$B$48)*100,IF(CODES!$B$48/CV78&lt;0.3,"Spike &lt; 30% of Sample Matrix",((CV79-CV78)/CODES!$B$48)*100))</f>
      </c>
      <c r="CW102" s="7">
        <f>IF(CW53=CW40,((CW79-CW78)/CODES!$B$48)*100,IF(CODES!$B$48/CW78&lt;0.3,"Spike &lt; 30% of Sample Matrix",((CW79-CW78)/CODES!$B$48)*100))</f>
      </c>
      <c r="CX102" s="7">
        <f>IF(CX53=CX40,((CX79-CX78)/CODES!$B$48)*100,IF(CODES!$B$48/CX78&lt;0.3,"Spike &lt; 30% of Sample Matrix",((CX79-CX78)/CODES!$B$48)*100))</f>
      </c>
      <c r="CY102" s="7">
        <f>IF(CY53=CY40,((CY79-CY78)/CODES!$B$48)*100,IF(CODES!$B$48/CY78&lt;0.3,"Spike &lt; 30% of Sample Matrix",((CY79-CY78)/CODES!$B$48)*100))</f>
      </c>
      <c r="CZ102" s="7">
        <f>IF(CZ53=CZ40,((CZ79-CZ78)/CODES!$B$48)*100,IF(CODES!$B$48/CZ78&lt;0.3,"Spike &lt; 30% of Sample Matrix",((CZ79-CZ78)/CODES!$B$48)*100))</f>
      </c>
      <c r="DA102" s="7">
        <f>IF(DA53=DA40,((DA79-DA78)/CODES!$B$48)*100,IF(CODES!$B$48/DA78&lt;0.3,"Spike &lt; 30% of Sample Matrix",((DA79-DA78)/CODES!$B$48)*100))</f>
      </c>
      <c r="DB102" s="7" t="e">
        <f>IF(DB53=DB40,((DB79-DB78)/CODES!$B$48)*100,IF(CODES!$B$48/DB78&lt;0.3,"Spike &lt; 30% of Sample Matrix",((DB79-DB78)/CODES!$B$48)*100))</f>
      </c>
      <c r="DC102" s="7" t="e">
        <f>IF(DC53=DC40,((DC79-DC78)/CODES!$B$48)*100,IF(CODES!$B$48/DC78&lt;0.3,"Spike &lt; 30% of Sample Matrix",((DC79-DC78)/CODES!$B$48)*100))</f>
      </c>
      <c r="DD102" s="7">
        <f>IF(DD53=DD40,((DD79-DD78)/CODES!$B$48)*100,IF(CODES!$B$48/DD78&lt;0.3,"Spike &lt; 30% of Sample Matrix",((DD79-DD78)/CODES!$B$48)*100))</f>
      </c>
      <c r="DE102" s="7">
        <f>IF(DE53=DE40,((DE79-DE78)/CODES!$B$48)*100,IF(CODES!$B$48/DE78&lt;0.3,"Spike &lt; 30% of Sample Matrix",((DE79-DE78)/CODES!$B$48)*100))</f>
      </c>
      <c r="DF102" s="7">
        <f>IF(DF53=DF40,((DF79-DF78)/CODES!$B$48)*100,IF(CODES!$B$48/DF78&lt;0.3,"Spike &lt; 30% of Sample Matrix",((DF79-DF78)/CODES!$B$48)*100))</f>
      </c>
      <c r="DG102" s="7">
        <f>IF(DG53=DG40,((DG79-DG78)/CODES!$B$48)*100,IF(CODES!$B$48/DG78&lt;0.3,"Spike &lt; 30% of Sample Matrix",((DG79-DG78)/CODES!$B$48)*100))</f>
      </c>
      <c r="DH102" s="7">
        <f>IF(DH53=DH40,((DH79-DH78)/CODES!$B$48)*100,IF(CODES!$B$48/DH78&lt;0.3,"Spike &lt; 30% of Sample Matrix",((DH79-DH78)/CODES!$B$48)*100))</f>
      </c>
      <c r="DI102" s="7">
        <f>IF(DI53=DI40,((DI79-DI78)/CODES!$B$48)*100,IF(CODES!$B$48/DI78&lt;0.3,"Spike &lt; 30% of Sample Matrix",((DI79-DI78)/CODES!$B$48)*100))</f>
      </c>
    </row>
    <row r="103" spans="1:113" x14ac:dyDescent="0.25">
      <c r="A103" s="16" t="str">
        <f t="shared" ref="A103:B103" si="38">A28</f>
      </c>
      <c r="B103" s="16" t="str">
        <f t="shared" si="38"/>
      </c>
      <c r="C103" s="7">
        <f>((C80-C71)/CODES!$B$48)*100</f>
      </c>
      <c r="D103" s="7">
        <f>((D80-D71)/CODES!$B$48)*100</f>
      </c>
      <c r="E103" s="7">
        <f>((E80-E71)/CODES!$B$48)*100</f>
      </c>
      <c r="F103" s="7">
        <f>((F80-F71)/CODES!$B$48)*100</f>
      </c>
      <c r="G103" s="7">
        <f>((G80-G71)/CODES!$B$48)*100</f>
      </c>
      <c r="H103" s="7">
        <f>((H80-H71)/CODES!$B$48)*100</f>
      </c>
      <c r="I103" s="7">
        <f>((I80-I71)/CODES!$B$48)*100</f>
      </c>
      <c r="J103" s="7">
        <f>((J80-J71)/CODES!$B$48)*100</f>
      </c>
      <c r="K103" s="7">
        <f>((K80-K71)/CODES!$B$48)*100</f>
      </c>
      <c r="L103" s="7">
        <f>((L80-L71)/CODES!$B$48)*100</f>
      </c>
      <c r="M103" s="7">
        <f>((M80-M71)/CODES!$B$48)*100</f>
      </c>
      <c r="N103" s="7" t="e">
        <f>((N80-N71)/CODES!$B$48)*100</f>
      </c>
      <c r="O103" s="7" t="e">
        <f>((O80-O71)/CODES!$B$48)*100</f>
      </c>
      <c r="P103" s="7">
        <f>((P80-P71)/CODES!$B$48)*100</f>
      </c>
      <c r="Q103" s="7">
        <f>((Q80-Q71)/CODES!$B$48)*100</f>
      </c>
      <c r="R103" s="7">
        <f>((R80-R71)/CODES!$B$48)*100</f>
      </c>
      <c r="S103" s="7">
        <f>((S80-S71)/CODES!$B$48)*100</f>
      </c>
      <c r="T103" s="7">
        <f>((T80-T71)/CODES!$B$48)*100</f>
      </c>
      <c r="U103" s="7">
        <f>((U80-U71)/CODES!$B$48)*100</f>
      </c>
      <c r="V103" s="7">
        <f>((V80-V71)/CODES!$B$48)*100</f>
      </c>
      <c r="W103" s="7">
        <f>((W80-W71)/CODES!$B$48)*100</f>
      </c>
      <c r="X103" s="7">
        <f>((X80-X71)/CODES!$B$48)*100</f>
      </c>
      <c r="Y103" s="7">
        <f>((Y80-Y71)/CODES!$B$48)*100</f>
      </c>
      <c r="Z103" s="7">
        <f>((Z80-Z71)/CODES!$B$48)*100</f>
      </c>
      <c r="AA103" s="7">
        <f>((AA80-AA71)/CODES!$B$48)*100</f>
      </c>
      <c r="AB103" s="7">
        <f>((AB80-AB71)/CODES!$B$48)*100</f>
      </c>
      <c r="AC103" s="7">
        <f>((AC80-AC71)/CODES!$B$48)*100</f>
      </c>
      <c r="AD103" s="7">
        <f>((AD80-AD71)/CODES!$B$48)*100</f>
      </c>
      <c r="AE103" s="7">
        <f>((AE80-AE71)/CODES!$B$48)*100</f>
      </c>
      <c r="AF103" s="7">
        <f>((AF80-AF71)/CODES!$B$48)*100</f>
      </c>
      <c r="AG103" s="7">
        <f>((AG80-AG71)/CODES!$B$48)*100</f>
      </c>
      <c r="AH103" s="7">
        <f>((AH80-AH71)/CODES!$B$48)*100</f>
      </c>
      <c r="AI103" s="7">
        <f>((AI80-AI71)/CODES!$B$48)*100</f>
      </c>
      <c r="AJ103" s="7">
        <f>((AJ80-AJ71)/CODES!$B$48)*100</f>
      </c>
      <c r="AK103" s="7">
        <f>((AK80-AK71)/CODES!$B$48)*100</f>
      </c>
      <c r="AL103" s="7">
        <f>((AL80-AL71)/CODES!$B$48)*100</f>
      </c>
      <c r="AM103" s="7">
        <f>((AM80-AM71)/CODES!$B$48)*100</f>
      </c>
      <c r="AN103" s="7">
        <f>((AN80-AN71)/CODES!$B$48)*100</f>
      </c>
      <c r="AO103" s="7">
        <f>((AO80-AO71)/CODES!$C$48)*100</f>
      </c>
      <c r="AP103" s="7">
        <f>((AP80-AP71)/CODES!$C$48)*100</f>
      </c>
      <c r="AQ103" s="7">
        <f>((AQ80-AQ71)/CODES!$B$48)*100</f>
      </c>
      <c r="AR103" s="7">
        <f>((AR80-AR71)/CODES!$B$48)*100</f>
      </c>
      <c r="AS103" s="7">
        <f>((AS80-AS71)/CODES!$B$48)*100</f>
      </c>
      <c r="AT103" s="7">
        <f>((AT80-AT71)/CODES!$B$48)*100</f>
      </c>
      <c r="AU103" s="7">
        <f>((AU80-AU71)/CODES!$B$48)*100</f>
      </c>
      <c r="AV103" s="7" t="e">
        <f>((AV80-AV71)/CODES!$B$48)*100</f>
      </c>
      <c r="AW103" s="7" t="e">
        <f>((AW80-AW71)/CODES!$B$48)*100</f>
      </c>
      <c r="AX103" s="7">
        <f>((AX80-AX71)/CODES!$B$48)*100</f>
      </c>
      <c r="AY103" s="7">
        <f>((AY80-AY71)/CODES!$B$48)*100</f>
      </c>
      <c r="AZ103" s="7">
        <f>((AZ80-AZ71)/CODES!$B$48)*100</f>
      </c>
      <c r="BA103" s="7">
        <f>((BA80-BA71)/CODES!$B$48)*100</f>
      </c>
      <c r="BB103" s="7">
        <f>((BB80-BB71)/CODES!$B$48)*100</f>
      </c>
      <c r="BC103" s="7">
        <f>((BC80-BC71)/CODES!$B$48)*100</f>
      </c>
      <c r="BD103" s="7">
        <f>((BD80-BD71)/CODES!$B$48)*100</f>
      </c>
      <c r="BE103" s="7">
        <f>((BE80-BE71)/CODES!$B$48)*100</f>
      </c>
      <c r="BF103" s="7">
        <f>((BF80-BF71)/CODES!$B$48)*100</f>
      </c>
      <c r="BG103" s="7">
        <f>((BG80-BG71)/CODES!$B$48)*100</f>
      </c>
      <c r="BH103" s="7">
        <f>((BH80-BH71)/CODES!$B$48)*100</f>
      </c>
      <c r="BI103" s="7" t="e">
        <f>((BI80-BI71)/CODES!$B$48)*100</f>
      </c>
      <c r="BJ103" s="7">
        <f>((BJ80-BJ71)/CODES!$B$48)*100</f>
      </c>
      <c r="BK103" s="7">
        <f>((BK80-BK71)/CODES!$B$48)*100</f>
      </c>
      <c r="BL103" s="7">
        <f>((BL80-BL71)/CODES!$B$48)*100</f>
      </c>
      <c r="BM103" s="7">
        <f>((BM80-BM71)/CODES!$B$48)*100</f>
      </c>
      <c r="BN103" s="7">
        <f>((BN80-BN71)/CODES!$B$48)*100</f>
      </c>
      <c r="BO103" s="7" t="e">
        <f>((BO80-BO71)/CODES!$B$48)*100</f>
      </c>
      <c r="BP103" s="7">
        <f>((BP80-BP71)/CODES!$B$48)*100</f>
      </c>
      <c r="BQ103" s="7">
        <f>((BQ80-BQ71)/CODES!$B$48)*100</f>
      </c>
      <c r="BR103" s="7">
        <f>((BR80-BR71)/CODES!$B$48)*100</f>
      </c>
      <c r="BS103" s="7">
        <f>((BS80-BS71)/CODES!$B$48)*100</f>
      </c>
      <c r="BT103" s="7">
        <f>((BT80-BT71)/CODES!$B$48)*100</f>
      </c>
      <c r="BU103" s="7">
        <f>((BU80-BU71)/CODES!$B$48)*100</f>
      </c>
      <c r="BV103" s="7">
        <f>((BV80-BV71)/CODES!$B$48)*100</f>
      </c>
      <c r="BW103" s="7" t="e">
        <f>((BW80-BW71)/CODES!$B$48)*100</f>
      </c>
      <c r="BX103" s="7" t="e">
        <f>((BX80-BX71)/CODES!$B$48)*100</f>
      </c>
      <c r="BY103" s="7">
        <f>((BY80-BY71)/CODES!$B$48)*100</f>
      </c>
      <c r="BZ103" s="7">
        <f>((BZ80-BZ71)/CODES!$B$48)*100</f>
      </c>
      <c r="CA103" s="7">
        <f>((CA80-CA71)/CODES!$B$48)*100</f>
      </c>
      <c r="CB103" s="7">
        <f>((CB80-CB71)/CODES!$B$48)*100</f>
      </c>
      <c r="CC103" s="7">
        <f>((CC80-CC71)/CODES!$B$48)*100</f>
      </c>
      <c r="CD103" s="7">
        <f>((CD80-CD71)/CODES!$B$48)*100</f>
      </c>
      <c r="CE103" s="7">
        <f>((CE80-CE71)/CODES!$B$48)*100</f>
      </c>
      <c r="CF103" s="7">
        <f>((CF80-CF71)/CODES!$B$48)*100</f>
      </c>
      <c r="CG103" s="7">
        <f>((CG80-CG71)/CODES!$B$48)*100</f>
      </c>
      <c r="CH103" s="7">
        <f>((CH80-CH71)/CODES!$B$48)*100</f>
      </c>
      <c r="CI103" s="7">
        <f>((CI80-CI71)/CODES!$B$48)*100</f>
      </c>
      <c r="CJ103" s="7">
        <f>((CJ80-CJ71)/CODES!$B$48)*100</f>
      </c>
      <c r="CK103" s="7">
        <f>((CK80-CK71)/CODES!$B$48)*100</f>
      </c>
      <c r="CL103" s="7">
        <f>((CL80-CL71)/CODES!$B$48)*100</f>
      </c>
      <c r="CM103" s="7">
        <f>((CM80-CM71)/CODES!$B$48)*100</f>
      </c>
      <c r="CN103" s="7">
        <f>((CN80-CN71)/CODES!$B$48)*100</f>
      </c>
      <c r="CO103" s="7">
        <f>((CO80-CO71)/CODES!$B$48)*100</f>
      </c>
      <c r="CP103" s="7">
        <f>((CP80-CP71)/CODES!$B$48)*100</f>
      </c>
      <c r="CQ103" s="7">
        <f>((CQ80-CQ71)/CODES!$B$48)*100</f>
      </c>
      <c r="CR103" s="7">
        <f>((CR80-CR71)/CODES!$B$48)*100</f>
      </c>
      <c r="CS103" s="7">
        <f>((CS80-CS71)/CODES!$B$48)*100</f>
      </c>
      <c r="CT103" s="7">
        <f>((CT80-CT71)/CODES!$B$48)*100</f>
      </c>
      <c r="CU103" s="7">
        <f>((CU80-CU71)/CODES!$B$48)*100</f>
      </c>
      <c r="CV103" s="7">
        <f>((CV80-CV71)/CODES!$B$48)*100</f>
      </c>
      <c r="CW103" s="7">
        <f>((CW80-CW71)/CODES!$B$48)*100</f>
      </c>
      <c r="CX103" s="7">
        <f>((CX80-CX71)/CODES!$B$48)*100</f>
      </c>
      <c r="CY103" s="7">
        <f>((CY80-CY71)/CODES!$B$48)*100</f>
      </c>
      <c r="CZ103" s="7">
        <f>((CZ80-CZ71)/CODES!$B$48)*100</f>
      </c>
      <c r="DA103" s="7">
        <f>((DA80-DA71)/CODES!$B$48)*100</f>
      </c>
      <c r="DB103" s="7" t="e">
        <f>((DB80-DB71)/CODES!$B$48)*100</f>
      </c>
      <c r="DC103" s="7" t="e">
        <f>((DC80-DC71)/CODES!$B$48)*100</f>
      </c>
      <c r="DD103" s="7">
        <f>((DD80-DD71)/CODES!$B$48)*100</f>
      </c>
      <c r="DE103" s="7">
        <f>((DE80-DE71)/CODES!$B$48)*100</f>
      </c>
      <c r="DF103" s="7">
        <f>((DF80-DF71)/CODES!$B$48)*100</f>
      </c>
      <c r="DG103" s="7">
        <f>((DG80-DG71)/CODES!$B$48)*100</f>
      </c>
      <c r="DH103" s="7">
        <f>((DH80-DH71)/CODES!$B$48)*100</f>
      </c>
      <c r="DI103" s="7">
        <f>((DI80-DI71)/CODES!$B$48)*100</f>
      </c>
    </row>
    <row r="104" spans="1:113" x14ac:dyDescent="0.25">
      <c r="A104" s="16" t="str">
        <f t="shared" ref="A104:B104" si="39">A29</f>
      </c>
      <c r="B104" s="16" t="str">
        <f t="shared" si="39"/>
      </c>
      <c r="C104" s="7">
        <f>((C81-C71)/CODES!$B$48)*100</f>
      </c>
      <c r="D104" s="7">
        <f>((D81-D71)/CODES!$B$48)*100</f>
      </c>
      <c r="E104" s="7" t="e">
        <f>((E81-E71)/CODES!$B$48)*100</f>
      </c>
      <c r="F104" s="7">
        <f>((F81-F71)/CODES!$B$48)*100</f>
      </c>
      <c r="G104" s="7">
        <f>((G81-G71)/CODES!$B$48)*100</f>
      </c>
      <c r="H104" s="7">
        <f>((H81-H71)/CODES!$B$48)*100</f>
      </c>
      <c r="I104" s="7">
        <f>((I81-I71)/CODES!$B$48)*100</f>
      </c>
      <c r="J104" s="7">
        <f>((J81-J71)/CODES!$B$48)*100</f>
      </c>
      <c r="K104" s="7">
        <f>((K81-K71)/CODES!$B$48)*100</f>
      </c>
      <c r="L104" s="7">
        <f>((L81-L71)/CODES!$B$48)*100</f>
      </c>
      <c r="M104" s="7">
        <f>((M81-M71)/CODES!$B$48)*100</f>
      </c>
      <c r="N104" s="7" t="e">
        <f>((N81-N71)/CODES!$B$48)*100</f>
      </c>
      <c r="O104" s="7" t="e">
        <f>((O81-O71)/CODES!$B$48)*100</f>
      </c>
      <c r="P104" s="7">
        <f>((P81-P71)/CODES!$B$48)*100</f>
      </c>
      <c r="Q104" s="7">
        <f>((Q81-Q71)/CODES!$B$48)*100</f>
      </c>
      <c r="R104" s="7">
        <f>((R81-R71)/CODES!$B$48)*100</f>
      </c>
      <c r="S104" s="7">
        <f>((S81-S71)/CODES!$B$48)*100</f>
      </c>
      <c r="T104" s="7">
        <f>((T81-T71)/CODES!$B$48)*100</f>
      </c>
      <c r="U104" s="7">
        <f>((U81-U71)/CODES!$B$48)*100</f>
      </c>
      <c r="V104" s="7">
        <f>((V81-V71)/CODES!$B$48)*100</f>
      </c>
      <c r="W104" s="7">
        <f>((W81-W71)/CODES!$B$48)*100</f>
      </c>
      <c r="X104" s="7">
        <f>((X81-X71)/CODES!$B$48)*100</f>
      </c>
      <c r="Y104" s="7">
        <f>((Y81-Y71)/CODES!$B$48)*100</f>
      </c>
      <c r="Z104" s="7">
        <f>((Z81-Z71)/CODES!$B$48)*100</f>
      </c>
      <c r="AA104" s="7">
        <f>((AA81-AA71)/CODES!$B$48)*100</f>
      </c>
      <c r="AB104" s="7">
        <f>((AB81-AB71)/CODES!$B$48)*100</f>
      </c>
      <c r="AC104" s="7">
        <f>((AC81-AC71)/CODES!$B$48)*100</f>
      </c>
      <c r="AD104" s="7">
        <f>((AD81-AD71)/CODES!$B$48)*100</f>
      </c>
      <c r="AE104" s="7">
        <f>((AE81-AE71)/CODES!$B$48)*100</f>
      </c>
      <c r="AF104" s="7">
        <f>((AF81-AF71)/CODES!$B$48)*100</f>
      </c>
      <c r="AG104" s="7" t="e">
        <f>((AG81-AG71)/CODES!$B$48)*100</f>
      </c>
      <c r="AH104" s="7" t="e">
        <f>((AH81-AH71)/CODES!$B$48)*100</f>
      </c>
      <c r="AI104" s="7">
        <f>((AI81-AI71)/CODES!$B$48)*100</f>
      </c>
      <c r="AJ104" s="7">
        <f>((AJ81-AJ71)/CODES!$B$48)*100</f>
      </c>
      <c r="AK104" s="7">
        <f>((AK81-AK71)/CODES!$B$48)*100</f>
      </c>
      <c r="AL104" s="7">
        <f>((AL81-AL71)/CODES!$B$48)*100</f>
      </c>
      <c r="AM104" s="7">
        <f>((AM81-AM71)/CODES!$B$48)*100</f>
      </c>
      <c r="AN104" s="7">
        <f>((AN81-AN71)/CODES!$B$48)*100</f>
      </c>
      <c r="AO104" s="7">
        <f>((AO81-AO71)/CODES!$C$48)*100</f>
      </c>
      <c r="AP104" s="7">
        <f>((AP81-AP71)/CODES!$C$48)*100</f>
      </c>
      <c r="AQ104" s="7">
        <f>((AQ81-AQ71)/CODES!$B$48)*100</f>
      </c>
      <c r="AR104" s="7">
        <f>((AR81-AR71)/CODES!$B$48)*100</f>
      </c>
      <c r="AS104" s="7">
        <f>((AS81-AS71)/CODES!$B$48)*100</f>
      </c>
      <c r="AT104" s="7">
        <f>((AT81-AT71)/CODES!$B$48)*100</f>
      </c>
      <c r="AU104" s="7">
        <f>((AU81-AU71)/CODES!$B$48)*100</f>
      </c>
      <c r="AV104" s="7" t="e">
        <f>((AV81-AV71)/CODES!$B$48)*100</f>
      </c>
      <c r="AW104" s="7" t="e">
        <f>((AW81-AW71)/CODES!$B$48)*100</f>
      </c>
      <c r="AX104" s="7">
        <f>((AX81-AX71)/CODES!$B$48)*100</f>
      </c>
      <c r="AY104" s="7">
        <f>((AY81-AY71)/CODES!$B$48)*100</f>
      </c>
      <c r="AZ104" s="7">
        <f>((AZ81-AZ71)/CODES!$B$48)*100</f>
      </c>
      <c r="BA104" s="7">
        <f>((BA81-BA71)/CODES!$B$48)*100</f>
      </c>
      <c r="BB104" s="7">
        <f>((BB81-BB71)/CODES!$B$48)*100</f>
      </c>
      <c r="BC104" s="7">
        <f>((BC81-BC71)/CODES!$B$48)*100</f>
      </c>
      <c r="BD104" s="7">
        <f>((BD81-BD71)/CODES!$B$48)*100</f>
      </c>
      <c r="BE104" s="7">
        <f>((BE81-BE71)/CODES!$B$48)*100</f>
      </c>
      <c r="BF104" s="7">
        <f>((BF81-BF71)/CODES!$B$48)*100</f>
      </c>
      <c r="BG104" s="7">
        <f>((BG81-BG71)/CODES!$B$48)*100</f>
      </c>
      <c r="BH104" s="7">
        <f>((BH81-BH71)/CODES!$B$48)*100</f>
      </c>
      <c r="BI104" s="7" t="e">
        <f>((BI81-BI71)/CODES!$B$48)*100</f>
      </c>
      <c r="BJ104" s="7">
        <f>((BJ81-BJ71)/CODES!$B$48)*100</f>
      </c>
      <c r="BK104" s="7">
        <f>((BK81-BK71)/CODES!$B$48)*100</f>
      </c>
      <c r="BL104" s="7" t="e">
        <f>((BL81-BL71)/CODES!$B$48)*100</f>
      </c>
      <c r="BM104" s="7" t="e">
        <f>((BM81-BM71)/CODES!$B$48)*100</f>
      </c>
      <c r="BN104" s="7">
        <f>((BN81-BN71)/CODES!$B$48)*100</f>
      </c>
      <c r="BO104" s="7" t="e">
        <f>((BO81-BO71)/CODES!$B$48)*100</f>
      </c>
      <c r="BP104" s="7">
        <f>((BP81-BP71)/CODES!$B$48)*100</f>
      </c>
      <c r="BQ104" s="7">
        <f>((BQ81-BQ71)/CODES!$B$48)*100</f>
      </c>
      <c r="BR104" s="7">
        <f>((BR81-BR71)/CODES!$B$48)*100</f>
      </c>
      <c r="BS104" s="7">
        <f>((BS81-BS71)/CODES!$B$48)*100</f>
      </c>
      <c r="BT104" s="7">
        <f>((BT81-BT71)/CODES!$B$48)*100</f>
      </c>
      <c r="BU104" s="7">
        <f>((BU81-BU71)/CODES!$B$48)*100</f>
      </c>
      <c r="BV104" s="7">
        <f>((BV81-BV71)/CODES!$B$48)*100</f>
      </c>
      <c r="BW104" s="7" t="e">
        <f>((BW81-BW71)/CODES!$B$48)*100</f>
      </c>
      <c r="BX104" s="7" t="e">
        <f>((BX81-BX71)/CODES!$B$48)*100</f>
      </c>
      <c r="BY104" s="7">
        <f>((BY81-BY71)/CODES!$B$48)*100</f>
      </c>
      <c r="BZ104" s="7">
        <f>((BZ81-BZ71)/CODES!$B$48)*100</f>
      </c>
      <c r="CA104" s="7">
        <f>((CA81-CA71)/CODES!$B$48)*100</f>
      </c>
      <c r="CB104" s="7">
        <f>((CB81-CB71)/CODES!$B$48)*100</f>
      </c>
      <c r="CC104" s="7">
        <f>((CC81-CC71)/CODES!$B$48)*100</f>
      </c>
      <c r="CD104" s="7">
        <f>((CD81-CD71)/CODES!$B$48)*100</f>
      </c>
      <c r="CE104" s="7">
        <f>((CE81-CE71)/CODES!$B$48)*100</f>
      </c>
      <c r="CF104" s="7">
        <f>((CF81-CF71)/CODES!$B$48)*100</f>
      </c>
      <c r="CG104" s="7">
        <f>((CG81-CG71)/CODES!$B$48)*100</f>
      </c>
      <c r="CH104" s="7">
        <f>((CH81-CH71)/CODES!$B$48)*100</f>
      </c>
      <c r="CI104" s="7">
        <f>((CI81-CI71)/CODES!$B$48)*100</f>
      </c>
      <c r="CJ104" s="7">
        <f>((CJ81-CJ71)/CODES!$B$48)*100</f>
      </c>
      <c r="CK104" s="7" t="e">
        <f>((CK81-CK71)/CODES!$B$48)*100</f>
      </c>
      <c r="CL104" s="7">
        <f>((CL81-CL71)/CODES!$B$48)*100</f>
      </c>
      <c r="CM104" s="7">
        <f>((CM81-CM71)/CODES!$B$48)*100</f>
      </c>
      <c r="CN104" s="7">
        <f>((CN81-CN71)/CODES!$B$48)*100</f>
      </c>
      <c r="CO104" s="7">
        <f>((CO81-CO71)/CODES!$B$48)*100</f>
      </c>
      <c r="CP104" s="7">
        <f>((CP81-CP71)/CODES!$B$48)*100</f>
      </c>
      <c r="CQ104" s="7">
        <f>((CQ81-CQ71)/CODES!$B$48)*100</f>
      </c>
      <c r="CR104" s="7">
        <f>((CR81-CR71)/CODES!$B$48)*100</f>
      </c>
      <c r="CS104" s="7">
        <f>((CS81-CS71)/CODES!$B$48)*100</f>
      </c>
      <c r="CT104" s="7">
        <f>((CT81-CT71)/CODES!$B$48)*100</f>
      </c>
      <c r="CU104" s="7">
        <f>((CU81-CU71)/CODES!$B$48)*100</f>
      </c>
      <c r="CV104" s="7">
        <f>((CV81-CV71)/CODES!$B$48)*100</f>
      </c>
      <c r="CW104" s="7">
        <f>((CW81-CW71)/CODES!$B$48)*100</f>
      </c>
      <c r="CX104" s="7">
        <f>((CX81-CX71)/CODES!$B$48)*100</f>
      </c>
      <c r="CY104" s="7">
        <f>((CY81-CY71)/CODES!$B$48)*100</f>
      </c>
      <c r="CZ104" s="7">
        <f>((CZ81-CZ71)/CODES!$B$48)*100</f>
      </c>
      <c r="DA104" s="7">
        <f>((DA81-DA71)/CODES!$B$48)*100</f>
      </c>
      <c r="DB104" s="7" t="e">
        <f>((DB81-DB71)/CODES!$B$48)*100</f>
      </c>
      <c r="DC104" s="7" t="e">
        <f>((DC81-DC71)/CODES!$B$48)*100</f>
      </c>
      <c r="DD104" s="7">
        <f>((DD81-DD71)/CODES!$B$48)*100</f>
      </c>
      <c r="DE104" s="7">
        <f>((DE81-DE71)/CODES!$B$48)*100</f>
      </c>
      <c r="DF104" s="7">
        <f>((DF81-DF71)/CODES!$B$48)*100</f>
      </c>
      <c r="DG104" s="7">
        <f>((DG81-DG71)/CODES!$B$48)*100</f>
      </c>
      <c r="DH104" s="7">
        <f>((DH81-DH71)/CODES!$B$48)*100</f>
      </c>
      <c r="DI104" s="7">
        <f>((DI81-DI71)/CODES!$B$48)*100</f>
      </c>
    </row>
    <row r="105" spans="1:113" x14ac:dyDescent="0.25">
      <c r="A105" s="16" t="str">
        <f t="shared" ref="A105:B105" si="40">A30</f>
      </c>
      <c r="B105" s="16" t="str">
        <f t="shared" si="40"/>
      </c>
      <c r="C105" s="7">
        <f>((C82)/CODES!$B$50)*100</f>
      </c>
      <c r="D105" s="7">
        <f>((D82)/CODES!$B$50)*100</f>
      </c>
      <c r="E105" s="7">
        <f>((E82)/CODES!$B$50)*100</f>
      </c>
      <c r="F105" s="7">
        <f>((F82)/CODES!$B$50)*100</f>
      </c>
      <c r="G105" s="7">
        <f>((G82)/CODES!$B$50)*100</f>
      </c>
      <c r="H105" s="7">
        <f>((H82)/CODES!$B$50)*100</f>
      </c>
      <c r="I105" s="7">
        <f>((I82)/CODES!$B$50)*100</f>
      </c>
      <c r="J105" s="7">
        <f>((J82)/CODES!$B$50)*100</f>
      </c>
      <c r="K105" s="7">
        <f>((K82)/CODES!$B$50)*100</f>
      </c>
      <c r="L105" s="7">
        <f>((L82)/CODES!$B$50)*100</f>
      </c>
      <c r="M105" s="7">
        <f>((M82)/CODES!$B$50)*100</f>
      </c>
      <c r="N105" s="7" t="e">
        <f>((N82)/CODES!$B$50)*100</f>
      </c>
      <c r="O105" s="7" t="e">
        <f>((O82)/CODES!$B$50)*100</f>
      </c>
      <c r="P105" s="7">
        <f>((P82)/CODES!$B$50)*100</f>
      </c>
      <c r="Q105" s="7">
        <f>((Q82)/CODES!$B$50)*100</f>
      </c>
      <c r="R105" s="7">
        <f>((R82)/CODES!$B$50)*100</f>
      </c>
      <c r="S105" s="7">
        <f>((S82)/CODES!$B$50)*100</f>
      </c>
      <c r="T105" s="7">
        <f>((T82)/CODES!$B$50)*100</f>
      </c>
      <c r="U105" s="7">
        <f>((U82)/CODES!$B$50)*100</f>
      </c>
      <c r="V105" s="7">
        <f>((V82)/CODES!$B$50)*100</f>
      </c>
      <c r="W105" s="7">
        <f>((W82)/CODES!$B$50)*100</f>
      </c>
      <c r="X105" s="7">
        <f>((X82)/CODES!$B$50)*100</f>
      </c>
      <c r="Y105" s="7">
        <f>((Y82)/CODES!$B$50)*100</f>
      </c>
      <c r="Z105" s="7">
        <f>((Z82)/CODES!$B$50)*100</f>
      </c>
      <c r="AA105" s="7">
        <f>((AA82)/CODES!$B$50)*100</f>
      </c>
      <c r="AB105" s="7">
        <f>((AB82)/CODES!$B$50)*100</f>
      </c>
      <c r="AC105" s="7">
        <f>((AC82)/CODES!$B$50)*100</f>
      </c>
      <c r="AD105" s="7">
        <f>((AD82)/CODES!$B$50)*100</f>
      </c>
      <c r="AE105" s="7">
        <f>((AE82)/CODES!$B$50)*100</f>
      </c>
      <c r="AF105" s="7">
        <f>((AF82)/CODES!$B$50)*100</f>
      </c>
      <c r="AG105" s="7">
        <f>((AG82)/CODES!$B$50)*100</f>
      </c>
      <c r="AH105" s="7">
        <f>((AH82)/CODES!$B$50)*100</f>
      </c>
      <c r="AI105" s="7">
        <f>((AI82)/CODES!$B$50)*100</f>
      </c>
      <c r="AJ105" s="7">
        <f>((AJ82)/CODES!$B$50)*100</f>
      </c>
      <c r="AK105" s="7">
        <f>((AK82)/CODES!$B$50)*100</f>
      </c>
      <c r="AL105" s="7">
        <f>((AL82)/CODES!$B$50)*100</f>
      </c>
      <c r="AM105" s="7">
        <f>((AM82)/CODES!$B$50)*100</f>
      </c>
      <c r="AN105" s="7">
        <f>((AN82)/CODES!$B$50)*100</f>
      </c>
      <c r="AO105" s="7">
        <f>((AO82)/CODES!$B$50)*100</f>
      </c>
      <c r="AP105" s="7">
        <f>((AP82)/CODES!$B$50)*100</f>
      </c>
      <c r="AQ105" s="7">
        <f>((AQ82)/CODES!$B$50)*100</f>
      </c>
      <c r="AR105" s="7">
        <f>((AR82)/CODES!$B$50)*100</f>
      </c>
      <c r="AS105" s="7">
        <f>((AS82)/CODES!$B$50)*100</f>
      </c>
      <c r="AT105" s="7">
        <f>((AT82)/CODES!$B$50)*100</f>
      </c>
      <c r="AU105" s="7">
        <f>((AU82)/CODES!$B$50)*100</f>
      </c>
      <c r="AV105" s="7" t="e">
        <f>((AV82)/CODES!$B$50)*100</f>
      </c>
      <c r="AW105" s="7" t="e">
        <f>((AW82)/CODES!$B$50)*100</f>
      </c>
      <c r="AX105" s="7">
        <f>((AX82)/CODES!$B$50)*100</f>
      </c>
      <c r="AY105" s="7">
        <f>((AY82)/CODES!$B$50)*100</f>
      </c>
      <c r="AZ105" s="7">
        <f>((AZ82)/CODES!$B$50)*100</f>
      </c>
      <c r="BA105" s="7">
        <f>((BA82)/CODES!$B$50)*100</f>
      </c>
      <c r="BB105" s="7">
        <f>((BB82)/CODES!$B$50)*100</f>
      </c>
      <c r="BC105" s="7">
        <f>((BC82)/CODES!$B$50)*100</f>
      </c>
      <c r="BD105" s="7">
        <f>((BD82)/CODES!$B$50)*100</f>
      </c>
      <c r="BE105" s="7">
        <f>((BE82)/CODES!$B$50)*100</f>
      </c>
      <c r="BF105" s="7">
        <f>((BF82)/CODES!$B$50)*100</f>
      </c>
      <c r="BG105" s="7">
        <f>((BG82)/CODES!$B$50)*100</f>
      </c>
      <c r="BH105" s="7">
        <f>((BH82)/CODES!$B$50)*100</f>
      </c>
      <c r="BI105" s="7" t="e">
        <f>((BI82)/CODES!$B$50)*100</f>
      </c>
      <c r="BJ105" s="7">
        <f>((BJ82)/CODES!$B$50)*100</f>
      </c>
      <c r="BK105" s="7">
        <f>((BK82)/CODES!$B$50)*100</f>
      </c>
      <c r="BL105" s="7">
        <f>((BL82)/CODES!$B$50)*100</f>
      </c>
      <c r="BM105" s="7">
        <f>((BM82)/CODES!$B$50)*100</f>
      </c>
      <c r="BN105" s="7">
        <f>((BN82)/CODES!$B$50)*100</f>
      </c>
      <c r="BO105" s="7" t="e">
        <f>((BO82)/CODES!$B$50)*100</f>
      </c>
      <c r="BP105" s="7">
        <f>((BP82)/CODES!$B$50)*100</f>
      </c>
      <c r="BQ105" s="7">
        <f>((BQ82)/CODES!$B$50)*100</f>
      </c>
      <c r="BR105" s="7">
        <f>((BR82)/CODES!$B$50)*100</f>
      </c>
      <c r="BS105" s="7">
        <f>((BS82)/CODES!$B$50)*100</f>
      </c>
      <c r="BT105" s="7">
        <f>((BT82)/CODES!$B$50)*100</f>
      </c>
      <c r="BU105" s="7">
        <f>((BU82)/CODES!$B$50)*100</f>
      </c>
      <c r="BV105" s="7">
        <f>((BV82)/CODES!$B$50)*100</f>
      </c>
      <c r="BW105" s="7" t="e">
        <f>((BW82)/CODES!$B$50)*100</f>
      </c>
      <c r="BX105" s="7" t="e">
        <f>((BX82)/CODES!$B$50)*100</f>
      </c>
      <c r="BY105" s="7">
        <f>((BY82)/CODES!$B$50)*100</f>
      </c>
      <c r="BZ105" s="7">
        <f>((BZ82)/CODES!$B$50)*100</f>
      </c>
      <c r="CA105" s="7">
        <f>((CA82)/CODES!$B$50)*100</f>
      </c>
      <c r="CB105" s="7">
        <f>((CB82)/CODES!$B$50)*100</f>
      </c>
      <c r="CC105" s="7">
        <f>((CC82)/CODES!$B$50)*100</f>
      </c>
      <c r="CD105" s="7">
        <f>((CD82)/CODES!$B$50)*100</f>
      </c>
      <c r="CE105" s="7">
        <f>((CE82)/CODES!$B$50)*100</f>
      </c>
      <c r="CF105" s="7">
        <f>((CF82)/CODES!$B$50)*100</f>
      </c>
      <c r="CG105" s="7">
        <f>((CG82)/CODES!$B$50)*100</f>
      </c>
      <c r="CH105" s="7">
        <f>((CH82)/CODES!$B$50)*100</f>
      </c>
      <c r="CI105" s="7">
        <f>((CI82)/CODES!$B$50)*100</f>
      </c>
      <c r="CJ105" s="7">
        <f>((CJ82)/CODES!$B$50)*100</f>
      </c>
      <c r="CK105" s="7">
        <f>((CK82)/CODES!$B$50)*100</f>
      </c>
      <c r="CL105" s="7">
        <f>((CL82)/CODES!$B$50)*100</f>
      </c>
      <c r="CM105" s="7">
        <f>((CM82)/CODES!$B$50)*100</f>
      </c>
      <c r="CN105" s="7">
        <f>((CN82)/CODES!$B$50)*100</f>
      </c>
      <c r="CO105" s="7">
        <f>((CO82)/CODES!$B$50)*100</f>
      </c>
      <c r="CP105" s="7">
        <f>((CP82)/CODES!$B$50)*100</f>
      </c>
      <c r="CQ105" s="7">
        <f>((CQ82)/CODES!$B$50)*100</f>
      </c>
      <c r="CR105" s="7">
        <f>((CR82)/CODES!$B$50)*100</f>
      </c>
      <c r="CS105" s="7">
        <f>((CS82)/CODES!$B$50)*100</f>
      </c>
      <c r="CT105" s="7">
        <f>((CT82)/CODES!$B$50)*100</f>
      </c>
      <c r="CU105" s="7">
        <f>((CU82)/CODES!$B$50)*100</f>
      </c>
      <c r="CV105" s="7">
        <f>((CV82)/CODES!$B$50)*100</f>
      </c>
      <c r="CW105" s="7">
        <f>((CW82)/CODES!$B$50)*100</f>
      </c>
      <c r="CX105" s="7">
        <f>((CX82)/CODES!$B$50)*100</f>
      </c>
      <c r="CY105" s="7">
        <f>((CY82)/CODES!$B$50)*100</f>
      </c>
      <c r="CZ105" s="7">
        <f>((CZ82)/CODES!$B$50)*100</f>
      </c>
      <c r="DA105" s="7">
        <f>((DA82)/CODES!$B$50)*100</f>
      </c>
      <c r="DB105" s="7" t="e">
        <f>((DB82)/CODES!$B$50)*100</f>
      </c>
      <c r="DC105" s="7" t="e">
        <f>((DC82)/CODES!$B$50)*100</f>
      </c>
      <c r="DD105" s="7">
        <f>((DD82)/CODES!$B$50)*100</f>
      </c>
      <c r="DE105" s="7">
        <f>((DE82)/CODES!$B$50)*100</f>
      </c>
      <c r="DF105" s="7">
        <f>((DF82)/CODES!$B$50)*100</f>
      </c>
      <c r="DG105" s="7">
        <f>((DG82)/CODES!$B$50)*100</f>
      </c>
      <c r="DH105" s="7">
        <f>((DH82)/CODES!$B$50)*100</f>
      </c>
      <c r="DI105" s="7">
        <f>((DI82)/CODES!$B$50)*100</f>
      </c>
    </row>
    <row r="106" spans="1:113" x14ac:dyDescent="0.25">
      <c r="A106" s="16" t="str">
        <f t="shared" ref="A106:B106" si="41">A31</f>
      </c>
      <c r="B106" s="16" t="str">
        <f t="shared" si="41"/>
      </c>
      <c r="C106" s="7" t="str">
        <f>IF(C99="FAIL",IF(C74/C76*100&lt;CODES!$C$36,"&lt;10% Matrix","&gt;10% Matrix"),"N.A.")</f>
      </c>
      <c r="D106" s="7" t="str">
        <f>IF(D99="FAIL",IF(D74/D76*100&lt;CODES!$C$36,"&lt;10% Matrix","&gt;10% Matrix"),"N.A.")</f>
      </c>
      <c r="E106" s="7" t="str">
        <f>IF(E99="FAIL",IF(E74/E76*100&lt;CODES!$C$36,"&lt;10% Matrix","&gt;10% Matrix"),"N.A.")</f>
      </c>
      <c r="F106" s="7" t="str">
        <f>IF(F99="FAIL",IF(F74/F76*100&lt;CODES!$C$36,"&lt;10% Matrix","&gt;10% Matrix"),"N.A.")</f>
      </c>
      <c r="G106" s="7" t="str">
        <f>IF(G99="FAIL",IF(G74/G76*100&lt;CODES!$C$36,"&lt;10% Matrix","&gt;10% Matrix"),"N.A.")</f>
      </c>
      <c r="H106" s="7" t="str">
        <f>IF(H99="FAIL",IF(H74/H76*100&lt;CODES!$C$36,"&lt;10% Matrix","&gt;10% Matrix"),"N.A.")</f>
      </c>
      <c r="I106" s="7" t="str">
        <f>IF(I99="FAIL",IF(I74/I76*100&lt;CODES!$C$36,"&lt;10% Matrix","&gt;10% Matrix"),"N.A.")</f>
      </c>
      <c r="J106" s="7" t="str">
        <f>IF(J99="FAIL",IF(J74/J76*100&lt;CODES!$C$36,"&lt;10% Matrix","&gt;10% Matrix"),"N.A.")</f>
      </c>
      <c r="K106" s="7" t="str">
        <f>IF(K99="FAIL",IF(K74/K76*100&lt;CODES!$C$36,"&lt;10% Matrix","&gt;10% Matrix"),"N.A.")</f>
      </c>
      <c r="L106" s="7" t="str">
        <f>IF(L99="FAIL",IF(L74/L76*100&lt;CODES!$C$36,"&lt;10% Matrix","&gt;10% Matrix"),"N.A.")</f>
      </c>
      <c r="M106" s="7" t="str">
        <f>IF(M99="FAIL",IF(M74/M76*100&lt;CODES!$C$36,"&lt;10% Matrix","&gt;10% Matrix"),"N.A.")</f>
      </c>
      <c r="N106" s="7" t="e">
        <f>IF(N99="FAIL",IF(N74/N76*100&lt;CODES!$C$36,"&lt;10% Matrix","&gt;10% Matrix"),"N.A.")</f>
      </c>
      <c r="O106" s="7" t="e">
        <f>IF(O99="FAIL",IF(O74/O76*100&lt;CODES!$C$36,"&lt;10% Matrix","&gt;10% Matrix"),"N.A.")</f>
      </c>
      <c r="P106" s="7" t="str">
        <f>IF(P99="FAIL",IF(P74/P76*100&lt;CODES!$C$36,"&lt;10% Matrix","&gt;10% Matrix"),"N.A.")</f>
      </c>
      <c r="Q106" s="7" t="str">
        <f>IF(Q99="FAIL",IF(Q74/Q76*100&lt;CODES!$C$36,"&lt;10% Matrix","&gt;10% Matrix"),"N.A.")</f>
      </c>
      <c r="R106" s="7" t="str">
        <f>IF(R99="FAIL",IF(R74/R76*100&lt;CODES!$C$36,"&lt;10% Matrix","&gt;10% Matrix"),"N.A.")</f>
      </c>
      <c r="S106" s="7" t="str">
        <f>IF(S99="FAIL",IF(S74/S76*100&lt;CODES!$C$36,"&lt;10% Matrix","&gt;10% Matrix"),"N.A.")</f>
      </c>
      <c r="T106" s="7" t="str">
        <f>IF(T99="FAIL",IF(T74/T76*100&lt;CODES!$C$36,"&lt;10% Matrix","&gt;10% Matrix"),"N.A.")</f>
      </c>
      <c r="U106" s="7" t="str">
        <f>IF(U99="FAIL",IF(U74/U76*100&lt;CODES!$C$36,"&lt;10% Matrix","&gt;10% Matrix"),"N.A.")</f>
      </c>
      <c r="V106" s="7" t="str">
        <f>IF(V99="FAIL",IF(V74/V76*100&lt;CODES!$C$36,"&lt;10% Matrix","&gt;10% Matrix"),"N.A.")</f>
      </c>
      <c r="W106" s="7" t="str">
        <f>IF(W99="FAIL",IF(W74/W76*100&lt;CODES!$C$36,"&lt;10% Matrix","&gt;10% Matrix"),"N.A.")</f>
      </c>
      <c r="X106" s="7" t="str">
        <f>IF(X99="FAIL",IF(X74/X76*100&lt;CODES!$C$36,"&lt;10% Matrix","&gt;10% Matrix"),"N.A.")</f>
      </c>
      <c r="Y106" s="7" t="str">
        <f>IF(Y99="FAIL",IF(Y74/Y76*100&lt;CODES!$C$36,"&lt;10% Matrix","&gt;10% Matrix"),"N.A.")</f>
      </c>
      <c r="Z106" s="7" t="str">
        <f>IF(Z99="FAIL",IF(Z74/Z76*100&lt;CODES!$C$36,"&lt;10% Matrix","&gt;10% Matrix"),"N.A.")</f>
      </c>
      <c r="AA106" s="7" t="str">
        <f>IF(AA99="FAIL",IF(AA74/AA76*100&lt;CODES!$C$36,"&lt;10% Matrix","&gt;10% Matrix"),"N.A.")</f>
      </c>
      <c r="AB106" s="7" t="str">
        <f>IF(AB99="FAIL",IF(AB74/AB76*100&lt;CODES!$C$36,"&lt;10% Matrix","&gt;10% Matrix"),"N.A.")</f>
      </c>
      <c r="AC106" s="7" t="str">
        <f>IF(AC99="FAIL",IF(AC74/AC76*100&lt;CODES!$C$36,"&lt;10% Matrix","&gt;10% Matrix"),"N.A.")</f>
      </c>
      <c r="AD106" s="7" t="str">
        <f>IF(AD99="FAIL",IF(AD74/AD76*100&lt;CODES!$C$36,"&lt;10% Matrix","&gt;10% Matrix"),"N.A.")</f>
      </c>
      <c r="AE106" s="7" t="str">
        <f>IF(AE99="FAIL",IF(AE74/AE76*100&lt;CODES!$C$36,"&lt;10% Matrix","&gt;10% Matrix"),"N.A.")</f>
      </c>
      <c r="AF106" s="7" t="str">
        <f>IF(AF99="FAIL",IF(AF74/AF76*100&lt;CODES!$C$36,"&lt;10% Matrix","&gt;10% Matrix"),"N.A.")</f>
      </c>
      <c r="AG106" s="7" t="str">
        <f>IF(AG99="FAIL",IF(AG74/AG76*100&lt;CODES!$C$36,"&lt;10% Matrix","&gt;10% Matrix"),"N.A.")</f>
      </c>
      <c r="AH106" s="7" t="str">
        <f>IF(AH99="FAIL",IF(AH74/AH76*100&lt;CODES!$C$36,"&lt;10% Matrix","&gt;10% Matrix"),"N.A.")</f>
      </c>
      <c r="AI106" s="7" t="str">
        <f>IF(AI99="FAIL",IF(AI74/AI76*100&lt;CODES!$C$36,"&lt;10% Matrix","&gt;10% Matrix"),"N.A.")</f>
      </c>
      <c r="AJ106" s="7" t="str">
        <f>IF(AJ99="FAIL",IF(AJ74/AJ76*100&lt;CODES!$C$36,"&lt;10% Matrix","&gt;10% Matrix"),"N.A.")</f>
      </c>
      <c r="AK106" s="7" t="str">
        <f>IF(AK99="FAIL",IF(AK74/AK76*100&lt;CODES!$C$36,"&lt;10% Matrix","&gt;10% Matrix"),"N.A.")</f>
      </c>
      <c r="AL106" s="7" t="str">
        <f>IF(AL99="FAIL",IF(AL74/AL76*100&lt;CODES!$C$36,"&lt;10% Matrix","&gt;10% Matrix"),"N.A.")</f>
      </c>
      <c r="AM106" s="7" t="str">
        <f>IF(AM99="FAIL",IF(AM74/AM76*100&lt;CODES!$C$36,"&lt;10% Matrix","&gt;10% Matrix"),"N.A.")</f>
      </c>
      <c r="AN106" s="7" t="str">
        <f>IF(AN99="FAIL",IF(AN74/AN76*100&lt;CODES!$C$36,"&lt;10% Matrix","&gt;10% Matrix"),"N.A.")</f>
      </c>
      <c r="AO106" s="7" t="str">
        <f>IF(AO99="FAIL",IF(AO74/AO76*100&lt;CODES!$C$36,"&lt;10% Matrix","&gt;10% Matrix"),"N.A.")</f>
      </c>
      <c r="AP106" s="7" t="str">
        <f>IF(AP99="FAIL",IF(AP74/AP76*100&lt;CODES!$C$36,"&lt;10% Matrix","&gt;10% Matrix"),"N.A.")</f>
      </c>
      <c r="AQ106" s="7" t="str">
        <f>IF(AQ99="FAIL",IF(AQ74/AQ76*100&lt;CODES!$C$36,"&lt;10% Matrix","&gt;10% Matrix"),"N.A.")</f>
      </c>
      <c r="AR106" s="7" t="str">
        <f>IF(AR99="FAIL",IF(AR74/AR76*100&lt;CODES!$C$36,"&lt;10% Matrix","&gt;10% Matrix"),"N.A.")</f>
      </c>
      <c r="AS106" s="7" t="str">
        <f>IF(AS99="FAIL",IF(AS74/AS76*100&lt;CODES!$C$36,"&lt;10% Matrix","&gt;10% Matrix"),"N.A.")</f>
      </c>
      <c r="AT106" s="7" t="str">
        <f>IF(AT99="FAIL",IF(AT74/AT76*100&lt;CODES!$C$36,"&lt;10% Matrix","&gt;10% Matrix"),"N.A.")</f>
      </c>
      <c r="AU106" s="7" t="str">
        <f>IF(AU99="FAIL",IF(AU74/AU76*100&lt;CODES!$C$36,"&lt;10% Matrix","&gt;10% Matrix"),"N.A.")</f>
      </c>
      <c r="AV106" s="7" t="e">
        <f>IF(AV99="FAIL",IF(AV74/AV76*100&lt;CODES!$C$36,"&lt;10% Matrix","&gt;10% Matrix"),"N.A.")</f>
      </c>
      <c r="AW106" s="7" t="e">
        <f>IF(AW99="FAIL",IF(AW74/AW76*100&lt;CODES!$C$36,"&lt;10% Matrix","&gt;10% Matrix"),"N.A.")</f>
      </c>
      <c r="AX106" s="7" t="str">
        <f>IF(AX99="FAIL",IF(AX74/AX76*100&lt;CODES!$C$36,"&lt;10% Matrix","&gt;10% Matrix"),"N.A.")</f>
      </c>
      <c r="AY106" s="7" t="str">
        <f>IF(AY99="FAIL",IF(AY74/AY76*100&lt;CODES!$C$36,"&lt;10% Matrix","&gt;10% Matrix"),"N.A.")</f>
      </c>
      <c r="AZ106" s="7" t="str">
        <f>IF(AZ99="FAIL",IF(AZ74/AZ76*100&lt;CODES!$C$36,"&lt;10% Matrix","&gt;10% Matrix"),"N.A.")</f>
      </c>
      <c r="BA106" s="7" t="str">
        <f>IF(BA99="FAIL",IF(BA74/BA76*100&lt;CODES!$C$36,"&lt;10% Matrix","&gt;10% Matrix"),"N.A.")</f>
      </c>
      <c r="BB106" s="7" t="str">
        <f>IF(BB99="FAIL",IF(BB74/BB76*100&lt;CODES!$C$36,"&lt;10% Matrix","&gt;10% Matrix"),"N.A.")</f>
      </c>
      <c r="BC106" s="7" t="str">
        <f>IF(BC99="FAIL",IF(BC74/BC76*100&lt;CODES!$C$36,"&lt;10% Matrix","&gt;10% Matrix"),"N.A.")</f>
      </c>
      <c r="BD106" s="7" t="str">
        <f>IF(BD99="FAIL",IF(BD74/BD76*100&lt;CODES!$C$36,"&lt;10% Matrix","&gt;10% Matrix"),"N.A.")</f>
      </c>
      <c r="BE106" s="7" t="str">
        <f>IF(BE99="FAIL",IF(BE74/BE76*100&lt;CODES!$C$36,"&lt;10% Matrix","&gt;10% Matrix"),"N.A.")</f>
      </c>
      <c r="BF106" s="7" t="str">
        <f>IF(BF99="FAIL",IF(BF74/BF76*100&lt;CODES!$C$36,"&lt;10% Matrix","&gt;10% Matrix"),"N.A.")</f>
      </c>
      <c r="BG106" s="7" t="str">
        <f>IF(BG99="FAIL",IF(BG74/BG76*100&lt;CODES!$C$36,"&lt;10% Matrix","&gt;10% Matrix"),"N.A.")</f>
      </c>
      <c r="BH106" s="7" t="str">
        <f>IF(BH99="FAIL",IF(BH74/BH76*100&lt;CODES!$C$36,"&lt;10% Matrix","&gt;10% Matrix"),"N.A.")</f>
      </c>
      <c r="BI106" s="7" t="str">
        <f>IF(BI99="FAIL",IF(BI74/BI76*100&lt;CODES!$C$36,"&lt;10% Matrix","&gt;10% Matrix"),"N.A.")</f>
      </c>
      <c r="BJ106" s="7" t="str">
        <f>IF(BJ99="FAIL",IF(BJ74/BJ76*100&lt;CODES!$C$36,"&lt;10% Matrix","&gt;10% Matrix"),"N.A.")</f>
      </c>
      <c r="BK106" s="7" t="str">
        <f>IF(BK99="FAIL",IF(BK74/BK76*100&lt;CODES!$C$36,"&lt;10% Matrix","&gt;10% Matrix"),"N.A.")</f>
      </c>
      <c r="BL106" s="7" t="str">
        <f>IF(BL99="FAIL",IF(BL74/BL76*100&lt;CODES!$C$36,"&lt;10% Matrix","&gt;10% Matrix"),"N.A.")</f>
      </c>
      <c r="BM106" s="7" t="str">
        <f>IF(BM99="FAIL",IF(BM74/BM76*100&lt;CODES!$C$36,"&lt;10% Matrix","&gt;10% Matrix"),"N.A.")</f>
      </c>
      <c r="BN106" s="7" t="str">
        <f>IF(BN99="FAIL",IF(BN74/BN76*100&lt;CODES!$C$36,"&lt;10% Matrix","&gt;10% Matrix"),"N.A.")</f>
      </c>
      <c r="BO106" s="7" t="e">
        <f>IF(BO99="FAIL",IF(BO74/BO76*100&lt;CODES!$C$36,"&lt;10% Matrix","&gt;10% Matrix"),"N.A.")</f>
      </c>
      <c r="BP106" s="7" t="str">
        <f>IF(BP99="FAIL",IF(BP74/BP76*100&lt;CODES!$C$36,"&lt;10% Matrix","&gt;10% Matrix"),"N.A.")</f>
      </c>
      <c r="BQ106" s="7" t="str">
        <f>IF(BQ99="FAIL",IF(BQ74/BQ76*100&lt;CODES!$C$36,"&lt;10% Matrix","&gt;10% Matrix"),"N.A.")</f>
      </c>
      <c r="BR106" s="7" t="str">
        <f>IF(BR99="FAIL",IF(BR74/BR76*100&lt;CODES!$C$36,"&lt;10% Matrix","&gt;10% Matrix"),"N.A.")</f>
      </c>
      <c r="BS106" s="7" t="str">
        <f>IF(BS99="FAIL",IF(BS74/BS76*100&lt;CODES!$C$36,"&lt;10% Matrix","&gt;10% Matrix"),"N.A.")</f>
      </c>
      <c r="BT106" s="7" t="str">
        <f>IF(BT99="FAIL",IF(BT74/BT76*100&lt;CODES!$C$36,"&lt;10% Matrix","&gt;10% Matrix"),"N.A.")</f>
      </c>
      <c r="BU106" s="7" t="str">
        <f>IF(BU99="FAIL",IF(BU74/BU76*100&lt;CODES!$C$36,"&lt;10% Matrix","&gt;10% Matrix"),"N.A.")</f>
      </c>
      <c r="BV106" s="7" t="str">
        <f>IF(BV99="FAIL",IF(BV74/BV76*100&lt;CODES!$C$36,"&lt;10% Matrix","&gt;10% Matrix"),"N.A.")</f>
      </c>
      <c r="BW106" s="7" t="e">
        <f>IF(BW99="FAIL",IF(BW74/BW76*100&lt;CODES!$C$36,"&lt;10% Matrix","&gt;10% Matrix"),"N.A.")</f>
      </c>
      <c r="BX106" s="7" t="e">
        <f>IF(BX99="FAIL",IF(BX74/BX76*100&lt;CODES!$C$36,"&lt;10% Matrix","&gt;10% Matrix"),"N.A.")</f>
      </c>
      <c r="BY106" s="7" t="str">
        <f>IF(BY99="FAIL",IF(BY74/BY76*100&lt;CODES!$C$36,"&lt;10% Matrix","&gt;10% Matrix"),"N.A.")</f>
      </c>
      <c r="BZ106" s="7" t="str">
        <f>IF(BZ99="FAIL",IF(BZ74/BZ76*100&lt;CODES!$C$36,"&lt;10% Matrix","&gt;10% Matrix"),"N.A.")</f>
      </c>
      <c r="CA106" s="7" t="e">
        <f>IF(CA99="FAIL",IF(CA74/CA76*100&lt;CODES!$C$36,"&lt;10% Matrix","&gt;10% Matrix"),"N.A.")</f>
      </c>
      <c r="CB106" s="7" t="e">
        <f>IF(CB99="FAIL",IF(CB74/CB76*100&lt;CODES!$C$36,"&lt;10% Matrix","&gt;10% Matrix"),"N.A.")</f>
      </c>
      <c r="CC106" s="7" t="str">
        <f>IF(CC99="FAIL",IF(CC74/CC76*100&lt;CODES!$C$36,"&lt;10% Matrix","&gt;10% Matrix"),"N.A.")</f>
      </c>
      <c r="CD106" s="7" t="str">
        <f>IF(CD99="FAIL",IF(CD74/CD76*100&lt;CODES!$C$36,"&lt;10% Matrix","&gt;10% Matrix"),"N.A.")</f>
      </c>
      <c r="CE106" s="7" t="str">
        <f>IF(CE99="FAIL",IF(CE74/CE76*100&lt;CODES!$C$36,"&lt;10% Matrix","&gt;10% Matrix"),"N.A.")</f>
      </c>
      <c r="CF106" s="7" t="str">
        <f>IF(CF99="FAIL",IF(CF74/CF76*100&lt;CODES!$C$36,"&lt;10% Matrix","&gt;10% Matrix"),"N.A.")</f>
      </c>
      <c r="CG106" s="7" t="str">
        <f>IF(CG99="FAIL",IF(CG74/CG76*100&lt;CODES!$C$36,"&lt;10% Matrix","&gt;10% Matrix"),"N.A.")</f>
      </c>
      <c r="CH106" s="7" t="str">
        <f>IF(CH99="FAIL",IF(CH74/CH76*100&lt;CODES!$C$36,"&lt;10% Matrix","&gt;10% Matrix"),"N.A.")</f>
      </c>
      <c r="CI106" s="7" t="str">
        <f>IF(CI99="FAIL",IF(CI74/CI76*100&lt;CODES!$C$36,"&lt;10% Matrix","&gt;10% Matrix"),"N.A.")</f>
      </c>
      <c r="CJ106" s="7" t="str">
        <f>IF(CJ99="FAIL",IF(CJ74/CJ76*100&lt;CODES!$C$36,"&lt;10% Matrix","&gt;10% Matrix"),"N.A.")</f>
      </c>
      <c r="CK106" s="7" t="str">
        <f>IF(CK99="FAIL",IF(CK74/CK76*100&lt;CODES!$C$36,"&lt;10% Matrix","&gt;10% Matrix"),"N.A.")</f>
      </c>
      <c r="CL106" s="7" t="str">
        <f>IF(CL99="FAIL",IF(CL74/CL76*100&lt;CODES!$C$36,"&lt;10% Matrix","&gt;10% Matrix"),"N.A.")</f>
      </c>
      <c r="CM106" s="7" t="str">
        <f>IF(CM99="FAIL",IF(CM74/CM76*100&lt;CODES!$C$36,"&lt;10% Matrix","&gt;10% Matrix"),"N.A.")</f>
      </c>
      <c r="CN106" s="7" t="str">
        <f>IF(CN99="FAIL",IF(CN74/CN76*100&lt;CODES!$C$36,"&lt;10% Matrix","&gt;10% Matrix"),"N.A.")</f>
      </c>
      <c r="CO106" s="7" t="str">
        <f>IF(CO99="FAIL",IF(CO74/CO76*100&lt;CODES!$C$36,"&lt;10% Matrix","&gt;10% Matrix"),"N.A.")</f>
      </c>
      <c r="CP106" s="7" t="str">
        <f>IF(CP99="FAIL",IF(CP74/CP76*100&lt;CODES!$C$36,"&lt;10% Matrix","&gt;10% Matrix"),"N.A.")</f>
      </c>
      <c r="CQ106" s="7" t="str">
        <f>IF(CQ99="FAIL",IF(CQ74/CQ76*100&lt;CODES!$C$36,"&lt;10% Matrix","&gt;10% Matrix"),"N.A.")</f>
      </c>
      <c r="CR106" s="7" t="str">
        <f>IF(CR99="FAIL",IF(CR74/CR76*100&lt;CODES!$C$36,"&lt;10% Matrix","&gt;10% Matrix"),"N.A.")</f>
      </c>
      <c r="CS106" s="7" t="str">
        <f>IF(CS99="FAIL",IF(CS74/CS76*100&lt;CODES!$C$36,"&lt;10% Matrix","&gt;10% Matrix"),"N.A.")</f>
      </c>
      <c r="CT106" s="7" t="str">
        <f>IF(CT99="FAIL",IF(CT74/CT76*100&lt;CODES!$C$36,"&lt;10% Matrix","&gt;10% Matrix"),"N.A.")</f>
      </c>
      <c r="CU106" s="7" t="str">
        <f>IF(CU99="FAIL",IF(CU74/CU76*100&lt;CODES!$C$36,"&lt;10% Matrix","&gt;10% Matrix"),"N.A.")</f>
      </c>
      <c r="CV106" s="7" t="str">
        <f>IF(CV99="FAIL",IF(CV74/CV76*100&lt;CODES!$C$36,"&lt;10% Matrix","&gt;10% Matrix"),"N.A.")</f>
      </c>
      <c r="CW106" s="7" t="str">
        <f>IF(CW99="FAIL",IF(CW74/CW76*100&lt;CODES!$C$36,"&lt;10% Matrix","&gt;10% Matrix"),"N.A.")</f>
      </c>
      <c r="CX106" s="7" t="str">
        <f>IF(CX99="FAIL",IF(CX74/CX76*100&lt;CODES!$C$36,"&lt;10% Matrix","&gt;10% Matrix"),"N.A.")</f>
      </c>
      <c r="CY106" s="7" t="str">
        <f>IF(CY99="FAIL",IF(CY74/CY76*100&lt;CODES!$C$36,"&lt;10% Matrix","&gt;10% Matrix"),"N.A.")</f>
      </c>
      <c r="CZ106" s="7" t="str">
        <f>IF(CZ99="FAIL",IF(CZ74/CZ76*100&lt;CODES!$C$36,"&lt;10% Matrix","&gt;10% Matrix"),"N.A.")</f>
      </c>
      <c r="DA106" s="7" t="str">
        <f>IF(DA99="FAIL",IF(DA74/DA76*100&lt;CODES!$C$36,"&lt;10% Matrix","&gt;10% Matrix"),"N.A.")</f>
      </c>
      <c r="DB106" s="7" t="e">
        <f>IF(DB99="FAIL",IF(DB74/DB76*100&lt;CODES!$C$36,"&lt;10% Matrix","&gt;10% Matrix"),"N.A.")</f>
      </c>
      <c r="DC106" s="7" t="e">
        <f>IF(DC99="FAIL",IF(DC74/DC76*100&lt;CODES!$C$36,"&lt;10% Matrix","&gt;10% Matrix"),"N.A.")</f>
      </c>
      <c r="DD106" s="7" t="str">
        <f>IF(DD99="FAIL",IF(DD74/DD76*100&lt;CODES!$C$36,"&lt;10% Matrix","&gt;10% Matrix"),"N.A.")</f>
      </c>
      <c r="DE106" s="7" t="str">
        <f>IF(DE99="FAIL",IF(DE74/DE76*100&lt;CODES!$C$36,"&lt;10% Matrix","&gt;10% Matrix"),"N.A.")</f>
      </c>
      <c r="DF106" s="7" t="str">
        <f>IF(DF99="FAIL",IF(DF74/DF76*100&lt;CODES!$C$36,"&lt;10% Matrix","&gt;10% Matrix"),"N.A.")</f>
      </c>
      <c r="DG106" s="7" t="str">
        <f>IF(DG99="FAIL",IF(DG74/DG76*100&lt;CODES!$C$36,"&lt;10% Matrix","&gt;10% Matrix"),"N.A.")</f>
      </c>
      <c r="DH106" s="7" t="str">
        <f>IF(DH99="FAIL",IF(DH74/DH76*100&lt;CODES!$C$36,"&lt;10% Matrix","&gt;10% Matrix"),"N.A.")</f>
      </c>
      <c r="DI106" s="7" t="str">
        <f>IF(DI99="FAIL",IF(DI74/DI76*100&lt;CODES!$C$36,"&lt;10% Matrix","&gt;10% Matrix"),"N.A.")</f>
      </c>
    </row>
    <row r="107" spans="1:113" x14ac:dyDescent="0.25">
      <c r="A107" s="16" t="str">
        <f t="shared" ref="A107:B107" si="42">A32</f>
      </c>
      <c r="B107" s="16" t="str">
        <f t="shared" si="42"/>
      </c>
      <c r="C107" s="7" t="str">
        <f>IF(C99="FAIL",IF(C74&lt;CODES!$D$36*C39,"&lt;2.2X RL","&gt;2.2X RL"),"N.A.")</f>
      </c>
      <c r="D107" s="7" t="str">
        <f>IF(D99="FAIL",IF(D74&lt;CODES!$D$36*D39,"&lt;2.2X RL","&gt;2.2X RL"),"N.A.")</f>
      </c>
      <c r="E107" s="7" t="str">
        <f>IF(E99="FAIL",IF(E74&lt;CODES!$D$36*E39,"&lt;2.2X RL","&gt;2.2X RL"),"N.A.")</f>
      </c>
      <c r="F107" s="7" t="str">
        <f>IF(F99="FAIL",IF(F74&lt;CODES!$D$36*F39,"&lt;2.2X RL","&gt;2.2X RL"),"N.A.")</f>
      </c>
      <c r="G107" s="7" t="str">
        <f>IF(G99="FAIL",IF(G74&lt;CODES!$D$36*G39,"&lt;2.2X RL","&gt;2.2X RL"),"N.A.")</f>
      </c>
      <c r="H107" s="7" t="str">
        <f>IF(H99="FAIL",IF(H74&lt;CODES!$D$36*H39,"&lt;2.2X RL","&gt;2.2X RL"),"N.A.")</f>
      </c>
      <c r="I107" s="7" t="str">
        <f>IF(I99="FAIL",IF(I74&lt;CODES!$D$36*I39,"&lt;2.2X RL","&gt;2.2X RL"),"N.A.")</f>
      </c>
      <c r="J107" s="7" t="str">
        <f>IF(J99="FAIL",IF(J74&lt;CODES!$D$36*J39,"&lt;2.2X RL","&gt;2.2X RL"),"N.A.")</f>
      </c>
      <c r="K107" s="7" t="str">
        <f>IF(K99="FAIL",IF(K74&lt;CODES!$D$36*K39,"&lt;2.2X RL","&gt;2.2X RL"),"N.A.")</f>
      </c>
      <c r="L107" s="7" t="str">
        <f>IF(L99="FAIL",IF(L74&lt;CODES!$D$36*L39,"&lt;2.2X RL","&gt;2.2X RL"),"N.A.")</f>
      </c>
      <c r="M107" s="7" t="str">
        <f>IF(M99="FAIL",IF(M74&lt;CODES!$D$36*M39,"&lt;2.2X RL","&gt;2.2X RL"),"N.A.")</f>
      </c>
      <c r="N107" s="7" t="e">
        <f>IF(N99="FAIL",IF(N74&lt;CODES!$D$36*N39,"&lt;2.2X RL","&gt;2.2X RL"),"N.A.")</f>
      </c>
      <c r="O107" s="7" t="e">
        <f>IF(O99="FAIL",IF(O74&lt;CODES!$D$36*O39,"&lt;2.2X RL","&gt;2.2X RL"),"N.A.")</f>
      </c>
      <c r="P107" s="7" t="str">
        <f>IF(P99="FAIL",IF(P74&lt;CODES!$D$36*P39,"&lt;2.2X RL","&gt;2.2X RL"),"N.A.")</f>
      </c>
      <c r="Q107" s="7" t="str">
        <f>IF(Q99="FAIL",IF(Q74&lt;CODES!$D$36*Q39,"&lt;2.2X RL","&gt;2.2X RL"),"N.A.")</f>
      </c>
      <c r="R107" s="7" t="str">
        <f>IF(R99="FAIL",IF(R74&lt;CODES!$D$36*R39,"&lt;2.2X RL","&gt;2.2X RL"),"N.A.")</f>
      </c>
      <c r="S107" s="7" t="str">
        <f>IF(S99="FAIL",IF(S74&lt;CODES!$D$36*S39,"&lt;2.2X RL","&gt;2.2X RL"),"N.A.")</f>
      </c>
      <c r="T107" s="7" t="str">
        <f>IF(T99="FAIL",IF(T74&lt;CODES!$D$36*T39,"&lt;2.2X RL","&gt;2.2X RL"),"N.A.")</f>
      </c>
      <c r="U107" s="7" t="str">
        <f>IF(U99="FAIL",IF(U74&lt;CODES!$D$36*U39,"&lt;2.2X RL","&gt;2.2X RL"),"N.A.")</f>
      </c>
      <c r="V107" s="7" t="str">
        <f>IF(V99="FAIL",IF(V74&lt;CODES!$D$36*V39,"&lt;2.2X RL","&gt;2.2X RL"),"N.A.")</f>
      </c>
      <c r="W107" s="7" t="str">
        <f>IF(W99="FAIL",IF(W74&lt;CODES!$D$36*W39,"&lt;2.2X RL","&gt;2.2X RL"),"N.A.")</f>
      </c>
      <c r="X107" s="7" t="str">
        <f>IF(X99="FAIL",IF(X74&lt;CODES!$D$36*X39,"&lt;2.2X RL","&gt;2.2X RL"),"N.A.")</f>
      </c>
      <c r="Y107" s="7" t="str">
        <f>IF(Y99="FAIL",IF(Y74&lt;CODES!$D$36*Y39,"&lt;2.2X RL","&gt;2.2X RL"),"N.A.")</f>
      </c>
      <c r="Z107" s="7" t="str">
        <f>IF(Z99="FAIL",IF(Z74&lt;CODES!$D$36*Z39,"&lt;2.2X RL","&gt;2.2X RL"),"N.A.")</f>
      </c>
      <c r="AA107" s="7" t="str">
        <f>IF(AA99="FAIL",IF(AA74&lt;CODES!$D$36*AA39,"&lt;2.2X RL","&gt;2.2X RL"),"N.A.")</f>
      </c>
      <c r="AB107" s="7" t="str">
        <f>IF(AB99="FAIL",IF(AB74&lt;CODES!$D$36*AB39,"&lt;2.2X RL","&gt;2.2X RL"),"N.A.")</f>
      </c>
      <c r="AC107" s="7" t="str">
        <f>IF(AC99="FAIL",IF(AC74&lt;CODES!$D$36*AC39,"&lt;2.2X RL","&gt;2.2X RL"),"N.A.")</f>
      </c>
      <c r="AD107" s="7" t="str">
        <f>IF(AD99="FAIL",IF(AD74&lt;CODES!$D$36*AD39,"&lt;2.2X RL","&gt;2.2X RL"),"N.A.")</f>
      </c>
      <c r="AE107" s="7" t="str">
        <f>IF(AE99="FAIL",IF(AE74&lt;CODES!$D$36*AE39,"&lt;2.2X RL","&gt;2.2X RL"),"N.A.")</f>
      </c>
      <c r="AF107" s="7" t="str">
        <f>IF(AF99="FAIL",IF(AF74&lt;CODES!$D$36*AF39,"&lt;2.2X RL","&gt;2.2X RL"),"N.A.")</f>
      </c>
      <c r="AG107" s="7" t="str">
        <f>IF(AG99="FAIL",IF(AG74&lt;CODES!$D$36*AG39,"&lt;2.2X RL","&gt;2.2X RL"),"N.A.")</f>
      </c>
      <c r="AH107" s="7" t="str">
        <f>IF(AH99="FAIL",IF(AH74&lt;CODES!$D$36*AH39,"&lt;2.2X RL","&gt;2.2X RL"),"N.A.")</f>
      </c>
      <c r="AI107" s="7" t="str">
        <f>IF(AI99="FAIL",IF(AI74&lt;CODES!$D$36*AI39,"&lt;2.2X RL","&gt;2.2X RL"),"N.A.")</f>
      </c>
      <c r="AJ107" s="7" t="str">
        <f>IF(AJ99="FAIL",IF(AJ74&lt;CODES!$D$36*AJ39,"&lt;2.2X RL","&gt;2.2X RL"),"N.A.")</f>
      </c>
      <c r="AK107" s="7" t="str">
        <f>IF(AK99="FAIL",IF(AK74&lt;CODES!$D$36*AK39,"&lt;2.2X RL","&gt;2.2X RL"),"N.A.")</f>
      </c>
      <c r="AL107" s="7" t="str">
        <f>IF(AL99="FAIL",IF(AL74&lt;CODES!$D$36*AL39,"&lt;2.2X RL","&gt;2.2X RL"),"N.A.")</f>
      </c>
      <c r="AM107" s="7" t="str">
        <f>IF(AM99="FAIL",IF(AM74&lt;CODES!$D$36*AM39,"&lt;2.2X RL","&gt;2.2X RL"),"N.A.")</f>
      </c>
      <c r="AN107" s="7" t="str">
        <f>IF(AN99="FAIL",IF(AN74&lt;CODES!$D$36*AN39,"&lt;2.2X RL","&gt;2.2X RL"),"N.A.")</f>
      </c>
      <c r="AO107" s="7" t="str">
        <f>IF(AO99="FAIL",IF(AO74&lt;CODES!$D$36*AO39,"&lt;2.2X RL","&gt;2.2X RL"),"N.A.")</f>
      </c>
      <c r="AP107" s="7" t="str">
        <f>IF(AP99="FAIL",IF(AP74&lt;CODES!$D$36*AP39,"&lt;2.2X RL","&gt;2.2X RL"),"N.A.")</f>
      </c>
      <c r="AQ107" s="7" t="str">
        <f>IF(AQ99="FAIL",IF(AQ74&lt;CODES!$D$36*AQ39,"&lt;2.2X RL","&gt;2.2X RL"),"N.A.")</f>
      </c>
      <c r="AR107" s="7" t="str">
        <f>IF(AR99="FAIL",IF(AR74&lt;CODES!$D$36*AR39,"&lt;2.2X RL","&gt;2.2X RL"),"N.A.")</f>
      </c>
      <c r="AS107" s="7" t="str">
        <f>IF(AS99="FAIL",IF(AS74&lt;CODES!$D$36*AS39,"&lt;2.2X RL","&gt;2.2X RL"),"N.A.")</f>
      </c>
      <c r="AT107" s="7" t="str">
        <f>IF(AT99="FAIL",IF(AT74&lt;CODES!$D$36*AT39,"&lt;2.2X RL","&gt;2.2X RL"),"N.A.")</f>
      </c>
      <c r="AU107" s="7" t="str">
        <f>IF(AU99="FAIL",IF(AU74&lt;CODES!$D$36*AU39,"&lt;2.2X RL","&gt;2.2X RL"),"N.A.")</f>
      </c>
      <c r="AV107" s="7" t="e">
        <f>IF(AV99="FAIL",IF(AV74&lt;CODES!$D$36*AV39,"&lt;2.2X RL","&gt;2.2X RL"),"N.A.")</f>
      </c>
      <c r="AW107" s="7" t="e">
        <f>IF(AW99="FAIL",IF(AW74&lt;CODES!$D$36*AW39,"&lt;2.2X RL","&gt;2.2X RL"),"N.A.")</f>
      </c>
      <c r="AX107" s="7" t="str">
        <f>IF(AX99="FAIL",IF(AX74&lt;CODES!$D$36*AX39,"&lt;2.2X RL","&gt;2.2X RL"),"N.A.")</f>
      </c>
      <c r="AY107" s="7" t="str">
        <f>IF(AY99="FAIL",IF(AY74&lt;CODES!$D$36*AY39,"&lt;2.2X RL","&gt;2.2X RL"),"N.A.")</f>
      </c>
      <c r="AZ107" s="7" t="str">
        <f>IF(AZ99="FAIL",IF(AZ74&lt;CODES!$D$36*AZ39,"&lt;2.2X RL","&gt;2.2X RL"),"N.A.")</f>
      </c>
      <c r="BA107" s="7" t="str">
        <f>IF(BA99="FAIL",IF(BA74&lt;CODES!$D$36*BA39,"&lt;2.2X RL","&gt;2.2X RL"),"N.A.")</f>
      </c>
      <c r="BB107" s="7" t="str">
        <f>IF(BB99="FAIL",IF(BB74&lt;CODES!$D$36*BB39,"&lt;2.2X RL","&gt;2.2X RL"),"N.A.")</f>
      </c>
      <c r="BC107" s="7" t="str">
        <f>IF(BC99="FAIL",IF(BC74&lt;CODES!$D$36*BC39,"&lt;2.2X RL","&gt;2.2X RL"),"N.A.")</f>
      </c>
      <c r="BD107" s="7" t="str">
        <f>IF(BD99="FAIL",IF(BD74&lt;CODES!$D$36*BD39,"&lt;2.2X RL","&gt;2.2X RL"),"N.A.")</f>
      </c>
      <c r="BE107" s="7" t="str">
        <f>IF(BE99="FAIL",IF(BE74&lt;CODES!$D$36*BE39,"&lt;2.2X RL","&gt;2.2X RL"),"N.A.")</f>
      </c>
      <c r="BF107" s="7" t="str">
        <f>IF(BF99="FAIL",IF(BF74&lt;CODES!$D$36*BF39,"&lt;2.2X RL","&gt;2.2X RL"),"N.A.")</f>
      </c>
      <c r="BG107" s="7" t="str">
        <f>IF(BG99="FAIL",IF(BG74&lt;CODES!$D$36*BG39,"&lt;2.2X RL","&gt;2.2X RL"),"N.A.")</f>
      </c>
      <c r="BH107" s="7" t="str">
        <f>IF(BH99="FAIL",IF(BH74&lt;CODES!$D$36*BH39,"&lt;2.2X RL","&gt;2.2X RL"),"N.A.")</f>
      </c>
      <c r="BI107" s="7" t="str">
        <f>IF(BI99="FAIL",IF(BI74&lt;CODES!$D$36*BI39,"&lt;2.2X RL","&gt;2.2X RL"),"N.A.")</f>
      </c>
      <c r="BJ107" s="7" t="str">
        <f>IF(BJ99="FAIL",IF(BJ74&lt;CODES!$D$36*BJ39,"&lt;2.2X RL","&gt;2.2X RL"),"N.A.")</f>
      </c>
      <c r="BK107" s="7" t="str">
        <f>IF(BK99="FAIL",IF(BK74&lt;CODES!$D$36*BK39,"&lt;2.2X RL","&gt;2.2X RL"),"N.A.")</f>
      </c>
      <c r="BL107" s="7" t="str">
        <f>IF(BL99="FAIL",IF(BL74&lt;CODES!$D$36*BL39,"&lt;2.2X RL","&gt;2.2X RL"),"N.A.")</f>
      </c>
      <c r="BM107" s="7" t="str">
        <f>IF(BM99="FAIL",IF(BM74&lt;CODES!$D$36*BM39,"&lt;2.2X RL","&gt;2.2X RL"),"N.A.")</f>
      </c>
      <c r="BN107" s="7" t="str">
        <f>IF(BN99="FAIL",IF(BN74&lt;CODES!$D$36*BN39,"&lt;2.2X RL","&gt;2.2X RL"),"N.A.")</f>
      </c>
      <c r="BO107" s="7" t="e">
        <f>IF(BO99="FAIL",IF(BO74&lt;CODES!$D$36*BO39,"&lt;2.2X RL","&gt;2.2X RL"),"N.A.")</f>
      </c>
      <c r="BP107" s="7" t="str">
        <f>IF(BP99="FAIL",IF(BP74&lt;CODES!$D$36*BP39,"&lt;2.2X RL","&gt;2.2X RL"),"N.A.")</f>
      </c>
      <c r="BQ107" s="7" t="str">
        <f>IF(BQ99="FAIL",IF(BQ74&lt;CODES!$D$36*BQ39,"&lt;2.2X RL","&gt;2.2X RL"),"N.A.")</f>
      </c>
      <c r="BR107" s="7" t="str">
        <f>IF(BR99="FAIL",IF(BR74&lt;CODES!$D$36*BR39,"&lt;2.2X RL","&gt;2.2X RL"),"N.A.")</f>
      </c>
      <c r="BS107" s="7" t="str">
        <f>IF(BS99="FAIL",IF(BS74&lt;CODES!$D$36*BS39,"&lt;2.2X RL","&gt;2.2X RL"),"N.A.")</f>
      </c>
      <c r="BT107" s="7" t="str">
        <f>IF(BT99="FAIL",IF(BT74&lt;CODES!$D$36*BT39,"&lt;2.2X RL","&gt;2.2X RL"),"N.A.")</f>
      </c>
      <c r="BU107" s="7" t="str">
        <f>IF(BU99="FAIL",IF(BU74&lt;CODES!$D$36*BU39,"&lt;2.2X RL","&gt;2.2X RL"),"N.A.")</f>
      </c>
      <c r="BV107" s="7" t="str">
        <f>IF(BV99="FAIL",IF(BV74&lt;CODES!$D$36*BV39,"&lt;2.2X RL","&gt;2.2X RL"),"N.A.")</f>
      </c>
      <c r="BW107" s="7" t="e">
        <f>IF(BW99="FAIL",IF(BW74&lt;CODES!$D$36*BW39,"&lt;2.2X RL","&gt;2.2X RL"),"N.A.")</f>
      </c>
      <c r="BX107" s="7" t="e">
        <f>IF(BX99="FAIL",IF(BX74&lt;CODES!$D$36*BX39,"&lt;2.2X RL","&gt;2.2X RL"),"N.A.")</f>
      </c>
      <c r="BY107" s="7" t="str">
        <f>IF(BY99="FAIL",IF(BY74&lt;CODES!$D$36*BY39,"&lt;2.2X RL","&gt;2.2X RL"),"N.A.")</f>
      </c>
      <c r="BZ107" s="7" t="str">
        <f>IF(BZ99="FAIL",IF(BZ74&lt;CODES!$D$36*BZ39,"&lt;2.2X RL","&gt;2.2X RL"),"N.A.")</f>
      </c>
      <c r="CA107" s="7" t="str">
        <f>IF(CA99="FAIL",IF(CA74&lt;CODES!$D$36*CA39,"&lt;2.2X RL","&gt;2.2X RL"),"N.A.")</f>
      </c>
      <c r="CB107" s="7" t="str">
        <f>IF(CB99="FAIL",IF(CB74&lt;CODES!$D$36*CB39,"&lt;2.2X RL","&gt;2.2X RL"),"N.A.")</f>
      </c>
      <c r="CC107" s="7" t="str">
        <f>IF(CC99="FAIL",IF(CC74&lt;CODES!$D$36*CC39,"&lt;2.2X RL","&gt;2.2X RL"),"N.A.")</f>
      </c>
      <c r="CD107" s="7" t="str">
        <f>IF(CD99="FAIL",IF(CD74&lt;CODES!$D$36*CD39,"&lt;2.2X RL","&gt;2.2X RL"),"N.A.")</f>
      </c>
      <c r="CE107" s="7" t="str">
        <f>IF(CE99="FAIL",IF(CE74&lt;CODES!$D$36*CE39,"&lt;2.2X RL","&gt;2.2X RL"),"N.A.")</f>
      </c>
      <c r="CF107" s="7" t="str">
        <f>IF(CF99="FAIL",IF(CF74&lt;CODES!$D$36*CF39,"&lt;2.2X RL","&gt;2.2X RL"),"N.A.")</f>
      </c>
      <c r="CG107" s="7" t="str">
        <f>IF(CG99="FAIL",IF(CG74&lt;CODES!$D$36*CG39,"&lt;2.2X RL","&gt;2.2X RL"),"N.A.")</f>
      </c>
      <c r="CH107" s="7" t="str">
        <f>IF(CH99="FAIL",IF(CH74&lt;CODES!$D$36*CH39,"&lt;2.2X RL","&gt;2.2X RL"),"N.A.")</f>
      </c>
      <c r="CI107" s="7" t="str">
        <f>IF(CI99="FAIL",IF(CI74&lt;CODES!$D$36*CI39,"&lt;2.2X RL","&gt;2.2X RL"),"N.A.")</f>
      </c>
      <c r="CJ107" s="7" t="str">
        <f>IF(CJ99="FAIL",IF(CJ74&lt;CODES!$D$36*CJ39,"&lt;2.2X RL","&gt;2.2X RL"),"N.A.")</f>
      </c>
      <c r="CK107" s="7" t="str">
        <f>IF(CK99="FAIL",IF(CK74&lt;CODES!$D$36*CK39,"&lt;2.2X RL","&gt;2.2X RL"),"N.A.")</f>
      </c>
      <c r="CL107" s="7" t="str">
        <f>IF(CL99="FAIL",IF(CL74&lt;CODES!$D$36*CL39,"&lt;2.2X RL","&gt;2.2X RL"),"N.A.")</f>
      </c>
      <c r="CM107" s="7" t="str">
        <f>IF(CM99="FAIL",IF(CM74&lt;CODES!$D$36*CM39,"&lt;2.2X RL","&gt;2.2X RL"),"N.A.")</f>
      </c>
      <c r="CN107" s="7" t="str">
        <f>IF(CN99="FAIL",IF(CN74&lt;CODES!$D$36*CN39,"&lt;2.2X RL","&gt;2.2X RL"),"N.A.")</f>
      </c>
      <c r="CO107" s="7" t="str">
        <f>IF(CO99="FAIL",IF(CO74&lt;CODES!$D$36*CO39,"&lt;2.2X RL","&gt;2.2X RL"),"N.A.")</f>
      </c>
      <c r="CP107" s="7" t="str">
        <f>IF(CP99="FAIL",IF(CP74&lt;CODES!$D$36*CP39,"&lt;2.2X RL","&gt;2.2X RL"),"N.A.")</f>
      </c>
      <c r="CQ107" s="7" t="str">
        <f>IF(CQ99="FAIL",IF(CQ74&lt;CODES!$D$36*CQ39,"&lt;2.2X RL","&gt;2.2X RL"),"N.A.")</f>
      </c>
      <c r="CR107" s="7" t="str">
        <f>IF(CR99="FAIL",IF(CR74&lt;CODES!$D$36*CR39,"&lt;2.2X RL","&gt;2.2X RL"),"N.A.")</f>
      </c>
      <c r="CS107" s="7" t="str">
        <f>IF(CS99="FAIL",IF(CS74&lt;CODES!$D$36*CS39,"&lt;2.2X RL","&gt;2.2X RL"),"N.A.")</f>
      </c>
      <c r="CT107" s="7" t="str">
        <f>IF(CT99="FAIL",IF(CT74&lt;CODES!$D$36*CT39,"&lt;2.2X RL","&gt;2.2X RL"),"N.A.")</f>
      </c>
      <c r="CU107" s="7" t="str">
        <f>IF(CU99="FAIL",IF(CU74&lt;CODES!$D$36*CU39,"&lt;2.2X RL","&gt;2.2X RL"),"N.A.")</f>
      </c>
      <c r="CV107" s="7" t="str">
        <f>IF(CV99="FAIL",IF(CV74&lt;CODES!$D$36*CV39,"&lt;2.2X RL","&gt;2.2X RL"),"N.A.")</f>
      </c>
      <c r="CW107" s="7" t="str">
        <f>IF(CW99="FAIL",IF(CW74&lt;CODES!$D$36*CW39,"&lt;2.2X RL","&gt;2.2X RL"),"N.A.")</f>
      </c>
      <c r="CX107" s="7" t="str">
        <f>IF(CX99="FAIL",IF(CX74&lt;CODES!$D$36*CX39,"&lt;2.2X RL","&gt;2.2X RL"),"N.A.")</f>
      </c>
      <c r="CY107" s="7" t="str">
        <f>IF(CY99="FAIL",IF(CY74&lt;CODES!$D$36*CY39,"&lt;2.2X RL","&gt;2.2X RL"),"N.A.")</f>
      </c>
      <c r="CZ107" s="7" t="str">
        <f>IF(CZ99="FAIL",IF(CZ74&lt;CODES!$D$36*CZ39,"&lt;2.2X RL","&gt;2.2X RL"),"N.A.")</f>
      </c>
      <c r="DA107" s="7" t="str">
        <f>IF(DA99="FAIL",IF(DA74&lt;CODES!$D$36*DA39,"&lt;2.2X RL","&gt;2.2X RL"),"N.A.")</f>
      </c>
      <c r="DB107" s="7" t="e">
        <f>IF(DB99="FAIL",IF(DB74&lt;CODES!$D$36*DB39,"&lt;2.2X RL","&gt;2.2X RL"),"N.A.")</f>
      </c>
      <c r="DC107" s="7" t="e">
        <f>IF(DC99="FAIL",IF(DC74&lt;CODES!$D$36*DC39,"&lt;2.2X RL","&gt;2.2X RL"),"N.A.")</f>
      </c>
      <c r="DD107" s="7" t="str">
        <f>IF(DD99="FAIL",IF(DD74&lt;CODES!$D$36*DD39,"&lt;2.2X RL","&gt;2.2X RL"),"N.A.")</f>
      </c>
      <c r="DE107" s="7" t="str">
        <f>IF(DE99="FAIL",IF(DE74&lt;CODES!$D$36*DE39,"&lt;2.2X RL","&gt;2.2X RL"),"N.A.")</f>
      </c>
      <c r="DF107" s="7" t="str">
        <f>IF(DF99="FAIL",IF(DF74&lt;CODES!$D$36*DF39,"&lt;2.2X RL","&gt;2.2X RL"),"N.A.")</f>
      </c>
      <c r="DG107" s="7" t="str">
        <f>IF(DG99="FAIL",IF(DG74&lt;CODES!$D$36*DG39,"&lt;2.2X RL","&gt;2.2X RL"),"N.A.")</f>
      </c>
      <c r="DH107" s="7" t="str">
        <f>IF(DH99="FAIL",IF(DH74&lt;CODES!$D$36*DH39,"&lt;2.2X RL","&gt;2.2X RL"),"N.A.")</f>
      </c>
      <c r="DI107" s="7" t="str">
        <f>IF(DI99="FAIL",IF(DI74&lt;CODES!$D$36*DI39,"&lt;2.2X RL","&gt;2.2X RL"),"N.A.")</f>
      </c>
    </row>
    <row r="108" spans="1:113" x14ac:dyDescent="0.25">
      <c r="A108" s="16" t="str">
        <f t="shared" ref="A108:B108" si="43">A33</f>
      </c>
      <c r="B108" s="16" t="str">
        <f t="shared" si="43"/>
      </c>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row>
    <row r="109" spans="1:113" x14ac:dyDescent="0.25">
      <c r="A109" s="16" t="str">
        <f t="shared" ref="A109:B109" si="44">A34</f>
      </c>
      <c r="B109" s="16" t="str">
        <f t="shared" si="44"/>
      </c>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row>
    <row r="110" spans="1:113" x14ac:dyDescent="0.25">
      <c r="A110" s="16" t="str">
        <f t="shared" ref="A110:B110" si="45">A35</f>
      </c>
      <c r="B110" s="16" t="str">
        <f t="shared" si="45"/>
      </c>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row>
    <row r="111" spans="1:113" x14ac:dyDescent="0.25">
      <c r="A111" s="16" t="str">
        <f t="shared" ref="A111:B111" si="46">A36</f>
      </c>
      <c r="B111" s="16" t="str">
        <f t="shared" si="46"/>
      </c>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row>
    <row r="112" spans="1:113" x14ac:dyDescent="0.25">
      <c r="A112" s="16" t="str">
        <f t="shared" ref="A112:B112" si="47">A37</f>
      </c>
      <c r="B112" s="16" t="str">
        <f t="shared" si="47"/>
      </c>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row>
    <row r="113" spans="1:113" x14ac:dyDescent="0.25">
      <c r="A113" s="16" t="str">
        <f t="shared" ref="A113:B113" si="48">A38</f>
      </c>
      <c r="B113" s="16" t="str">
        <f t="shared" si="48"/>
      </c>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row>
    <row r="114" spans="1:113" x14ac:dyDescent="0.25">
      <c r="A114" s="60" t="s">
        <v>335</v>
      </c>
    </row>
  </sheetData>
  <sheetProtection formatCells="0"/>
  <protectedRanges>
    <protectedRange sqref="B6 B9:B14 B19:DI30" name="Range1"/>
  </protectedRanges>
  <mergeCells count="4">
    <mergeCell ref="A17:B17"/>
    <mergeCell ref="A44:B44"/>
    <mergeCell ref="A94:B94"/>
    <mergeCell ref="A69:B69"/>
  </mergeCells>
  <phoneticPr fontId="3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56268-C6C1-4CC7-AE0E-89FF146E13B0}">
  <dimension ref="A1:R116"/>
  <sheetViews>
    <sheetView tabSelected="1" topLeftCell="H61" zoomScale="85" zoomScaleNormal="85" workbookViewId="0">
      <selection activeCell="P120" sqref="P120"/>
    </sheetView>
  </sheetViews>
  <sheetFormatPr defaultRowHeight="15" x14ac:dyDescent="0.25"/>
  <cols>
    <col min="2" max="2" width="18.7109375" customWidth="1"/>
    <col min="3" max="3" width="9.85546875" customWidth="1"/>
    <col min="4" max="4" width="52.140625" style="19" customWidth="1"/>
    <col min="5" max="5" width="35.85546875" style="19" customWidth="1"/>
    <col min="6" max="6" width="29.28515625" style="19" customWidth="1"/>
    <col min="7" max="7" width="36.42578125" style="19" customWidth="1"/>
    <col min="8" max="8" width="23.42578125" style="19" customWidth="1"/>
    <col min="9" max="9" width="48.5703125" style="19" customWidth="1"/>
    <col min="10" max="11" width="23.42578125" style="19" customWidth="1"/>
    <col min="12" max="12" width="38.42578125" style="19" customWidth="1"/>
    <col min="13" max="13" width="23.42578125" style="19" customWidth="1"/>
    <col min="14" max="14" width="31.7109375" style="19" customWidth="1"/>
    <col min="15" max="15" width="28.140625" style="19" customWidth="1"/>
    <col min="16" max="16" width="74.85546875" customWidth="1"/>
    <col min="18" max="18" width="50.7109375" customWidth="1"/>
  </cols>
  <sheetData>
    <row r="1" spans="1:15" x14ac:dyDescent="0.25">
      <c r="A1" s="26" t="s">
        <v>322</v>
      </c>
    </row>
    <row r="2" spans="1:15" x14ac:dyDescent="0.25">
      <c r="A2" s="9"/>
    </row>
    <row r="3" spans="1:15" x14ac:dyDescent="0.25">
      <c r="A3" s="2" t="str">
        <f>INSTRUCTIONS!A3</f>
      </c>
    </row>
    <row r="5" spans="1:15" x14ac:dyDescent="0.25">
      <c r="B5" s="49" t="str">
        <f>"BATCH "&amp;BATCH!B4</f>
      </c>
    </row>
    <row r="6" spans="1:15" x14ac:dyDescent="0.25">
      <c r="B6" s="24"/>
      <c r="C6" s="24"/>
      <c r="D6" s="25"/>
      <c r="E6" s="25"/>
      <c r="F6" s="25"/>
      <c r="G6" s="25"/>
      <c r="H6" s="25"/>
      <c r="I6" s="25"/>
      <c r="J6" s="25"/>
      <c r="K6" s="25"/>
      <c r="L6" s="25"/>
      <c r="M6" s="25"/>
      <c r="N6" s="25"/>
      <c r="O6" s="25"/>
    </row>
    <row r="7" spans="1:15" x14ac:dyDescent="0.25">
      <c r="B7" s="20" t="s">
        <v>138</v>
      </c>
      <c r="C7" s="21" t="s">
        <v>137</v>
      </c>
      <c r="D7" s="21" t="str" cm="1">
        <f t="array" ref="D7:O7">TRANSPOSE(BATCH!A96:A107)</f>
      </c>
      <c r="E7" s="21" t="str">
        <v>IPC CCV5 after Calibration</v>
      </c>
      <c r="F7" s="21" t="str">
        <v>IPC CCV5 after Batch</v>
      </c>
      <c r="G7" s="21" t="str">
        <v>Digest Method Blank (LRB)</v>
      </c>
      <c r="H7" s="21" t="str">
        <v>Digest LFB</v>
      </c>
      <c r="I7" s="21" t="str">
        <v>SAMPLE DUPLICATE, RPD Calculated</v>
      </c>
      <c r="J7" s="21" t="str">
        <v>LFM Spike</v>
      </c>
      <c r="K7" s="21" t="str">
        <v>Instrument LFB</v>
      </c>
      <c r="L7" s="21" t="str">
        <v>Instrument Interference Check</v>
      </c>
      <c r="M7" s="21" t="str">
        <v>Instrument ICV</v>
      </c>
      <c r="N7" s="21" t="str">
        <v>Digest Method Blank Comparison to Sample Matrix</v>
      </c>
      <c r="O7" s="21" t="str">
        <v>Digest Method Blank Comparison to 2.2X RL</v>
      </c>
    </row>
    <row r="8" spans="1:15" x14ac:dyDescent="0.25">
      <c r="B8" s="21" t="s">
        <v>174</v>
      </c>
      <c r="C8" s="21" t="str">
        <f>CODES!$A$17</f>
      </c>
      <c r="D8" s="21" t="str" cm="1">
        <f t="array" ref="D8:O8">TRANSPOSE(BATCH!C96:C107)</f>
      </c>
      <c r="E8" s="29"/>
      <c r="F8" s="29"/>
      <c r="G8" s="29"/>
      <c r="H8" s="29"/>
      <c r="I8" s="27"/>
      <c r="J8" s="29"/>
      <c r="K8" s="29"/>
      <c r="L8" s="29"/>
      <c r="M8" s="29"/>
      <c r="N8" s="21"/>
      <c r="O8" s="21"/>
    </row>
    <row r="9" spans="1:15" x14ac:dyDescent="0.25">
      <c r="B9" s="21" t="s">
        <v>139</v>
      </c>
      <c r="C9" s="21" t="str">
        <f>CODES!$A$17</f>
      </c>
      <c r="D9" s="21" t="str" cm="1">
        <f t="array" ref="D9:O9">TRANSPOSE(BATCH!E96:E107)</f>
      </c>
      <c r="E9" s="29"/>
      <c r="F9" s="29"/>
      <c r="G9" s="29"/>
      <c r="H9" s="29"/>
      <c r="I9" s="27"/>
      <c r="J9" s="29"/>
      <c r="K9" s="29"/>
      <c r="L9" s="29"/>
      <c r="M9" s="29"/>
      <c r="N9" s="21"/>
      <c r="O9" s="21"/>
    </row>
    <row r="10" spans="1:15" s="32" customFormat="1" x14ac:dyDescent="0.25">
      <c r="B10" s="28" t="s">
        <v>140</v>
      </c>
      <c r="C10" s="21" t="str">
        <f>CODES!$A$17</f>
      </c>
      <c r="D10" s="21" t="str" cm="1">
        <f t="array" ref="D10:O10">TRANSPOSE(BATCH!F96:F107)</f>
      </c>
      <c r="E10" s="29"/>
      <c r="F10" s="29"/>
      <c r="G10" s="29"/>
      <c r="H10" s="29"/>
      <c r="I10" s="27"/>
      <c r="J10" s="29"/>
      <c r="K10" s="29"/>
      <c r="L10" s="29"/>
      <c r="M10" s="29"/>
      <c r="N10" s="21"/>
      <c r="O10" s="21"/>
    </row>
    <row r="11" spans="1:15" x14ac:dyDescent="0.25">
      <c r="B11" s="21" t="s">
        <v>141</v>
      </c>
      <c r="C11" s="21" t="str">
        <f>CODES!$A$17</f>
      </c>
      <c r="D11" s="21" t="str" cm="1">
        <f t="array" ref="D11:O11">TRANSPOSE(BATCH!I96:I107)</f>
      </c>
      <c r="E11" s="29"/>
      <c r="F11" s="29"/>
      <c r="G11" s="29"/>
      <c r="H11" s="29"/>
      <c r="I11" s="27"/>
      <c r="J11" s="29"/>
      <c r="K11" s="29"/>
      <c r="L11" s="29"/>
      <c r="M11" s="29"/>
      <c r="N11" s="21"/>
      <c r="O11" s="21"/>
    </row>
    <row r="12" spans="1:15" x14ac:dyDescent="0.25">
      <c r="B12" s="21" t="s">
        <v>142</v>
      </c>
      <c r="C12" s="21" t="str">
        <f>CODES!$A$17</f>
      </c>
      <c r="D12" s="21" t="str" cm="1">
        <f t="array" ref="D12:O12">TRANSPOSE(BATCH!K96:K107)</f>
      </c>
      <c r="E12" s="29"/>
      <c r="F12" s="29"/>
      <c r="G12" s="29"/>
      <c r="H12" s="29"/>
      <c r="I12" s="27"/>
      <c r="J12" s="29"/>
      <c r="K12" s="29"/>
      <c r="L12" s="29"/>
      <c r="M12" s="29"/>
      <c r="N12" s="21"/>
      <c r="O12" s="21"/>
    </row>
    <row r="13" spans="1:15" x14ac:dyDescent="0.25">
      <c r="B13" s="21" t="s">
        <v>169</v>
      </c>
      <c r="C13" s="21" t="str">
        <f>CODES!$A$17</f>
      </c>
      <c r="D13" s="21" t="str" cm="1">
        <f t="array" ref="D13:O13">TRANSPOSE(BATCH!M96:M107)</f>
      </c>
      <c r="E13" s="29"/>
      <c r="F13" s="29"/>
      <c r="G13" s="29"/>
      <c r="H13" s="29"/>
      <c r="I13" s="27"/>
      <c r="J13" s="29"/>
      <c r="K13" s="29"/>
      <c r="L13" s="29"/>
      <c r="M13" s="29"/>
      <c r="N13" s="21"/>
      <c r="O13" s="21"/>
    </row>
    <row r="14" spans="1:15" x14ac:dyDescent="0.25">
      <c r="B14" s="21" t="s">
        <v>143</v>
      </c>
      <c r="C14" s="21" t="str">
        <f>CODES!$A$17</f>
      </c>
      <c r="D14" s="21" t="str" cm="1">
        <f t="array" ref="D14:O14">TRANSPOSE(BATCH!P96:P107)</f>
      </c>
      <c r="E14" s="29"/>
      <c r="F14" s="29"/>
      <c r="G14" s="29"/>
      <c r="H14" s="29"/>
      <c r="I14" s="27"/>
      <c r="J14" s="29"/>
      <c r="K14" s="29"/>
      <c r="L14" s="29"/>
      <c r="M14" s="29"/>
      <c r="N14" s="21"/>
      <c r="O14" s="21"/>
    </row>
    <row r="15" spans="1:15" x14ac:dyDescent="0.25">
      <c r="B15" s="21" t="s">
        <v>144</v>
      </c>
      <c r="C15" s="21" t="str">
        <f>CODES!$A$17</f>
      </c>
      <c r="D15" s="21" t="str" cm="1">
        <f t="array" ref="D15:O15">TRANSPOSE(BATCH!R96:R107)</f>
      </c>
      <c r="E15" s="29"/>
      <c r="F15" s="29"/>
      <c r="G15" s="29"/>
      <c r="H15" s="29"/>
      <c r="I15" s="27"/>
      <c r="J15" s="29"/>
      <c r="K15" s="29"/>
      <c r="L15" s="29"/>
      <c r="M15" s="29"/>
      <c r="N15" s="21"/>
      <c r="O15" s="21"/>
    </row>
    <row r="16" spans="1:15" x14ac:dyDescent="0.25">
      <c r="B16" s="21" t="s">
        <v>175</v>
      </c>
      <c r="C16" s="21" t="str">
        <f>CODES!$A$17</f>
      </c>
      <c r="D16" s="21" t="str" cm="1">
        <f t="array" ref="D16:O16">TRANSPOSE(BATCH!T96:T107)</f>
      </c>
      <c r="E16" s="29"/>
      <c r="F16" s="29"/>
      <c r="G16" s="29"/>
      <c r="H16" s="29"/>
      <c r="I16" s="27"/>
      <c r="J16" s="29"/>
      <c r="K16" s="29"/>
      <c r="L16" s="29"/>
      <c r="M16" s="29"/>
      <c r="N16" s="21"/>
      <c r="O16" s="21"/>
    </row>
    <row r="17" spans="2:15" x14ac:dyDescent="0.25">
      <c r="B17" s="21" t="s">
        <v>145</v>
      </c>
      <c r="C17" s="21" t="str">
        <f>CODES!$A$17</f>
      </c>
      <c r="D17" s="21" t="str" cm="1">
        <f t="array" ref="D17:O17">TRANSPOSE(BATCH!V96:V107)</f>
      </c>
      <c r="E17" s="29"/>
      <c r="F17" s="29"/>
      <c r="G17" s="29"/>
      <c r="H17" s="29"/>
      <c r="I17" s="27"/>
      <c r="J17" s="29"/>
      <c r="K17" s="29"/>
      <c r="L17" s="29"/>
      <c r="M17" s="29"/>
      <c r="N17" s="21"/>
      <c r="O17" s="21"/>
    </row>
    <row r="18" spans="2:15" x14ac:dyDescent="0.25">
      <c r="B18" s="21" t="s">
        <v>146</v>
      </c>
      <c r="C18" s="21" t="str">
        <f>CODES!$A$17</f>
      </c>
      <c r="D18" s="21" t="str" cm="1">
        <f t="array" ref="D18:O18">TRANSPOSE(BATCH!Y96:Y107)</f>
      </c>
      <c r="E18" s="29"/>
      <c r="F18" s="29"/>
      <c r="G18" s="29"/>
      <c r="H18" s="29"/>
      <c r="I18" s="27"/>
      <c r="J18" s="29"/>
      <c r="K18" s="29"/>
      <c r="L18" s="29"/>
      <c r="M18" s="29"/>
      <c r="N18" s="21"/>
      <c r="O18" s="21"/>
    </row>
    <row r="19" spans="2:15" x14ac:dyDescent="0.25">
      <c r="B19" s="21" t="s">
        <v>147</v>
      </c>
      <c r="C19" s="21" t="str">
        <f>CODES!$A$17</f>
      </c>
      <c r="D19" s="21" t="str" cm="1">
        <f t="array" ref="D19:O19">TRANSPOSE(BATCH!Z96:Z107)</f>
      </c>
      <c r="E19" s="29"/>
      <c r="F19" s="29"/>
      <c r="G19" s="29"/>
      <c r="H19" s="29"/>
      <c r="I19" s="27"/>
      <c r="J19" s="29"/>
      <c r="K19" s="29"/>
      <c r="L19" s="29"/>
      <c r="M19" s="29"/>
      <c r="N19" s="21"/>
      <c r="O19" s="21"/>
    </row>
    <row r="20" spans="2:15" x14ac:dyDescent="0.25">
      <c r="B20" s="21" t="s">
        <v>176</v>
      </c>
      <c r="C20" s="21" t="str">
        <f>CODES!$A$17</f>
      </c>
      <c r="D20" s="21" t="str" cm="1">
        <f t="array" ref="D20:O20">TRANSPOSE(BATCH!AB96:AB107)</f>
      </c>
      <c r="E20" s="29"/>
      <c r="F20" s="29"/>
      <c r="G20" s="29"/>
      <c r="H20" s="29"/>
      <c r="I20" s="27"/>
      <c r="J20" s="29"/>
      <c r="K20" s="29"/>
      <c r="L20" s="29"/>
      <c r="M20" s="29"/>
      <c r="N20" s="21"/>
      <c r="O20" s="21"/>
    </row>
    <row r="21" spans="2:15" x14ac:dyDescent="0.25">
      <c r="B21" s="21" t="s">
        <v>177</v>
      </c>
      <c r="C21" s="21" t="str">
        <f>CODES!$A$17</f>
      </c>
      <c r="D21" s="21" t="str" cm="1">
        <f t="array" ref="D21:O21">TRANSPOSE(BATCH!AD96:AD107)</f>
      </c>
      <c r="E21" s="29"/>
      <c r="F21" s="29"/>
      <c r="G21" s="29"/>
      <c r="H21" s="29"/>
      <c r="I21" s="27"/>
      <c r="J21" s="29"/>
      <c r="K21" s="29"/>
      <c r="L21" s="29"/>
      <c r="M21" s="29"/>
      <c r="N21" s="21"/>
      <c r="O21" s="21"/>
    </row>
    <row r="22" spans="2:15" x14ac:dyDescent="0.25">
      <c r="B22" s="21" t="s">
        <v>178</v>
      </c>
      <c r="C22" s="21" t="str">
        <f>CODES!$A$17</f>
      </c>
      <c r="D22" s="21" t="str" cm="1">
        <f t="array" ref="D22:O22">TRANSPOSE(BATCH!AF96:AF107)</f>
      </c>
      <c r="E22" s="29"/>
      <c r="F22" s="29"/>
      <c r="G22" s="29"/>
      <c r="H22" s="29"/>
      <c r="I22" s="27"/>
      <c r="J22" s="29"/>
      <c r="K22" s="29"/>
      <c r="L22" s="29"/>
      <c r="M22" s="29"/>
      <c r="N22" s="21"/>
      <c r="O22" s="21"/>
    </row>
    <row r="23" spans="2:15" x14ac:dyDescent="0.25">
      <c r="B23" s="21" t="s">
        <v>148</v>
      </c>
      <c r="C23" s="21" t="str">
        <f>CODES!$A$17</f>
      </c>
      <c r="D23" s="21" t="str" cm="1">
        <f t="array" ref="D23:O23">TRANSPOSE(BATCH!AH96:AH107)</f>
      </c>
      <c r="E23" s="29"/>
      <c r="F23" s="29"/>
      <c r="G23" s="29"/>
      <c r="H23" s="29"/>
      <c r="I23" s="27"/>
      <c r="J23" s="29"/>
      <c r="K23" s="29"/>
      <c r="L23" s="29"/>
      <c r="M23" s="29"/>
      <c r="N23" s="21"/>
      <c r="O23" s="21"/>
    </row>
    <row r="24" spans="2:15" x14ac:dyDescent="0.25">
      <c r="B24" s="21" t="s">
        <v>179</v>
      </c>
      <c r="C24" s="21" t="str">
        <f>CODES!$A$17</f>
      </c>
      <c r="D24" s="21" t="str" cm="1">
        <f t="array" ref="D24:O24">TRANSPOSE(BATCH!AI96:AI107)</f>
      </c>
      <c r="E24" s="29"/>
      <c r="F24" s="29"/>
      <c r="G24" s="29"/>
      <c r="H24" s="29"/>
      <c r="I24" s="27"/>
      <c r="J24" s="29"/>
      <c r="K24" s="29"/>
      <c r="L24" s="29"/>
      <c r="M24" s="29"/>
      <c r="N24" s="21"/>
      <c r="O24" s="21"/>
    </row>
    <row r="25" spans="2:15" x14ac:dyDescent="0.25">
      <c r="B25" s="21" t="s">
        <v>180</v>
      </c>
      <c r="C25" s="21" t="str">
        <f>CODES!$A$17</f>
      </c>
      <c r="D25" s="21" t="str" cm="1">
        <f t="array" ref="D25:O25">TRANSPOSE(BATCH!AL96:AL107)</f>
      </c>
      <c r="E25" s="29"/>
      <c r="F25" s="29"/>
      <c r="G25" s="29"/>
      <c r="H25" s="29"/>
      <c r="I25" s="27"/>
      <c r="J25" s="29"/>
      <c r="K25" s="29"/>
      <c r="L25" s="29"/>
      <c r="M25" s="29"/>
      <c r="N25" s="21"/>
      <c r="O25" s="21"/>
    </row>
    <row r="26" spans="2:15" x14ac:dyDescent="0.25">
      <c r="B26" s="21" t="s">
        <v>181</v>
      </c>
      <c r="C26" s="21" t="str">
        <f>CODES!$A$17</f>
      </c>
      <c r="D26" s="21" t="str" cm="1">
        <f t="array" ref="D26:O26">TRANSPOSE(BATCH!AN96:AN107)</f>
      </c>
      <c r="E26" s="29"/>
      <c r="F26" s="29"/>
      <c r="G26" s="29"/>
      <c r="H26" s="29"/>
      <c r="I26" s="27"/>
      <c r="J26" s="29"/>
      <c r="K26" s="29"/>
      <c r="L26" s="29"/>
      <c r="M26" s="29"/>
      <c r="N26" s="21"/>
      <c r="O26" s="21"/>
    </row>
    <row r="27" spans="2:15" x14ac:dyDescent="0.25">
      <c r="B27" s="21" t="s">
        <v>149</v>
      </c>
      <c r="C27" s="21" t="str">
        <f>CODES!$A$16</f>
      </c>
      <c r="D27" s="21" t="str" cm="1">
        <f t="array" ref="D27:O27">TRANSPOSE(BATCH!AP96:AP107)</f>
      </c>
      <c r="E27" s="29"/>
      <c r="F27" s="29"/>
      <c r="G27" s="29"/>
      <c r="H27" s="29"/>
      <c r="I27" s="27"/>
      <c r="J27" s="29"/>
      <c r="K27" s="29"/>
      <c r="L27" s="29"/>
      <c r="M27" s="29"/>
      <c r="N27" s="21"/>
      <c r="O27" s="21"/>
    </row>
    <row r="28" spans="2:15" x14ac:dyDescent="0.25">
      <c r="B28" s="21" t="s">
        <v>182</v>
      </c>
      <c r="C28" s="21" t="str">
        <f>CODES!$A$17</f>
      </c>
      <c r="D28" s="21" t="str" cm="1">
        <f t="array" ref="D28:O28">TRANSPOSE(BATCH!AR96:AR107)</f>
      </c>
      <c r="E28" s="29"/>
      <c r="F28" s="29"/>
      <c r="G28" s="29"/>
      <c r="H28" s="29"/>
      <c r="I28" s="27"/>
      <c r="J28" s="29"/>
      <c r="K28" s="29"/>
      <c r="L28" s="29"/>
      <c r="M28" s="29"/>
      <c r="N28" s="21"/>
      <c r="O28" s="21"/>
    </row>
    <row r="29" spans="2:15" x14ac:dyDescent="0.25">
      <c r="B29" s="21" t="s">
        <v>150</v>
      </c>
      <c r="C29" s="21" t="str">
        <f>CODES!$A$17</f>
      </c>
      <c r="D29" s="21" t="str" cm="1">
        <f t="array" ref="D29:O29">TRANSPOSE(BATCH!AS96:AS107)</f>
      </c>
      <c r="E29" s="29"/>
      <c r="F29" s="29"/>
      <c r="G29" s="29"/>
      <c r="H29" s="29"/>
      <c r="I29" s="27"/>
      <c r="J29" s="29"/>
      <c r="K29" s="29"/>
      <c r="L29" s="29"/>
      <c r="M29" s="29"/>
      <c r="N29" s="21"/>
      <c r="O29" s="21"/>
    </row>
    <row r="30" spans="2:15" x14ac:dyDescent="0.25">
      <c r="B30" s="21" t="s">
        <v>183</v>
      </c>
      <c r="C30" s="21" t="str">
        <f>CODES!$A$17</f>
      </c>
      <c r="D30" s="21" t="str" cm="1">
        <f t="array" ref="D30:O30">TRANSPOSE(BATCH!AT96:AT107)</f>
      </c>
      <c r="E30" s="29"/>
      <c r="F30" s="29"/>
      <c r="G30" s="29"/>
      <c r="H30" s="29"/>
      <c r="I30" s="27"/>
      <c r="J30" s="29"/>
      <c r="K30" s="29"/>
      <c r="L30" s="29"/>
      <c r="M30" s="29"/>
      <c r="N30" s="21"/>
      <c r="O30" s="21"/>
    </row>
    <row r="31" spans="2:15" x14ac:dyDescent="0.25">
      <c r="B31" s="21" t="s">
        <v>184</v>
      </c>
      <c r="C31" s="21" t="str">
        <f>CODES!$A$17</f>
      </c>
      <c r="D31" s="21" t="str" cm="1">
        <f t="array" ref="D31:O31">TRANSPOSE(BATCH!AX96:AX107)</f>
      </c>
      <c r="E31" s="29"/>
      <c r="F31" s="29"/>
      <c r="G31" s="29"/>
      <c r="H31" s="29"/>
      <c r="I31" s="27"/>
      <c r="J31" s="29"/>
      <c r="K31" s="29"/>
      <c r="L31" s="29"/>
      <c r="M31" s="29"/>
      <c r="N31" s="21"/>
      <c r="O31" s="21"/>
    </row>
    <row r="32" spans="2:15" x14ac:dyDescent="0.25">
      <c r="B32" s="21" t="s">
        <v>151</v>
      </c>
      <c r="C32" s="21" t="str">
        <f>CODES!$A$17</f>
      </c>
      <c r="D32" s="21" t="str" cm="1">
        <f t="array" ref="D32:O32">TRANSPOSE(BATCH!AZ96:AZ107)</f>
      </c>
      <c r="E32" s="29"/>
      <c r="F32" s="29"/>
      <c r="G32" s="29"/>
      <c r="H32" s="29"/>
      <c r="I32" s="27"/>
      <c r="J32" s="29"/>
      <c r="K32" s="29"/>
      <c r="L32" s="29"/>
      <c r="M32" s="29"/>
      <c r="N32" s="21"/>
      <c r="O32" s="21"/>
    </row>
    <row r="33" spans="2:15" x14ac:dyDescent="0.25">
      <c r="B33" s="21" t="s">
        <v>152</v>
      </c>
      <c r="C33" s="21" t="str">
        <f>CODES!$A$17</f>
      </c>
      <c r="D33" s="21" t="str" cm="1">
        <f t="array" ref="D33:O33">TRANSPOSE(BATCH!BB96:BB107)</f>
      </c>
      <c r="E33" s="29"/>
      <c r="F33" s="29"/>
      <c r="G33" s="29"/>
      <c r="H33" s="29"/>
      <c r="I33" s="27"/>
      <c r="J33" s="29"/>
      <c r="K33" s="29"/>
      <c r="L33" s="29"/>
      <c r="M33" s="29"/>
      <c r="N33" s="21"/>
      <c r="O33" s="21"/>
    </row>
    <row r="34" spans="2:15" x14ac:dyDescent="0.25">
      <c r="B34" s="21" t="s">
        <v>153</v>
      </c>
      <c r="C34" s="21" t="str">
        <f>CODES!$A$17</f>
      </c>
      <c r="D34" s="21" t="str" cm="1">
        <f t="array" ref="D34:O34">TRANSPOSE(BATCH!BD96:BD107)</f>
      </c>
      <c r="E34" s="29"/>
      <c r="F34" s="29"/>
      <c r="G34" s="29"/>
      <c r="H34" s="29"/>
      <c r="I34" s="27"/>
      <c r="J34" s="29"/>
      <c r="K34" s="29"/>
      <c r="L34" s="29"/>
      <c r="M34" s="29"/>
      <c r="N34" s="21"/>
      <c r="O34" s="21"/>
    </row>
    <row r="35" spans="2:15" x14ac:dyDescent="0.25">
      <c r="B35" s="21" t="s">
        <v>154</v>
      </c>
      <c r="C35" s="21" t="str">
        <f>CODES!$A$17</f>
      </c>
      <c r="D35" s="21" t="str" cm="1">
        <f t="array" ref="D35:O35">TRANSPOSE(BATCH!BG96:BG107)</f>
      </c>
      <c r="E35" s="29"/>
      <c r="F35" s="29"/>
      <c r="G35" s="29"/>
      <c r="H35" s="29"/>
      <c r="I35" s="27"/>
      <c r="J35" s="29"/>
      <c r="K35" s="29"/>
      <c r="L35" s="29"/>
      <c r="M35" s="29"/>
      <c r="N35" s="21"/>
      <c r="O35" s="21"/>
    </row>
    <row r="36" spans="2:15" x14ac:dyDescent="0.25">
      <c r="B36" s="21" t="s">
        <v>185</v>
      </c>
      <c r="C36" s="21" t="str">
        <f>CODES!$A$17</f>
      </c>
      <c r="D36" s="21" t="str" cm="1">
        <f t="array" ref="D36:O36">TRANSPOSE(BATCH!BI96:BI107)</f>
      </c>
      <c r="E36" s="29"/>
      <c r="F36" s="29"/>
      <c r="G36" s="29"/>
      <c r="H36" s="29"/>
      <c r="I36" s="27"/>
      <c r="J36" s="29"/>
      <c r="K36" s="29"/>
      <c r="L36" s="29"/>
      <c r="M36" s="29"/>
      <c r="N36" s="21"/>
      <c r="O36" s="21"/>
    </row>
    <row r="37" spans="2:15" x14ac:dyDescent="0.25">
      <c r="B37" s="21" t="s">
        <v>186</v>
      </c>
      <c r="C37" s="21" t="str">
        <f>CODES!$A$17</f>
      </c>
      <c r="D37" s="21" t="str" cm="1">
        <f t="array" ref="D37:O37">TRANSPOSE(BATCH!BJ96:BJ107)</f>
      </c>
      <c r="E37" s="29"/>
      <c r="F37" s="29"/>
      <c r="G37" s="29"/>
      <c r="H37" s="29"/>
      <c r="I37" s="27"/>
      <c r="J37" s="29"/>
      <c r="K37" s="29"/>
      <c r="L37" s="29"/>
      <c r="M37" s="29"/>
      <c r="N37" s="21"/>
      <c r="O37" s="21"/>
    </row>
    <row r="38" spans="2:15" x14ac:dyDescent="0.25">
      <c r="B38" s="21" t="s">
        <v>155</v>
      </c>
      <c r="C38" s="21" t="str">
        <f>CODES!$A$17</f>
      </c>
      <c r="D38" s="21" t="str" cm="1">
        <f t="array" ref="D38:O38">TRANSPOSE(BATCH!BM96:BM107)</f>
      </c>
      <c r="E38" s="29"/>
      <c r="F38" s="29"/>
      <c r="G38" s="29"/>
      <c r="H38" s="29"/>
      <c r="I38" s="27"/>
      <c r="J38" s="29"/>
      <c r="K38" s="29"/>
      <c r="L38" s="29"/>
      <c r="M38" s="29"/>
      <c r="N38" s="21"/>
      <c r="O38" s="21"/>
    </row>
    <row r="39" spans="2:15" x14ac:dyDescent="0.25">
      <c r="B39" s="21" t="s">
        <v>156</v>
      </c>
      <c r="C39" s="21" t="str">
        <f>CODES!$A$17</f>
      </c>
      <c r="D39" s="21" t="str" cm="1">
        <f t="array" ref="D39:O39">TRANSPOSE(BATCH!BP96:BP107)</f>
      </c>
      <c r="E39" s="29"/>
      <c r="F39" s="29"/>
      <c r="G39" s="29"/>
      <c r="H39" s="29"/>
      <c r="I39" s="27"/>
      <c r="J39" s="29"/>
      <c r="K39" s="29"/>
      <c r="L39" s="29"/>
      <c r="M39" s="29"/>
      <c r="N39" s="21"/>
      <c r="O39" s="21"/>
    </row>
    <row r="40" spans="2:15" x14ac:dyDescent="0.25">
      <c r="B40" s="21" t="s">
        <v>157</v>
      </c>
      <c r="C40" s="21" t="str">
        <f>CODES!$A$17</f>
      </c>
      <c r="D40" s="21" t="str" cm="1">
        <f t="array" ref="D40:O40">TRANSPOSE(BATCH!BQ96:BQ107)</f>
      </c>
      <c r="E40" s="29"/>
      <c r="F40" s="29"/>
      <c r="G40" s="29"/>
      <c r="H40" s="29"/>
      <c r="I40" s="27"/>
      <c r="J40" s="29"/>
      <c r="K40" s="29"/>
      <c r="L40" s="29"/>
      <c r="M40" s="29"/>
      <c r="N40" s="21"/>
      <c r="O40" s="21"/>
    </row>
    <row r="41" spans="2:15" x14ac:dyDescent="0.25">
      <c r="B41" s="21" t="s">
        <v>187</v>
      </c>
      <c r="C41" s="21" t="str">
        <f>CODES!$A$17</f>
      </c>
      <c r="D41" s="21" t="str" cm="1">
        <f t="array" ref="D41:O41">TRANSPOSE(BATCH!BR96:BR107)</f>
      </c>
      <c r="E41" s="29"/>
      <c r="F41" s="29"/>
      <c r="G41" s="29"/>
      <c r="H41" s="29"/>
      <c r="I41" s="27"/>
      <c r="J41" s="29"/>
      <c r="K41" s="29"/>
      <c r="L41" s="29"/>
      <c r="M41" s="29"/>
      <c r="N41" s="21"/>
      <c r="O41" s="21"/>
    </row>
    <row r="42" spans="2:15" x14ac:dyDescent="0.25">
      <c r="B42" s="21" t="s">
        <v>158</v>
      </c>
      <c r="C42" s="21" t="str">
        <f>CODES!$A$17</f>
      </c>
      <c r="D42" s="21" t="str" cm="1">
        <f t="array" ref="D42:O42">TRANSPOSE(BATCH!BT96:BT107)</f>
      </c>
      <c r="E42" s="29"/>
      <c r="F42" s="29"/>
      <c r="G42" s="29"/>
      <c r="H42" s="29"/>
      <c r="I42" s="27"/>
      <c r="J42" s="29"/>
      <c r="K42" s="29"/>
      <c r="L42" s="29"/>
      <c r="M42" s="29"/>
      <c r="N42" s="21"/>
      <c r="O42" s="21"/>
    </row>
    <row r="43" spans="2:15" x14ac:dyDescent="0.25">
      <c r="B43" s="21" t="s">
        <v>159</v>
      </c>
      <c r="C43" s="21" t="str">
        <f>CODES!$A$17</f>
      </c>
      <c r="D43" s="21" t="str" cm="1">
        <f t="array" ref="D43:O43">TRANSPOSE(BATCH!BU96:BU107)</f>
      </c>
      <c r="E43" s="29"/>
      <c r="F43" s="29"/>
      <c r="G43" s="29"/>
      <c r="H43" s="29"/>
      <c r="I43" s="27"/>
      <c r="J43" s="29"/>
      <c r="K43" s="29"/>
      <c r="L43" s="29"/>
      <c r="M43" s="29"/>
      <c r="N43" s="21"/>
      <c r="O43" s="21"/>
    </row>
    <row r="44" spans="2:15" x14ac:dyDescent="0.25">
      <c r="B44" s="21" t="s">
        <v>160</v>
      </c>
      <c r="C44" s="21" t="str">
        <f>CODES!$A$17</f>
      </c>
      <c r="D44" s="21" t="str" cm="1">
        <f t="array" ref="D44:O44">TRANSPOSE(BATCH!BY96:BY107)</f>
      </c>
      <c r="E44" s="29"/>
      <c r="F44" s="29"/>
      <c r="G44" s="29"/>
      <c r="H44" s="29"/>
      <c r="I44" s="27"/>
      <c r="J44" s="29"/>
      <c r="K44" s="29"/>
      <c r="L44" s="29"/>
      <c r="M44" s="29"/>
      <c r="N44" s="21"/>
      <c r="O44" s="21"/>
    </row>
    <row r="45" spans="2:15" x14ac:dyDescent="0.25">
      <c r="B45" s="21" t="s">
        <v>188</v>
      </c>
      <c r="C45" s="21" t="str">
        <f>CODES!$A$17</f>
      </c>
      <c r="D45" s="21" t="str" cm="1">
        <f t="array" ref="D45:O45">TRANSPOSE(BATCH!CA96:CA107)</f>
      </c>
      <c r="E45" s="29"/>
      <c r="F45" s="29"/>
      <c r="G45" s="29"/>
      <c r="H45" s="29"/>
      <c r="I45" s="27"/>
      <c r="J45" s="29"/>
      <c r="K45" s="29"/>
      <c r="L45" s="29"/>
      <c r="M45" s="29"/>
      <c r="N45" s="21"/>
      <c r="O45" s="21"/>
    </row>
    <row r="46" spans="2:15" x14ac:dyDescent="0.25">
      <c r="B46" s="21" t="s">
        <v>189</v>
      </c>
      <c r="C46" s="21" t="str">
        <f>CODES!$A$17</f>
      </c>
      <c r="D46" s="21" t="str" cm="1">
        <f t="array" ref="D46:O46">TRANSPOSE(BATCH!CC96:CC107)</f>
      </c>
      <c r="E46" s="29"/>
      <c r="F46" s="29"/>
      <c r="G46" s="29"/>
      <c r="H46" s="29"/>
      <c r="I46" s="27"/>
      <c r="J46" s="29"/>
      <c r="K46" s="29"/>
      <c r="L46" s="29"/>
      <c r="M46" s="29"/>
      <c r="N46" s="21"/>
      <c r="O46" s="21"/>
    </row>
    <row r="47" spans="2:15" x14ac:dyDescent="0.25">
      <c r="B47" s="21" t="s">
        <v>161</v>
      </c>
      <c r="C47" s="21" t="str">
        <f>CODES!$A$17</f>
      </c>
      <c r="D47" s="21" t="str" cm="1">
        <f t="array" ref="D47:O47">TRANSPOSE(BATCH!CE96:CE107)</f>
      </c>
      <c r="E47" s="29"/>
      <c r="F47" s="29"/>
      <c r="G47" s="29"/>
      <c r="H47" s="29"/>
      <c r="I47" s="27"/>
      <c r="J47" s="29"/>
      <c r="K47" s="29"/>
      <c r="L47" s="29"/>
      <c r="M47" s="29"/>
      <c r="N47" s="21"/>
      <c r="O47" s="21"/>
    </row>
    <row r="48" spans="2:15" x14ac:dyDescent="0.25">
      <c r="B48" s="21" t="s">
        <v>190</v>
      </c>
      <c r="C48" s="21" t="str">
        <f>CODES!$A$17</f>
      </c>
      <c r="D48" s="21" t="str" cm="1">
        <f t="array" ref="D48:O48">TRANSPOSE(BATCH!CG96:CG107)</f>
      </c>
      <c r="E48" s="29"/>
      <c r="F48" s="29"/>
      <c r="G48" s="29"/>
      <c r="H48" s="29"/>
      <c r="I48" s="27"/>
      <c r="J48" s="29"/>
      <c r="K48" s="29"/>
      <c r="L48" s="29"/>
      <c r="M48" s="29"/>
      <c r="N48" s="21"/>
      <c r="O48" s="21"/>
    </row>
    <row r="49" spans="2:18" x14ac:dyDescent="0.25">
      <c r="B49" s="21" t="s">
        <v>191</v>
      </c>
      <c r="C49" s="21" t="str">
        <f>CODES!$A$17</f>
      </c>
      <c r="D49" s="21" t="str" cm="1">
        <f t="array" ref="D49:O49">TRANSPOSE(BATCH!CJ96:CJ107)</f>
      </c>
      <c r="E49" s="29"/>
      <c r="F49" s="29"/>
      <c r="G49" s="29"/>
      <c r="H49" s="29"/>
      <c r="I49" s="27"/>
      <c r="J49" s="29"/>
      <c r="K49" s="29"/>
      <c r="L49" s="29"/>
      <c r="M49" s="29"/>
      <c r="N49" s="21"/>
      <c r="O49" s="21"/>
    </row>
    <row r="50" spans="2:18" x14ac:dyDescent="0.25">
      <c r="B50" s="21" t="s">
        <v>192</v>
      </c>
      <c r="C50" s="21" t="str">
        <f>CODES!$A$17</f>
      </c>
      <c r="D50" s="21" t="str" cm="1">
        <f t="array" ref="D50:O50">TRANSPOSE(BATCH!CL96:CL107)</f>
      </c>
      <c r="E50" s="29"/>
      <c r="F50" s="29"/>
      <c r="G50" s="29"/>
      <c r="H50" s="29"/>
      <c r="I50" s="27"/>
      <c r="J50" s="29"/>
      <c r="K50" s="29"/>
      <c r="L50" s="29"/>
      <c r="M50" s="29"/>
      <c r="N50" s="21"/>
      <c r="O50" s="21"/>
    </row>
    <row r="51" spans="2:18" x14ac:dyDescent="0.25">
      <c r="B51" s="21" t="s">
        <v>168</v>
      </c>
      <c r="C51" s="21" t="str">
        <f>CODES!$A$17</f>
      </c>
      <c r="D51" s="21" t="str" cm="1">
        <f t="array" ref="D51:O51">TRANSPOSE(BATCH!CN96:CN107)</f>
      </c>
      <c r="E51" s="29"/>
      <c r="F51" s="29"/>
      <c r="G51" s="29"/>
      <c r="H51" s="29"/>
      <c r="I51" s="27"/>
      <c r="J51" s="29"/>
      <c r="K51" s="29"/>
      <c r="L51" s="29"/>
      <c r="M51" s="29"/>
      <c r="N51" s="21"/>
      <c r="O51" s="21"/>
    </row>
    <row r="52" spans="2:18" x14ac:dyDescent="0.25">
      <c r="B52" s="21" t="s">
        <v>193</v>
      </c>
      <c r="C52" s="21" t="str">
        <f>CODES!$A$17</f>
      </c>
      <c r="D52" s="21" t="str" cm="1">
        <f t="array" ref="D52:O52">TRANSPOSE(BATCH!CO96:CO107)</f>
      </c>
      <c r="E52" s="29"/>
      <c r="F52" s="29"/>
      <c r="G52" s="29"/>
      <c r="H52" s="29"/>
      <c r="I52" s="27"/>
      <c r="J52" s="29"/>
      <c r="K52" s="29"/>
      <c r="L52" s="29"/>
      <c r="M52" s="29"/>
      <c r="N52" s="21"/>
      <c r="O52" s="21"/>
    </row>
    <row r="53" spans="2:18" x14ac:dyDescent="0.25">
      <c r="B53" s="21" t="s">
        <v>167</v>
      </c>
      <c r="C53" s="21" t="str">
        <f>CODES!$A$17</f>
      </c>
      <c r="D53" s="21" t="str" cm="1">
        <f t="array" ref="D53:O53">TRANSPOSE(BATCH!CQ96:CQ107)</f>
      </c>
      <c r="E53" s="29"/>
      <c r="F53" s="29"/>
      <c r="G53" s="29"/>
      <c r="H53" s="29"/>
      <c r="I53" s="27"/>
      <c r="J53" s="29"/>
      <c r="K53" s="29"/>
      <c r="L53" s="29"/>
      <c r="M53" s="29"/>
      <c r="N53" s="21"/>
      <c r="O53" s="21"/>
    </row>
    <row r="54" spans="2:18" x14ac:dyDescent="0.25">
      <c r="B54" s="21" t="s">
        <v>194</v>
      </c>
      <c r="C54" s="21" t="str">
        <f>CODES!$A$17</f>
      </c>
      <c r="D54" s="21" t="str" cm="1">
        <f t="array" ref="D54:O54">TRANSPOSE(BATCH!CT96:CT107)</f>
      </c>
      <c r="E54" s="29"/>
      <c r="F54" s="29"/>
      <c r="G54" s="29"/>
      <c r="H54" s="29"/>
      <c r="I54" s="27"/>
      <c r="J54" s="29"/>
      <c r="K54" s="29"/>
      <c r="L54" s="29"/>
      <c r="M54" s="29"/>
      <c r="N54" s="21"/>
      <c r="O54" s="21"/>
      <c r="R54" s="69"/>
    </row>
    <row r="55" spans="2:18" x14ac:dyDescent="0.25">
      <c r="B55" s="21" t="s">
        <v>162</v>
      </c>
      <c r="C55" s="21" t="str">
        <f>CODES!$A$17</f>
      </c>
      <c r="D55" s="21" t="str" cm="1">
        <f t="array" ref="D55:O55">TRANSPOSE(BATCH!CW96:CW107)</f>
      </c>
      <c r="E55" s="29"/>
      <c r="F55" s="29"/>
      <c r="G55" s="29"/>
      <c r="H55" s="29"/>
      <c r="I55" s="27"/>
      <c r="J55" s="29"/>
      <c r="K55" s="29"/>
      <c r="L55" s="29"/>
      <c r="M55" s="29"/>
      <c r="N55" s="21"/>
      <c r="O55" s="21"/>
      <c r="R55" s="42"/>
    </row>
    <row r="56" spans="2:18" x14ac:dyDescent="0.25">
      <c r="B56" s="21" t="s">
        <v>163</v>
      </c>
      <c r="C56" s="21" t="str">
        <f>CODES!$A$17</f>
      </c>
      <c r="D56" s="21" t="str" cm="1">
        <f t="array" ref="D56:O56">TRANSPOSE(BATCH!CX96:CX107)</f>
      </c>
      <c r="E56" s="29"/>
      <c r="F56" s="29"/>
      <c r="G56" s="29"/>
      <c r="H56" s="29"/>
      <c r="I56" s="27"/>
      <c r="J56" s="29"/>
      <c r="K56" s="29"/>
      <c r="L56" s="29"/>
      <c r="M56" s="29"/>
      <c r="N56" s="21"/>
      <c r="O56" s="21"/>
      <c r="R56" s="70"/>
    </row>
    <row r="57" spans="2:18" x14ac:dyDescent="0.25">
      <c r="B57" s="21" t="s">
        <v>195</v>
      </c>
      <c r="C57" s="21" t="str">
        <f>CODES!$A$17</f>
      </c>
      <c r="D57" s="21" t="str" cm="1">
        <f t="array" ref="D57:O57">TRANSPOSE(BATCH!CZ96:CZ107)</f>
      </c>
      <c r="E57" s="29"/>
      <c r="F57" s="29"/>
      <c r="G57" s="29"/>
      <c r="H57" s="29"/>
      <c r="I57" s="27"/>
      <c r="J57" s="29"/>
      <c r="K57" s="29"/>
      <c r="L57" s="29"/>
      <c r="M57" s="29"/>
      <c r="N57" s="21"/>
      <c r="O57" s="21"/>
      <c r="R57" s="42"/>
    </row>
    <row r="58" spans="2:18" x14ac:dyDescent="0.25">
      <c r="B58" s="21" t="s">
        <v>196</v>
      </c>
      <c r="C58" s="21" t="str">
        <f>CODES!$A$17</f>
      </c>
      <c r="D58" s="21" t="str" cm="1">
        <f t="array" ref="D58:O58">TRANSPOSE(BATCH!DD96:DD107)</f>
      </c>
      <c r="E58" s="29"/>
      <c r="F58" s="29"/>
      <c r="G58" s="29"/>
      <c r="H58" s="29"/>
      <c r="I58" s="27"/>
      <c r="J58" s="29"/>
      <c r="K58" s="29"/>
      <c r="L58" s="29"/>
      <c r="M58" s="29"/>
      <c r="N58" s="21"/>
      <c r="O58" s="21"/>
      <c r="R58" s="70"/>
    </row>
    <row r="59" spans="2:18" x14ac:dyDescent="0.25">
      <c r="B59" s="21" t="s">
        <v>164</v>
      </c>
      <c r="C59" s="21" t="str">
        <f>CODES!$A$17</f>
      </c>
      <c r="D59" s="21" t="str" cm="1">
        <f t="array" ref="D59:O59">TRANSPOSE(BATCH!DG96:DG107)</f>
      </c>
      <c r="E59" s="29"/>
      <c r="F59" s="29"/>
      <c r="G59" s="29"/>
      <c r="H59" s="29"/>
      <c r="I59" s="27"/>
      <c r="J59" s="29"/>
      <c r="K59" s="29"/>
      <c r="L59" s="29"/>
      <c r="M59" s="29"/>
      <c r="N59" s="21"/>
      <c r="O59" s="21"/>
      <c r="R59" s="42"/>
    </row>
    <row r="60" spans="2:18" x14ac:dyDescent="0.25">
      <c r="B60" s="21" t="s">
        <v>197</v>
      </c>
      <c r="C60" s="21" t="str">
        <f>CODES!$A$17</f>
      </c>
      <c r="D60" s="21" t="str" cm="1">
        <f t="array" ref="D60:O60">TRANSPOSE(BATCH!DI96:DI107)</f>
      </c>
      <c r="E60" s="29"/>
      <c r="F60" s="29"/>
      <c r="G60" s="29"/>
      <c r="H60" s="29"/>
      <c r="I60" s="27"/>
      <c r="J60" s="29"/>
      <c r="K60" s="29"/>
      <c r="L60" s="29"/>
      <c r="M60" s="29"/>
      <c r="N60" s="21"/>
      <c r="O60" s="21"/>
      <c r="R60" s="70"/>
    </row>
    <row r="61" spans="2:18" x14ac:dyDescent="0.25">
      <c r="B61" s="24"/>
      <c r="C61" s="24"/>
      <c r="D61" s="25"/>
      <c r="E61" s="25"/>
      <c r="F61" s="25"/>
      <c r="G61" s="25"/>
      <c r="H61" s="25"/>
      <c r="I61" s="25"/>
      <c r="J61" s="25"/>
      <c r="K61" s="25"/>
      <c r="L61" s="25"/>
      <c r="M61" s="25"/>
      <c r="N61" s="25"/>
      <c r="O61" s="25"/>
      <c r="R61" s="42"/>
    </row>
    <row r="63" spans="2:18" x14ac:dyDescent="0.25">
      <c r="B63" s="63" t="s">
        <v>138</v>
      </c>
      <c r="C63" s="64" t="s">
        <v>137</v>
      </c>
      <c r="D63" s="64"/>
      <c r="E63" s="64"/>
      <c r="F63" s="64"/>
      <c r="G63" s="64"/>
      <c r="H63" s="64"/>
      <c r="I63" s="64"/>
      <c r="J63" s="64"/>
      <c r="K63" s="64"/>
      <c r="L63" s="64"/>
      <c r="M63" s="64"/>
      <c r="N63" s="64"/>
      <c r="O63" s="65"/>
      <c r="P63" s="64"/>
    </row>
    <row r="64" spans="2:18" hidden="1" x14ac:dyDescent="0.25">
      <c r="B64" s="61" t="str">
        <f t="shared" ref="B64:O64" si="0">B8</f>
      </c>
      <c r="C64" s="6" t="str">
        <f t="shared" si="0"/>
      </c>
      <c r="D64" s="6" t="str">
        <f t="shared" si="0"/>
      </c>
      <c r="E64" s="6" t="str">
        <f>IF(AND(E8&gt;=CODES!$C$34,E8&lt;=CODES!$D$34),"PASS","FAIL")</f>
      </c>
      <c r="F64" s="6" t="str">
        <f>IF(AND(F8&gt;=CODES!$C$35,F8&lt;=CODES!$D$35),"PASS","FAIL")</f>
      </c>
      <c r="G64" s="6" t="str">
        <f t="shared" si="0"/>
      </c>
      <c r="H64" s="6" t="str">
        <f>IF(AND(H8&gt;=CODES!$C$37,H8&lt;=CODES!$D$37),"PASS","FAIL")</f>
      </c>
      <c r="I64" s="6" t="str">
        <f>IF(ISTEXT(I8),I8,IF(ISERROR(I8),"CHECK DUP",IF(I8&gt;CODES!$B$39,"FAIL","PASS")))</f>
      </c>
      <c r="J64" s="6" t="str">
        <f>IF(AND(J8&gt;=CODES!$C$41,J8&lt;=CODES!$D$41),"PASS","FAIL")</f>
      </c>
      <c r="K64" s="6" t="str">
        <f>IF(AND(K8&gt;=CODES!$C$42,K8&lt;=CODES!$D$42),"PASS","FAIL")</f>
      </c>
      <c r="L64" s="6" t="str">
        <f>IF(AND(L8&gt;=CODES!$C$43,L8&lt;=CODES!$D$43),"PASS","FAIL")</f>
      </c>
      <c r="M64" s="6" t="str">
        <f>IF(AND(M8&gt;=CODES!$C$44,M8&lt;=CODES!$D$44),"PASS","FAIL")</f>
      </c>
      <c r="N64" s="6" t="str">
        <f t="shared" ref="N64:N116" si="1">IF(ISERROR(N8),"Over-range Error",N8)</f>
      </c>
      <c r="O64" s="62" t="str">
        <f t="shared" si="0"/>
      </c>
      <c r="P64" s="64"/>
    </row>
    <row r="65" spans="2:16" x14ac:dyDescent="0.25">
      <c r="B65" s="61" t="str">
        <f t="shared" ref="B65:O65" si="2">B9</f>
      </c>
      <c r="C65" s="6" t="str">
        <f t="shared" si="2"/>
      </c>
      <c r="D65" s="6" t="str">
        <f t="shared" si="2"/>
      </c>
      <c r="E65" s="6" t="str">
        <f>IF(AND(E9&gt;=CODES!$C$34,E9&lt;=CODES!$D$34),"PASS","FAIL")</f>
      </c>
      <c r="F65" s="6" t="str">
        <f>IF(AND(F9&gt;=CODES!$C$35,F9&lt;=CODES!$D$35),"PASS","FAIL")</f>
      </c>
      <c r="G65" s="6" t="str">
        <f t="shared" si="2"/>
      </c>
      <c r="H65" s="6" t="str">
        <f>IF(AND(H9&gt;=CODES!$C$37,H9&lt;=CODES!$D$37),"PASS","FAIL")</f>
      </c>
      <c r="I65" s="6" t="str">
        <f>IF(ISTEXT(I9),I9,IF(ISERROR(I9),"CHECK DUP",IF(I9&gt;CODES!$B$39,"FAIL","PASS")))</f>
      </c>
      <c r="J65" s="6" t="str">
        <f>IF(AND(J9&gt;=CODES!$C$41,J9&lt;=CODES!$D$41),"PASS","FAIL")</f>
      </c>
      <c r="K65" s="6" t="str">
        <f>IF(AND(K9&gt;=CODES!$C$42,K9&lt;=CODES!$D$42),"PASS","FAIL")</f>
      </c>
      <c r="L65" s="6"/>
      <c r="M65" s="6" t="str">
        <f>IF(AND(M9&gt;=CODES!$C$44,M9&lt;=CODES!$D$44),"PASS","FAIL")</f>
      </c>
      <c r="N65" s="6" t="str">
        <f t="shared" si="1"/>
      </c>
      <c r="O65" s="62" t="str">
        <f t="shared" si="2"/>
      </c>
      <c r="P65" s="6"/>
    </row>
    <row r="66" spans="2:16" x14ac:dyDescent="0.25">
      <c r="B66" s="61" t="str">
        <f t="shared" ref="B66:O66" si="3">B10</f>
      </c>
      <c r="C66" s="6" t="str">
        <f t="shared" si="3"/>
      </c>
      <c r="D66" s="6" t="str">
        <f t="shared" si="3"/>
      </c>
      <c r="E66" s="6" t="str">
        <f>IF(AND(E10&gt;=CODES!$C$34,E10&lt;=CODES!$D$34),"PASS","FAIL")</f>
      </c>
      <c r="F66" s="6" t="str">
        <f>IF(AND(F10&gt;=CODES!$C$35,F10&lt;=CODES!$D$35),"PASS","FAIL")</f>
      </c>
      <c r="G66" s="6" t="str">
        <f t="shared" si="3"/>
      </c>
      <c r="H66" s="6" t="str">
        <f>IF(AND(H10&gt;=CODES!$C$37,H10&lt;=CODES!$D$37),"PASS","FAIL")</f>
      </c>
      <c r="I66" s="6" t="str">
        <f>IF(ISTEXT(I10),I10,IF(ISERROR(I10),"CHECK DUP",IF(I10&gt;CODES!$B$39,"FAIL","PASS")))</f>
      </c>
      <c r="J66" s="6" t="str">
        <f>IF(AND(J10&gt;=CODES!$C$41,J10&lt;=CODES!$D$41),"PASS","FAIL")</f>
      </c>
      <c r="K66" s="6" t="str">
        <f>IF(AND(K10&gt;=CODES!$C$42,K10&lt;=CODES!$D$42),"PASS","FAIL")</f>
      </c>
      <c r="L66" s="6" t="str">
        <f>IF(AND(L10&gt;=CODES!$C$43,L10&lt;=CODES!$D$43),"PASS","FAIL")</f>
      </c>
      <c r="M66" s="6" t="str">
        <f>IF(AND(M10&gt;=CODES!$C$44,M10&lt;=CODES!$D$44),"PASS","FAIL")</f>
      </c>
      <c r="N66" s="6" t="str">
        <f t="shared" si="1"/>
      </c>
      <c r="O66" s="62" t="str">
        <f t="shared" si="3"/>
      </c>
      <c r="P66" s="6"/>
    </row>
    <row r="67" spans="2:16" x14ac:dyDescent="0.25">
      <c r="B67" s="61" t="str">
        <f t="shared" ref="B67:O67" si="4">B11</f>
      </c>
      <c r="C67" s="6" t="str">
        <f t="shared" si="4"/>
      </c>
      <c r="D67" s="6" t="str">
        <f t="shared" si="4"/>
      </c>
      <c r="E67" s="6" t="str">
        <f>IF(AND(E11&gt;=CODES!$C$34,E11&lt;=CODES!$D$34),"PASS","FAIL")</f>
      </c>
      <c r="F67" s="6" t="str">
        <f>IF(AND(F11&gt;=CODES!$C$35,F11&lt;=CODES!$D$35),"PASS","FAIL")</f>
      </c>
      <c r="G67" s="6" t="str">
        <f t="shared" si="4"/>
      </c>
      <c r="H67" s="6" t="str">
        <f>IF(AND(H11&gt;=CODES!$C$37,H11&lt;=CODES!$D$37),"PASS","FAIL")</f>
      </c>
      <c r="I67" s="6" t="str">
        <f>IF(ISTEXT(I11),I11,IF(ISERROR(I11),"CHECK DUP",IF(I11&gt;CODES!$B$39,"FAIL","PASS")))</f>
      </c>
      <c r="J67" s="6" t="str">
        <f>IF(AND(J11&gt;=CODES!$C$41,J11&lt;=CODES!$D$41),"PASS","FAIL")</f>
      </c>
      <c r="K67" s="6" t="str">
        <f>IF(AND(K11&gt;=CODES!$C$42,K11&lt;=CODES!$D$42),"PASS","FAIL")</f>
      </c>
      <c r="L67" s="6" t="str">
        <f>IF(AND(L11&gt;=CODES!$C$43,L11&lt;=CODES!$D$43),"PASS","FAIL")</f>
      </c>
      <c r="M67" s="6" t="str">
        <f>IF(AND(M11&gt;=CODES!$C$44,M11&lt;=CODES!$D$44),"PASS","FAIL")</f>
      </c>
      <c r="N67" s="6" t="str">
        <f t="shared" si="1"/>
      </c>
      <c r="O67" s="62" t="str">
        <f t="shared" si="4"/>
      </c>
      <c r="P67" s="6"/>
    </row>
    <row r="68" spans="2:16" x14ac:dyDescent="0.25">
      <c r="B68" s="61" t="str">
        <f t="shared" ref="B68:O68" si="5">B12</f>
      </c>
      <c r="C68" s="6" t="str">
        <f t="shared" si="5"/>
      </c>
      <c r="D68" s="6" t="str">
        <f t="shared" si="5"/>
      </c>
      <c r="E68" s="6" t="str">
        <f>IF(AND(E12&gt;=CODES!$C$34,E12&lt;=CODES!$D$34),"PASS","FAIL")</f>
      </c>
      <c r="F68" s="6" t="str">
        <f>IF(AND(F12&gt;=CODES!$C$35,F12&lt;=CODES!$D$35),"PASS","FAIL")</f>
      </c>
      <c r="G68" s="6" t="str">
        <f t="shared" si="5"/>
      </c>
      <c r="H68" s="6" t="str">
        <f>IF(AND(H12&gt;=CODES!$C$37,H12&lt;=CODES!$D$37),"PASS","FAIL")</f>
      </c>
      <c r="I68" s="6" t="str">
        <f>IF(ISTEXT(I12),I12,IF(ISERROR(I12),"CHECK DUP",IF(I12&gt;CODES!$B$39,"FAIL","PASS")))</f>
      </c>
      <c r="J68" s="6" t="str">
        <f>IF(AND(J12&gt;=CODES!$C$41,J12&lt;=CODES!$D$41),"PASS","FAIL")</f>
      </c>
      <c r="K68" s="6" t="str">
        <f>IF(AND(K12&gt;=CODES!$C$42,K12&lt;=CODES!$D$42),"PASS","FAIL")</f>
      </c>
      <c r="L68" s="6" t="str">
        <f>IF(AND(L12&gt;=CODES!$C$43,L12&lt;=CODES!$D$43),"PASS","FAIL")</f>
      </c>
      <c r="M68" s="6" t="str">
        <f>IF(AND(M12&gt;=CODES!$C$44,M12&lt;=CODES!$D$44),"PASS","FAIL")</f>
      </c>
      <c r="N68" s="6" t="str">
        <f t="shared" si="1"/>
      </c>
      <c r="O68" s="62" t="str">
        <f t="shared" si="5"/>
      </c>
      <c r="P68" s="6"/>
    </row>
    <row r="69" spans="2:16" x14ac:dyDescent="0.25">
      <c r="B69" s="61" t="str">
        <f t="shared" ref="B69:O69" si="6">B13</f>
      </c>
      <c r="C69" s="6" t="str">
        <f t="shared" si="6"/>
      </c>
      <c r="D69" s="6" t="str">
        <f t="shared" si="6"/>
      </c>
      <c r="E69" s="6" t="str">
        <f>IF(AND(E13&gt;=CODES!$C$34,E13&lt;=CODES!$D$34),"PASS","FAIL")</f>
      </c>
      <c r="F69" s="6" t="str">
        <f>IF(AND(F13&gt;=CODES!$C$35,F13&lt;=CODES!$D$35),"PASS","FAIL")</f>
      </c>
      <c r="G69" s="6" t="str">
        <f t="shared" si="6"/>
      </c>
      <c r="H69" s="6" t="str">
        <f>IF(AND(H13&gt;=CODES!$C$37,H13&lt;=CODES!$D$37),"PASS","FAIL")</f>
      </c>
      <c r="I69" s="6" t="str">
        <f>IF(ISTEXT(I13),I13,IF(ISERROR(I13),"CHECK DUP",IF(I13&gt;CODES!$B$39,"FAIL","PASS")))</f>
      </c>
      <c r="J69" s="6" t="str">
        <f>IF(AND(J13&gt;=CODES!$C$41,J13&lt;=CODES!$D$41),"PASS","FAIL")</f>
      </c>
      <c r="K69" s="6" t="str">
        <f>IF(AND(K13&gt;=CODES!$C$42,K13&lt;=CODES!$D$42),"PASS","FAIL")</f>
      </c>
      <c r="L69" s="6" t="str">
        <f>IF(AND(L13&gt;=CODES!$C$43,L13&lt;=CODES!$D$43),"PASS","FAIL")</f>
      </c>
      <c r="M69" s="6" t="str">
        <f>IF(AND(M13&gt;=CODES!$C$44,M13&lt;=CODES!$D$44),"PASS","FAIL")</f>
      </c>
      <c r="N69" s="6" t="str">
        <f t="shared" si="1"/>
      </c>
      <c r="O69" s="62" t="str">
        <f t="shared" si="6"/>
      </c>
      <c r="P69" s="6"/>
    </row>
    <row r="70" spans="2:16" x14ac:dyDescent="0.25">
      <c r="B70" s="61" t="str">
        <f t="shared" ref="B70:O70" si="7">B14</f>
      </c>
      <c r="C70" s="6" t="str">
        <f t="shared" si="7"/>
      </c>
      <c r="D70" s="6" t="str">
        <f t="shared" si="7"/>
      </c>
      <c r="E70" s="6" t="str">
        <f>IF(AND(E14&gt;=CODES!$C$34,E14&lt;=CODES!$D$34),"PASS","FAIL")</f>
      </c>
      <c r="F70" s="6" t="str">
        <f>IF(AND(F14&gt;=CODES!$C$35,F14&lt;=CODES!$D$35),"PASS","FAIL")</f>
      </c>
      <c r="G70" s="6" t="str">
        <f t="shared" si="7"/>
      </c>
      <c r="H70" s="6" t="str">
        <f>IF(AND(H14&gt;=CODES!$C$37,H14&lt;=CODES!$D$37),"PASS","FAIL")</f>
      </c>
      <c r="I70" s="6" t="str">
        <f>IF(ISTEXT(I14),I14,IF(ISERROR(I14),"CHECK DUP",IF(I14&gt;CODES!$B$39,"FAIL","PASS")))</f>
      </c>
      <c r="J70" s="6" t="str">
        <f>IF(AND(J14&gt;=CODES!$C$41,J14&lt;=CODES!$D$41),"PASS","FAIL")</f>
      </c>
      <c r="K70" s="6" t="str">
        <f>IF(AND(K14&gt;=CODES!$C$42,K14&lt;=CODES!$D$42),"PASS","FAIL")</f>
      </c>
      <c r="L70" s="6" t="str">
        <f>IF(AND(L14&gt;=CODES!$C$43,L14&lt;=CODES!$D$43),"PASS","FAIL")</f>
      </c>
      <c r="M70" s="6" t="str">
        <f>IF(AND(M14&gt;=CODES!$C$44,M14&lt;=CODES!$D$44),"PASS","FAIL")</f>
      </c>
      <c r="N70" s="6" t="str">
        <f t="shared" si="1"/>
      </c>
      <c r="O70" s="62" t="str">
        <f t="shared" si="7"/>
      </c>
      <c r="P70" s="6"/>
    </row>
    <row r="71" spans="2:16" x14ac:dyDescent="0.25">
      <c r="B71" s="61" t="str">
        <f t="shared" ref="B71:O71" si="8">B15</f>
      </c>
      <c r="C71" s="6" t="str">
        <f t="shared" si="8"/>
      </c>
      <c r="D71" s="6" t="str">
        <f t="shared" si="8"/>
      </c>
      <c r="E71" s="6" t="str">
        <f>IF(AND(E15&gt;=CODES!$C$34,E15&lt;=CODES!$D$34),"PASS","FAIL")</f>
      </c>
      <c r="F71" s="6" t="str">
        <f>IF(AND(F15&gt;=CODES!$C$35,F15&lt;=CODES!$D$35),"PASS","FAIL")</f>
      </c>
      <c r="G71" s="6" t="str">
        <f t="shared" si="8"/>
      </c>
      <c r="H71" s="6" t="str">
        <f>IF(AND(H15&gt;=CODES!$C$37,H15&lt;=CODES!$D$37),"PASS","FAIL")</f>
      </c>
      <c r="I71" s="6" t="str">
        <f>IF(ISTEXT(I15),I15,IF(ISERROR(I15),"CHECK DUP",IF(I15&gt;CODES!$B$39,"FAIL","PASS")))</f>
      </c>
      <c r="J71" s="6" t="str">
        <f>IF(AND(J15&gt;=CODES!$C$41,J15&lt;=CODES!$D$41),"PASS","FAIL")</f>
      </c>
      <c r="K71" s="6" t="str">
        <f>IF(AND(K15&gt;=CODES!$C$42,K15&lt;=CODES!$D$42),"PASS","FAIL")</f>
      </c>
      <c r="L71" s="6" t="str">
        <f>IF(AND(L15&gt;=CODES!$C$43,L15&lt;=CODES!$D$43),"PASS","FAIL")</f>
      </c>
      <c r="M71" s="6" t="str">
        <f>IF(AND(M15&gt;=CODES!$C$44,M15&lt;=CODES!$D$44),"PASS","FAIL")</f>
      </c>
      <c r="N71" s="6" t="str">
        <f t="shared" si="1"/>
      </c>
      <c r="O71" s="62" t="str">
        <f t="shared" si="8"/>
      </c>
      <c r="P71" s="6"/>
    </row>
    <row r="72" spans="2:16" hidden="1" x14ac:dyDescent="0.25">
      <c r="B72" s="61" t="str">
        <f t="shared" ref="B72:O72" si="9">B16</f>
      </c>
      <c r="C72" s="6" t="str">
        <f t="shared" si="9"/>
      </c>
      <c r="D72" s="6" t="str">
        <f t="shared" si="9"/>
      </c>
      <c r="E72" s="6" t="str">
        <f>IF(AND(E16&gt;=CODES!$C$34,E16&lt;=CODES!$D$34),"PASS","FAIL")</f>
      </c>
      <c r="F72" s="6" t="str">
        <f>IF(AND(F16&gt;=CODES!$C$35,F16&lt;=CODES!$D$35),"PASS","FAIL")</f>
      </c>
      <c r="G72" s="6" t="str">
        <f t="shared" si="9"/>
      </c>
      <c r="H72" s="6" t="str">
        <f>IF(AND(H16&gt;=CODES!$C$37,H16&lt;=CODES!$D$37),"PASS","FAIL")</f>
      </c>
      <c r="I72" s="6" t="str">
        <f>IF(ISTEXT(I16),I16,IF(ISERROR(I16),"CHECK DUP",IF(I16&gt;CODES!$B$39,"FAIL","PASS")))</f>
      </c>
      <c r="J72" s="6" t="str">
        <f>IF(AND(J16&gt;=CODES!$C$41,J16&lt;=CODES!$D$41),"PASS","FAIL")</f>
      </c>
      <c r="K72" s="6" t="str">
        <f>IF(AND(K16&gt;=CODES!$C$42,K16&lt;=CODES!$D$42),"PASS","FAIL")</f>
      </c>
      <c r="L72" s="6" t="str">
        <f>IF(AND(L16&gt;=CODES!$C$43,L16&lt;=CODES!$D$43),"PASS","FAIL")</f>
      </c>
      <c r="M72" s="6" t="str">
        <f>IF(AND(M16&gt;=CODES!$C$44,M16&lt;=CODES!$D$44),"PASS","FAIL")</f>
      </c>
      <c r="N72" s="6" t="str">
        <f t="shared" si="1"/>
      </c>
      <c r="O72" s="62" t="str">
        <f t="shared" si="9"/>
      </c>
      <c r="P72" s="6"/>
    </row>
    <row r="73" spans="2:16" x14ac:dyDescent="0.25">
      <c r="B73" s="61" t="str">
        <f t="shared" ref="B73:O73" si="10">B17</f>
      </c>
      <c r="C73" s="6" t="str">
        <f t="shared" si="10"/>
      </c>
      <c r="D73" s="6" t="str">
        <f t="shared" si="10"/>
      </c>
      <c r="E73" s="6" t="str">
        <f>IF(AND(E17&gt;=CODES!$C$34,E17&lt;=CODES!$D$34),"PASS","FAIL")</f>
      </c>
      <c r="F73" s="6" t="str">
        <f>IF(AND(F17&gt;=CODES!$C$35,F17&lt;=CODES!$D$35),"PASS","FAIL")</f>
      </c>
      <c r="G73" s="6" t="str">
        <f t="shared" si="10"/>
      </c>
      <c r="H73" s="6" t="str">
        <f>IF(AND(H17&gt;=CODES!$C$37,H17&lt;=CODES!$D$37),"PASS","FAIL")</f>
      </c>
      <c r="I73" s="6" t="str">
        <f>IF(ISTEXT(I17),I17,IF(ISERROR(I17),"CHECK DUP",IF(I17&gt;CODES!$B$39,"FAIL","PASS")))</f>
      </c>
      <c r="J73" s="6" t="str">
        <f>IF(AND(J17&gt;=CODES!$C$41,J17&lt;=CODES!$D$41),"PASS","FAIL")</f>
      </c>
      <c r="K73" s="6" t="str">
        <f>IF(AND(K17&gt;=CODES!$C$42,K17&lt;=CODES!$D$42),"PASS","FAIL")</f>
      </c>
      <c r="L73" s="6" t="str">
        <f>IF(AND(L17&gt;=CODES!$C$43,L17&lt;=CODES!$D$43),"PASS","FAIL")</f>
      </c>
      <c r="M73" s="6" t="str">
        <f>IF(AND(M17&gt;=CODES!$C$44,M17&lt;=CODES!$D$44),"PASS","FAIL")</f>
      </c>
      <c r="N73" s="6" t="str">
        <f t="shared" si="1"/>
      </c>
      <c r="O73" s="62" t="str">
        <f t="shared" si="10"/>
      </c>
      <c r="P73" s="6"/>
    </row>
    <row r="74" spans="2:16" x14ac:dyDescent="0.25">
      <c r="B74" s="61" t="str">
        <f t="shared" ref="B74:O74" si="11">B18</f>
      </c>
      <c r="C74" s="6" t="str">
        <f t="shared" si="11"/>
      </c>
      <c r="D74" s="6" t="str">
        <f t="shared" si="11"/>
      </c>
      <c r="E74" s="6" t="str">
        <f>IF(AND(E18&gt;=CODES!$C$34,E18&lt;=CODES!$D$34),"PASS","FAIL")</f>
      </c>
      <c r="F74" s="6" t="str">
        <f>IF(AND(F18&gt;=CODES!$C$35,F18&lt;=CODES!$D$35),"PASS","FAIL")</f>
      </c>
      <c r="G74" s="6" t="str">
        <f t="shared" si="11"/>
      </c>
      <c r="H74" s="6" t="str">
        <f>IF(AND(H18&gt;=CODES!$C$37,H18&lt;=CODES!$D$37),"PASS","FAIL")</f>
      </c>
      <c r="I74" s="6" t="str">
        <f>IF(ISTEXT(I18),I18,IF(ISERROR(I18),"CHECK DUP",IF(I18&gt;CODES!$B$39,"FAIL","PASS")))</f>
      </c>
      <c r="J74" s="6" t="str">
        <f>IF(AND(J18&gt;=CODES!$C$41,J18&lt;=CODES!$D$41),"PASS","FAIL")</f>
      </c>
      <c r="K74" s="6" t="str">
        <f>IF(AND(K18&gt;=CODES!$C$42,K18&lt;=CODES!$D$42),"PASS","FAIL")</f>
      </c>
      <c r="L74" s="6" t="str">
        <f>IF(AND(L18&gt;=CODES!$C$43,L18&lt;=CODES!$D$43),"PASS","FAIL")</f>
      </c>
      <c r="M74" s="6" t="str">
        <f>IF(AND(M18&gt;=CODES!$C$44,M18&lt;=CODES!$D$44),"PASS","FAIL")</f>
      </c>
      <c r="N74" s="6" t="str">
        <f t="shared" si="1"/>
      </c>
      <c r="O74" s="62" t="str">
        <f t="shared" si="11"/>
      </c>
      <c r="P74" s="6"/>
    </row>
    <row r="75" spans="2:16" x14ac:dyDescent="0.25">
      <c r="B75" s="61" t="str">
        <f t="shared" ref="B75:O75" si="12">B19</f>
      </c>
      <c r="C75" s="6" t="str">
        <f t="shared" si="12"/>
      </c>
      <c r="D75" s="6" t="str">
        <f t="shared" si="12"/>
      </c>
      <c r="E75" s="6" t="str">
        <f>IF(AND(E19&gt;=CODES!$C$34,E19&lt;=CODES!$D$34),"PASS","FAIL")</f>
      </c>
      <c r="F75" s="6" t="str">
        <f>IF(AND(F19&gt;=CODES!$C$35,F19&lt;=CODES!$D$35),"PASS","FAIL")</f>
      </c>
      <c r="G75" s="6" t="str">
        <f t="shared" si="12"/>
      </c>
      <c r="H75" s="6" t="str">
        <f>IF(AND(H19&gt;=CODES!$C$37,H19&lt;=CODES!$D$37),"PASS","FAIL")</f>
      </c>
      <c r="I75" s="6" t="str">
        <f>IF(ISTEXT(I19),I19,IF(ISERROR(I19),"CHECK DUP",IF(I19&gt;CODES!$B$39,"FAIL","PASS")))</f>
      </c>
      <c r="J75" s="6" t="str">
        <f>IF(AND(J19&gt;=CODES!$C$41,J19&lt;=CODES!$D$41),"PASS","FAIL")</f>
      </c>
      <c r="K75" s="6" t="str">
        <f>IF(AND(K19&gt;=CODES!$C$42,K19&lt;=CODES!$D$42),"PASS","FAIL")</f>
      </c>
      <c r="L75" s="6" t="str">
        <f>IF(AND(L19&gt;=CODES!$C$43,L19&lt;=CODES!$D$43),"PASS","FAIL")</f>
      </c>
      <c r="M75" s="6" t="str">
        <f>IF(AND(M19&gt;=CODES!$C$44,M19&lt;=CODES!$D$44),"PASS","FAIL")</f>
      </c>
      <c r="N75" s="6" t="str">
        <f t="shared" si="1"/>
      </c>
      <c r="O75" s="62" t="str">
        <f t="shared" si="12"/>
      </c>
      <c r="P75" s="6"/>
    </row>
    <row r="76" spans="2:16" hidden="1" x14ac:dyDescent="0.25">
      <c r="B76" s="61" t="str">
        <f t="shared" ref="B76:O76" si="13">B20</f>
      </c>
      <c r="C76" s="6" t="str">
        <f t="shared" si="13"/>
      </c>
      <c r="D76" s="6" t="str">
        <f t="shared" si="13"/>
      </c>
      <c r="E76" s="6" t="str">
        <f>IF(AND(E20&gt;=CODES!$C$34,E20&lt;=CODES!$D$34),"PASS","FAIL")</f>
      </c>
      <c r="F76" s="6" t="str">
        <f>IF(AND(F20&gt;=CODES!$C$35,F20&lt;=CODES!$D$35),"PASS","FAIL")</f>
      </c>
      <c r="G76" s="6" t="str">
        <f t="shared" si="13"/>
      </c>
      <c r="H76" s="6" t="str">
        <f>IF(AND(H20&gt;=CODES!$C$37,H20&lt;=CODES!$D$37),"PASS","FAIL")</f>
      </c>
      <c r="I76" s="6" t="str">
        <f>IF(ISTEXT(I20),I20,IF(ISERROR(I20),"CHECK DUP",IF(I20&gt;CODES!$B$39,"FAIL","PASS")))</f>
      </c>
      <c r="J76" s="6" t="str">
        <f>IF(AND(J20&gt;=CODES!$C$41,J20&lt;=CODES!$D$41),"PASS","FAIL")</f>
      </c>
      <c r="K76" s="6" t="str">
        <f>IF(AND(K20&gt;=CODES!$C$42,K20&lt;=CODES!$D$42),"PASS","FAIL")</f>
      </c>
      <c r="L76" s="6" t="str">
        <f>IF(AND(L20&gt;=CODES!$C$43,L20&lt;=CODES!$D$43),"PASS","FAIL")</f>
      </c>
      <c r="M76" s="6" t="str">
        <f>IF(AND(M20&gt;=CODES!$C$44,M20&lt;=CODES!$D$44),"PASS","FAIL")</f>
      </c>
      <c r="N76" s="6" t="str">
        <f t="shared" si="1"/>
      </c>
      <c r="O76" s="62" t="str">
        <f t="shared" si="13"/>
      </c>
      <c r="P76" s="6"/>
    </row>
    <row r="77" spans="2:16" hidden="1" x14ac:dyDescent="0.25">
      <c r="B77" s="61" t="str">
        <f t="shared" ref="B77:O77" si="14">B21</f>
      </c>
      <c r="C77" s="6" t="str">
        <f t="shared" si="14"/>
      </c>
      <c r="D77" s="6" t="str">
        <f t="shared" si="14"/>
      </c>
      <c r="E77" s="6" t="str">
        <f>IF(AND(E21&gt;=CODES!$C$34,E21&lt;=CODES!$D$34),"PASS","FAIL")</f>
      </c>
      <c r="F77" s="6" t="str">
        <f>IF(AND(F21&gt;=CODES!$C$35,F21&lt;=CODES!$D$35),"PASS","FAIL")</f>
      </c>
      <c r="G77" s="6" t="str">
        <f t="shared" si="14"/>
      </c>
      <c r="H77" s="6" t="str">
        <f>IF(AND(H21&gt;=CODES!$C$37,H21&lt;=CODES!$D$37),"PASS","FAIL")</f>
      </c>
      <c r="I77" s="6" t="str">
        <f>IF(ISTEXT(I21),I21,IF(ISERROR(I21),"CHECK DUP",IF(I21&gt;CODES!$B$39,"FAIL","PASS")))</f>
      </c>
      <c r="J77" s="6" t="str">
        <f>IF(AND(J21&gt;=CODES!$C$41,J21&lt;=CODES!$D$41),"PASS","FAIL")</f>
      </c>
      <c r="K77" s="6" t="str">
        <f>IF(AND(K21&gt;=CODES!$C$42,K21&lt;=CODES!$D$42),"PASS","FAIL")</f>
      </c>
      <c r="L77" s="6" t="str">
        <f>IF(AND(L21&gt;=CODES!$C$43,L21&lt;=CODES!$D$43),"PASS","FAIL")</f>
      </c>
      <c r="M77" s="6" t="str">
        <f>IF(AND(M21&gt;=CODES!$C$44,M21&lt;=CODES!$D$44),"PASS","FAIL")</f>
      </c>
      <c r="N77" s="6" t="str">
        <f t="shared" si="1"/>
      </c>
      <c r="O77" s="62" t="str">
        <f t="shared" si="14"/>
      </c>
      <c r="P77" s="6"/>
    </row>
    <row r="78" spans="2:16" hidden="1" x14ac:dyDescent="0.25">
      <c r="B78" s="61" t="str">
        <f t="shared" ref="B78:O78" si="15">B22</f>
      </c>
      <c r="C78" s="6" t="str">
        <f t="shared" si="15"/>
      </c>
      <c r="D78" s="6" t="str">
        <f t="shared" si="15"/>
      </c>
      <c r="E78" s="6" t="str">
        <f>IF(AND(E22&gt;=CODES!$C$34,E22&lt;=CODES!$D$34),"PASS","FAIL")</f>
      </c>
      <c r="F78" s="6" t="str">
        <f>IF(AND(F22&gt;=CODES!$C$35,F22&lt;=CODES!$D$35),"PASS","FAIL")</f>
      </c>
      <c r="G78" s="6" t="str">
        <f t="shared" si="15"/>
      </c>
      <c r="H78" s="6" t="str">
        <f>IF(AND(H22&gt;=CODES!$C$37,H22&lt;=CODES!$D$37),"PASS","FAIL")</f>
      </c>
      <c r="I78" s="6" t="str">
        <f>IF(ISTEXT(I22),I22,IF(ISERROR(I22),"CHECK DUP",IF(I22&gt;CODES!$B$39,"FAIL","PASS")))</f>
      </c>
      <c r="J78" s="6" t="str">
        <f>IF(AND(J22&gt;=CODES!$C$41,J22&lt;=CODES!$D$41),"PASS","FAIL")</f>
      </c>
      <c r="K78" s="6" t="str">
        <f>IF(AND(K22&gt;=CODES!$C$42,K22&lt;=CODES!$D$42),"PASS","FAIL")</f>
      </c>
      <c r="L78" s="6" t="str">
        <f>IF(AND(L22&gt;=CODES!$C$43,L22&lt;=CODES!$D$43),"PASS","FAIL")</f>
      </c>
      <c r="M78" s="6" t="str">
        <f>IF(AND(M22&gt;=CODES!$C$44,M22&lt;=CODES!$D$44),"PASS","FAIL")</f>
      </c>
      <c r="N78" s="6" t="str">
        <f t="shared" si="1"/>
      </c>
      <c r="O78" s="62" t="str">
        <f t="shared" si="15"/>
      </c>
      <c r="P78" s="6"/>
    </row>
    <row r="79" spans="2:16" x14ac:dyDescent="0.25">
      <c r="B79" s="61" t="str">
        <f t="shared" ref="B79:O79" si="16">B23</f>
      </c>
      <c r="C79" s="6" t="str">
        <f t="shared" si="16"/>
      </c>
      <c r="D79" s="6" t="str">
        <f t="shared" si="16"/>
      </c>
      <c r="E79" s="6" t="str">
        <f>IF(AND(E23&gt;=CODES!$C$34,E23&lt;=CODES!$D$34),"PASS","FAIL")</f>
      </c>
      <c r="F79" s="6" t="str">
        <f>IF(AND(F23&gt;=CODES!$C$35,F23&lt;=CODES!$D$35),"PASS","FAIL")</f>
      </c>
      <c r="G79" s="6" t="str">
        <f t="shared" si="16"/>
      </c>
      <c r="H79" s="6" t="str">
        <f>IF(AND(H23&gt;=CODES!$C$37,H23&lt;=CODES!$D$37),"PASS","FAIL")</f>
      </c>
      <c r="I79" s="6" t="str">
        <f>IF(ISTEXT(I23),I23,IF(ISERROR(I23),"CHECK DUP",IF(I23&gt;CODES!$B$39,"FAIL","PASS")))</f>
      </c>
      <c r="J79" s="6" t="str">
        <f>IF(AND(J23&gt;=CODES!$C$41,J23&lt;=CODES!$D$41),"PASS","FAIL")</f>
      </c>
      <c r="K79" s="6" t="str">
        <f>IF(AND(K23&gt;=CODES!$C$42,K23&lt;=CODES!$D$42),"PASS","FAIL")</f>
      </c>
      <c r="L79" s="6" t="str">
        <f>IFERROR(L23,"IC Metal")</f>
      </c>
      <c r="M79" s="6" t="str">
        <f>IF(AND(M23&gt;=CODES!$C$44,M23&lt;=CODES!$D$44),"PASS","FAIL")</f>
      </c>
      <c r="N79" s="6" t="str">
        <f t="shared" si="1"/>
      </c>
      <c r="O79" s="62" t="str">
        <f t="shared" si="16"/>
      </c>
      <c r="P79" s="6"/>
    </row>
    <row r="80" spans="2:16" hidden="1" x14ac:dyDescent="0.25">
      <c r="B80" s="61" t="str">
        <f t="shared" ref="B80:O80" si="17">B24</f>
      </c>
      <c r="C80" s="6" t="str">
        <f t="shared" si="17"/>
      </c>
      <c r="D80" s="6" t="str">
        <f t="shared" si="17"/>
      </c>
      <c r="E80" s="6" t="str">
        <f>IF(AND(E24&gt;=CODES!$C$34,E24&lt;=CODES!$D$34),"PASS","FAIL")</f>
      </c>
      <c r="F80" s="6" t="str">
        <f>IF(AND(F24&gt;=CODES!$C$35,F24&lt;=CODES!$D$35),"PASS","FAIL")</f>
      </c>
      <c r="G80" s="6" t="str">
        <f t="shared" si="17"/>
      </c>
      <c r="H80" s="6" t="str">
        <f>IF(AND(H24&gt;=CODES!$C$37,H24&lt;=CODES!$D$37),"PASS","FAIL")</f>
      </c>
      <c r="I80" s="6" t="str">
        <f>IF(ISTEXT(I24),I24,IF(ISERROR(I24),"CHECK DUP",IF(I24&gt;CODES!$B$39,"FAIL","PASS")))</f>
      </c>
      <c r="J80" s="6" t="str">
        <f>IF(AND(J24&gt;=CODES!$C$41,J24&lt;=CODES!$D$41),"PASS","FAIL")</f>
      </c>
      <c r="K80" s="6" t="str">
        <f>IF(AND(K24&gt;=CODES!$C$42,K24&lt;=CODES!$D$42),"PASS","FAIL")</f>
      </c>
      <c r="L80" s="6" t="str">
        <f>IF(AND(L24&gt;=CODES!$C$43,L24&lt;=CODES!$D$43),"PASS","FAIL")</f>
      </c>
      <c r="M80" s="6" t="str">
        <f>IF(AND(M24&gt;=CODES!$C$44,M24&lt;=CODES!$D$44),"PASS","FAIL")</f>
      </c>
      <c r="N80" s="6" t="str">
        <f t="shared" si="1"/>
      </c>
      <c r="O80" s="62" t="str">
        <f t="shared" si="17"/>
      </c>
      <c r="P80" s="6"/>
    </row>
    <row r="81" spans="2:16" hidden="1" x14ac:dyDescent="0.25">
      <c r="B81" s="61" t="str">
        <f t="shared" ref="B81:O81" si="18">B25</f>
      </c>
      <c r="C81" s="6" t="str">
        <f t="shared" si="18"/>
      </c>
      <c r="D81" s="6" t="str">
        <f t="shared" si="18"/>
      </c>
      <c r="E81" s="6" t="str">
        <f>IF(AND(E25&gt;=CODES!$C$34,E25&lt;=CODES!$D$34),"PASS","FAIL")</f>
      </c>
      <c r="F81" s="6" t="str">
        <f>IF(AND(F25&gt;=CODES!$C$35,F25&lt;=CODES!$D$35),"PASS","FAIL")</f>
      </c>
      <c r="G81" s="6" t="str">
        <f t="shared" si="18"/>
      </c>
      <c r="H81" s="6" t="str">
        <f>IF(AND(H25&gt;=CODES!$C$37,H25&lt;=CODES!$D$37),"PASS","FAIL")</f>
      </c>
      <c r="I81" s="6" t="str">
        <f>IF(ISTEXT(I25),I25,IF(ISERROR(I25),"CHECK DUP",IF(I25&gt;CODES!$B$39,"FAIL","PASS")))</f>
      </c>
      <c r="J81" s="6" t="str">
        <f>IF(AND(J25&gt;=CODES!$C$41,J25&lt;=CODES!$D$41),"PASS","FAIL")</f>
      </c>
      <c r="K81" s="6" t="str">
        <f>IF(AND(K25&gt;=CODES!$C$42,K25&lt;=CODES!$D$42),"PASS","FAIL")</f>
      </c>
      <c r="L81" s="6" t="str">
        <f>IF(AND(L25&gt;=CODES!$C$43,L25&lt;=CODES!$D$43),"PASS","FAIL")</f>
      </c>
      <c r="M81" s="6" t="str">
        <f>IF(AND(M25&gt;=CODES!$C$44,M25&lt;=CODES!$D$44),"PASS","FAIL")</f>
      </c>
      <c r="N81" s="6" t="str">
        <f t="shared" si="1"/>
      </c>
      <c r="O81" s="62" t="str">
        <f t="shared" si="18"/>
      </c>
      <c r="P81" s="6"/>
    </row>
    <row r="82" spans="2:16" hidden="1" x14ac:dyDescent="0.25">
      <c r="B82" s="61" t="str">
        <f t="shared" ref="B82:O82" si="19">B26</f>
      </c>
      <c r="C82" s="6" t="str">
        <f t="shared" si="19"/>
      </c>
      <c r="D82" s="6" t="str">
        <f t="shared" si="19"/>
      </c>
      <c r="E82" s="6" t="str">
        <f>IF(AND(E26&gt;=CODES!$C$34,E26&lt;=CODES!$D$34),"PASS","FAIL")</f>
      </c>
      <c r="F82" s="6" t="str">
        <f>IF(AND(F26&gt;=CODES!$C$35,F26&lt;=CODES!$D$35),"PASS","FAIL")</f>
      </c>
      <c r="G82" s="6" t="str">
        <f t="shared" si="19"/>
      </c>
      <c r="H82" s="6" t="str">
        <f>IF(AND(H26&gt;=CODES!$C$37,H26&lt;=CODES!$D$37),"PASS","FAIL")</f>
      </c>
      <c r="I82" s="6" t="str">
        <f>IF(ISTEXT(I26),I26,IF(ISERROR(I26),"CHECK DUP",IF(I26&gt;CODES!$B$39,"FAIL","PASS")))</f>
      </c>
      <c r="J82" s="6" t="str">
        <f>IF(AND(J26&gt;=CODES!$C$41,J26&lt;=CODES!$D$41),"PASS","FAIL")</f>
      </c>
      <c r="K82" s="6" t="str">
        <f>IF(AND(K26&gt;=CODES!$C$42,K26&lt;=CODES!$D$42),"PASS","FAIL")</f>
      </c>
      <c r="L82" s="6" t="str">
        <f>IF(AND(L26&gt;=CODES!$C$43,L26&lt;=CODES!$D$43),"PASS","FAIL")</f>
      </c>
      <c r="M82" s="6" t="str">
        <f>IF(AND(M26&gt;=CODES!$C$44,M26&lt;=CODES!$D$44),"PASS","FAIL")</f>
      </c>
      <c r="N82" s="6" t="str">
        <f t="shared" si="1"/>
      </c>
      <c r="O82" s="62" t="str">
        <f t="shared" si="19"/>
      </c>
      <c r="P82" s="6"/>
    </row>
    <row r="83" spans="2:16" hidden="1" x14ac:dyDescent="0.25">
      <c r="B83" s="61" t="str">
        <f t="shared" ref="B83:O83" si="20">B27</f>
      </c>
      <c r="C83" s="6" t="str">
        <f t="shared" si="20"/>
      </c>
      <c r="D83" s="6" t="str">
        <f t="shared" si="20"/>
      </c>
      <c r="E83" s="6" t="str">
        <f>IF(AND(E27&gt;=CODES!$C$34,E27&lt;=CODES!$D$34),"PASS","FAIL")</f>
      </c>
      <c r="F83" s="6" t="str">
        <f>IF(AND(F27&gt;=CODES!$C$35,F27&lt;=CODES!$D$35),"PASS","FAIL")</f>
      </c>
      <c r="G83" s="6" t="str">
        <f t="shared" si="20"/>
      </c>
      <c r="H83" s="6" t="str">
        <f>IF(AND(H27&gt;=CODES!$C$37,H27&lt;=CODES!$D$37),"PASS","FAIL")</f>
      </c>
      <c r="I83" s="6" t="str">
        <f>IF(ISTEXT(I27),I27,IF(ISERROR(I27),"CHECK DUP",IF(I27&gt;CODES!$B$39,"FAIL","PASS")))</f>
      </c>
      <c r="J83" s="6" t="str">
        <f>IF(AND(J27&gt;=CODES!$C$41,J27&lt;=CODES!$D$41),"PASS","FAIL")</f>
      </c>
      <c r="K83" s="6" t="str">
        <f>IF(AND(K27&gt;=CODES!$C$42,K27&lt;=CODES!$D$42),"PASS","FAIL")</f>
      </c>
      <c r="L83" s="6" t="str">
        <f>IF(AND(L27&gt;=CODES!$C$43,L27&lt;=CODES!$D$43),"PASS","FAIL")</f>
      </c>
      <c r="M83" s="6" t="str">
        <f>IF(AND(M27&gt;=CODES!$C$44,M27&lt;=CODES!$D$44),"PASS","FAIL")</f>
      </c>
      <c r="N83" s="6" t="str">
        <f t="shared" si="1"/>
      </c>
      <c r="O83" s="62" t="str">
        <f t="shared" si="20"/>
      </c>
      <c r="P83" s="6"/>
    </row>
    <row r="84" spans="2:16" hidden="1" x14ac:dyDescent="0.25">
      <c r="B84" s="61" t="str">
        <f t="shared" ref="B84:O84" si="21">B28</f>
      </c>
      <c r="C84" s="6" t="str">
        <f t="shared" si="21"/>
      </c>
      <c r="D84" s="6" t="str">
        <f t="shared" si="21"/>
      </c>
      <c r="E84" s="6" t="str">
        <f>IF(AND(E28&gt;=CODES!$C$34,E28&lt;=CODES!$D$34),"PASS","FAIL")</f>
      </c>
      <c r="F84" s="6" t="str">
        <f>IF(AND(F28&gt;=CODES!$C$35,F28&lt;=CODES!$D$35),"PASS","FAIL")</f>
      </c>
      <c r="G84" s="6" t="str">
        <f t="shared" si="21"/>
      </c>
      <c r="H84" s="6" t="str">
        <f>IF(AND(H28&gt;=CODES!$C$37,H28&lt;=CODES!$D$37),"PASS","FAIL")</f>
      </c>
      <c r="I84" s="6" t="str">
        <f>IF(ISTEXT(I28),I28,IF(ISERROR(I28),"CHECK DUP",IF(I28&gt;CODES!$B$39,"FAIL","PASS")))</f>
      </c>
      <c r="J84" s="6" t="str">
        <f>IF(AND(J28&gt;=CODES!$C$41,J28&lt;=CODES!$D$41),"PASS","FAIL")</f>
      </c>
      <c r="K84" s="6" t="str">
        <f>IF(AND(K28&gt;=CODES!$C$42,K28&lt;=CODES!$D$42),"PASS","FAIL")</f>
      </c>
      <c r="L84" s="6" t="str">
        <f>IF(AND(L28&gt;=CODES!$C$43,L28&lt;=CODES!$D$43),"PASS","FAIL")</f>
      </c>
      <c r="M84" s="6" t="str">
        <f>IF(AND(M28&gt;=CODES!$C$44,M28&lt;=CODES!$D$44),"PASS","FAIL")</f>
      </c>
      <c r="N84" s="6" t="str">
        <f t="shared" si="1"/>
      </c>
      <c r="O84" s="62" t="str">
        <f t="shared" si="21"/>
      </c>
      <c r="P84" s="6"/>
    </row>
    <row r="85" spans="2:16" x14ac:dyDescent="0.25">
      <c r="B85" s="61" t="str">
        <f t="shared" ref="B85:O85" si="22">B29</f>
      </c>
      <c r="C85" s="6" t="str">
        <f t="shared" si="22"/>
      </c>
      <c r="D85" s="6" t="str">
        <f t="shared" si="22"/>
      </c>
      <c r="E85" s="6" t="str">
        <f>IF(AND(E29&gt;=CODES!$C$34,E29&lt;=CODES!$D$34),"PASS","FAIL")</f>
      </c>
      <c r="F85" s="6" t="str">
        <f>IF(AND(F29&gt;=CODES!$C$35,F29&lt;=CODES!$D$35),"PASS","FAIL")</f>
      </c>
      <c r="G85" s="6" t="str">
        <f t="shared" si="22"/>
      </c>
      <c r="H85" s="6" t="str">
        <f>IF(AND(H29&gt;=CODES!$C$37,H29&lt;=CODES!$D$37),"PASS","FAIL")</f>
      </c>
      <c r="I85" s="6" t="str">
        <f>IF(ISTEXT(I29),I29,IF(ISERROR(I29),"CHECK DUP",IF(I29&gt;CODES!$B$39,"FAIL","PASS")))</f>
      </c>
      <c r="J85" s="6" t="str">
        <f>IF(AND(J29&gt;=CODES!$C$41,J29&lt;=CODES!$D$41),"PASS","FAIL")</f>
      </c>
      <c r="K85" s="6" t="str">
        <f>IF(AND(K29&gt;=CODES!$C$42,K29&lt;=CODES!$D$42),"PASS","FAIL")</f>
      </c>
      <c r="L85" s="6" t="str">
        <f>IF(AND(L29&gt;=CODES!$C$43,L29&lt;=CODES!$D$43),"PASS","FAIL")</f>
      </c>
      <c r="M85" s="6" t="str">
        <f>IF(AND(M29&gt;=CODES!$C$44,M29&lt;=CODES!$D$44),"PASS","FAIL")</f>
      </c>
      <c r="N85" s="6" t="str">
        <f t="shared" si="1"/>
      </c>
      <c r="O85" s="62" t="str">
        <f t="shared" si="22"/>
      </c>
      <c r="P85" s="6"/>
    </row>
    <row r="86" spans="2:16" hidden="1" x14ac:dyDescent="0.25">
      <c r="B86" s="61" t="str">
        <f t="shared" ref="B86:O86" si="23">B30</f>
      </c>
      <c r="C86" s="6" t="str">
        <f t="shared" si="23"/>
      </c>
      <c r="D86" s="6" t="str">
        <f t="shared" si="23"/>
      </c>
      <c r="E86" s="6" t="str">
        <f>IF(AND(E30&gt;=CODES!$C$34,E30&lt;=CODES!$D$34),"PASS","FAIL")</f>
      </c>
      <c r="F86" s="6" t="str">
        <f>IF(AND(F30&gt;=CODES!$C$35,F30&lt;=CODES!$D$35),"PASS","FAIL")</f>
      </c>
      <c r="G86" s="6" t="str">
        <f t="shared" si="23"/>
      </c>
      <c r="H86" s="6" t="str">
        <f>IF(AND(H30&gt;=CODES!$C$37,H30&lt;=CODES!$D$37),"PASS","FAIL")</f>
      </c>
      <c r="I86" s="6" t="str">
        <f>IF(ISTEXT(I30),I30,IF(ISERROR(I30),"CHECK DUP",IF(I30&gt;CODES!$B$39,"FAIL","PASS")))</f>
      </c>
      <c r="J86" s="6" t="str">
        <f>IF(AND(J30&gt;=CODES!$C$41,J30&lt;=CODES!$D$41),"PASS","FAIL")</f>
      </c>
      <c r="K86" s="6" t="str">
        <f>IF(AND(K30&gt;=CODES!$C$42,K30&lt;=CODES!$D$42),"PASS","FAIL")</f>
      </c>
      <c r="L86" s="6" t="str">
        <f>IF(AND(L30&gt;=CODES!$C$43,L30&lt;=CODES!$D$43),"PASS","FAIL")</f>
      </c>
      <c r="M86" s="6" t="str">
        <f>IF(AND(M30&gt;=CODES!$C$44,M30&lt;=CODES!$D$44),"PASS","FAIL")</f>
      </c>
      <c r="N86" s="6" t="str">
        <f t="shared" si="1"/>
      </c>
      <c r="O86" s="62" t="str">
        <f t="shared" si="23"/>
      </c>
      <c r="P86" s="6"/>
    </row>
    <row r="87" spans="2:16" hidden="1" x14ac:dyDescent="0.25">
      <c r="B87" s="61" t="str">
        <f t="shared" ref="B87:O87" si="24">B31</f>
      </c>
      <c r="C87" s="6" t="str">
        <f t="shared" si="24"/>
      </c>
      <c r="D87" s="6" t="str">
        <f t="shared" si="24"/>
      </c>
      <c r="E87" s="6" t="str">
        <f>IF(AND(E31&gt;=CODES!$C$34,E31&lt;=CODES!$D$34),"PASS","FAIL")</f>
      </c>
      <c r="F87" s="6" t="str">
        <f>IF(AND(F31&gt;=CODES!$C$35,F31&lt;=CODES!$D$35),"PASS","FAIL")</f>
      </c>
      <c r="G87" s="6" t="str">
        <f t="shared" si="24"/>
      </c>
      <c r="H87" s="6" t="str">
        <f>IF(AND(H31&gt;=CODES!$C$37,H31&lt;=CODES!$D$37),"PASS","FAIL")</f>
      </c>
      <c r="I87" s="6" t="str">
        <f>IF(ISTEXT(I31),I31,IF(ISERROR(I31),"CHECK DUP",IF(I31&gt;CODES!$B$39,"FAIL","PASS")))</f>
      </c>
      <c r="J87" s="6" t="str">
        <f>IF(AND(J31&gt;=CODES!$C$41,J31&lt;=CODES!$D$41),"PASS","FAIL")</f>
      </c>
      <c r="K87" s="6" t="str">
        <f>IF(AND(K31&gt;=CODES!$C$42,K31&lt;=CODES!$D$42),"PASS","FAIL")</f>
      </c>
      <c r="L87" s="6" t="str">
        <f>IF(AND(L31&gt;=CODES!$C$43,L31&lt;=CODES!$D$43),"PASS","FAIL")</f>
      </c>
      <c r="M87" s="6" t="str">
        <f>IF(AND(M31&gt;=CODES!$C$44,M31&lt;=CODES!$D$44),"PASS","FAIL")</f>
      </c>
      <c r="N87" s="6" t="str">
        <f t="shared" si="1"/>
      </c>
      <c r="O87" s="62" t="str">
        <f t="shared" si="24"/>
      </c>
      <c r="P87" s="6"/>
    </row>
    <row r="88" spans="2:16" x14ac:dyDescent="0.25">
      <c r="B88" s="61" t="str">
        <f t="shared" ref="B88:O88" si="25">B32</f>
      </c>
      <c r="C88" s="6" t="str">
        <f t="shared" si="25"/>
      </c>
      <c r="D88" s="6" t="str">
        <f t="shared" si="25"/>
      </c>
      <c r="E88" s="6" t="str">
        <f>IF(AND(E32&gt;=CODES!$C$34,E32&lt;=CODES!$D$34),"PASS","FAIL")</f>
      </c>
      <c r="F88" s="6" t="str">
        <f>IF(AND(F32&gt;=CODES!$C$35,F32&lt;=CODES!$D$35),"PASS","FAIL")</f>
      </c>
      <c r="G88" s="6" t="str">
        <f t="shared" si="25"/>
      </c>
      <c r="H88" s="6" t="str">
        <f>IF(AND(H32&gt;=CODES!$C$37,H32&lt;=CODES!$D$37),"PASS","FAIL")</f>
      </c>
      <c r="I88" s="6" t="str">
        <f>IF(ISTEXT(I32),I32,IF(ISERROR(I32),"CHECK DUP",IF(I32&gt;CODES!$B$39,"FAIL","PASS")))</f>
      </c>
      <c r="J88" s="6" t="str">
        <f>IF(AND(J32&gt;=CODES!$C$41,J32&lt;=CODES!$D$41),"PASS","FAIL")</f>
      </c>
      <c r="K88" s="6" t="str">
        <f>IF(AND(K32&gt;=CODES!$C$42,K32&lt;=CODES!$D$42),"PASS","FAIL")</f>
      </c>
      <c r="L88" s="6" t="str">
        <f>IF(AND(L32&gt;=CODES!$C$43,L32&lt;=CODES!$D$43),"PASS","FAIL")</f>
      </c>
      <c r="M88" s="6" t="str">
        <f>IF(AND(M32&gt;=CODES!$C$44,M32&lt;=CODES!$D$44),"PASS","FAIL")</f>
      </c>
      <c r="N88" s="6" t="str">
        <f t="shared" si="1"/>
      </c>
      <c r="O88" s="62" t="str">
        <f t="shared" si="25"/>
      </c>
      <c r="P88" s="6"/>
    </row>
    <row r="89" spans="2:16" x14ac:dyDescent="0.25">
      <c r="B89" s="61" t="str">
        <f t="shared" ref="B89:O89" si="26">B33</f>
      </c>
      <c r="C89" s="6" t="str">
        <f t="shared" si="26"/>
      </c>
      <c r="D89" s="6" t="str">
        <f t="shared" si="26"/>
      </c>
      <c r="E89" s="6" t="str">
        <f>IF(AND(E33&gt;=CODES!$C$34,E33&lt;=CODES!$D$34),"PASS","FAIL")</f>
      </c>
      <c r="F89" s="6" t="str">
        <f>IF(AND(F33&gt;=CODES!$C$35,F33&lt;=CODES!$D$35),"PASS","FAIL")</f>
      </c>
      <c r="G89" s="6" t="str">
        <f t="shared" si="26"/>
      </c>
      <c r="H89" s="6" t="str">
        <f>IF(AND(H33&gt;=CODES!$C$37,H33&lt;=CODES!$D$37),"PASS","FAIL")</f>
      </c>
      <c r="I89" s="6" t="str">
        <f>IF(ISTEXT(I33),I33,IF(ISERROR(I33),"CHECK DUP",IF(I33&gt;CODES!$B$39,"FAIL","PASS")))</f>
      </c>
      <c r="J89" s="6" t="str">
        <f>IF(AND(J33&gt;=CODES!$C$41,J33&lt;=CODES!$D$41),"PASS","FAIL")</f>
      </c>
      <c r="K89" s="6" t="str">
        <f>IF(AND(K33&gt;=CODES!$C$42,K33&lt;=CODES!$D$42),"PASS","FAIL")</f>
      </c>
      <c r="L89" s="6" t="str">
        <f>IF(AND(L33&gt;=CODES!$C$43,L33&lt;=CODES!$D$43),"PASS","FAIL")</f>
      </c>
      <c r="M89" s="6" t="str">
        <f>IF(AND(M33&gt;=CODES!$C$44,M33&lt;=CODES!$D$44),"PASS","FAIL")</f>
      </c>
      <c r="N89" s="6" t="str">
        <f t="shared" si="1"/>
      </c>
      <c r="O89" s="62" t="str">
        <f t="shared" si="26"/>
      </c>
      <c r="P89" s="6"/>
    </row>
    <row r="90" spans="2:16" x14ac:dyDescent="0.25">
      <c r="B90" s="61" t="str">
        <f t="shared" ref="B90:O90" si="27">B34</f>
      </c>
      <c r="C90" s="6" t="str">
        <f t="shared" si="27"/>
      </c>
      <c r="D90" s="6" t="str">
        <f t="shared" si="27"/>
      </c>
      <c r="E90" s="6" t="str">
        <f>IF(AND(E34&gt;=CODES!$C$34,E34&lt;=CODES!$D$34),"PASS","FAIL")</f>
      </c>
      <c r="F90" s="6" t="str">
        <f>IF(AND(F34&gt;=CODES!$C$35,F34&lt;=CODES!$D$35),"PASS","FAIL")</f>
      </c>
      <c r="G90" s="6" t="str">
        <f t="shared" si="27"/>
      </c>
      <c r="H90" s="6" t="str">
        <f>IF(AND(H34&gt;=CODES!$C$37,H34&lt;=CODES!$D$37),"PASS","FAIL")</f>
      </c>
      <c r="I90" s="6" t="str">
        <f>IF(ISTEXT(I34),I34,IF(ISERROR(I34),"CHECK DUP",IF(I34&gt;CODES!$B$39,"FAIL","PASS")))</f>
      </c>
      <c r="J90" s="6" t="str">
        <f>IF(AND(J34&gt;=CODES!$C$41,J34&lt;=CODES!$D$41),"PASS","FAIL")</f>
      </c>
      <c r="K90" s="6" t="str">
        <f>IF(AND(K34&gt;=CODES!$C$42,K34&lt;=CODES!$D$42),"PASS","FAIL")</f>
      </c>
      <c r="L90" s="6" t="str">
        <f>IF(AND(L34&gt;=CODES!$C$43,L34&lt;=CODES!$D$43),"PASS","FAIL")</f>
      </c>
      <c r="M90" s="6" t="str">
        <f>IF(AND(M34&gt;=CODES!$C$44,M34&lt;=CODES!$D$44),"PASS","FAIL")</f>
      </c>
      <c r="N90" s="6" t="str">
        <f t="shared" si="1"/>
      </c>
      <c r="O90" s="62" t="str">
        <f t="shared" si="27"/>
      </c>
      <c r="P90" s="6"/>
    </row>
    <row r="91" spans="2:16" x14ac:dyDescent="0.25">
      <c r="B91" s="61" t="str">
        <f t="shared" ref="B91:O91" si="28">B35</f>
      </c>
      <c r="C91" s="6" t="str">
        <f t="shared" si="28"/>
      </c>
      <c r="D91" s="6" t="str">
        <f t="shared" si="28"/>
      </c>
      <c r="E91" s="6" t="str">
        <f>IF(AND(E35&gt;=CODES!$C$34,E35&lt;=CODES!$D$34),"PASS","FAIL")</f>
      </c>
      <c r="F91" s="6" t="str">
        <f>IF(AND(F35&gt;=CODES!$C$35,F35&lt;=CODES!$D$35),"PASS","FAIL")</f>
      </c>
      <c r="G91" s="6" t="str">
        <f t="shared" si="28"/>
      </c>
      <c r="H91" s="6" t="str">
        <f>IF(AND(H35&gt;=CODES!$C$37,H35&lt;=CODES!$D$37),"PASS","FAIL")</f>
      </c>
      <c r="I91" s="6" t="str">
        <f>IF(ISTEXT(I35),I35,IF(ISERROR(I35),"CHECK DUP",IF(I35&gt;CODES!$B$39,"FAIL","PASS")))</f>
      </c>
      <c r="J91" s="6" t="str">
        <f>IF(AND(J35&gt;=CODES!$C$41,J35&lt;=CODES!$D$41),"PASS","FAIL")</f>
      </c>
      <c r="K91" s="6" t="str">
        <f>IF(AND(K35&gt;=CODES!$C$42,K35&lt;=CODES!$D$42),"PASS","FAIL")</f>
      </c>
      <c r="L91" s="6" t="str">
        <f>IF(AND(L35&gt;=CODES!$C$43,L35&lt;=CODES!$D$43),"PASS","FAIL")</f>
      </c>
      <c r="M91" s="6" t="str">
        <f>IF(AND(M35&gt;=CODES!$C$44,M35&lt;=CODES!$D$44),"PASS","FAIL")</f>
      </c>
      <c r="N91" s="6" t="str">
        <f t="shared" si="1"/>
      </c>
      <c r="O91" s="62" t="str">
        <f t="shared" si="28"/>
      </c>
      <c r="P91" s="6"/>
    </row>
    <row r="92" spans="2:16" hidden="1" x14ac:dyDescent="0.25">
      <c r="B92" s="61" t="str">
        <f t="shared" ref="B92:O92" si="29">B36</f>
      </c>
      <c r="C92" s="6" t="str">
        <f t="shared" si="29"/>
      </c>
      <c r="D92" s="6" t="str">
        <f t="shared" si="29"/>
      </c>
      <c r="E92" s="6" t="str">
        <f>IF(AND(E36&gt;=CODES!$C$34,E36&lt;=CODES!$D$34),"PASS","FAIL")</f>
      </c>
      <c r="F92" s="6" t="str">
        <f>IF(AND(F36&gt;=CODES!$C$35,F36&lt;=CODES!$D$35),"PASS","FAIL")</f>
      </c>
      <c r="G92" s="6" t="str">
        <f t="shared" si="29"/>
      </c>
      <c r="H92" s="6" t="str">
        <f>IF(AND(H36&gt;=CODES!$C$37,H36&lt;=CODES!$D$37),"PASS","FAIL")</f>
      </c>
      <c r="I92" s="6" t="str">
        <f>IF(ISTEXT(I36),I36,IF(ISERROR(I36),"CHECK DUP",IF(I36&gt;CODES!$B$39,"FAIL","PASS")))</f>
      </c>
      <c r="J92" s="6" t="str">
        <f>IF(AND(J36&gt;=CODES!$C$41,J36&lt;=CODES!$D$41),"PASS","FAIL")</f>
      </c>
      <c r="K92" s="6" t="e">
        <f>IF(AND(K36&gt;=CODES!$C$42,K36&lt;=CODES!$D$42),"PASS","FAIL")</f>
      </c>
      <c r="L92" s="6" t="e">
        <f>IF(AND(L36&gt;=CODES!$C$43,L36&lt;=CODES!$D$43),"PASS","FAIL")</f>
      </c>
      <c r="M92" s="6" t="e">
        <f>IF(AND(M36&gt;=CODES!$C$44,M36&lt;=CODES!$D$44),"PASS","FAIL")</f>
      </c>
      <c r="N92" s="6" t="str">
        <f t="shared" si="1"/>
      </c>
      <c r="O92" s="62" t="str">
        <f t="shared" si="29"/>
      </c>
      <c r="P92" s="6"/>
    </row>
    <row r="93" spans="2:16" hidden="1" x14ac:dyDescent="0.25">
      <c r="B93" s="61" t="str">
        <f t="shared" ref="B93:O93" si="30">B37</f>
      </c>
      <c r="C93" s="6" t="str">
        <f t="shared" si="30"/>
      </c>
      <c r="D93" s="6" t="str">
        <f t="shared" si="30"/>
      </c>
      <c r="E93" s="6" t="str">
        <f>IF(AND(E37&gt;=CODES!$C$34,E37&lt;=CODES!$D$34),"PASS","FAIL")</f>
      </c>
      <c r="F93" s="6" t="str">
        <f>IF(AND(F37&gt;=CODES!$C$35,F37&lt;=CODES!$D$35),"PASS","FAIL")</f>
      </c>
      <c r="G93" s="6" t="str">
        <f t="shared" si="30"/>
      </c>
      <c r="H93" s="6" t="str">
        <f>IF(AND(H37&gt;=CODES!$C$37,H37&lt;=CODES!$D$37),"PASS","FAIL")</f>
      </c>
      <c r="I93" s="6" t="str">
        <f>IF(ISTEXT(I37),I37,IF(ISERROR(I37),"CHECK DUP",IF(I37&gt;CODES!$B$39,"FAIL","PASS")))</f>
      </c>
      <c r="J93" s="6" t="str">
        <f>IF(AND(J37&gt;=CODES!$C$41,J37&lt;=CODES!$D$41),"PASS","FAIL")</f>
      </c>
      <c r="K93" s="6" t="str">
        <f>IF(AND(K37&gt;=CODES!$C$42,K37&lt;=CODES!$D$42),"PASS","FAIL")</f>
      </c>
      <c r="L93" s="6" t="str">
        <f>IF(AND(L37&gt;=CODES!$C$43,L37&lt;=CODES!$D$43),"PASS","FAIL")</f>
      </c>
      <c r="M93" s="6" t="str">
        <f>IF(AND(M37&gt;=CODES!$C$44,M37&lt;=CODES!$D$44),"PASS","FAIL")</f>
      </c>
      <c r="N93" s="6" t="str">
        <f t="shared" si="1"/>
      </c>
      <c r="O93" s="62" t="str">
        <f t="shared" si="30"/>
      </c>
      <c r="P93" s="6"/>
    </row>
    <row r="94" spans="2:16" x14ac:dyDescent="0.25">
      <c r="B94" s="61" t="str">
        <f t="shared" ref="B94:O94" si="31">B38</f>
      </c>
      <c r="C94" s="6" t="str">
        <f t="shared" si="31"/>
      </c>
      <c r="D94" s="6" t="str">
        <f t="shared" si="31"/>
      </c>
      <c r="E94" s="6" t="str">
        <f>IF(AND(E38&gt;=CODES!$C$34,E38&lt;=CODES!$D$34),"PASS","FAIL")</f>
      </c>
      <c r="F94" s="6" t="str">
        <f>IF(AND(F38&gt;=CODES!$C$35,F38&lt;=CODES!$D$35),"PASS","FAIL")</f>
      </c>
      <c r="G94" s="6" t="str">
        <f t="shared" si="31"/>
      </c>
      <c r="H94" s="6" t="str">
        <f>IF(AND(H38&gt;=CODES!$C$37,H38&lt;=CODES!$D$37),"PASS","FAIL")</f>
      </c>
      <c r="I94" s="6" t="str">
        <f>IF(ISTEXT(I38),I38,IF(ISERROR(I38),"CHECK DUP",IF(I38&gt;CODES!$B$39,"FAIL","PASS")))</f>
      </c>
      <c r="J94" s="6" t="str">
        <f>IF(AND(J38&gt;=CODES!$C$41,J38&lt;=CODES!$D$41),"PASS","FAIL")</f>
      </c>
      <c r="K94" s="6" t="str">
        <f>IF(AND(K38&gt;=CODES!$C$42,K38&lt;=CODES!$D$42),"PASS","FAIL")</f>
      </c>
      <c r="L94" s="6" t="str">
        <f>IFERROR(L38,"IC Metal")</f>
      </c>
      <c r="M94" s="6" t="str">
        <f>IF(AND(M38&gt;=CODES!$C$44,M38&lt;=CODES!$D$44),"PASS","FAIL")</f>
      </c>
      <c r="N94" s="6" t="str">
        <f t="shared" si="1"/>
      </c>
      <c r="O94" s="62" t="str">
        <f t="shared" si="31"/>
      </c>
      <c r="P94" s="6"/>
    </row>
    <row r="95" spans="2:16" x14ac:dyDescent="0.25">
      <c r="B95" s="61" t="str">
        <f t="shared" ref="B95:O95" si="32">B39</f>
      </c>
      <c r="C95" s="6" t="str">
        <f t="shared" si="32"/>
      </c>
      <c r="D95" s="6" t="str">
        <f t="shared" si="32"/>
      </c>
      <c r="E95" s="6" t="str">
        <f>IF(AND(E39&gt;=CODES!$C$34,E39&lt;=CODES!$D$34),"PASS","FAIL")</f>
      </c>
      <c r="F95" s="6" t="str">
        <f>IF(AND(F39&gt;=CODES!$C$35,F39&lt;=CODES!$D$35),"PASS","FAIL")</f>
      </c>
      <c r="G95" s="6" t="str">
        <f t="shared" si="32"/>
      </c>
      <c r="H95" s="6" t="str">
        <f>IF(AND(H39&gt;=CODES!$C$37,H39&lt;=CODES!$D$37),"PASS","FAIL")</f>
      </c>
      <c r="I95" s="6" t="str">
        <f>IF(ISTEXT(I39),I39,IF(ISERROR(I39),"CHECK DUP",IF(I39&gt;CODES!$B$39,"FAIL","PASS")))</f>
      </c>
      <c r="J95" s="6" t="str">
        <f>IF(AND(J39&gt;=CODES!$C$41,J39&lt;=CODES!$D$41),"PASS","FAIL")</f>
      </c>
      <c r="K95" s="6" t="str">
        <f>IF(AND(K39&gt;=CODES!$C$42,K39&lt;=CODES!$D$42),"PASS","FAIL")</f>
      </c>
      <c r="L95" s="6" t="str">
        <f>IF(AND(L39&gt;=CODES!$C$43,L39&lt;=CODES!$D$43),"PASS","FAIL")</f>
      </c>
      <c r="M95" s="6" t="str">
        <f>IF(AND(M39&gt;=CODES!$C$44,M39&lt;=CODES!$D$44),"PASS","FAIL")</f>
      </c>
      <c r="N95" s="6" t="str">
        <f t="shared" si="1"/>
      </c>
      <c r="O95" s="62" t="str">
        <f t="shared" si="32"/>
      </c>
      <c r="P95" s="6"/>
    </row>
    <row r="96" spans="2:16" x14ac:dyDescent="0.25">
      <c r="B96" s="61" t="str">
        <f t="shared" ref="B96:O96" si="33">B40</f>
      </c>
      <c r="C96" s="6" t="str">
        <f t="shared" si="33"/>
      </c>
      <c r="D96" s="6" t="str">
        <f t="shared" si="33"/>
      </c>
      <c r="E96" s="6" t="str">
        <f>IF(AND(E40&gt;=CODES!$C$34,E40&lt;=CODES!$D$34),"PASS","FAIL")</f>
      </c>
      <c r="F96" s="6" t="str">
        <f>IF(AND(F40&gt;=CODES!$C$35,F40&lt;=CODES!$D$35),"PASS","FAIL")</f>
      </c>
      <c r="G96" s="6" t="str">
        <f t="shared" si="33"/>
      </c>
      <c r="H96" s="6" t="str">
        <f>IF(AND(H40&gt;=CODES!$C$37,H40&lt;=CODES!$D$37),"PASS","FAIL")</f>
      </c>
      <c r="I96" s="6" t="str">
        <f>IF(ISTEXT(I40),I40,IF(ISERROR(I40),"CHECK DUP",IF(I40&gt;CODES!$B$39,"FAIL","PASS")))</f>
      </c>
      <c r="J96" s="6" t="str">
        <f>IF(AND(J40&gt;=CODES!$C$41,J40&lt;=CODES!$D$41),"PASS","FAIL")</f>
      </c>
      <c r="K96" s="6" t="str">
        <f>IF(AND(K40&gt;=CODES!$C$42,K40&lt;=CODES!$D$42),"PASS","FAIL")</f>
      </c>
      <c r="L96" s="6" t="str">
        <f>IF(AND(L40&gt;=CODES!$C$43,L40&lt;=CODES!$D$43),"PASS","FAIL")</f>
      </c>
      <c r="M96" s="6" t="str">
        <f>IF(AND(M40&gt;=CODES!$C$44,M40&lt;=CODES!$D$44),"PASS","FAIL")</f>
      </c>
      <c r="N96" s="6" t="str">
        <f t="shared" si="1"/>
      </c>
      <c r="O96" s="62" t="str">
        <f t="shared" si="33"/>
      </c>
      <c r="P96" s="6"/>
    </row>
    <row r="97" spans="2:16" hidden="1" x14ac:dyDescent="0.25">
      <c r="B97" s="61" t="str">
        <f t="shared" ref="B97:O97" si="34">B41</f>
      </c>
      <c r="C97" s="6" t="str">
        <f t="shared" si="34"/>
      </c>
      <c r="D97" s="6" t="str">
        <f t="shared" si="34"/>
      </c>
      <c r="E97" s="6" t="str">
        <f>IF(AND(E41&gt;=CODES!$C$34,E41&lt;=CODES!$D$34),"PASS","FAIL")</f>
      </c>
      <c r="F97" s="6" t="str">
        <f>IF(AND(F41&gt;=CODES!$C$35,F41&lt;=CODES!$D$35),"PASS","FAIL")</f>
      </c>
      <c r="G97" s="6" t="str">
        <f t="shared" si="34"/>
      </c>
      <c r="H97" s="6" t="str">
        <f>IF(AND(H41&gt;=CODES!$C$37,H41&lt;=CODES!$D$37),"PASS","FAIL")</f>
      </c>
      <c r="I97" s="6" t="str">
        <f>IF(ISTEXT(I41),I41,IF(ISERROR(I41),"CHECK DUP",IF(I41&gt;CODES!$B$39,"FAIL","PASS")))</f>
      </c>
      <c r="J97" s="6" t="str">
        <f>IF(AND(J41&gt;=CODES!$C$41,J41&lt;=CODES!$D$41),"PASS","FAIL")</f>
      </c>
      <c r="K97" s="6" t="str">
        <f>IF(AND(K41&gt;=CODES!$C$42,K41&lt;=CODES!$D$42),"PASS","FAIL")</f>
      </c>
      <c r="L97" s="6" t="str">
        <f>IF(AND(L41&gt;=CODES!$C$43,L41&lt;=CODES!$D$43),"PASS","FAIL")</f>
      </c>
      <c r="M97" s="6" t="str">
        <f>IF(AND(M41&gt;=CODES!$C$44,M41&lt;=CODES!$D$44),"PASS","FAIL")</f>
      </c>
      <c r="N97" s="6" t="str">
        <f t="shared" si="1"/>
      </c>
      <c r="O97" s="62" t="str">
        <f t="shared" si="34"/>
      </c>
      <c r="P97" s="6"/>
    </row>
    <row r="98" spans="2:16" x14ac:dyDescent="0.25">
      <c r="B98" s="61" t="str">
        <f t="shared" ref="B98:O98" si="35">B42</f>
      </c>
      <c r="C98" s="6" t="str">
        <f t="shared" si="35"/>
      </c>
      <c r="D98" s="6" t="str">
        <f t="shared" si="35"/>
      </c>
      <c r="E98" s="6" t="str">
        <f>IF(AND(E42&gt;=CODES!$C$34,E42&lt;=CODES!$D$34),"PASS","FAIL")</f>
      </c>
      <c r="F98" s="6" t="str">
        <f>IF(AND(F42&gt;=CODES!$C$35,F42&lt;=CODES!$D$35),"PASS","FAIL")</f>
      </c>
      <c r="G98" s="6" t="str">
        <f t="shared" si="35"/>
      </c>
      <c r="H98" s="6" t="str">
        <f>IF(AND(H42&gt;=CODES!$C$37,H42&lt;=CODES!$D$37),"PASS","FAIL")</f>
      </c>
      <c r="I98" s="6" t="str">
        <f>IF(ISTEXT(I42),I42,IF(ISERROR(I42),"CHECK DUP",IF(I42&gt;CODES!$B$39,"FAIL","PASS")))</f>
      </c>
      <c r="J98" s="6" t="str">
        <f>IF(AND(J42&gt;=CODES!$C$41,J42&lt;=CODES!$D$41),"PASS","FAIL")</f>
      </c>
      <c r="K98" s="6" t="str">
        <f>IF(AND(K42&gt;=CODES!$C$42,K42&lt;=CODES!$D$42),"PASS","FAIL")</f>
      </c>
      <c r="L98" s="6" t="str">
        <f>IF(AND(L42&gt;=CODES!$C$43,L42&lt;=CODES!$D$43),"PASS","FAIL")</f>
      </c>
      <c r="M98" s="6" t="str">
        <f>IF(AND(M42&gt;=CODES!$C$44,M42&lt;=CODES!$D$44),"PASS","FAIL")</f>
      </c>
      <c r="N98" s="6" t="str">
        <f t="shared" si="1"/>
      </c>
      <c r="O98" s="62" t="str">
        <f t="shared" si="35"/>
      </c>
      <c r="P98" s="6"/>
    </row>
    <row r="99" spans="2:16" x14ac:dyDescent="0.25">
      <c r="B99" s="61" t="str">
        <f t="shared" ref="B99:O99" si="36">B43</f>
      </c>
      <c r="C99" s="6" t="str">
        <f t="shared" si="36"/>
      </c>
      <c r="D99" s="6" t="str">
        <f t="shared" si="36"/>
      </c>
      <c r="E99" s="6" t="str">
        <f>IF(AND(E43&gt;=CODES!$C$34,E43&lt;=CODES!$D$34),"PASS","FAIL")</f>
      </c>
      <c r="F99" s="6" t="str">
        <f>IF(AND(F43&gt;=CODES!$C$35,F43&lt;=CODES!$D$35),"PASS","FAIL")</f>
      </c>
      <c r="G99" s="6" t="str">
        <f t="shared" si="36"/>
      </c>
      <c r="H99" s="6" t="str">
        <f>IF(AND(H43&gt;=CODES!$C$37,H43&lt;=CODES!$D$37),"PASS","FAIL")</f>
      </c>
      <c r="I99" s="6" t="str">
        <f>IF(ISTEXT(I43),I43,IF(ISERROR(I43),"CHECK DUP",IF(I43&gt;CODES!$B$39,"FAIL","PASS")))</f>
      </c>
      <c r="J99" s="6" t="str">
        <f>IF(AND(J43&gt;=CODES!$C$41,J43&lt;=CODES!$D$41),"PASS","FAIL")</f>
      </c>
      <c r="K99" s="6" t="str">
        <f>IF(AND(K43&gt;=CODES!$C$42,K43&lt;=CODES!$D$42),"PASS","FAIL")</f>
      </c>
      <c r="L99" s="6" t="str">
        <f>IF(AND(L43&gt;=CODES!$C$43,L43&lt;=CODES!$D$43),"PASS","FAIL")</f>
      </c>
      <c r="M99" s="6" t="str">
        <f>IF(AND(M43&gt;=CODES!$C$44,M43&lt;=CODES!$D$44),"PASS","FAIL")</f>
      </c>
      <c r="N99" s="6" t="str">
        <f t="shared" si="1"/>
      </c>
      <c r="O99" s="62" t="str">
        <f t="shared" si="36"/>
      </c>
      <c r="P99" s="6"/>
    </row>
    <row r="100" spans="2:16" x14ac:dyDescent="0.25">
      <c r="B100" s="61" t="str">
        <f t="shared" ref="B100:O100" si="37">B44</f>
      </c>
      <c r="C100" s="6" t="str">
        <f t="shared" si="37"/>
      </c>
      <c r="D100" s="6" t="str">
        <f t="shared" si="37"/>
      </c>
      <c r="E100" s="6" t="str">
        <f>IF(AND(E44&gt;=CODES!$C$34,E44&lt;=CODES!$D$34),"PASS","FAIL")</f>
      </c>
      <c r="F100" s="6" t="str">
        <f>IF(AND(F44&gt;=CODES!$C$35,F44&lt;=CODES!$D$35),"PASS","FAIL")</f>
      </c>
      <c r="G100" s="6" t="str">
        <f t="shared" si="37"/>
      </c>
      <c r="H100" s="6" t="str">
        <f>IF(AND(H44&gt;=CODES!$C$37,H44&lt;=CODES!$D$37),"PASS","FAIL")</f>
      </c>
      <c r="I100" s="6" t="str">
        <f>IF(ISTEXT(I44),I44,IF(ISERROR(I44),"CHECK DUP",IF(I44&gt;CODES!$B$39,"FAIL","PASS")))</f>
      </c>
      <c r="J100" s="6" t="str">
        <f>IF(AND(J44&gt;=CODES!$C$41,J44&lt;=CODES!$D$41),"PASS","FAIL")</f>
      </c>
      <c r="K100" s="6" t="str">
        <f>IF(AND(K44&gt;=CODES!$C$42,K44&lt;=CODES!$D$42),"PASS","FAIL")</f>
      </c>
      <c r="L100" s="6" t="str">
        <f>IF(AND(L44&gt;=CODES!$C$43,L44&lt;=CODES!$D$43),"PASS","FAIL")</f>
      </c>
      <c r="M100" s="6" t="str">
        <f>IF(AND(M44&gt;=CODES!$C$44,M44&lt;=CODES!$D$44),"PASS","FAIL")</f>
      </c>
      <c r="N100" s="6" t="str">
        <f t="shared" si="1"/>
      </c>
      <c r="O100" s="62" t="str">
        <f t="shared" si="37"/>
      </c>
      <c r="P100" s="6"/>
    </row>
    <row r="101" spans="2:16" hidden="1" x14ac:dyDescent="0.25">
      <c r="B101" s="61" t="str">
        <f t="shared" ref="B101:O101" si="38">B45</f>
      </c>
      <c r="C101" s="6" t="str">
        <f t="shared" si="38"/>
      </c>
      <c r="D101" s="6" t="str">
        <f t="shared" si="38"/>
      </c>
      <c r="E101" s="6" t="str">
        <f>IF(AND(E45&gt;=CODES!$C$34,E45&lt;=CODES!$D$34),"PASS","FAIL")</f>
      </c>
      <c r="F101" s="6" t="str">
        <f>IF(AND(F45&gt;=CODES!$C$35,F45&lt;=CODES!$D$35),"PASS","FAIL")</f>
      </c>
      <c r="G101" s="6" t="str">
        <f t="shared" si="38"/>
      </c>
      <c r="H101" s="6" t="str">
        <f>IF(AND(H45&gt;=CODES!$C$37,H45&lt;=CODES!$D$37),"PASS","FAIL")</f>
      </c>
      <c r="I101" s="6" t="str">
        <f>IF(ISTEXT(I45),I45,IF(ISERROR(I45),"CHECK DUP",IF(I45&gt;CODES!$B$39,"FAIL","PASS")))</f>
      </c>
      <c r="J101" s="6" t="str">
        <f>IF(AND(J45&gt;=CODES!$C$41,J45&lt;=CODES!$D$41),"PASS","FAIL")</f>
      </c>
      <c r="K101" s="6" t="str">
        <f>IF(AND(K45&gt;=CODES!$C$42,K45&lt;=CODES!$D$42),"PASS","FAIL")</f>
      </c>
      <c r="L101" s="6" t="str">
        <f>IF(AND(L45&gt;=CODES!$C$43,L45&lt;=CODES!$D$43),"PASS","FAIL")</f>
      </c>
      <c r="M101" s="6" t="str">
        <f>IF(AND(M45&gt;=CODES!$C$44,M45&lt;=CODES!$D$44),"PASS","FAIL")</f>
      </c>
      <c r="N101" s="6" t="str">
        <f t="shared" si="1"/>
      </c>
      <c r="O101" s="62" t="str">
        <f t="shared" si="38"/>
      </c>
      <c r="P101" s="6"/>
    </row>
    <row r="102" spans="2:16" hidden="1" x14ac:dyDescent="0.25">
      <c r="B102" s="61" t="str">
        <f t="shared" ref="B102:O102" si="39">B46</f>
      </c>
      <c r="C102" s="6" t="str">
        <f t="shared" si="39"/>
      </c>
      <c r="D102" s="6" t="str">
        <f t="shared" si="39"/>
      </c>
      <c r="E102" s="6" t="str">
        <f>IF(AND(E46&gt;=CODES!$C$34,E46&lt;=CODES!$D$34),"PASS","FAIL")</f>
      </c>
      <c r="F102" s="6" t="str">
        <f>IF(AND(F46&gt;=CODES!$C$35,F46&lt;=CODES!$D$35),"PASS","FAIL")</f>
      </c>
      <c r="G102" s="6" t="str">
        <f t="shared" si="39"/>
      </c>
      <c r="H102" s="6" t="str">
        <f>IF(AND(H46&gt;=CODES!$C$37,H46&lt;=CODES!$D$37),"PASS","FAIL")</f>
      </c>
      <c r="I102" s="6" t="str">
        <f>IF(ISTEXT(I46),I46,IF(ISERROR(I46),"CHECK DUP",IF(I46&gt;CODES!$B$39,"FAIL","PASS")))</f>
      </c>
      <c r="J102" s="6" t="str">
        <f>IF(AND(J46&gt;=CODES!$C$41,J46&lt;=CODES!$D$41),"PASS","FAIL")</f>
      </c>
      <c r="K102" s="6" t="str">
        <f>IF(AND(K46&gt;=CODES!$C$42,K46&lt;=CODES!$D$42),"PASS","FAIL")</f>
      </c>
      <c r="L102" s="6" t="str">
        <f>IF(AND(L46&gt;=CODES!$C$43,L46&lt;=CODES!$D$43),"PASS","FAIL")</f>
      </c>
      <c r="M102" s="6" t="str">
        <f>IF(AND(M46&gt;=CODES!$C$44,M46&lt;=CODES!$D$44),"PASS","FAIL")</f>
      </c>
      <c r="N102" s="6" t="str">
        <f t="shared" si="1"/>
      </c>
      <c r="O102" s="62" t="str">
        <f t="shared" si="39"/>
      </c>
      <c r="P102" s="6"/>
    </row>
    <row r="103" spans="2:16" x14ac:dyDescent="0.25">
      <c r="B103" s="61" t="str">
        <f t="shared" ref="B103:O103" si="40">B47</f>
      </c>
      <c r="C103" s="6" t="str">
        <f t="shared" si="40"/>
      </c>
      <c r="D103" s="6" t="str">
        <f t="shared" si="40"/>
      </c>
      <c r="E103" s="6" t="str">
        <f>IF(AND(E47&gt;=CODES!$C$34,E47&lt;=CODES!$D$34),"PASS","FAIL")</f>
      </c>
      <c r="F103" s="6" t="str">
        <f>IF(AND(F47&gt;=CODES!$C$35,F47&lt;=CODES!$D$35),"PASS","FAIL")</f>
      </c>
      <c r="G103" s="6" t="str">
        <f t="shared" si="40"/>
      </c>
      <c r="H103" s="6" t="str">
        <f>IF(AND(H47&gt;=CODES!$C$37,H47&lt;=CODES!$D$37),"PASS","FAIL")</f>
      </c>
      <c r="I103" s="6" t="str">
        <f>IF(ISTEXT(I47),I47,IF(ISERROR(I47),"CHECK DUP",IF(I47&gt;CODES!$B$39,"FAIL","PASS")))</f>
      </c>
      <c r="J103" s="6" t="str">
        <f>IF(AND(J47&gt;=CODES!$C$41,J47&lt;=CODES!$D$41),"PASS","FAIL")</f>
      </c>
      <c r="K103" s="6" t="str">
        <f>IF(AND(K47&gt;=CODES!$C$42,K47&lt;=CODES!$D$42),"PASS","FAIL")</f>
      </c>
      <c r="L103" s="6" t="str">
        <f>IF(AND(L47&gt;=CODES!$C$43,L47&lt;=CODES!$D$43),"PASS","FAIL")</f>
      </c>
      <c r="M103" s="6" t="str">
        <f>IF(AND(M47&gt;=CODES!$C$44,M47&lt;=CODES!$D$44),"PASS","FAIL")</f>
      </c>
      <c r="N103" s="6" t="str">
        <f t="shared" si="1"/>
      </c>
      <c r="O103" s="62" t="str">
        <f t="shared" si="40"/>
      </c>
      <c r="P103" s="6"/>
    </row>
    <row r="104" spans="2:16" x14ac:dyDescent="0.25">
      <c r="B104" s="61" t="str">
        <f t="shared" ref="B104:O104" si="41">B48</f>
      </c>
      <c r="C104" s="6" t="str">
        <f t="shared" si="41"/>
      </c>
      <c r="D104" s="6" t="str">
        <f t="shared" si="41"/>
      </c>
      <c r="E104" s="6" t="str">
        <f>IF(AND(E48&gt;=CODES!$C$34,E48&lt;=CODES!$D$34),"PASS","FAIL")</f>
      </c>
      <c r="F104" s="6" t="str">
        <f>IF(AND(F48&gt;=CODES!$C$35,F48&lt;=CODES!$D$35),"PASS","FAIL")</f>
      </c>
      <c r="G104" s="6" t="str">
        <f t="shared" si="41"/>
      </c>
      <c r="H104" s="6" t="str">
        <f>IF(AND(H48&gt;=CODES!$C$37,H48&lt;=CODES!$D$37),"PASS","FAIL")</f>
      </c>
      <c r="I104" s="6" t="str">
        <f>IF(ISTEXT(I48),I48,IF(ISERROR(I48),"CHECK DUP",IF(I48&gt;CODES!$B$39,"FAIL","PASS")))</f>
      </c>
      <c r="J104" s="6" t="str">
        <f>IF(AND(J48&gt;=CODES!$C$41,J48&lt;=CODES!$D$41),"PASS","FAIL")</f>
      </c>
      <c r="K104" s="6" t="str">
        <f>IF(AND(K48&gt;=CODES!$C$42,K48&lt;=CODES!$D$42),"PASS","FAIL")</f>
      </c>
      <c r="L104" s="6" t="str">
        <f>IF(AND(L48&gt;=CODES!$C$43,L48&lt;=CODES!$D$43),"PASS","FAIL")</f>
      </c>
      <c r="M104" s="6" t="str">
        <f>IF(AND(M48&gt;=CODES!$C$44,M48&lt;=CODES!$D$44),"PASS","FAIL")</f>
      </c>
      <c r="N104" s="6" t="str">
        <f t="shared" si="1"/>
      </c>
      <c r="O104" s="62" t="str">
        <f t="shared" si="41"/>
      </c>
      <c r="P104" s="6"/>
    </row>
    <row r="105" spans="2:16" hidden="1" x14ac:dyDescent="0.25">
      <c r="B105" s="61" t="str">
        <f t="shared" ref="B105:O105" si="42">B49</f>
      </c>
      <c r="C105" s="6" t="str">
        <f t="shared" si="42"/>
      </c>
      <c r="D105" s="6" t="str">
        <f t="shared" si="42"/>
      </c>
      <c r="E105" s="6" t="str">
        <f>IF(AND(E49&gt;=CODES!$C$34,E49&lt;=CODES!$D$34),"PASS","FAIL")</f>
      </c>
      <c r="F105" s="6" t="str">
        <f>IF(AND(F49&gt;=CODES!$C$35,F49&lt;=CODES!$D$35),"PASS","FAIL")</f>
      </c>
      <c r="G105" s="6" t="str">
        <f t="shared" si="42"/>
      </c>
      <c r="H105" s="6" t="str">
        <f>IF(AND(H49&gt;=CODES!$C$37,H49&lt;=CODES!$D$37),"PASS","FAIL")</f>
      </c>
      <c r="I105" s="6" t="str">
        <f>IF(ISTEXT(I49),I49,IF(ISERROR(I49),"CHECK DUP",IF(I49&gt;CODES!$B$39,"FAIL","PASS")))</f>
      </c>
      <c r="J105" s="6" t="str">
        <f>IF(AND(J49&gt;=CODES!$C$41,J49&lt;=CODES!$D$41),"PASS","FAIL")</f>
      </c>
      <c r="K105" s="6" t="str">
        <f>IF(AND(K49&gt;=CODES!$C$42,K49&lt;=CODES!$D$42),"PASS","FAIL")</f>
      </c>
      <c r="L105" s="6" t="str">
        <f>IF(AND(L49&gt;=CODES!$C$43,L49&lt;=CODES!$D$43),"PASS","FAIL")</f>
      </c>
      <c r="M105" s="6" t="str">
        <f>IF(AND(M49&gt;=CODES!$C$44,M49&lt;=CODES!$D$44),"PASS","FAIL")</f>
      </c>
      <c r="N105" s="6" t="str">
        <f t="shared" si="1"/>
      </c>
      <c r="O105" s="62" t="str">
        <f t="shared" si="42"/>
      </c>
      <c r="P105" s="6"/>
    </row>
    <row r="106" spans="2:16" hidden="1" x14ac:dyDescent="0.25">
      <c r="B106" s="61" t="str">
        <f t="shared" ref="B106:O106" si="43">B50</f>
      </c>
      <c r="C106" s="6" t="str">
        <f t="shared" si="43"/>
      </c>
      <c r="D106" s="6" t="str">
        <f t="shared" si="43"/>
      </c>
      <c r="E106" s="6" t="str">
        <f>IF(AND(E50&gt;=CODES!$C$34,E50&lt;=CODES!$D$34),"PASS","FAIL")</f>
      </c>
      <c r="F106" s="6" t="str">
        <f>IF(AND(F50&gt;=CODES!$C$35,F50&lt;=CODES!$D$35),"PASS","FAIL")</f>
      </c>
      <c r="G106" s="6" t="str">
        <f t="shared" si="43"/>
      </c>
      <c r="H106" s="6" t="str">
        <f>IF(AND(H50&gt;=CODES!$C$37,H50&lt;=CODES!$D$37),"PASS","FAIL")</f>
      </c>
      <c r="I106" s="6" t="str">
        <f>IF(ISTEXT(I50),I50,IF(ISERROR(I50),"CHECK DUP",IF(I50&gt;CODES!$B$39,"FAIL","PASS")))</f>
      </c>
      <c r="J106" s="6" t="str">
        <f>IF(AND(J50&gt;=CODES!$C$41,J50&lt;=CODES!$D$41),"PASS","FAIL")</f>
      </c>
      <c r="K106" s="6" t="str">
        <f>IF(AND(K50&gt;=CODES!$C$42,K50&lt;=CODES!$D$42),"PASS","FAIL")</f>
      </c>
      <c r="L106" s="6" t="str">
        <f>IF(AND(L50&gt;=CODES!$C$43,L50&lt;=CODES!$D$43),"PASS","FAIL")</f>
      </c>
      <c r="M106" s="6" t="str">
        <f>IF(AND(M50&gt;=CODES!$C$44,M50&lt;=CODES!$D$44),"PASS","FAIL")</f>
      </c>
      <c r="N106" s="6" t="str">
        <f t="shared" si="1"/>
      </c>
      <c r="O106" s="62" t="str">
        <f t="shared" si="43"/>
      </c>
      <c r="P106" s="6"/>
    </row>
    <row r="107" spans="2:16" hidden="1" x14ac:dyDescent="0.25">
      <c r="B107" s="61" t="str">
        <f t="shared" ref="B107:O107" si="44">B51</f>
      </c>
      <c r="C107" s="6" t="str">
        <f t="shared" si="44"/>
      </c>
      <c r="D107" s="6" t="str">
        <f t="shared" si="44"/>
      </c>
      <c r="E107" s="6" t="str">
        <f>IF(AND(E51&gt;=CODES!$C$34,E51&lt;=CODES!$D$34),"PASS","FAIL")</f>
      </c>
      <c r="F107" s="6" t="str">
        <f>IF(AND(F51&gt;=CODES!$C$35,F51&lt;=CODES!$D$35),"PASS","FAIL")</f>
      </c>
      <c r="G107" s="6" t="str">
        <f t="shared" si="44"/>
      </c>
      <c r="H107" s="6" t="str">
        <f>IF(AND(H51&gt;=CODES!$C$37,H51&lt;=CODES!$D$37),"PASS","FAIL")</f>
      </c>
      <c r="I107" s="6" t="str">
        <f>IF(ISTEXT(I51),I51,IF(ISERROR(I51),"CHECK DUP",IF(I51&gt;CODES!$B$39,"FAIL","PASS")))</f>
      </c>
      <c r="J107" s="6" t="str">
        <f>IF(AND(J51&gt;=CODES!$C$41,J51&lt;=CODES!$D$41),"PASS","FAIL")</f>
      </c>
      <c r="K107" s="6" t="str">
        <f>IF(AND(K51&gt;=CODES!$C$42,K51&lt;=CODES!$D$42),"PASS","FAIL")</f>
      </c>
      <c r="L107" s="6" t="str">
        <f>IF(AND(L51&gt;=CODES!$C$43,L51&lt;=CODES!$D$43),"PASS","FAIL")</f>
      </c>
      <c r="M107" s="6" t="str">
        <f>IF(AND(M51&gt;=CODES!$C$44,M51&lt;=CODES!$D$44),"PASS","FAIL")</f>
      </c>
      <c r="N107" s="6" t="str">
        <f t="shared" si="1"/>
      </c>
      <c r="O107" s="62" t="str">
        <f t="shared" si="44"/>
      </c>
      <c r="P107" s="6"/>
    </row>
    <row r="108" spans="2:16" hidden="1" x14ac:dyDescent="0.25">
      <c r="B108" s="61" t="str">
        <f t="shared" ref="B108:O108" si="45">B52</f>
      </c>
      <c r="C108" s="6" t="str">
        <f t="shared" si="45"/>
      </c>
      <c r="D108" s="6" t="str">
        <f t="shared" si="45"/>
      </c>
      <c r="E108" s="6" t="str">
        <f>IF(AND(E52&gt;=CODES!$C$34,E52&lt;=CODES!$D$34),"PASS","FAIL")</f>
      </c>
      <c r="F108" s="6" t="str">
        <f>IF(AND(F52&gt;=CODES!$C$35,F52&lt;=CODES!$D$35),"PASS","FAIL")</f>
      </c>
      <c r="G108" s="6" t="str">
        <f t="shared" si="45"/>
      </c>
      <c r="H108" s="6" t="str">
        <f>IF(AND(H52&gt;=CODES!$C$37,H52&lt;=CODES!$D$37),"PASS","FAIL")</f>
      </c>
      <c r="I108" s="6" t="str">
        <f>IF(ISTEXT(I52),I52,IF(ISERROR(I52),"CHECK DUP",IF(I52&gt;CODES!$B$39,"FAIL","PASS")))</f>
      </c>
      <c r="J108" s="6" t="str">
        <f>IF(AND(J52&gt;=CODES!$C$41,J52&lt;=CODES!$D$41),"PASS","FAIL")</f>
      </c>
      <c r="K108" s="6" t="str">
        <f>IF(AND(K52&gt;=CODES!$C$42,K52&lt;=CODES!$D$42),"PASS","FAIL")</f>
      </c>
      <c r="L108" s="6" t="str">
        <f>IF(AND(L52&gt;=CODES!$C$43,L52&lt;=CODES!$D$43),"PASS","FAIL")</f>
      </c>
      <c r="M108" s="6" t="str">
        <f>IF(AND(M52&gt;=CODES!$C$44,M52&lt;=CODES!$D$44),"PASS","FAIL")</f>
      </c>
      <c r="N108" s="6" t="str">
        <f t="shared" si="1"/>
      </c>
      <c r="O108" s="62" t="str">
        <f t="shared" si="45"/>
      </c>
      <c r="P108" s="6"/>
    </row>
    <row r="109" spans="2:16" hidden="1" x14ac:dyDescent="0.25">
      <c r="B109" s="61" t="str">
        <f t="shared" ref="B109:O109" si="46">B53</f>
      </c>
      <c r="C109" s="6" t="str">
        <f t="shared" si="46"/>
      </c>
      <c r="D109" s="6" t="str">
        <f t="shared" si="46"/>
      </c>
      <c r="E109" s="6" t="str">
        <f>IF(AND(E53&gt;=CODES!$C$34,E53&lt;=CODES!$D$34),"PASS","FAIL")</f>
      </c>
      <c r="F109" s="6" t="str">
        <f>IF(AND(F53&gt;=CODES!$C$35,F53&lt;=CODES!$D$35),"PASS","FAIL")</f>
      </c>
      <c r="G109" s="6" t="str">
        <f t="shared" si="46"/>
      </c>
      <c r="H109" s="6" t="str">
        <f>IF(AND(H53&gt;=CODES!$C$37,H53&lt;=CODES!$D$37),"PASS","FAIL")</f>
      </c>
      <c r="I109" s="6" t="str">
        <f>IF(ISTEXT(I53),I53,IF(ISERROR(I53),"CHECK DUP",IF(I53&gt;CODES!$B$39,"FAIL","PASS")))</f>
      </c>
      <c r="J109" s="6" t="str">
        <f>IF(AND(J53&gt;=CODES!$C$41,J53&lt;=CODES!$D$41),"PASS","FAIL")</f>
      </c>
      <c r="K109" s="6" t="str">
        <f>IF(AND(K53&gt;=CODES!$C$42,K53&lt;=CODES!$D$42),"PASS","FAIL")</f>
      </c>
      <c r="L109" s="6" t="str">
        <f>IF(AND(L53&gt;=CODES!$C$43,L53&lt;=CODES!$D$43),"PASS","FAIL")</f>
      </c>
      <c r="M109" s="6" t="str">
        <f>IF(AND(M53&gt;=CODES!$C$44,M53&lt;=CODES!$D$44),"PASS","FAIL")</f>
      </c>
      <c r="N109" s="6" t="str">
        <f t="shared" si="1"/>
      </c>
      <c r="O109" s="62" t="str">
        <f t="shared" si="46"/>
      </c>
      <c r="P109" s="6"/>
    </row>
    <row r="110" spans="2:16" hidden="1" x14ac:dyDescent="0.25">
      <c r="B110" s="61" t="str">
        <f t="shared" ref="B110:O110" si="47">B54</f>
      </c>
      <c r="C110" s="6" t="str">
        <f t="shared" si="47"/>
      </c>
      <c r="D110" s="6" t="str">
        <f t="shared" si="47"/>
      </c>
      <c r="E110" s="6" t="str">
        <f>IF(AND(E54&gt;=CODES!$C$34,E54&lt;=CODES!$D$34),"PASS","FAIL")</f>
      </c>
      <c r="F110" s="6" t="str">
        <f>IF(AND(F54&gt;=CODES!$C$35,F54&lt;=CODES!$D$35),"PASS","FAIL")</f>
      </c>
      <c r="G110" s="6" t="str">
        <f t="shared" si="47"/>
      </c>
      <c r="H110" s="6" t="str">
        <f>IF(AND(H54&gt;=CODES!$C$37,H54&lt;=CODES!$D$37),"PASS","FAIL")</f>
      </c>
      <c r="I110" s="6" t="str">
        <f>IF(ISTEXT(I54),I54,IF(ISERROR(I54),"CHECK DUP",IF(I54&gt;CODES!$B$39,"FAIL","PASS")))</f>
      </c>
      <c r="J110" s="6" t="str">
        <f>IF(AND(J54&gt;=CODES!$C$41,J54&lt;=CODES!$D$41),"PASS","FAIL")</f>
      </c>
      <c r="K110" s="6" t="str">
        <f>IF(AND(K54&gt;=CODES!$C$42,K54&lt;=CODES!$D$42),"PASS","FAIL")</f>
      </c>
      <c r="L110" s="6" t="str">
        <f>IF(AND(L54&gt;=CODES!$C$43,L54&lt;=CODES!$D$43),"PASS","FAIL")</f>
      </c>
      <c r="M110" s="6" t="str">
        <f>IF(AND(M54&gt;=CODES!$C$44,M54&lt;=CODES!$D$44),"PASS","FAIL")</f>
      </c>
      <c r="N110" s="6" t="str">
        <f t="shared" si="1"/>
      </c>
      <c r="O110" s="62" t="str">
        <f t="shared" si="47"/>
      </c>
      <c r="P110" s="6"/>
    </row>
    <row r="111" spans="2:16" x14ac:dyDescent="0.25">
      <c r="B111" s="61" t="str">
        <f t="shared" ref="B111:O111" si="48">B55</f>
      </c>
      <c r="C111" s="6" t="str">
        <f t="shared" si="48"/>
      </c>
      <c r="D111" s="6" t="str">
        <f t="shared" si="48"/>
      </c>
      <c r="E111" s="6" t="str">
        <f>IF(AND(E55&gt;=CODES!$C$34,E55&lt;=CODES!$D$34),"PASS","FAIL")</f>
      </c>
      <c r="F111" s="6" t="str">
        <f>IF(AND(F55&gt;=CODES!$C$35,F55&lt;=CODES!$D$35),"PASS","FAIL")</f>
      </c>
      <c r="G111" s="6" t="str">
        <f t="shared" si="48"/>
      </c>
      <c r="H111" s="6" t="str">
        <f>IF(AND(H55&gt;=CODES!$C$37,H55&lt;=CODES!$D$37),"PASS","FAIL")</f>
      </c>
      <c r="I111" s="6" t="str">
        <f>IF(ISTEXT(I55),I55,IF(ISERROR(I55),"CHECK DUP",IF(I55&gt;CODES!$B$39,"FAIL","PASS")))</f>
      </c>
      <c r="J111" s="6" t="str">
        <f>IF(AND(J55&gt;=CODES!$C$41,J55&lt;=CODES!$D$41),"PASS","FAIL")</f>
      </c>
      <c r="K111" s="6" t="str">
        <f>IF(AND(K55&gt;=CODES!$C$42,K55&lt;=CODES!$D$42),"PASS","FAIL")</f>
      </c>
      <c r="L111" s="6" t="str">
        <f>IF(AND(L55&gt;=CODES!$C$43,L55&lt;=CODES!$D$43),"PASS","FAIL")</f>
      </c>
      <c r="M111" s="6" t="str">
        <f>IF(AND(M55&gt;=CODES!$C$44,M55&lt;=CODES!$D$44),"PASS","FAIL")</f>
      </c>
      <c r="N111" s="6" t="str">
        <f t="shared" si="1"/>
      </c>
      <c r="O111" s="62" t="str">
        <f t="shared" si="48"/>
      </c>
      <c r="P111" s="6"/>
    </row>
    <row r="112" spans="2:16" x14ac:dyDescent="0.25">
      <c r="B112" s="61" t="str">
        <f t="shared" ref="B112:O112" si="49">B56</f>
      </c>
      <c r="C112" s="6" t="str">
        <f t="shared" si="49"/>
      </c>
      <c r="D112" s="6" t="str">
        <f t="shared" si="49"/>
      </c>
      <c r="E112" s="6" t="str">
        <f>IF(AND(E56&gt;=CODES!$C$34,E56&lt;=CODES!$D$34),"PASS","FAIL")</f>
      </c>
      <c r="F112" s="6" t="str">
        <f>IF(AND(F56&gt;=CODES!$C$35,F56&lt;=CODES!$D$35),"PASS","FAIL")</f>
      </c>
      <c r="G112" s="6" t="str">
        <f t="shared" si="49"/>
      </c>
      <c r="H112" s="6" t="str">
        <f>IF(AND(H56&gt;=CODES!$C$37,H56&lt;=CODES!$D$37),"PASS","FAIL")</f>
      </c>
      <c r="I112" s="6" t="str">
        <f>IF(ISTEXT(I56),I56,IF(ISERROR(I56),"CHECK DUP",IF(I56&gt;CODES!$B$39,"FAIL","PASS")))</f>
      </c>
      <c r="J112" s="6" t="str">
        <f>IF(AND(J56&gt;=CODES!$C$41,J56&lt;=CODES!$D$41),"PASS","FAIL")</f>
      </c>
      <c r="K112" s="6" t="str">
        <f>IF(AND(K56&gt;=CODES!$C$42,K56&lt;=CODES!$D$42),"PASS","FAIL")</f>
      </c>
      <c r="L112" s="6" t="str">
        <f>IF(AND(L56&gt;=CODES!$C$43,L56&lt;=CODES!$D$43),"PASS","FAIL")</f>
      </c>
      <c r="M112" s="6" t="str">
        <f>IF(AND(M56&gt;=CODES!$C$44,M56&lt;=CODES!$D$44),"PASS","FAIL")</f>
      </c>
      <c r="N112" s="6" t="str">
        <f t="shared" si="1"/>
      </c>
      <c r="O112" s="62" t="str">
        <f t="shared" si="49"/>
      </c>
      <c r="P112" s="6"/>
    </row>
    <row r="113" spans="2:16" hidden="1" x14ac:dyDescent="0.25">
      <c r="B113" s="61" t="str">
        <f t="shared" ref="B113:O113" si="50">B57</f>
      </c>
      <c r="C113" s="6" t="str">
        <f t="shared" si="50"/>
      </c>
      <c r="D113" s="6" t="str">
        <f t="shared" si="50"/>
      </c>
      <c r="E113" s="6" t="str">
        <f>IF(AND(E57&gt;=CODES!$C$34,E57&lt;=CODES!$D$34),"PASS","FAIL")</f>
      </c>
      <c r="F113" s="6" t="str">
        <f>IF(AND(F57&gt;=CODES!$C$35,F57&lt;=CODES!$D$35),"PASS","FAIL")</f>
      </c>
      <c r="G113" s="6" t="str">
        <f t="shared" si="50"/>
      </c>
      <c r="H113" s="6" t="str">
        <f>IF(AND(H57&gt;=CODES!$C$37,H57&lt;=CODES!$D$37),"PASS","FAIL")</f>
      </c>
      <c r="I113" s="6" t="str">
        <f>IF(ISTEXT(I57),I57,IF(ISERROR(I57),"CHECK DUP",IF(I57&gt;CODES!$B$39,"FAIL","PASS")))</f>
      </c>
      <c r="J113" s="6" t="str">
        <f>IF(AND(J57&gt;=CODES!$C$41,J57&lt;=CODES!$D$41),"PASS","FAIL")</f>
      </c>
      <c r="K113" s="6" t="str">
        <f>IF(AND(K57&gt;=CODES!$C$42,K57&lt;=CODES!$D$42),"PASS","FAIL")</f>
      </c>
      <c r="L113" s="6" t="str">
        <f>IF(AND(L57&gt;=CODES!$C$43,L57&lt;=CODES!$D$43),"PASS","FAIL")</f>
      </c>
      <c r="M113" s="6" t="str">
        <f>IF(AND(M57&gt;=CODES!$C$44,M57&lt;=CODES!$D$44),"PASS","FAIL")</f>
      </c>
      <c r="N113" s="6" t="str">
        <f t="shared" si="1"/>
      </c>
      <c r="O113" s="62" t="str">
        <f t="shared" si="50"/>
      </c>
      <c r="P113" s="6"/>
    </row>
    <row r="114" spans="2:16" hidden="1" x14ac:dyDescent="0.25">
      <c r="B114" s="61" t="str">
        <f t="shared" ref="B114:O114" si="51">B58</f>
      </c>
      <c r="C114" s="6" t="str">
        <f t="shared" si="51"/>
      </c>
      <c r="D114" s="6" t="str">
        <f t="shared" si="51"/>
      </c>
      <c r="E114" s="6" t="str">
        <f>IF(AND(E58&gt;=CODES!$C$34,E58&lt;=CODES!$D$34),"PASS","FAIL")</f>
      </c>
      <c r="F114" s="6" t="str">
        <f>IF(AND(F58&gt;=CODES!$C$35,F58&lt;=CODES!$D$35),"PASS","FAIL")</f>
      </c>
      <c r="G114" s="6" t="str">
        <f t="shared" si="51"/>
      </c>
      <c r="H114" s="6" t="str">
        <f>IF(AND(H58&gt;=CODES!$C$37,H58&lt;=CODES!$D$37),"PASS","FAIL")</f>
      </c>
      <c r="I114" s="6" t="str">
        <f>IF(ISTEXT(I58),I58,IF(ISERROR(I58),"CHECK DUP",IF(I58&gt;CODES!$B$39,"FAIL","PASS")))</f>
      </c>
      <c r="J114" s="6" t="str">
        <f>IF(AND(J58&gt;=CODES!$C$41,J58&lt;=CODES!$D$41),"PASS","FAIL")</f>
      </c>
      <c r="K114" s="6" t="str">
        <f>IF(AND(K58&gt;=CODES!$C$42,K58&lt;=CODES!$D$42),"PASS","FAIL")</f>
      </c>
      <c r="L114" s="6" t="str">
        <f>IF(AND(L58&gt;=CODES!$C$43,L58&lt;=CODES!$D$43),"PASS","FAIL")</f>
      </c>
      <c r="M114" s="6" t="str">
        <f>IF(AND(M58&gt;=CODES!$C$44,M58&lt;=CODES!$D$44),"PASS","FAIL")</f>
      </c>
      <c r="N114" s="6" t="str">
        <f t="shared" si="1"/>
      </c>
      <c r="O114" s="62" t="str">
        <f t="shared" si="51"/>
      </c>
      <c r="P114" s="6"/>
    </row>
    <row r="115" spans="2:16" x14ac:dyDescent="0.25">
      <c r="B115" s="61" t="str">
        <f t="shared" ref="B115:O115" si="52">B59</f>
      </c>
      <c r="C115" s="6" t="str">
        <f t="shared" si="52"/>
      </c>
      <c r="D115" s="6" t="str">
        <f t="shared" si="52"/>
      </c>
      <c r="E115" s="6" t="str">
        <f>IF(AND(E59&gt;=CODES!$C$34,E59&lt;=CODES!$D$34),"PASS","FAIL")</f>
      </c>
      <c r="F115" s="6" t="str">
        <f>IF(AND(F59&gt;=CODES!$C$35,F59&lt;=CODES!$D$35),"PASS","FAIL")</f>
      </c>
      <c r="G115" s="6" t="str">
        <f t="shared" si="52"/>
      </c>
      <c r="H115" s="6" t="str">
        <f>IF(AND(H59&gt;=CODES!$C$37,H59&lt;=CODES!$D$37),"PASS","FAIL")</f>
      </c>
      <c r="I115" s="6" t="str">
        <f>IF(ISTEXT(I59),I59,IF(ISERROR(I59),"CHECK DUP",IF(I59&gt;CODES!$B$39,"FAIL","PASS")))</f>
      </c>
      <c r="J115" s="6" t="str">
        <f>IF(AND(J59&gt;=CODES!$C$41,J59&lt;=CODES!$D$41),"PASS","FAIL")</f>
      </c>
      <c r="K115" s="6" t="str">
        <f>IF(AND(K59&gt;=CODES!$C$42,K59&lt;=CODES!$D$42),"PASS","FAIL")</f>
      </c>
      <c r="L115" s="6" t="str">
        <f>IF(AND(L59&gt;=CODES!$C$43,L59&lt;=CODES!$D$43),"PASS","FAIL")</f>
      </c>
      <c r="M115" s="6" t="str">
        <f>IF(AND(M59&gt;=CODES!$C$44,M59&lt;=CODES!$D$44),"PASS","FAIL")</f>
      </c>
      <c r="N115" s="6" t="str">
        <f t="shared" si="1"/>
      </c>
      <c r="O115" s="62" t="str">
        <f t="shared" si="52"/>
      </c>
      <c r="P115" s="6"/>
    </row>
    <row r="116" spans="2:16" hidden="1" x14ac:dyDescent="0.25">
      <c r="B116" s="66" t="str">
        <f t="shared" ref="B116:O116" si="53">B60</f>
      </c>
      <c r="C116" s="31" t="str">
        <f t="shared" si="53"/>
      </c>
      <c r="D116" s="31" t="str">
        <f t="shared" si="53"/>
      </c>
      <c r="E116" s="31" t="str">
        <f>IF(AND(E60&gt;=CODES!$C$34,E60&lt;=CODES!$D$34),"PASS","FAIL")</f>
      </c>
      <c r="F116" s="31" t="str">
        <f>IF(AND(F60&gt;=CODES!$C$35,F60&lt;=CODES!$D$35),"PASS","FAIL")</f>
      </c>
      <c r="G116" s="31" t="str">
        <f t="shared" si="53"/>
      </c>
      <c r="H116" s="31" t="str">
        <f>IF(AND(H60&gt;=CODES!$C$37,H60&lt;=CODES!$D$37),"PASS","FAIL")</f>
      </c>
      <c r="I116" s="31" t="str">
        <f>IF(ISTEXT(I60),I60,IF(ISERROR(I60),"CHECK DUP",IF(I60&gt;CODES!$B$39,"FAIL","PASS")))</f>
      </c>
      <c r="J116" s="31" t="str">
        <f>IF(AND(J60&gt;=CODES!$C$41,J60&lt;=CODES!$D$41),"PASS","FAIL")</f>
      </c>
      <c r="K116" s="31" t="str">
        <f>IF(AND(K60&gt;=CODES!$C$42,K60&lt;=CODES!$D$42),"PASS","FAIL")</f>
      </c>
      <c r="L116" s="31" t="str">
        <f>IF(AND(L60&gt;=CODES!$C$43,L60&lt;=CODES!$D$43),"PASS","FAIL")</f>
      </c>
      <c r="M116" s="31" t="str">
        <f>IF(AND(M60&gt;=CODES!$C$44,M60&lt;=CODES!$D$44),"PASS","FAIL")</f>
      </c>
      <c r="N116" s="6" t="str">
        <f t="shared" si="1"/>
      </c>
      <c r="O116" s="67" t="str">
        <f t="shared" si="53"/>
      </c>
      <c r="P116" s="31"/>
    </row>
  </sheetData>
  <sheetProtection algorithmName="SHA-512" hashValue="vKNZqfUhWDloDi/7rQhgRVDjGaPZfmCehiacv9iFs5B/QyiIxTpRp4h38BlS9cIyLaAZZYSUBaxsSfrTfyNejw==" saltValue="bTnNj7nLutIq3f3aYEDUWA==" spinCount="100000" sheet="1" objects="1" scenarios="1"/>
  <protectedRanges>
    <protectedRange sqref="A62:XFD196" name="Range1"/>
  </protectedRanges>
  <conditionalFormatting sqref="D64:M116">
    <cfRule type="containsText" dxfId="3" priority="1" operator="containsText" text="FAIL">
      <formula>NOT(ISERROR(SEARCH("FAIL",D64)))</formula>
    </cfRule>
    <cfRule type="containsText" dxfId="2" priority="2" operator="containsText" text="PASS">
      <formula>NOT(ISERROR(SEARCH("PASS",D64)))</formula>
    </cfRule>
  </conditionalFormatting>
  <pageMargins left="0.7" right="0.7" top="0.75" bottom="0.75" header="0.3" footer="0.3"/>
  <pageSetup orientation="portrait" horizontalDpi="1200" verticalDpi="120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0"/>
  <sheetViews>
    <sheetView workbookViewId="0">
      <selection activeCell="K17" sqref="K17"/>
    </sheetView>
  </sheetViews>
  <sheetFormatPr defaultRowHeight="15" x14ac:dyDescent="0.25"/>
  <cols>
    <col min="1" max="16384" width="9.140625" style="9"/>
  </cols>
  <sheetData>
    <row r="1" spans="1:2" x14ac:dyDescent="0.25">
      <c r="A1" s="26" t="s">
        <v>165</v>
      </c>
    </row>
    <row r="3" spans="1:2" x14ac:dyDescent="0.25">
      <c r="A3" s="2" t="s">
        <v>454</v>
      </c>
    </row>
    <row r="5" spans="1:2" x14ac:dyDescent="0.25">
      <c r="A5" s="26" t="s">
        <v>166</v>
      </c>
    </row>
    <row r="6" spans="1:2" x14ac:dyDescent="0.25">
      <c r="A6" s="9" t="s">
        <v>446</v>
      </c>
    </row>
    <row r="7" spans="1:2" x14ac:dyDescent="0.25">
      <c r="A7" s="9" t="s">
        <v>435</v>
      </c>
    </row>
    <row r="8" spans="1:2" x14ac:dyDescent="0.25">
      <c r="A8" s="9" t="s">
        <v>436</v>
      </c>
    </row>
    <row r="10" spans="1:2" x14ac:dyDescent="0.25">
      <c r="A10" s="26" t="s">
        <v>208</v>
      </c>
    </row>
    <row r="11" spans="1:2" x14ac:dyDescent="0.25">
      <c r="A11" s="9" t="s">
        <v>172</v>
      </c>
      <c r="B11" s="9" t="s">
        <v>326</v>
      </c>
    </row>
    <row r="13" spans="1:2" x14ac:dyDescent="0.25">
      <c r="A13" s="26" t="s">
        <v>211</v>
      </c>
    </row>
    <row r="14" spans="1:2" x14ac:dyDescent="0.25">
      <c r="A14" s="9" t="s">
        <v>172</v>
      </c>
      <c r="B14" s="9" t="s">
        <v>212</v>
      </c>
    </row>
    <row r="16" spans="1:2" x14ac:dyDescent="0.25">
      <c r="A16" s="26" t="s">
        <v>266</v>
      </c>
    </row>
    <row r="17" spans="1:2" x14ac:dyDescent="0.25">
      <c r="A17" s="9" t="s">
        <v>267</v>
      </c>
      <c r="B17" s="9" t="s">
        <v>268</v>
      </c>
    </row>
    <row r="18" spans="1:2" x14ac:dyDescent="0.25">
      <c r="A18" s="9" t="s">
        <v>317</v>
      </c>
      <c r="B18" s="9" t="s">
        <v>318</v>
      </c>
    </row>
    <row r="19" spans="1:2" x14ac:dyDescent="0.25">
      <c r="A19" s="9" t="s">
        <v>269</v>
      </c>
      <c r="B19" s="9" t="s">
        <v>270</v>
      </c>
    </row>
    <row r="20" spans="1:2" x14ac:dyDescent="0.25">
      <c r="A20" s="9" t="s">
        <v>207</v>
      </c>
      <c r="B20" s="9" t="s">
        <v>271</v>
      </c>
    </row>
    <row r="21" spans="1:2" x14ac:dyDescent="0.25">
      <c r="A21" s="9" t="s">
        <v>272</v>
      </c>
      <c r="B21" s="9" t="s">
        <v>273</v>
      </c>
    </row>
    <row r="22" spans="1:2" x14ac:dyDescent="0.25">
      <c r="A22" s="9" t="s">
        <v>275</v>
      </c>
      <c r="B22" s="9" t="s">
        <v>276</v>
      </c>
    </row>
    <row r="23" spans="1:2" x14ac:dyDescent="0.25">
      <c r="A23" s="9" t="s">
        <v>230</v>
      </c>
      <c r="B23" s="9" t="s">
        <v>277</v>
      </c>
    </row>
    <row r="25" spans="1:2" x14ac:dyDescent="0.25">
      <c r="A25" s="26" t="s">
        <v>296</v>
      </c>
    </row>
    <row r="26" spans="1:2" x14ac:dyDescent="0.25">
      <c r="A26" s="9" t="s">
        <v>297</v>
      </c>
    </row>
    <row r="27" spans="1:2" x14ac:dyDescent="0.25">
      <c r="A27" s="9" t="s">
        <v>298</v>
      </c>
    </row>
    <row r="28" spans="1:2" x14ac:dyDescent="0.25">
      <c r="A28" s="9" t="s">
        <v>299</v>
      </c>
    </row>
    <row r="29" spans="1:2" x14ac:dyDescent="0.25">
      <c r="A29" s="9" t="s">
        <v>302</v>
      </c>
    </row>
    <row r="31" spans="1:2" x14ac:dyDescent="0.25">
      <c r="A31" s="26" t="s">
        <v>336</v>
      </c>
    </row>
    <row r="32" spans="1:2" x14ac:dyDescent="0.25">
      <c r="A32" t="s">
        <v>310</v>
      </c>
    </row>
    <row r="34" spans="1:1" x14ac:dyDescent="0.25">
      <c r="A34" s="26" t="s">
        <v>337</v>
      </c>
    </row>
    <row r="35" spans="1:1" x14ac:dyDescent="0.25">
      <c r="A35" s="9" t="s">
        <v>338</v>
      </c>
    </row>
    <row r="37" spans="1:1" x14ac:dyDescent="0.25">
      <c r="A37" s="26" t="s">
        <v>451</v>
      </c>
    </row>
    <row r="38" spans="1:1" x14ac:dyDescent="0.25">
      <c r="A38" s="9" t="s">
        <v>452</v>
      </c>
    </row>
    <row r="39" spans="1:1" x14ac:dyDescent="0.25">
      <c r="A39" s="9" t="s">
        <v>298</v>
      </c>
    </row>
    <row r="40" spans="1:1" x14ac:dyDescent="0.25">
      <c r="A40" s="9" t="s">
        <v>302</v>
      </c>
    </row>
  </sheetData>
  <sheetProtection algorithmName="SHA-512" hashValue="5L9x3/24caEd7hZClQgf4ZdosXJwxZbK1RG/GlHVP2M/h4B/B6Bm59d0b/KvN6MzFJtxkTEEklraSFoKIZv0Kw==" saltValue="mgjWJdxdkjdmRRSPnRs20Q==" spinCount="100000" sheet="1" objects="1" scenarios="1"/>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5A3E-8742-43A8-B915-1AAC91213A58}">
  <dimension ref="A1:DI50"/>
  <sheetViews>
    <sheetView zoomScale="85" zoomScaleNormal="85" workbookViewId="0">
      <selection activeCell="B2" sqref="B2"/>
    </sheetView>
  </sheetViews>
  <sheetFormatPr defaultRowHeight="15" x14ac:dyDescent="0.25"/>
  <cols>
    <col min="1" max="1" width="48.85546875" bestFit="1" customWidth="1"/>
    <col min="2" max="2" width="41.85546875" bestFit="1" customWidth="1"/>
    <col min="3" max="4" width="12.85546875" customWidth="1"/>
  </cols>
  <sheetData>
    <row r="1" spans="1:5" ht="31.5" x14ac:dyDescent="0.5">
      <c r="A1" s="34" t="s">
        <v>170</v>
      </c>
      <c r="B1" s="35"/>
      <c r="C1" s="35"/>
      <c r="D1" s="35"/>
      <c r="E1" s="35"/>
    </row>
    <row r="2" spans="1:5" x14ac:dyDescent="0.25">
      <c r="A2" t="str">
        <f>INSTRUCTIONS!A3</f>
      </c>
    </row>
    <row r="4" spans="1:5" x14ac:dyDescent="0.25">
      <c r="A4" s="39" t="s">
        <v>171</v>
      </c>
    </row>
    <row r="5" spans="1:5" x14ac:dyDescent="0.25">
      <c r="A5" s="33" t="s">
        <v>172</v>
      </c>
    </row>
    <row r="6" spans="1:5" x14ac:dyDescent="0.25">
      <c r="A6" s="33" t="s">
        <v>173</v>
      </c>
    </row>
    <row r="7" spans="1:5" x14ac:dyDescent="0.25">
      <c r="A7" s="33" t="s">
        <v>206</v>
      </c>
    </row>
    <row r="9" spans="1:5" x14ac:dyDescent="0.25">
      <c r="A9" s="39" t="s">
        <v>202</v>
      </c>
    </row>
    <row r="10" spans="1:5" x14ac:dyDescent="0.25">
      <c r="A10" s="33" t="s">
        <v>199</v>
      </c>
    </row>
    <row r="11" spans="1:5" x14ac:dyDescent="0.25">
      <c r="A11" s="33" t="s">
        <v>201</v>
      </c>
    </row>
    <row r="12" spans="1:5" x14ac:dyDescent="0.25">
      <c r="A12" s="33" t="s">
        <v>198</v>
      </c>
    </row>
    <row r="13" spans="1:5" x14ac:dyDescent="0.25">
      <c r="A13" s="33" t="s">
        <v>200</v>
      </c>
    </row>
    <row r="15" spans="1:5" x14ac:dyDescent="0.25">
      <c r="A15" s="39" t="s">
        <v>204</v>
      </c>
    </row>
    <row r="16" spans="1:5" x14ac:dyDescent="0.25">
      <c r="A16" s="33" t="s">
        <v>210</v>
      </c>
    </row>
    <row r="17" spans="1:113" x14ac:dyDescent="0.25">
      <c r="A17" s="33" t="s">
        <v>136</v>
      </c>
    </row>
    <row r="18" spans="1:113" x14ac:dyDescent="0.25">
      <c r="A18" s="33" t="s">
        <v>205</v>
      </c>
    </row>
    <row r="21" spans="1:113" x14ac:dyDescent="0.25">
      <c r="A21" s="39" t="s">
        <v>223</v>
      </c>
    </row>
    <row r="22" spans="1:113" x14ac:dyDescent="0.25">
      <c r="A22" s="71" t="s">
        <v>222</v>
      </c>
    </row>
    <row r="23" spans="1:113" x14ac:dyDescent="0.25">
      <c r="A23" s="45">
        <v>1000</v>
      </c>
    </row>
    <row r="24" spans="1:113" x14ac:dyDescent="0.25">
      <c r="A24" s="45">
        <v>20</v>
      </c>
    </row>
    <row r="27" spans="1:113" x14ac:dyDescent="0.25">
      <c r="A27" s="53" t="s">
        <v>265</v>
      </c>
      <c r="C27" s="40" t="s">
        <v>11</v>
      </c>
      <c r="D27" s="40" t="s">
        <v>12</v>
      </c>
      <c r="E27" s="40" t="s">
        <v>13</v>
      </c>
      <c r="F27" s="40" t="s">
        <v>14</v>
      </c>
      <c r="G27" s="40" t="s">
        <v>15</v>
      </c>
      <c r="H27" s="40" t="s">
        <v>16</v>
      </c>
      <c r="I27" s="40" t="s">
        <v>17</v>
      </c>
      <c r="J27" s="40" t="s">
        <v>18</v>
      </c>
      <c r="K27" s="40" t="s">
        <v>19</v>
      </c>
      <c r="L27" s="40" t="s">
        <v>20</v>
      </c>
      <c r="M27" s="40" t="s">
        <v>21</v>
      </c>
      <c r="N27" s="40" t="s">
        <v>22</v>
      </c>
      <c r="O27" s="40" t="s">
        <v>23</v>
      </c>
      <c r="P27" s="40" t="s">
        <v>24</v>
      </c>
      <c r="Q27" s="40" t="s">
        <v>25</v>
      </c>
      <c r="R27" s="40" t="s">
        <v>26</v>
      </c>
      <c r="S27" s="40" t="s">
        <v>27</v>
      </c>
      <c r="T27" s="40" t="s">
        <v>28</v>
      </c>
      <c r="U27" s="40" t="s">
        <v>29</v>
      </c>
      <c r="V27" s="40" t="s">
        <v>30</v>
      </c>
      <c r="W27" s="40" t="s">
        <v>31</v>
      </c>
      <c r="X27" s="40" t="s">
        <v>32</v>
      </c>
      <c r="Y27" s="40" t="s">
        <v>33</v>
      </c>
      <c r="Z27" s="40" t="s">
        <v>34</v>
      </c>
      <c r="AA27" s="40" t="s">
        <v>35</v>
      </c>
      <c r="AB27" s="40" t="s">
        <v>36</v>
      </c>
      <c r="AC27" s="40" t="s">
        <v>37</v>
      </c>
      <c r="AD27" s="40" t="s">
        <v>38</v>
      </c>
      <c r="AE27" s="40" t="s">
        <v>39</v>
      </c>
      <c r="AF27" s="40" t="s">
        <v>40</v>
      </c>
      <c r="AG27" s="40" t="s">
        <v>41</v>
      </c>
      <c r="AH27" s="40" t="s">
        <v>42</v>
      </c>
      <c r="AI27" s="40" t="s">
        <v>43</v>
      </c>
      <c r="AJ27" s="40" t="s">
        <v>44</v>
      </c>
      <c r="AK27" s="40" t="s">
        <v>45</v>
      </c>
      <c r="AL27" s="40" t="s">
        <v>46</v>
      </c>
      <c r="AM27" s="40" t="s">
        <v>47</v>
      </c>
      <c r="AN27" s="40" t="s">
        <v>48</v>
      </c>
      <c r="AO27" s="40" t="s">
        <v>49</v>
      </c>
      <c r="AP27" s="40" t="s">
        <v>50</v>
      </c>
      <c r="AQ27" s="40" t="s">
        <v>51</v>
      </c>
      <c r="AR27" s="40" t="s">
        <v>52</v>
      </c>
      <c r="AS27" s="40" t="s">
        <v>53</v>
      </c>
      <c r="AT27" s="40" t="s">
        <v>54</v>
      </c>
      <c r="AU27" s="40" t="s">
        <v>55</v>
      </c>
      <c r="AV27" s="40" t="s">
        <v>56</v>
      </c>
      <c r="AW27" s="40" t="s">
        <v>57</v>
      </c>
      <c r="AX27" s="40" t="s">
        <v>58</v>
      </c>
      <c r="AY27" s="40" t="s">
        <v>59</v>
      </c>
      <c r="AZ27" s="40" t="s">
        <v>60</v>
      </c>
      <c r="BA27" s="40" t="s">
        <v>61</v>
      </c>
      <c r="BB27" s="40" t="s">
        <v>62</v>
      </c>
      <c r="BC27" s="40" t="s">
        <v>63</v>
      </c>
      <c r="BD27" s="40" t="s">
        <v>64</v>
      </c>
      <c r="BE27" s="40" t="s">
        <v>65</v>
      </c>
      <c r="BF27" s="40" t="s">
        <v>66</v>
      </c>
      <c r="BG27" s="40" t="s">
        <v>67</v>
      </c>
      <c r="BH27" s="40" t="s">
        <v>68</v>
      </c>
      <c r="BI27" s="40" t="s">
        <v>69</v>
      </c>
      <c r="BJ27" s="40" t="s">
        <v>70</v>
      </c>
      <c r="BK27" s="40" t="s">
        <v>71</v>
      </c>
      <c r="BL27" s="40" t="s">
        <v>72</v>
      </c>
      <c r="BM27" s="40" t="s">
        <v>73</v>
      </c>
      <c r="BN27" s="40" t="s">
        <v>74</v>
      </c>
      <c r="BO27" s="40" t="s">
        <v>75</v>
      </c>
      <c r="BP27" s="40" t="s">
        <v>76</v>
      </c>
      <c r="BQ27" s="40" t="s">
        <v>77</v>
      </c>
      <c r="BR27" s="40" t="s">
        <v>78</v>
      </c>
      <c r="BS27" s="40" t="s">
        <v>79</v>
      </c>
      <c r="BT27" s="40" t="s">
        <v>80</v>
      </c>
      <c r="BU27" s="40" t="s">
        <v>81</v>
      </c>
      <c r="BV27" s="40" t="s">
        <v>82</v>
      </c>
      <c r="BW27" s="40" t="s">
        <v>83</v>
      </c>
      <c r="BX27" s="40" t="s">
        <v>84</v>
      </c>
      <c r="BY27" s="40" t="s">
        <v>85</v>
      </c>
      <c r="BZ27" s="40" t="s">
        <v>86</v>
      </c>
      <c r="CA27" s="40" t="s">
        <v>87</v>
      </c>
      <c r="CB27" s="40" t="s">
        <v>88</v>
      </c>
      <c r="CC27" s="40" t="s">
        <v>89</v>
      </c>
      <c r="CD27" s="40" t="s">
        <v>90</v>
      </c>
      <c r="CE27" s="40" t="s">
        <v>91</v>
      </c>
      <c r="CF27" s="40" t="s">
        <v>92</v>
      </c>
      <c r="CG27" s="40" t="s">
        <v>93</v>
      </c>
      <c r="CH27" s="40" t="s">
        <v>94</v>
      </c>
      <c r="CI27" s="40" t="s">
        <v>95</v>
      </c>
      <c r="CJ27" s="40" t="s">
        <v>96</v>
      </c>
      <c r="CK27" s="40" t="s">
        <v>97</v>
      </c>
      <c r="CL27" s="40" t="s">
        <v>98</v>
      </c>
      <c r="CM27" s="40" t="s">
        <v>99</v>
      </c>
      <c r="CN27" s="40" t="s">
        <v>100</v>
      </c>
      <c r="CO27" s="40" t="s">
        <v>101</v>
      </c>
      <c r="CP27" s="40" t="s">
        <v>102</v>
      </c>
      <c r="CQ27" s="40" t="s">
        <v>103</v>
      </c>
      <c r="CR27" s="40" t="s">
        <v>104</v>
      </c>
      <c r="CS27" s="40" t="s">
        <v>105</v>
      </c>
      <c r="CT27" s="40" t="s">
        <v>106</v>
      </c>
      <c r="CU27" s="40" t="s">
        <v>107</v>
      </c>
      <c r="CV27" s="40" t="s">
        <v>108</v>
      </c>
      <c r="CW27" s="40" t="s">
        <v>109</v>
      </c>
      <c r="CX27" s="40" t="s">
        <v>110</v>
      </c>
      <c r="CY27" s="40" t="s">
        <v>111</v>
      </c>
      <c r="CZ27" s="40" t="s">
        <v>112</v>
      </c>
      <c r="DA27" s="40" t="s">
        <v>113</v>
      </c>
      <c r="DB27" s="40" t="s">
        <v>114</v>
      </c>
      <c r="DC27" s="40" t="s">
        <v>115</v>
      </c>
      <c r="DD27" s="40" t="s">
        <v>116</v>
      </c>
      <c r="DE27" s="40" t="s">
        <v>117</v>
      </c>
      <c r="DF27" s="40" t="s">
        <v>118</v>
      </c>
      <c r="DG27" s="40" t="s">
        <v>119</v>
      </c>
      <c r="DH27" s="40" t="s">
        <v>120</v>
      </c>
      <c r="DI27" s="40" t="s">
        <v>121</v>
      </c>
    </row>
    <row r="28" spans="1:113" x14ac:dyDescent="0.25">
      <c r="C28" s="40" t="s">
        <v>124</v>
      </c>
      <c r="D28" s="40" t="s">
        <v>124</v>
      </c>
      <c r="E28" s="40" t="s">
        <v>124</v>
      </c>
      <c r="F28" s="40" t="s">
        <v>124</v>
      </c>
      <c r="G28" s="40" t="s">
        <v>124</v>
      </c>
      <c r="H28" s="40" t="s">
        <v>124</v>
      </c>
      <c r="I28" s="40" t="s">
        <v>124</v>
      </c>
      <c r="J28" s="40" t="s">
        <v>124</v>
      </c>
      <c r="K28" s="40" t="s">
        <v>124</v>
      </c>
      <c r="L28" s="40" t="s">
        <v>124</v>
      </c>
      <c r="M28" s="40" t="s">
        <v>125</v>
      </c>
      <c r="N28" s="40" t="s">
        <v>124</v>
      </c>
      <c r="O28" s="40" t="s">
        <v>124</v>
      </c>
      <c r="P28" s="40" t="s">
        <v>124</v>
      </c>
      <c r="Q28" s="40" t="s">
        <v>124</v>
      </c>
      <c r="R28" s="40" t="s">
        <v>124</v>
      </c>
      <c r="S28" s="40" t="s">
        <v>124</v>
      </c>
      <c r="T28" s="40" t="s">
        <v>124</v>
      </c>
      <c r="U28" s="40" t="s">
        <v>124</v>
      </c>
      <c r="V28" s="40" t="s">
        <v>124</v>
      </c>
      <c r="W28" s="40" t="s">
        <v>124</v>
      </c>
      <c r="X28" s="40" t="s">
        <v>124</v>
      </c>
      <c r="Y28" s="40" t="s">
        <v>124</v>
      </c>
      <c r="Z28" s="40" t="s">
        <v>124</v>
      </c>
      <c r="AA28" s="40" t="s">
        <v>124</v>
      </c>
      <c r="AB28" s="40" t="s">
        <v>124</v>
      </c>
      <c r="AC28" s="40" t="s">
        <v>124</v>
      </c>
      <c r="AD28" s="40" t="s">
        <v>124</v>
      </c>
      <c r="AE28" s="40" t="s">
        <v>124</v>
      </c>
      <c r="AF28" s="40" t="s">
        <v>124</v>
      </c>
      <c r="AG28" s="40" t="s">
        <v>124</v>
      </c>
      <c r="AH28" s="40" t="s">
        <v>124</v>
      </c>
      <c r="AI28" s="40" t="s">
        <v>124</v>
      </c>
      <c r="AJ28" s="40" t="s">
        <v>124</v>
      </c>
      <c r="AK28" s="40" t="s">
        <v>124</v>
      </c>
      <c r="AL28" s="40" t="s">
        <v>124</v>
      </c>
      <c r="AM28" s="40" t="s">
        <v>124</v>
      </c>
      <c r="AN28" s="40" t="s">
        <v>124</v>
      </c>
      <c r="AO28" s="40" t="s">
        <v>125</v>
      </c>
      <c r="AP28" s="40" t="s">
        <v>125</v>
      </c>
      <c r="AQ28" s="40" t="s">
        <v>124</v>
      </c>
      <c r="AR28" s="40" t="s">
        <v>124</v>
      </c>
      <c r="AS28" s="40" t="s">
        <v>124</v>
      </c>
      <c r="AT28" s="40" t="s">
        <v>124</v>
      </c>
      <c r="AU28" s="40" t="s">
        <v>124</v>
      </c>
      <c r="AV28" s="40" t="s">
        <v>124</v>
      </c>
      <c r="AW28" s="40" t="s">
        <v>124</v>
      </c>
      <c r="AX28" s="40" t="s">
        <v>124</v>
      </c>
      <c r="AY28" s="40" t="s">
        <v>124</v>
      </c>
      <c r="AZ28" s="40" t="s">
        <v>124</v>
      </c>
      <c r="BA28" s="40" t="s">
        <v>124</v>
      </c>
      <c r="BB28" s="40" t="s">
        <v>124</v>
      </c>
      <c r="BC28" s="40" t="s">
        <v>124</v>
      </c>
      <c r="BD28" s="40" t="s">
        <v>124</v>
      </c>
      <c r="BE28" s="40" t="s">
        <v>124</v>
      </c>
      <c r="BF28" s="40" t="s">
        <v>124</v>
      </c>
      <c r="BG28" s="40" t="s">
        <v>124</v>
      </c>
      <c r="BH28" s="40" t="s">
        <v>124</v>
      </c>
      <c r="BI28" s="40" t="s">
        <v>124</v>
      </c>
      <c r="BJ28" s="40" t="s">
        <v>124</v>
      </c>
      <c r="BK28" s="40" t="s">
        <v>124</v>
      </c>
      <c r="BL28" s="40" t="s">
        <v>124</v>
      </c>
      <c r="BM28" s="40" t="s">
        <v>124</v>
      </c>
      <c r="BN28" s="40" t="s">
        <v>124</v>
      </c>
      <c r="BO28" s="40" t="s">
        <v>124</v>
      </c>
      <c r="BP28" s="40" t="s">
        <v>124</v>
      </c>
      <c r="BQ28" s="40" t="s">
        <v>124</v>
      </c>
      <c r="BR28" s="40" t="s">
        <v>124</v>
      </c>
      <c r="BS28" s="40" t="s">
        <v>124</v>
      </c>
      <c r="BT28" s="40" t="s">
        <v>124</v>
      </c>
      <c r="BU28" s="40" t="s">
        <v>124</v>
      </c>
      <c r="BV28" s="40" t="s">
        <v>124</v>
      </c>
      <c r="BW28" s="40" t="s">
        <v>124</v>
      </c>
      <c r="BX28" s="40" t="s">
        <v>124</v>
      </c>
      <c r="BY28" s="40" t="s">
        <v>124</v>
      </c>
      <c r="BZ28" s="40" t="s">
        <v>124</v>
      </c>
      <c r="CA28" s="40" t="s">
        <v>124</v>
      </c>
      <c r="CB28" s="40" t="s">
        <v>124</v>
      </c>
      <c r="CC28" s="40" t="s">
        <v>124</v>
      </c>
      <c r="CD28" s="40" t="s">
        <v>124</v>
      </c>
      <c r="CE28" s="40" t="s">
        <v>124</v>
      </c>
      <c r="CF28" s="40" t="s">
        <v>124</v>
      </c>
      <c r="CG28" s="40" t="s">
        <v>124</v>
      </c>
      <c r="CH28" s="40" t="s">
        <v>124</v>
      </c>
      <c r="CI28" s="40" t="s">
        <v>124</v>
      </c>
      <c r="CJ28" s="40" t="s">
        <v>124</v>
      </c>
      <c r="CK28" s="40" t="s">
        <v>124</v>
      </c>
      <c r="CL28" s="40" t="s">
        <v>124</v>
      </c>
      <c r="CM28" s="40" t="s">
        <v>124</v>
      </c>
      <c r="CN28" s="40" t="s">
        <v>124</v>
      </c>
      <c r="CO28" s="40" t="s">
        <v>124</v>
      </c>
      <c r="CP28" s="40" t="s">
        <v>124</v>
      </c>
      <c r="CQ28" s="40" t="s">
        <v>124</v>
      </c>
      <c r="CR28" s="40" t="s">
        <v>124</v>
      </c>
      <c r="CS28" s="40" t="s">
        <v>124</v>
      </c>
      <c r="CT28" s="40" t="s">
        <v>124</v>
      </c>
      <c r="CU28" s="40" t="s">
        <v>124</v>
      </c>
      <c r="CV28" s="40" t="s">
        <v>124</v>
      </c>
      <c r="CW28" s="40" t="s">
        <v>124</v>
      </c>
      <c r="CX28" s="40" t="s">
        <v>124</v>
      </c>
      <c r="CY28" s="40" t="s">
        <v>124</v>
      </c>
      <c r="CZ28" s="40" t="s">
        <v>124</v>
      </c>
      <c r="DA28" s="40" t="s">
        <v>124</v>
      </c>
      <c r="DB28" s="40" t="s">
        <v>124</v>
      </c>
      <c r="DC28" s="40" t="s">
        <v>124</v>
      </c>
      <c r="DD28" s="40" t="s">
        <v>124</v>
      </c>
      <c r="DE28" s="40" t="s">
        <v>124</v>
      </c>
      <c r="DF28" s="40" t="s">
        <v>124</v>
      </c>
      <c r="DG28" s="40" t="s">
        <v>124</v>
      </c>
      <c r="DH28" s="40" t="s">
        <v>124</v>
      </c>
      <c r="DI28" s="40" t="s">
        <v>124</v>
      </c>
    </row>
    <row r="29" spans="1:113" x14ac:dyDescent="0.25">
      <c r="A29" s="42" t="s">
        <v>126</v>
      </c>
      <c r="B29" s="42" t="s">
        <v>127</v>
      </c>
      <c r="C29" s="40">
        <v>7.0000000000000001E-3</v>
      </c>
      <c r="D29" s="40">
        <v>8.9999999999999993E-3</v>
      </c>
      <c r="E29" s="40">
        <v>1.2E-2</v>
      </c>
      <c r="F29" s="40">
        <v>1.2999999999999999E-2</v>
      </c>
      <c r="G29" s="40">
        <v>1.4E-2</v>
      </c>
      <c r="H29" s="40">
        <v>1.6999999999999999E-3</v>
      </c>
      <c r="I29" s="40">
        <v>1.1000000000000001E-3</v>
      </c>
      <c r="J29" s="40">
        <v>6.9999999999999999E-4</v>
      </c>
      <c r="K29" s="40">
        <v>1E-3</v>
      </c>
      <c r="L29" s="40">
        <v>5.0000000000000001E-4</v>
      </c>
      <c r="M29" s="40">
        <v>1.5E-3</v>
      </c>
      <c r="N29" s="40" t="s">
        <v>132</v>
      </c>
      <c r="O29" s="40" t="s">
        <v>132</v>
      </c>
      <c r="P29" s="40">
        <v>4.0000000000000001E-3</v>
      </c>
      <c r="Q29" s="40">
        <v>0.02</v>
      </c>
      <c r="R29" s="40">
        <v>6.9999999999999999E-4</v>
      </c>
      <c r="S29" s="40">
        <v>6.9999999999999999E-4</v>
      </c>
      <c r="T29" s="40">
        <v>1E-3</v>
      </c>
      <c r="U29" s="40">
        <v>2E-3</v>
      </c>
      <c r="V29" s="40">
        <v>8.9999999999999998E-4</v>
      </c>
      <c r="W29" s="40">
        <v>1.4E-3</v>
      </c>
      <c r="X29" s="40">
        <v>3.2000000000000002E-3</v>
      </c>
      <c r="Y29" s="40">
        <v>5.0000000000000001E-4</v>
      </c>
      <c r="Z29" s="40">
        <v>6.9999999999999999E-4</v>
      </c>
      <c r="AA29" s="40">
        <v>2E-3</v>
      </c>
      <c r="AB29" s="40">
        <v>1E-3</v>
      </c>
      <c r="AC29" s="40">
        <v>2.9999999999999997E-4</v>
      </c>
      <c r="AD29" s="40">
        <v>1E-3</v>
      </c>
      <c r="AE29" s="40">
        <v>5.0000000000000001E-4</v>
      </c>
      <c r="AF29" s="40">
        <v>2.9999999999999997E-4</v>
      </c>
      <c r="AG29" s="40">
        <v>6.7000000000000002E-3</v>
      </c>
      <c r="AH29" s="40">
        <v>2.5000000000000001E-3</v>
      </c>
      <c r="AI29" s="40">
        <v>4.0000000000000001E-3</v>
      </c>
      <c r="AJ29" s="40">
        <v>5.0000000000000001E-3</v>
      </c>
      <c r="AK29" s="40">
        <v>1E-3</v>
      </c>
      <c r="AL29" s="40">
        <v>1E-3</v>
      </c>
      <c r="AM29" s="40">
        <v>2E-3</v>
      </c>
      <c r="AN29" s="40">
        <v>1E-3</v>
      </c>
      <c r="AO29" s="40">
        <v>7</v>
      </c>
      <c r="AP29" s="40">
        <v>7</v>
      </c>
      <c r="AQ29" s="40">
        <v>2E-3</v>
      </c>
      <c r="AR29" s="40">
        <v>1E-3</v>
      </c>
      <c r="AS29" s="40">
        <v>2E-3</v>
      </c>
      <c r="AT29" s="40">
        <v>4.0000000000000002E-4</v>
      </c>
      <c r="AU29" s="40">
        <v>2.9999999999999997E-4</v>
      </c>
      <c r="AV29" s="40" t="s">
        <v>132</v>
      </c>
      <c r="AW29" s="40" t="s">
        <v>132</v>
      </c>
      <c r="AX29" s="40">
        <v>4.0000000000000002E-4</v>
      </c>
      <c r="AY29" s="40">
        <v>1E-3</v>
      </c>
      <c r="AZ29" s="40">
        <v>6.9999999999999999E-4</v>
      </c>
      <c r="BA29" s="40">
        <v>4.1000000000000003E-3</v>
      </c>
      <c r="BB29" s="40">
        <v>6.9999999999999999E-4</v>
      </c>
      <c r="BC29" s="40">
        <v>3.5000000000000001E-3</v>
      </c>
      <c r="BD29" s="40">
        <v>2.3E-3</v>
      </c>
      <c r="BE29" s="40">
        <v>2.2000000000000001E-3</v>
      </c>
      <c r="BF29" s="40">
        <v>6.8999999999999999E-3</v>
      </c>
      <c r="BG29" s="40">
        <v>1.1000000000000001E-3</v>
      </c>
      <c r="BH29" s="40">
        <v>0.01</v>
      </c>
      <c r="BI29" s="40">
        <v>0.06</v>
      </c>
      <c r="BJ29" s="40">
        <v>3.0000000000000001E-3</v>
      </c>
      <c r="BK29" s="40">
        <v>2E-3</v>
      </c>
      <c r="BL29" s="40">
        <v>1.6999999999999999E-3</v>
      </c>
      <c r="BM29" s="40">
        <v>8.9999999999999998E-4</v>
      </c>
      <c r="BN29" s="40" t="s">
        <v>132</v>
      </c>
      <c r="BO29" s="40" t="s">
        <v>132</v>
      </c>
      <c r="BP29" s="40">
        <v>1.0999999999999999E-2</v>
      </c>
      <c r="BQ29" s="40">
        <v>5.3E-3</v>
      </c>
      <c r="BR29" s="40">
        <v>7.0000000000000001E-3</v>
      </c>
      <c r="BS29" s="40">
        <v>5.6000000000000001E-2</v>
      </c>
      <c r="BT29" s="40">
        <v>3.4000000000000002E-2</v>
      </c>
      <c r="BU29" s="40">
        <v>1.0999999999999999E-2</v>
      </c>
      <c r="BV29" s="40">
        <v>7.0000000000000001E-3</v>
      </c>
      <c r="BW29" s="40" t="s">
        <v>132</v>
      </c>
      <c r="BX29" s="40" t="s">
        <v>132</v>
      </c>
      <c r="BY29" s="40">
        <v>1.7999999999999999E-2</v>
      </c>
      <c r="BZ29" s="40">
        <v>2.5000000000000001E-2</v>
      </c>
      <c r="CA29" s="40">
        <v>4.0000000000000001E-3</v>
      </c>
      <c r="CB29" s="40">
        <v>3.0000000000000001E-3</v>
      </c>
      <c r="CC29" s="40">
        <v>1E-3</v>
      </c>
      <c r="CD29" s="40">
        <v>2E-3</v>
      </c>
      <c r="CE29" s="40">
        <v>0.01</v>
      </c>
      <c r="CF29" s="40">
        <v>5.0000000000000001E-3</v>
      </c>
      <c r="CG29" s="40">
        <v>2.9999999999999997E-4</v>
      </c>
      <c r="CH29" s="40">
        <v>5.0000000000000001E-4</v>
      </c>
      <c r="CI29" s="40">
        <v>3.0000000000000001E-3</v>
      </c>
      <c r="CJ29" s="40">
        <v>4.0000000000000001E-3</v>
      </c>
      <c r="CK29" s="40">
        <v>0.1</v>
      </c>
      <c r="CL29" s="40">
        <v>0.01</v>
      </c>
      <c r="CM29" s="40">
        <v>0.01</v>
      </c>
      <c r="CN29" s="40">
        <v>3.0000000000000001E-3</v>
      </c>
      <c r="CO29" s="40">
        <v>5.0000000000000001E-4</v>
      </c>
      <c r="CP29" s="40">
        <v>5.0000000000000001E-4</v>
      </c>
      <c r="CQ29" s="40">
        <v>0.01</v>
      </c>
      <c r="CR29" s="40">
        <v>0.03</v>
      </c>
      <c r="CS29" s="40">
        <v>0.02</v>
      </c>
      <c r="CT29" s="40">
        <v>2E-3</v>
      </c>
      <c r="CU29" s="40">
        <v>1E-3</v>
      </c>
      <c r="CV29" s="40">
        <v>0.03</v>
      </c>
      <c r="CW29" s="40">
        <v>1.2E-2</v>
      </c>
      <c r="CX29" s="40">
        <v>8.0000000000000004E-4</v>
      </c>
      <c r="CY29" s="40">
        <v>3.0000000000000001E-3</v>
      </c>
      <c r="CZ29" s="40">
        <v>5.0000000000000001E-3</v>
      </c>
      <c r="DA29" s="40">
        <v>0.01</v>
      </c>
      <c r="DB29" s="40" t="s">
        <v>132</v>
      </c>
      <c r="DC29" s="40" t="s">
        <v>132</v>
      </c>
      <c r="DD29" s="40">
        <v>2.9999999999999997E-4</v>
      </c>
      <c r="DE29" s="40">
        <v>4.0000000000000002E-4</v>
      </c>
      <c r="DF29" s="40">
        <v>1E-3</v>
      </c>
      <c r="DG29" s="40">
        <v>6.9999999999999999E-4</v>
      </c>
      <c r="DH29" s="40">
        <v>5.9999999999999995E-4</v>
      </c>
      <c r="DI29" s="40">
        <v>5.0000000000000001E-4</v>
      </c>
    </row>
    <row r="30" spans="1:113" x14ac:dyDescent="0.25">
      <c r="A30" s="42" t="s">
        <v>126</v>
      </c>
      <c r="B30" s="42" t="s">
        <v>127</v>
      </c>
      <c r="C30" s="40" t="s">
        <v>235</v>
      </c>
      <c r="D30" s="40" t="s">
        <v>236</v>
      </c>
      <c r="E30" s="40" t="s">
        <v>237</v>
      </c>
      <c r="F30" s="40" t="s">
        <v>238</v>
      </c>
      <c r="G30" s="40" t="s">
        <v>239</v>
      </c>
      <c r="H30" s="40" t="s">
        <v>240</v>
      </c>
      <c r="I30" s="40" t="s">
        <v>241</v>
      </c>
      <c r="J30" s="40" t="s">
        <v>242</v>
      </c>
      <c r="K30" s="40" t="s">
        <v>243</v>
      </c>
      <c r="L30" s="40" t="s">
        <v>217</v>
      </c>
      <c r="M30" s="40" t="s">
        <v>244</v>
      </c>
      <c r="N30" s="40" t="s">
        <v>132</v>
      </c>
      <c r="O30" s="40" t="s">
        <v>132</v>
      </c>
      <c r="P30" s="40" t="s">
        <v>216</v>
      </c>
      <c r="Q30" s="40" t="s">
        <v>214</v>
      </c>
      <c r="R30" s="40" t="s">
        <v>242</v>
      </c>
      <c r="S30" s="40" t="s">
        <v>242</v>
      </c>
      <c r="T30" s="40" t="s">
        <v>130</v>
      </c>
      <c r="U30" s="40" t="s">
        <v>129</v>
      </c>
      <c r="V30" s="40" t="s">
        <v>245</v>
      </c>
      <c r="W30" s="40" t="s">
        <v>246</v>
      </c>
      <c r="X30" s="40" t="s">
        <v>247</v>
      </c>
      <c r="Y30" s="40" t="s">
        <v>217</v>
      </c>
      <c r="Z30" s="40" t="s">
        <v>242</v>
      </c>
      <c r="AA30" s="40" t="s">
        <v>129</v>
      </c>
      <c r="AB30" s="40" t="s">
        <v>130</v>
      </c>
      <c r="AC30" s="40" t="s">
        <v>131</v>
      </c>
      <c r="AD30" s="40" t="s">
        <v>130</v>
      </c>
      <c r="AE30" s="40" t="s">
        <v>217</v>
      </c>
      <c r="AF30" s="40" t="s">
        <v>131</v>
      </c>
      <c r="AG30" s="40" t="s">
        <v>248</v>
      </c>
      <c r="AH30" s="40" t="s">
        <v>249</v>
      </c>
      <c r="AI30" s="40" t="s">
        <v>216</v>
      </c>
      <c r="AJ30" s="40" t="s">
        <v>215</v>
      </c>
      <c r="AK30" s="40" t="s">
        <v>130</v>
      </c>
      <c r="AL30" s="40" t="s">
        <v>130</v>
      </c>
      <c r="AM30" s="40" t="s">
        <v>129</v>
      </c>
      <c r="AN30" s="40" t="s">
        <v>130</v>
      </c>
      <c r="AO30" s="40" t="s">
        <v>218</v>
      </c>
      <c r="AP30" s="40" t="s">
        <v>218</v>
      </c>
      <c r="AQ30" s="40" t="s">
        <v>129</v>
      </c>
      <c r="AR30" s="40" t="s">
        <v>130</v>
      </c>
      <c r="AS30" s="40" t="s">
        <v>129</v>
      </c>
      <c r="AT30" s="40" t="s">
        <v>133</v>
      </c>
      <c r="AU30" s="40" t="s">
        <v>131</v>
      </c>
      <c r="AV30" s="40" t="s">
        <v>132</v>
      </c>
      <c r="AW30" s="40" t="s">
        <v>132</v>
      </c>
      <c r="AX30" s="40" t="s">
        <v>133</v>
      </c>
      <c r="AY30" s="40" t="s">
        <v>130</v>
      </c>
      <c r="AZ30" s="40" t="s">
        <v>242</v>
      </c>
      <c r="BA30" s="40" t="s">
        <v>250</v>
      </c>
      <c r="BB30" s="40" t="s">
        <v>242</v>
      </c>
      <c r="BC30" s="40" t="s">
        <v>251</v>
      </c>
      <c r="BD30" s="40" t="s">
        <v>252</v>
      </c>
      <c r="BE30" s="40" t="s">
        <v>253</v>
      </c>
      <c r="BF30" s="40" t="s">
        <v>254</v>
      </c>
      <c r="BG30" s="40" t="s">
        <v>241</v>
      </c>
      <c r="BH30" s="40" t="s">
        <v>213</v>
      </c>
      <c r="BI30" s="40" t="s">
        <v>255</v>
      </c>
      <c r="BJ30" s="40" t="s">
        <v>128</v>
      </c>
      <c r="BK30" s="40" t="s">
        <v>129</v>
      </c>
      <c r="BL30" s="40" t="s">
        <v>240</v>
      </c>
      <c r="BM30" s="40" t="s">
        <v>245</v>
      </c>
      <c r="BN30" s="40" t="s">
        <v>132</v>
      </c>
      <c r="BO30" s="40" t="s">
        <v>132</v>
      </c>
      <c r="BP30" s="40" t="s">
        <v>256</v>
      </c>
      <c r="BQ30" s="40" t="s">
        <v>257</v>
      </c>
      <c r="BR30" s="40" t="s">
        <v>235</v>
      </c>
      <c r="BS30" s="40" t="s">
        <v>258</v>
      </c>
      <c r="BT30" s="40" t="s">
        <v>259</v>
      </c>
      <c r="BU30" s="40" t="s">
        <v>256</v>
      </c>
      <c r="BV30" s="40" t="s">
        <v>235</v>
      </c>
      <c r="BW30" s="40" t="s">
        <v>132</v>
      </c>
      <c r="BX30" s="40" t="s">
        <v>132</v>
      </c>
      <c r="BY30" s="40" t="s">
        <v>260</v>
      </c>
      <c r="BZ30" s="40" t="s">
        <v>261</v>
      </c>
      <c r="CA30" s="40" t="s">
        <v>216</v>
      </c>
      <c r="CB30" s="40" t="s">
        <v>128</v>
      </c>
      <c r="CC30" s="40" t="s">
        <v>130</v>
      </c>
      <c r="CD30" s="40" t="s">
        <v>129</v>
      </c>
      <c r="CE30" s="40" t="s">
        <v>262</v>
      </c>
      <c r="CF30" s="40" t="s">
        <v>215</v>
      </c>
      <c r="CG30" s="40" t="s">
        <v>131</v>
      </c>
      <c r="CH30" s="40" t="s">
        <v>217</v>
      </c>
      <c r="CI30" s="40" t="s">
        <v>128</v>
      </c>
      <c r="CJ30" s="40" t="s">
        <v>216</v>
      </c>
      <c r="CK30" s="40" t="s">
        <v>135</v>
      </c>
      <c r="CL30" s="40" t="s">
        <v>213</v>
      </c>
      <c r="CM30" s="40" t="s">
        <v>213</v>
      </c>
      <c r="CN30" s="40" t="s">
        <v>128</v>
      </c>
      <c r="CO30" s="40" t="s">
        <v>217</v>
      </c>
      <c r="CP30" s="40" t="s">
        <v>217</v>
      </c>
      <c r="CQ30" s="40" t="s">
        <v>213</v>
      </c>
      <c r="CR30" s="40" t="s">
        <v>219</v>
      </c>
      <c r="CS30" s="40" t="s">
        <v>214</v>
      </c>
      <c r="CT30" s="40" t="s">
        <v>129</v>
      </c>
      <c r="CU30" s="40" t="s">
        <v>130</v>
      </c>
      <c r="CV30" s="40" t="s">
        <v>219</v>
      </c>
      <c r="CW30" s="40" t="s">
        <v>237</v>
      </c>
      <c r="CX30" s="40" t="s">
        <v>263</v>
      </c>
      <c r="CY30" s="40" t="s">
        <v>128</v>
      </c>
      <c r="CZ30" s="40" t="s">
        <v>215</v>
      </c>
      <c r="DA30" s="40" t="s">
        <v>213</v>
      </c>
      <c r="DB30" s="40" t="s">
        <v>132</v>
      </c>
      <c r="DC30" s="40" t="s">
        <v>132</v>
      </c>
      <c r="DD30" s="40" t="s">
        <v>131</v>
      </c>
      <c r="DE30" s="40" t="s">
        <v>133</v>
      </c>
      <c r="DF30" s="40" t="s">
        <v>243</v>
      </c>
      <c r="DG30" s="40" t="s">
        <v>242</v>
      </c>
      <c r="DH30" s="40" t="s">
        <v>264</v>
      </c>
      <c r="DI30" s="40" t="s">
        <v>217</v>
      </c>
    </row>
    <row r="32" spans="1:113" x14ac:dyDescent="0.25">
      <c r="A32" s="39" t="s">
        <v>293</v>
      </c>
      <c r="B32" s="51" t="s">
        <v>295</v>
      </c>
      <c r="C32" s="51" t="s">
        <v>307</v>
      </c>
      <c r="D32" s="51" t="s">
        <v>308</v>
      </c>
    </row>
    <row r="33" spans="1:5" x14ac:dyDescent="0.25">
      <c r="A33" s="50" t="s">
        <v>233</v>
      </c>
      <c r="B33" s="45" t="s">
        <v>294</v>
      </c>
      <c r="C33" s="45"/>
      <c r="D33" s="45"/>
      <c r="E33" t="s">
        <v>327</v>
      </c>
    </row>
    <row r="34" spans="1:5" x14ac:dyDescent="0.25">
      <c r="A34" s="50" t="s">
        <v>225</v>
      </c>
      <c r="B34" s="45">
        <v>10</v>
      </c>
      <c r="C34" s="45">
        <v>90</v>
      </c>
      <c r="D34" s="45">
        <v>110</v>
      </c>
      <c r="E34" t="s">
        <v>327</v>
      </c>
    </row>
    <row r="35" spans="1:5" x14ac:dyDescent="0.25">
      <c r="A35" s="50" t="s">
        <v>226</v>
      </c>
      <c r="B35" s="45">
        <v>10</v>
      </c>
      <c r="C35" s="45">
        <v>90</v>
      </c>
      <c r="D35" s="45">
        <v>110</v>
      </c>
      <c r="E35" t="s">
        <v>327</v>
      </c>
    </row>
    <row r="36" spans="1:5" x14ac:dyDescent="0.25">
      <c r="A36" s="50" t="s">
        <v>316</v>
      </c>
      <c r="B36" s="45" t="s">
        <v>312</v>
      </c>
      <c r="C36" s="45">
        <v>10</v>
      </c>
      <c r="D36" s="45">
        <v>2.2000000000000002</v>
      </c>
      <c r="E36" t="s">
        <v>328</v>
      </c>
    </row>
    <row r="37" spans="1:5" x14ac:dyDescent="0.25">
      <c r="A37" s="50" t="s">
        <v>227</v>
      </c>
      <c r="B37" s="45">
        <v>20</v>
      </c>
      <c r="C37" s="45">
        <v>80</v>
      </c>
      <c r="D37" s="45">
        <v>120</v>
      </c>
      <c r="E37" t="s">
        <v>329</v>
      </c>
    </row>
    <row r="38" spans="1:5" x14ac:dyDescent="0.25">
      <c r="A38" s="50" t="s">
        <v>320</v>
      </c>
      <c r="B38" s="45"/>
      <c r="C38" s="45"/>
      <c r="D38" s="45"/>
      <c r="E38" t="s">
        <v>334</v>
      </c>
    </row>
    <row r="39" spans="1:5" x14ac:dyDescent="0.25">
      <c r="A39" s="50" t="s">
        <v>321</v>
      </c>
      <c r="B39" s="45">
        <v>20</v>
      </c>
      <c r="C39" s="45">
        <v>80</v>
      </c>
      <c r="D39" s="45">
        <v>120</v>
      </c>
      <c r="E39" t="s">
        <v>334</v>
      </c>
    </row>
    <row r="40" spans="1:5" x14ac:dyDescent="0.25">
      <c r="A40" s="50" t="s">
        <v>229</v>
      </c>
      <c r="B40" s="45"/>
      <c r="C40" s="45"/>
      <c r="D40" s="45"/>
      <c r="E40" t="s">
        <v>332</v>
      </c>
    </row>
    <row r="41" spans="1:5" x14ac:dyDescent="0.25">
      <c r="A41" s="50" t="s">
        <v>228</v>
      </c>
      <c r="B41" s="45">
        <v>30</v>
      </c>
      <c r="C41" s="45">
        <v>70</v>
      </c>
      <c r="D41" s="45">
        <v>130</v>
      </c>
      <c r="E41" t="s">
        <v>331</v>
      </c>
    </row>
    <row r="42" spans="1:5" x14ac:dyDescent="0.25">
      <c r="A42" s="50" t="s">
        <v>232</v>
      </c>
      <c r="B42" s="45">
        <v>20</v>
      </c>
      <c r="C42" s="45">
        <v>80</v>
      </c>
      <c r="D42" s="45">
        <v>120</v>
      </c>
      <c r="E42" t="s">
        <v>329</v>
      </c>
    </row>
    <row r="43" spans="1:5" x14ac:dyDescent="0.25">
      <c r="A43" s="50" t="s">
        <v>274</v>
      </c>
      <c r="B43" s="45">
        <v>30</v>
      </c>
      <c r="C43" s="45">
        <v>70</v>
      </c>
      <c r="D43" s="45">
        <v>130</v>
      </c>
      <c r="E43" t="s">
        <v>330</v>
      </c>
    </row>
    <row r="44" spans="1:5" x14ac:dyDescent="0.25">
      <c r="A44" s="50" t="s">
        <v>231</v>
      </c>
      <c r="B44" s="45">
        <v>5</v>
      </c>
      <c r="C44" s="45">
        <v>95</v>
      </c>
      <c r="D44" s="45">
        <v>105</v>
      </c>
      <c r="E44" t="s">
        <v>333</v>
      </c>
    </row>
    <row r="45" spans="1:5" x14ac:dyDescent="0.25">
      <c r="B45" s="19"/>
    </row>
    <row r="46" spans="1:5" x14ac:dyDescent="0.25">
      <c r="B46" s="19"/>
    </row>
    <row r="47" spans="1:5" x14ac:dyDescent="0.25">
      <c r="B47" s="54" t="s">
        <v>304</v>
      </c>
      <c r="C47" s="54" t="s">
        <v>303</v>
      </c>
    </row>
    <row r="48" spans="1:5" x14ac:dyDescent="0.25">
      <c r="A48" s="52" t="s">
        <v>300</v>
      </c>
      <c r="B48" s="45">
        <v>0.1</v>
      </c>
      <c r="C48" s="45">
        <v>10</v>
      </c>
    </row>
    <row r="49" spans="1:3" x14ac:dyDescent="0.25">
      <c r="A49" s="52" t="s">
        <v>305</v>
      </c>
      <c r="B49" s="45">
        <v>0.5</v>
      </c>
      <c r="C49" s="45">
        <v>50</v>
      </c>
    </row>
    <row r="50" spans="1:3" x14ac:dyDescent="0.25">
      <c r="A50" s="52" t="s">
        <v>306</v>
      </c>
      <c r="B50" s="45">
        <v>0.5</v>
      </c>
      <c r="C50" s="45">
        <v>50</v>
      </c>
    </row>
  </sheetData>
  <sheetProtection algorithmName="SHA-512" hashValue="mwvKrsjhX2kp8OTde3pA2mhIV8Necbjw2BzGSiZkHTT4lZN6Wsejna8IjOiCCgpAyc2wwmMv4Y6kLVgd5QKjCQ==" saltValue="j45U6ruU7XOmxy/kXXXGAg=="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9CD0E-B594-4A9B-BCDF-D8F7B1145EFA}">
  <dimension ref="A1:D33"/>
  <sheetViews>
    <sheetView workbookViewId="0">
      <selection activeCell="D15" sqref="D15"/>
    </sheetView>
  </sheetViews>
  <sheetFormatPr defaultRowHeight="15" x14ac:dyDescent="0.25"/>
  <cols>
    <col min="1" max="1" width="16.7109375" style="19" customWidth="1"/>
    <col min="2" max="2" width="43" style="19" customWidth="1"/>
    <col min="3" max="3" width="20" style="19" customWidth="1"/>
    <col min="4" max="4" width="147.28515625" customWidth="1"/>
  </cols>
  <sheetData>
    <row r="1" spans="1:4" x14ac:dyDescent="0.25">
      <c r="A1" s="43" t="s">
        <v>220</v>
      </c>
      <c r="B1" s="43" t="s">
        <v>221</v>
      </c>
      <c r="C1" s="43" t="s">
        <v>448</v>
      </c>
      <c r="D1" s="43" t="s">
        <v>449</v>
      </c>
    </row>
    <row r="2" spans="1:4" x14ac:dyDescent="0.25">
      <c r="A2" s="44">
        <v>45841</v>
      </c>
      <c r="B2" s="40" t="s">
        <v>445</v>
      </c>
      <c r="C2" s="40" t="s">
        <v>450</v>
      </c>
      <c r="D2" s="42" t="s">
        <v>447</v>
      </c>
    </row>
    <row r="3" spans="1:4" x14ac:dyDescent="0.25">
      <c r="A3" s="44">
        <v>45863</v>
      </c>
      <c r="B3" s="40" t="s">
        <v>445</v>
      </c>
      <c r="C3" s="40" t="s">
        <v>450</v>
      </c>
      <c r="D3" s="42" t="s">
        <v>453</v>
      </c>
    </row>
    <row r="4" spans="1:4" x14ac:dyDescent="0.25">
      <c r="A4" s="40"/>
      <c r="B4" s="40"/>
      <c r="C4" s="40"/>
      <c r="D4" s="42"/>
    </row>
    <row r="5" spans="1:4" x14ac:dyDescent="0.25">
      <c r="A5" s="44"/>
      <c r="B5" s="40"/>
      <c r="C5" s="40"/>
      <c r="D5" s="42"/>
    </row>
    <row r="6" spans="1:4" x14ac:dyDescent="0.25">
      <c r="A6" s="44"/>
      <c r="B6" s="40"/>
      <c r="C6" s="40"/>
      <c r="D6" s="42"/>
    </row>
    <row r="7" spans="1:4" x14ac:dyDescent="0.25">
      <c r="A7" s="40"/>
      <c r="B7" s="40"/>
      <c r="C7" s="40"/>
      <c r="D7" s="42"/>
    </row>
    <row r="8" spans="1:4" x14ac:dyDescent="0.25">
      <c r="A8" s="40"/>
      <c r="B8" s="40"/>
      <c r="C8" s="40"/>
      <c r="D8" s="42"/>
    </row>
    <row r="9" spans="1:4" x14ac:dyDescent="0.25">
      <c r="A9" s="40"/>
      <c r="B9" s="40"/>
      <c r="C9" s="40"/>
      <c r="D9" s="42"/>
    </row>
    <row r="10" spans="1:4" x14ac:dyDescent="0.25">
      <c r="A10" s="40"/>
      <c r="B10" s="40"/>
      <c r="C10" s="40"/>
      <c r="D10" s="42"/>
    </row>
    <row r="11" spans="1:4" x14ac:dyDescent="0.25">
      <c r="A11" s="40"/>
      <c r="B11" s="40"/>
      <c r="C11" s="40"/>
      <c r="D11" s="42"/>
    </row>
    <row r="12" spans="1:4" x14ac:dyDescent="0.25">
      <c r="A12" s="40"/>
      <c r="B12" s="40"/>
      <c r="C12" s="40"/>
      <c r="D12" s="42"/>
    </row>
    <row r="13" spans="1:4" x14ac:dyDescent="0.25">
      <c r="A13" s="40"/>
      <c r="B13" s="40"/>
      <c r="C13" s="40"/>
      <c r="D13" s="42"/>
    </row>
    <row r="14" spans="1:4" x14ac:dyDescent="0.25">
      <c r="A14" s="40"/>
      <c r="B14" s="40"/>
      <c r="C14" s="40"/>
      <c r="D14" s="42"/>
    </row>
    <row r="15" spans="1:4" x14ac:dyDescent="0.25">
      <c r="A15" s="40"/>
      <c r="B15" s="40"/>
      <c r="C15" s="40"/>
      <c r="D15" s="42"/>
    </row>
    <row r="16" spans="1:4" x14ac:dyDescent="0.25">
      <c r="A16" s="40"/>
      <c r="B16" s="40"/>
      <c r="C16" s="40"/>
      <c r="D16" s="42"/>
    </row>
    <row r="17" spans="1:4" x14ac:dyDescent="0.25">
      <c r="A17" s="40"/>
      <c r="B17" s="40"/>
      <c r="C17" s="40"/>
      <c r="D17" s="42"/>
    </row>
    <row r="18" spans="1:4" x14ac:dyDescent="0.25">
      <c r="A18" s="40"/>
      <c r="B18" s="40"/>
      <c r="C18" s="40"/>
      <c r="D18" s="42"/>
    </row>
    <row r="19" spans="1:4" x14ac:dyDescent="0.25">
      <c r="A19" s="40"/>
      <c r="B19" s="40"/>
      <c r="C19" s="40"/>
      <c r="D19" s="42"/>
    </row>
    <row r="20" spans="1:4" x14ac:dyDescent="0.25">
      <c r="A20" s="40"/>
      <c r="B20" s="40"/>
      <c r="C20" s="40"/>
      <c r="D20" s="42"/>
    </row>
    <row r="21" spans="1:4" x14ac:dyDescent="0.25">
      <c r="A21" s="40"/>
      <c r="B21" s="40"/>
      <c r="C21" s="40"/>
      <c r="D21" s="42"/>
    </row>
    <row r="22" spans="1:4" x14ac:dyDescent="0.25">
      <c r="A22" s="40"/>
      <c r="B22" s="40"/>
      <c r="C22" s="40"/>
      <c r="D22" s="42"/>
    </row>
    <row r="23" spans="1:4" x14ac:dyDescent="0.25">
      <c r="A23" s="40"/>
      <c r="B23" s="40"/>
      <c r="C23" s="40"/>
      <c r="D23" s="42"/>
    </row>
    <row r="24" spans="1:4" x14ac:dyDescent="0.25">
      <c r="A24" s="40"/>
      <c r="B24" s="40"/>
      <c r="C24" s="40"/>
      <c r="D24" s="42"/>
    </row>
    <row r="25" spans="1:4" x14ac:dyDescent="0.25">
      <c r="A25" s="40"/>
      <c r="B25" s="40"/>
      <c r="C25" s="40"/>
      <c r="D25" s="42"/>
    </row>
    <row r="26" spans="1:4" x14ac:dyDescent="0.25">
      <c r="A26" s="40"/>
      <c r="B26" s="40"/>
      <c r="C26" s="40"/>
      <c r="D26" s="42"/>
    </row>
    <row r="27" spans="1:4" x14ac:dyDescent="0.25">
      <c r="A27" s="40"/>
      <c r="B27" s="40"/>
      <c r="C27" s="40"/>
      <c r="D27" s="42"/>
    </row>
    <row r="28" spans="1:4" x14ac:dyDescent="0.25">
      <c r="A28" s="40"/>
      <c r="B28" s="40"/>
      <c r="C28" s="40"/>
      <c r="D28" s="42"/>
    </row>
    <row r="29" spans="1:4" x14ac:dyDescent="0.25">
      <c r="A29" s="40"/>
      <c r="B29" s="40"/>
      <c r="C29" s="40"/>
      <c r="D29" s="42"/>
    </row>
    <row r="30" spans="1:4" x14ac:dyDescent="0.25">
      <c r="A30" s="40"/>
      <c r="B30" s="40"/>
      <c r="C30" s="40"/>
      <c r="D30" s="42"/>
    </row>
    <row r="31" spans="1:4" x14ac:dyDescent="0.25">
      <c r="A31" s="40"/>
      <c r="B31" s="40"/>
      <c r="C31" s="40"/>
      <c r="D31" s="42"/>
    </row>
    <row r="32" spans="1:4" x14ac:dyDescent="0.25">
      <c r="A32" s="40"/>
      <c r="B32" s="40"/>
      <c r="C32" s="40"/>
      <c r="D32" s="42"/>
    </row>
    <row r="33" spans="1:4" x14ac:dyDescent="0.25">
      <c r="A33" s="40"/>
      <c r="B33" s="40"/>
      <c r="C33" s="40"/>
      <c r="D33" s="42"/>
    </row>
  </sheetData>
  <sheetProtection algorithmName="SHA-512" hashValue="opY+7R0+TaD0HJ1nEHZ7VMwsX87t3y62Pmds8121ebHza2hMnH1Vq8ZgQxCtqUKHd6B3uo4VWGFdg/RVcUBgAg==" saltValue="FnXAR1AD9ntqEpHodkV9gw=="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E6ECC-7AF3-4A42-94DD-D6A2E41EA35E}">
  <dimension ref="A1:JK114"/>
  <sheetViews>
    <sheetView zoomScaleNormal="100" workbookViewId="0">
      <selection activeCell="F12" sqref="F12"/>
    </sheetView>
  </sheetViews>
  <sheetFormatPr defaultRowHeight="15" x14ac:dyDescent="0.25"/>
  <cols>
    <col min="1" max="1" width="51.5703125" customWidth="1"/>
    <col min="2" max="2" width="35.7109375" customWidth="1"/>
    <col min="3" max="25" width="15.7109375" style="3" customWidth="1"/>
    <col min="26" max="113" width="15.7109375" customWidth="1"/>
  </cols>
  <sheetData>
    <row r="1" spans="1:3" x14ac:dyDescent="0.25">
      <c r="A1" s="1" t="s">
        <v>0</v>
      </c>
      <c r="B1" s="2"/>
      <c r="C1" s="4"/>
    </row>
    <row r="2" spans="1:3" x14ac:dyDescent="0.25">
      <c r="A2" s="1" t="s">
        <v>1</v>
      </c>
      <c r="B2" s="2"/>
      <c r="C2" s="4"/>
    </row>
    <row r="3" spans="1:3" ht="15.75" thickBot="1" x14ac:dyDescent="0.3">
      <c r="A3" s="1" t="s">
        <v>323</v>
      </c>
      <c r="B3" s="2" t="str">
        <f>INSTRUCTIONS!A3</f>
      </c>
      <c r="C3" s="4"/>
    </row>
    <row r="4" spans="1:3" ht="15.75" thickBot="1" x14ac:dyDescent="0.3">
      <c r="A4" s="1" t="s">
        <v>324</v>
      </c>
      <c r="B4" s="68" t="s">
        <v>344</v>
      </c>
      <c r="C4" s="4"/>
    </row>
    <row r="5" spans="1:3" x14ac:dyDescent="0.25">
      <c r="A5" s="1"/>
      <c r="B5" s="2"/>
      <c r="C5" s="4"/>
    </row>
    <row r="6" spans="1:3" x14ac:dyDescent="0.25">
      <c r="A6" s="1" t="s">
        <v>2</v>
      </c>
      <c r="B6" s="72" t="s">
        <v>347</v>
      </c>
      <c r="C6" s="4"/>
    </row>
    <row r="7" spans="1:3" x14ac:dyDescent="0.25">
      <c r="A7" s="1" t="s">
        <v>3</v>
      </c>
      <c r="B7" s="3" t="s">
        <v>4</v>
      </c>
      <c r="C7" s="4"/>
    </row>
    <row r="8" spans="1:3" x14ac:dyDescent="0.25">
      <c r="A8" s="1"/>
      <c r="B8" s="3"/>
      <c r="C8" s="4"/>
    </row>
    <row r="9" spans="1:3" x14ac:dyDescent="0.25">
      <c r="A9" s="1" t="s">
        <v>5</v>
      </c>
      <c r="B9" s="73">
        <v>45819</v>
      </c>
      <c r="C9" s="4"/>
    </row>
    <row r="10" spans="1:3" x14ac:dyDescent="0.25">
      <c r="A10" s="1" t="s">
        <v>6</v>
      </c>
      <c r="B10" s="72" t="s">
        <v>345</v>
      </c>
      <c r="C10" s="4"/>
    </row>
    <row r="11" spans="1:3" x14ac:dyDescent="0.25">
      <c r="A11" s="1" t="s">
        <v>7</v>
      </c>
      <c r="B11" s="72" t="s">
        <v>132</v>
      </c>
      <c r="C11" s="4"/>
    </row>
    <row r="12" spans="1:3" x14ac:dyDescent="0.25">
      <c r="A12" s="1" t="s">
        <v>8</v>
      </c>
      <c r="B12" s="72" t="s">
        <v>132</v>
      </c>
      <c r="C12" s="4"/>
    </row>
    <row r="13" spans="1:3" x14ac:dyDescent="0.25">
      <c r="A13" s="1" t="s">
        <v>9</v>
      </c>
      <c r="B13" s="72" t="s">
        <v>376</v>
      </c>
      <c r="C13" s="5"/>
    </row>
    <row r="14" spans="1:3" x14ac:dyDescent="0.25">
      <c r="A14" s="1" t="s">
        <v>10</v>
      </c>
      <c r="B14" s="72" t="s">
        <v>377</v>
      </c>
      <c r="C14" s="5"/>
    </row>
    <row r="15" spans="1:3" x14ac:dyDescent="0.25">
      <c r="A15" s="1" t="s">
        <v>209</v>
      </c>
      <c r="B15" s="41" t="str">
        <f>INSTRUCTIONS!B11</f>
      </c>
      <c r="C15" s="4"/>
    </row>
    <row r="17" spans="1:113" x14ac:dyDescent="0.25">
      <c r="A17" s="98" t="s">
        <v>444</v>
      </c>
      <c r="B17" s="98"/>
      <c r="C17" s="6" t="s">
        <v>11</v>
      </c>
      <c r="D17" s="6" t="s">
        <v>12</v>
      </c>
      <c r="E17" s="6" t="s">
        <v>13</v>
      </c>
      <c r="F17" s="6" t="s">
        <v>14</v>
      </c>
      <c r="G17" s="6" t="s">
        <v>15</v>
      </c>
      <c r="H17" s="6" t="s">
        <v>16</v>
      </c>
      <c r="I17" s="6" t="s">
        <v>17</v>
      </c>
      <c r="J17" s="6" t="s">
        <v>18</v>
      </c>
      <c r="K17" s="6" t="s">
        <v>19</v>
      </c>
      <c r="L17" s="6" t="s">
        <v>20</v>
      </c>
      <c r="M17" s="6" t="s">
        <v>21</v>
      </c>
      <c r="N17" s="6" t="s">
        <v>22</v>
      </c>
      <c r="O17" s="6" t="s">
        <v>23</v>
      </c>
      <c r="P17" s="6" t="s">
        <v>24</v>
      </c>
      <c r="Q17" s="6" t="s">
        <v>25</v>
      </c>
      <c r="R17" s="6" t="s">
        <v>26</v>
      </c>
      <c r="S17" s="6" t="s">
        <v>27</v>
      </c>
      <c r="T17" s="6" t="s">
        <v>28</v>
      </c>
      <c r="U17" s="6" t="s">
        <v>29</v>
      </c>
      <c r="V17" s="6" t="s">
        <v>30</v>
      </c>
      <c r="W17" s="6" t="s">
        <v>31</v>
      </c>
      <c r="X17" s="6" t="s">
        <v>32</v>
      </c>
      <c r="Y17" s="6" t="s">
        <v>33</v>
      </c>
      <c r="Z17" s="6" t="s">
        <v>34</v>
      </c>
      <c r="AA17" s="6" t="s">
        <v>35</v>
      </c>
      <c r="AB17" s="6" t="s">
        <v>36</v>
      </c>
      <c r="AC17" s="6" t="s">
        <v>37</v>
      </c>
      <c r="AD17" s="6" t="s">
        <v>38</v>
      </c>
      <c r="AE17" s="6" t="s">
        <v>39</v>
      </c>
      <c r="AF17" s="6" t="s">
        <v>40</v>
      </c>
      <c r="AG17" s="6" t="s">
        <v>41</v>
      </c>
      <c r="AH17" s="6" t="s">
        <v>42</v>
      </c>
      <c r="AI17" s="6" t="s">
        <v>43</v>
      </c>
      <c r="AJ17" s="6" t="s">
        <v>44</v>
      </c>
      <c r="AK17" s="6" t="s">
        <v>45</v>
      </c>
      <c r="AL17" s="6" t="s">
        <v>46</v>
      </c>
      <c r="AM17" s="6" t="s">
        <v>47</v>
      </c>
      <c r="AN17" s="6" t="s">
        <v>48</v>
      </c>
      <c r="AO17" s="6" t="s">
        <v>49</v>
      </c>
      <c r="AP17" s="6" t="s">
        <v>50</v>
      </c>
      <c r="AQ17" s="6" t="s">
        <v>51</v>
      </c>
      <c r="AR17" s="6" t="s">
        <v>52</v>
      </c>
      <c r="AS17" s="6" t="s">
        <v>53</v>
      </c>
      <c r="AT17" s="6" t="s">
        <v>54</v>
      </c>
      <c r="AU17" s="6" t="s">
        <v>55</v>
      </c>
      <c r="AV17" s="6" t="s">
        <v>56</v>
      </c>
      <c r="AW17" s="6" t="s">
        <v>57</v>
      </c>
      <c r="AX17" s="6" t="s">
        <v>58</v>
      </c>
      <c r="AY17" s="6" t="s">
        <v>59</v>
      </c>
      <c r="AZ17" s="6" t="s">
        <v>60</v>
      </c>
      <c r="BA17" s="6" t="s">
        <v>61</v>
      </c>
      <c r="BB17" s="6" t="s">
        <v>62</v>
      </c>
      <c r="BC17" s="6" t="s">
        <v>63</v>
      </c>
      <c r="BD17" s="6" t="s">
        <v>64</v>
      </c>
      <c r="BE17" s="6" t="s">
        <v>65</v>
      </c>
      <c r="BF17" s="6" t="s">
        <v>66</v>
      </c>
      <c r="BG17" s="6" t="s">
        <v>67</v>
      </c>
      <c r="BH17" s="6" t="s">
        <v>68</v>
      </c>
      <c r="BI17" s="6" t="s">
        <v>69</v>
      </c>
      <c r="BJ17" s="6" t="s">
        <v>70</v>
      </c>
      <c r="BK17" s="6" t="s">
        <v>71</v>
      </c>
      <c r="BL17" s="6" t="s">
        <v>72</v>
      </c>
      <c r="BM17" s="6" t="s">
        <v>73</v>
      </c>
      <c r="BN17" s="6" t="s">
        <v>74</v>
      </c>
      <c r="BO17" s="6" t="s">
        <v>75</v>
      </c>
      <c r="BP17" s="6" t="s">
        <v>76</v>
      </c>
      <c r="BQ17" s="6" t="s">
        <v>77</v>
      </c>
      <c r="BR17" s="6" t="s">
        <v>78</v>
      </c>
      <c r="BS17" s="6" t="s">
        <v>79</v>
      </c>
      <c r="BT17" s="6" t="s">
        <v>80</v>
      </c>
      <c r="BU17" s="6" t="s">
        <v>81</v>
      </c>
      <c r="BV17" s="6" t="s">
        <v>82</v>
      </c>
      <c r="BW17" s="6" t="s">
        <v>83</v>
      </c>
      <c r="BX17" s="6" t="s">
        <v>84</v>
      </c>
      <c r="BY17" s="6" t="s">
        <v>85</v>
      </c>
      <c r="BZ17" s="6" t="s">
        <v>86</v>
      </c>
      <c r="CA17" s="6" t="s">
        <v>87</v>
      </c>
      <c r="CB17" s="6" t="s">
        <v>88</v>
      </c>
      <c r="CC17" s="6" t="s">
        <v>89</v>
      </c>
      <c r="CD17" s="6" t="s">
        <v>90</v>
      </c>
      <c r="CE17" s="6" t="s">
        <v>91</v>
      </c>
      <c r="CF17" s="6" t="s">
        <v>92</v>
      </c>
      <c r="CG17" s="6" t="s">
        <v>93</v>
      </c>
      <c r="CH17" s="6" t="s">
        <v>94</v>
      </c>
      <c r="CI17" s="6" t="s">
        <v>95</v>
      </c>
      <c r="CJ17" s="6" t="s">
        <v>96</v>
      </c>
      <c r="CK17" s="6" t="s">
        <v>97</v>
      </c>
      <c r="CL17" s="6" t="s">
        <v>98</v>
      </c>
      <c r="CM17" s="6" t="s">
        <v>99</v>
      </c>
      <c r="CN17" s="6" t="s">
        <v>100</v>
      </c>
      <c r="CO17" s="6" t="s">
        <v>101</v>
      </c>
      <c r="CP17" s="6" t="s">
        <v>102</v>
      </c>
      <c r="CQ17" s="6" t="s">
        <v>103</v>
      </c>
      <c r="CR17" s="6" t="s">
        <v>104</v>
      </c>
      <c r="CS17" s="6" t="s">
        <v>105</v>
      </c>
      <c r="CT17" s="6" t="s">
        <v>106</v>
      </c>
      <c r="CU17" s="6" t="s">
        <v>107</v>
      </c>
      <c r="CV17" s="6" t="s">
        <v>108</v>
      </c>
      <c r="CW17" s="6" t="s">
        <v>109</v>
      </c>
      <c r="CX17" s="6" t="s">
        <v>110</v>
      </c>
      <c r="CY17" s="6" t="s">
        <v>111</v>
      </c>
      <c r="CZ17" s="6" t="s">
        <v>112</v>
      </c>
      <c r="DA17" s="6" t="s">
        <v>113</v>
      </c>
      <c r="DB17" s="6" t="s">
        <v>114</v>
      </c>
      <c r="DC17" s="6" t="s">
        <v>115</v>
      </c>
      <c r="DD17" s="6" t="s">
        <v>116</v>
      </c>
      <c r="DE17" s="6" t="s">
        <v>117</v>
      </c>
      <c r="DF17" s="6" t="s">
        <v>118</v>
      </c>
      <c r="DG17" s="6" t="s">
        <v>119</v>
      </c>
      <c r="DH17" s="6" t="s">
        <v>120</v>
      </c>
      <c r="DI17" s="6" t="s">
        <v>121</v>
      </c>
    </row>
    <row r="18" spans="1:113" ht="15.75" thickBot="1" x14ac:dyDescent="0.3">
      <c r="A18" s="30" t="s">
        <v>224</v>
      </c>
      <c r="B18" s="30" t="s">
        <v>123</v>
      </c>
      <c r="C18" s="31" t="s">
        <v>124</v>
      </c>
      <c r="D18" s="31" t="s">
        <v>124</v>
      </c>
      <c r="E18" s="31" t="s">
        <v>124</v>
      </c>
      <c r="F18" s="31" t="s">
        <v>124</v>
      </c>
      <c r="G18" s="31" t="s">
        <v>124</v>
      </c>
      <c r="H18" s="31" t="s">
        <v>124</v>
      </c>
      <c r="I18" s="31" t="s">
        <v>124</v>
      </c>
      <c r="J18" s="31" t="s">
        <v>124</v>
      </c>
      <c r="K18" s="31" t="s">
        <v>124</v>
      </c>
      <c r="L18" s="31" t="s">
        <v>124</v>
      </c>
      <c r="M18" s="31" t="s">
        <v>125</v>
      </c>
      <c r="N18" s="31" t="s">
        <v>124</v>
      </c>
      <c r="O18" s="31" t="s">
        <v>124</v>
      </c>
      <c r="P18" s="31" t="s">
        <v>124</v>
      </c>
      <c r="Q18" s="31" t="s">
        <v>124</v>
      </c>
      <c r="R18" s="31" t="s">
        <v>124</v>
      </c>
      <c r="S18" s="31" t="s">
        <v>124</v>
      </c>
      <c r="T18" s="31" t="s">
        <v>124</v>
      </c>
      <c r="U18" s="31" t="s">
        <v>124</v>
      </c>
      <c r="V18" s="31" t="s">
        <v>124</v>
      </c>
      <c r="W18" s="31" t="s">
        <v>124</v>
      </c>
      <c r="X18" s="31" t="s">
        <v>124</v>
      </c>
      <c r="Y18" s="31" t="s">
        <v>124</v>
      </c>
      <c r="Z18" s="31" t="s">
        <v>124</v>
      </c>
      <c r="AA18" s="31" t="s">
        <v>124</v>
      </c>
      <c r="AB18" s="31" t="s">
        <v>124</v>
      </c>
      <c r="AC18" s="31" t="s">
        <v>124</v>
      </c>
      <c r="AD18" s="31" t="s">
        <v>124</v>
      </c>
      <c r="AE18" s="31" t="s">
        <v>124</v>
      </c>
      <c r="AF18" s="31" t="s">
        <v>124</v>
      </c>
      <c r="AG18" s="31" t="s">
        <v>124</v>
      </c>
      <c r="AH18" s="31" t="s">
        <v>124</v>
      </c>
      <c r="AI18" s="31" t="s">
        <v>124</v>
      </c>
      <c r="AJ18" s="31" t="s">
        <v>124</v>
      </c>
      <c r="AK18" s="31" t="s">
        <v>124</v>
      </c>
      <c r="AL18" s="31" t="s">
        <v>124</v>
      </c>
      <c r="AM18" s="31" t="s">
        <v>124</v>
      </c>
      <c r="AN18" s="31" t="s">
        <v>124</v>
      </c>
      <c r="AO18" s="31" t="s">
        <v>125</v>
      </c>
      <c r="AP18" s="31" t="s">
        <v>125</v>
      </c>
      <c r="AQ18" s="31" t="s">
        <v>124</v>
      </c>
      <c r="AR18" s="31" t="s">
        <v>124</v>
      </c>
      <c r="AS18" s="31" t="s">
        <v>124</v>
      </c>
      <c r="AT18" s="31" t="s">
        <v>124</v>
      </c>
      <c r="AU18" s="31" t="s">
        <v>124</v>
      </c>
      <c r="AV18" s="31" t="s">
        <v>124</v>
      </c>
      <c r="AW18" s="31" t="s">
        <v>124</v>
      </c>
      <c r="AX18" s="31" t="s">
        <v>124</v>
      </c>
      <c r="AY18" s="31" t="s">
        <v>124</v>
      </c>
      <c r="AZ18" s="31" t="s">
        <v>124</v>
      </c>
      <c r="BA18" s="31" t="s">
        <v>124</v>
      </c>
      <c r="BB18" s="31" t="s">
        <v>124</v>
      </c>
      <c r="BC18" s="31" t="s">
        <v>124</v>
      </c>
      <c r="BD18" s="31" t="s">
        <v>124</v>
      </c>
      <c r="BE18" s="31" t="s">
        <v>124</v>
      </c>
      <c r="BF18" s="31" t="s">
        <v>124</v>
      </c>
      <c r="BG18" s="31" t="s">
        <v>124</v>
      </c>
      <c r="BH18" s="31" t="s">
        <v>124</v>
      </c>
      <c r="BI18" s="31" t="s">
        <v>124</v>
      </c>
      <c r="BJ18" s="31" t="s">
        <v>124</v>
      </c>
      <c r="BK18" s="31" t="s">
        <v>124</v>
      </c>
      <c r="BL18" s="31" t="s">
        <v>124</v>
      </c>
      <c r="BM18" s="31" t="s">
        <v>124</v>
      </c>
      <c r="BN18" s="31" t="s">
        <v>124</v>
      </c>
      <c r="BO18" s="31" t="s">
        <v>124</v>
      </c>
      <c r="BP18" s="31" t="s">
        <v>124</v>
      </c>
      <c r="BQ18" s="31" t="s">
        <v>124</v>
      </c>
      <c r="BR18" s="31" t="s">
        <v>124</v>
      </c>
      <c r="BS18" s="31" t="s">
        <v>124</v>
      </c>
      <c r="BT18" s="31" t="s">
        <v>124</v>
      </c>
      <c r="BU18" s="31" t="s">
        <v>124</v>
      </c>
      <c r="BV18" s="31" t="s">
        <v>124</v>
      </c>
      <c r="BW18" s="31" t="s">
        <v>124</v>
      </c>
      <c r="BX18" s="31" t="s">
        <v>124</v>
      </c>
      <c r="BY18" s="31" t="s">
        <v>124</v>
      </c>
      <c r="BZ18" s="31" t="s">
        <v>124</v>
      </c>
      <c r="CA18" s="31" t="s">
        <v>124</v>
      </c>
      <c r="CB18" s="31" t="s">
        <v>124</v>
      </c>
      <c r="CC18" s="31" t="s">
        <v>124</v>
      </c>
      <c r="CD18" s="31" t="s">
        <v>124</v>
      </c>
      <c r="CE18" s="31" t="s">
        <v>124</v>
      </c>
      <c r="CF18" s="31" t="s">
        <v>124</v>
      </c>
      <c r="CG18" s="31" t="s">
        <v>124</v>
      </c>
      <c r="CH18" s="31" t="s">
        <v>124</v>
      </c>
      <c r="CI18" s="31" t="s">
        <v>124</v>
      </c>
      <c r="CJ18" s="31" t="s">
        <v>124</v>
      </c>
      <c r="CK18" s="31" t="s">
        <v>124</v>
      </c>
      <c r="CL18" s="31" t="s">
        <v>124</v>
      </c>
      <c r="CM18" s="31" t="s">
        <v>124</v>
      </c>
      <c r="CN18" s="31" t="s">
        <v>124</v>
      </c>
      <c r="CO18" s="31" t="s">
        <v>124</v>
      </c>
      <c r="CP18" s="31" t="s">
        <v>124</v>
      </c>
      <c r="CQ18" s="31" t="s">
        <v>124</v>
      </c>
      <c r="CR18" s="31" t="s">
        <v>124</v>
      </c>
      <c r="CS18" s="31" t="s">
        <v>124</v>
      </c>
      <c r="CT18" s="31" t="s">
        <v>124</v>
      </c>
      <c r="CU18" s="31" t="s">
        <v>124</v>
      </c>
      <c r="CV18" s="31" t="s">
        <v>124</v>
      </c>
      <c r="CW18" s="31" t="s">
        <v>124</v>
      </c>
      <c r="CX18" s="31" t="s">
        <v>124</v>
      </c>
      <c r="CY18" s="31" t="s">
        <v>124</v>
      </c>
      <c r="CZ18" s="31" t="s">
        <v>124</v>
      </c>
      <c r="DA18" s="31" t="s">
        <v>124</v>
      </c>
      <c r="DB18" s="31" t="s">
        <v>124</v>
      </c>
      <c r="DC18" s="31" t="s">
        <v>124</v>
      </c>
      <c r="DD18" s="31" t="s">
        <v>124</v>
      </c>
      <c r="DE18" s="31" t="s">
        <v>124</v>
      </c>
      <c r="DF18" s="31" t="s">
        <v>124</v>
      </c>
      <c r="DG18" s="31" t="s">
        <v>124</v>
      </c>
      <c r="DH18" s="31" t="s">
        <v>124</v>
      </c>
      <c r="DI18" s="31" t="s">
        <v>124</v>
      </c>
    </row>
    <row r="19" spans="1:113" ht="15.75" thickTop="1" x14ac:dyDescent="0.25">
      <c r="A19" s="88" t="s">
        <v>311</v>
      </c>
      <c r="B19" s="80" t="s">
        <v>340</v>
      </c>
      <c r="C19" s="81">
        <v>1.6999999999999999E-3</v>
      </c>
      <c r="D19" s="82" t="s">
        <v>285</v>
      </c>
      <c r="E19" s="82" t="s">
        <v>387</v>
      </c>
      <c r="F19" s="82" t="s">
        <v>358</v>
      </c>
      <c r="G19" s="82">
        <v>3.7000000000000002E-3</v>
      </c>
      <c r="H19" s="82" t="s">
        <v>282</v>
      </c>
      <c r="I19" s="82">
        <v>2.0000000000000001E-4</v>
      </c>
      <c r="J19" s="82" t="s">
        <v>281</v>
      </c>
      <c r="K19" s="82">
        <v>0</v>
      </c>
      <c r="L19" s="82" t="s">
        <v>281</v>
      </c>
      <c r="M19" s="82">
        <v>4.0000000000000002E-4</v>
      </c>
      <c r="N19" s="82" t="s">
        <v>198</v>
      </c>
      <c r="O19" s="82" t="s">
        <v>198</v>
      </c>
      <c r="P19" s="82" t="s">
        <v>399</v>
      </c>
      <c r="Q19" s="82" t="s">
        <v>368</v>
      </c>
      <c r="R19" s="82">
        <v>1E-4</v>
      </c>
      <c r="S19" s="82" t="s">
        <v>283</v>
      </c>
      <c r="T19" s="82" t="s">
        <v>281</v>
      </c>
      <c r="U19" s="82">
        <v>2.0000000000000001E-4</v>
      </c>
      <c r="V19" s="82" t="s">
        <v>283</v>
      </c>
      <c r="W19" s="82" t="s">
        <v>282</v>
      </c>
      <c r="X19" s="82" t="s">
        <v>400</v>
      </c>
      <c r="Y19" s="82">
        <v>1E-4</v>
      </c>
      <c r="Z19" s="82" t="s">
        <v>282</v>
      </c>
      <c r="AA19" s="82" t="s">
        <v>290</v>
      </c>
      <c r="AB19" s="82" t="s">
        <v>281</v>
      </c>
      <c r="AC19" s="82">
        <v>2.0000000000000001E-4</v>
      </c>
      <c r="AD19" s="82" t="s">
        <v>281</v>
      </c>
      <c r="AE19" s="82">
        <v>1E-4</v>
      </c>
      <c r="AF19" s="82" t="s">
        <v>281</v>
      </c>
      <c r="AG19" s="82">
        <v>1.5E-3</v>
      </c>
      <c r="AH19" s="82">
        <v>1.6000000000000001E-3</v>
      </c>
      <c r="AI19" s="82">
        <v>5.9999999999999995E-4</v>
      </c>
      <c r="AJ19" s="82" t="s">
        <v>291</v>
      </c>
      <c r="AK19" s="82" t="s">
        <v>282</v>
      </c>
      <c r="AL19" s="82" t="s">
        <v>283</v>
      </c>
      <c r="AM19" s="82" t="s">
        <v>282</v>
      </c>
      <c r="AN19" s="82">
        <v>2.9999999999999997E-4</v>
      </c>
      <c r="AO19" s="82">
        <v>1.2945</v>
      </c>
      <c r="AP19" s="82" t="s">
        <v>401</v>
      </c>
      <c r="AQ19" s="82" t="s">
        <v>286</v>
      </c>
      <c r="AR19" s="82" t="s">
        <v>283</v>
      </c>
      <c r="AS19" s="82" t="s">
        <v>282</v>
      </c>
      <c r="AT19" s="82" t="s">
        <v>281</v>
      </c>
      <c r="AU19" s="82" t="s">
        <v>281</v>
      </c>
      <c r="AV19" s="82" t="s">
        <v>198</v>
      </c>
      <c r="AW19" s="82" t="s">
        <v>198</v>
      </c>
      <c r="AX19" s="82" t="s">
        <v>281</v>
      </c>
      <c r="AY19" s="82" t="s">
        <v>282</v>
      </c>
      <c r="AZ19" s="82" t="s">
        <v>281</v>
      </c>
      <c r="BA19" s="82" t="s">
        <v>289</v>
      </c>
      <c r="BB19" s="82">
        <v>2.0000000000000001E-4</v>
      </c>
      <c r="BC19" s="82">
        <v>1.1999999999999999E-3</v>
      </c>
      <c r="BD19" s="82">
        <v>8.0000000000000004E-4</v>
      </c>
      <c r="BE19" s="82">
        <v>1.9E-3</v>
      </c>
      <c r="BF19" s="82" t="s">
        <v>402</v>
      </c>
      <c r="BG19" s="82" t="s">
        <v>282</v>
      </c>
      <c r="BH19" s="82">
        <v>8.0000000000000004E-4</v>
      </c>
      <c r="BI19" s="82" t="s">
        <v>403</v>
      </c>
      <c r="BJ19" s="82">
        <v>2.0000000000000001E-4</v>
      </c>
      <c r="BK19" s="82" t="s">
        <v>288</v>
      </c>
      <c r="BL19" s="82">
        <v>4.0000000000000002E-4</v>
      </c>
      <c r="BM19" s="82" t="s">
        <v>286</v>
      </c>
      <c r="BN19" s="82" t="s">
        <v>198</v>
      </c>
      <c r="BO19" s="82" t="s">
        <v>404</v>
      </c>
      <c r="BP19" s="82">
        <v>5.1000000000000004E-3</v>
      </c>
      <c r="BQ19" s="82">
        <v>5.9999999999999995E-4</v>
      </c>
      <c r="BR19" s="82" t="s">
        <v>353</v>
      </c>
      <c r="BS19" s="82" t="s">
        <v>281</v>
      </c>
      <c r="BT19" s="82" t="s">
        <v>405</v>
      </c>
      <c r="BU19" s="82" t="s">
        <v>365</v>
      </c>
      <c r="BV19" s="82">
        <v>4.3E-3</v>
      </c>
      <c r="BW19" s="82" t="s">
        <v>198</v>
      </c>
      <c r="BX19" s="82" t="s">
        <v>198</v>
      </c>
      <c r="BY19" s="82" t="s">
        <v>362</v>
      </c>
      <c r="BZ19" s="82" t="s">
        <v>360</v>
      </c>
      <c r="CA19" s="82" t="s">
        <v>283</v>
      </c>
      <c r="CB19" s="82">
        <v>2.0000000000000001E-4</v>
      </c>
      <c r="CC19" s="82">
        <v>1E-4</v>
      </c>
      <c r="CD19" s="82" t="s">
        <v>285</v>
      </c>
      <c r="CE19" s="82" t="s">
        <v>406</v>
      </c>
      <c r="CF19" s="82" t="s">
        <v>285</v>
      </c>
      <c r="CG19" s="82" t="s">
        <v>281</v>
      </c>
      <c r="CH19" s="82" t="s">
        <v>283</v>
      </c>
      <c r="CI19" s="82" t="s">
        <v>282</v>
      </c>
      <c r="CJ19" s="82" t="s">
        <v>288</v>
      </c>
      <c r="CK19" s="82" t="s">
        <v>407</v>
      </c>
      <c r="CL19" s="82" t="s">
        <v>352</v>
      </c>
      <c r="CM19" s="82" t="s">
        <v>408</v>
      </c>
      <c r="CN19" s="82" t="s">
        <v>282</v>
      </c>
      <c r="CO19" s="82">
        <v>4.0000000000000002E-4</v>
      </c>
      <c r="CP19" s="82">
        <v>2.9999999999999997E-4</v>
      </c>
      <c r="CQ19" s="82" t="s">
        <v>407</v>
      </c>
      <c r="CR19" s="82" t="s">
        <v>373</v>
      </c>
      <c r="CS19" s="82" t="s">
        <v>409</v>
      </c>
      <c r="CT19" s="82" t="s">
        <v>286</v>
      </c>
      <c r="CU19" s="82" t="s">
        <v>281</v>
      </c>
      <c r="CV19" s="82" t="s">
        <v>280</v>
      </c>
      <c r="CW19" s="82" t="s">
        <v>285</v>
      </c>
      <c r="CX19" s="82" t="s">
        <v>286</v>
      </c>
      <c r="CY19" s="82">
        <v>0</v>
      </c>
      <c r="CZ19" s="82">
        <v>3.0000000000000001E-3</v>
      </c>
      <c r="DA19" s="82">
        <v>4.4000000000000003E-3</v>
      </c>
      <c r="DB19" s="82" t="s">
        <v>198</v>
      </c>
      <c r="DC19" s="82" t="s">
        <v>198</v>
      </c>
      <c r="DD19" s="82">
        <v>0</v>
      </c>
      <c r="DE19" s="82" t="s">
        <v>281</v>
      </c>
      <c r="DF19" s="82" t="s">
        <v>281</v>
      </c>
      <c r="DG19" s="82" t="s">
        <v>286</v>
      </c>
      <c r="DH19" s="82" t="s">
        <v>281</v>
      </c>
      <c r="DI19" s="83" t="s">
        <v>281</v>
      </c>
    </row>
    <row r="20" spans="1:113" x14ac:dyDescent="0.25">
      <c r="A20" s="89" t="s">
        <v>225</v>
      </c>
      <c r="B20" s="84" t="s">
        <v>278</v>
      </c>
      <c r="C20" s="85">
        <v>0.40089999999999998</v>
      </c>
      <c r="D20" s="86">
        <v>0.40039999999999998</v>
      </c>
      <c r="E20" s="86">
        <v>0.50870000000000004</v>
      </c>
      <c r="F20" s="86">
        <v>0.49769999999999998</v>
      </c>
      <c r="G20" s="86">
        <v>0.50470000000000004</v>
      </c>
      <c r="H20" s="86">
        <v>0.49919999999999998</v>
      </c>
      <c r="I20" s="86">
        <v>0.50449999999999995</v>
      </c>
      <c r="J20" s="86">
        <v>0.4975</v>
      </c>
      <c r="K20" s="86">
        <v>0.50060000000000004</v>
      </c>
      <c r="L20" s="86">
        <v>0.50439999999999996</v>
      </c>
      <c r="M20" s="86">
        <v>0.51500000000000001</v>
      </c>
      <c r="N20" s="86" t="s">
        <v>198</v>
      </c>
      <c r="O20" s="86" t="s">
        <v>198</v>
      </c>
      <c r="P20" s="86">
        <v>0.49919999999999998</v>
      </c>
      <c r="Q20" s="86">
        <v>0.50170000000000003</v>
      </c>
      <c r="R20" s="86">
        <v>0.49980000000000002</v>
      </c>
      <c r="S20" s="86">
        <v>0.50760000000000005</v>
      </c>
      <c r="T20" s="86">
        <v>0.50109999999999999</v>
      </c>
      <c r="U20" s="86">
        <v>0.49769999999999998</v>
      </c>
      <c r="V20" s="86">
        <v>0.49890000000000001</v>
      </c>
      <c r="W20" s="86">
        <v>0.49959999999999999</v>
      </c>
      <c r="X20" s="86">
        <v>0.50280000000000002</v>
      </c>
      <c r="Y20" s="86">
        <v>0.502</v>
      </c>
      <c r="Z20" s="86">
        <v>0.5</v>
      </c>
      <c r="AA20" s="86">
        <v>0.505</v>
      </c>
      <c r="AB20" s="86">
        <v>0.50319999999999998</v>
      </c>
      <c r="AC20" s="86">
        <v>0.51280000000000003</v>
      </c>
      <c r="AD20" s="86">
        <v>0.50490000000000002</v>
      </c>
      <c r="AE20" s="86">
        <v>0.51439999999999997</v>
      </c>
      <c r="AF20" s="86">
        <v>0.51029999999999998</v>
      </c>
      <c r="AG20" s="86">
        <v>0.51519999999999999</v>
      </c>
      <c r="AH20" s="86">
        <v>0.51529999999999998</v>
      </c>
      <c r="AI20" s="86">
        <v>0.49940000000000001</v>
      </c>
      <c r="AJ20" s="86">
        <v>0.50019999999999998</v>
      </c>
      <c r="AK20" s="86">
        <v>0.50109999999999999</v>
      </c>
      <c r="AL20" s="86">
        <v>0.50290000000000001</v>
      </c>
      <c r="AM20" s="86">
        <v>0.50009999999999999</v>
      </c>
      <c r="AN20" s="86">
        <v>0.499</v>
      </c>
      <c r="AO20" s="86">
        <v>49.521900000000002</v>
      </c>
      <c r="AP20" s="86">
        <v>47.903500000000001</v>
      </c>
      <c r="AQ20" s="86">
        <v>0.50339999999999996</v>
      </c>
      <c r="AR20" s="86">
        <v>0.50049999999999994</v>
      </c>
      <c r="AS20" s="86">
        <v>0.51229999999999998</v>
      </c>
      <c r="AT20" s="86">
        <v>0.50549999999999995</v>
      </c>
      <c r="AU20" s="86">
        <v>0.50149999999999995</v>
      </c>
      <c r="AV20" s="86" t="s">
        <v>198</v>
      </c>
      <c r="AW20" s="86" t="s">
        <v>198</v>
      </c>
      <c r="AX20" s="86">
        <v>0.50060000000000004</v>
      </c>
      <c r="AY20" s="86">
        <v>0.49959999999999999</v>
      </c>
      <c r="AZ20" s="86">
        <v>0.50990000000000002</v>
      </c>
      <c r="BA20" s="86">
        <v>0.50560000000000005</v>
      </c>
      <c r="BB20" s="86">
        <v>0.50409999999999999</v>
      </c>
      <c r="BC20" s="86">
        <v>0.50219999999999998</v>
      </c>
      <c r="BD20" s="86">
        <v>0.5</v>
      </c>
      <c r="BE20" s="86">
        <v>0.50019999999999998</v>
      </c>
      <c r="BF20" s="86">
        <v>0.50149999999999995</v>
      </c>
      <c r="BG20" s="86">
        <v>0.51280000000000003</v>
      </c>
      <c r="BH20" s="86">
        <v>0.50039999999999996</v>
      </c>
      <c r="BI20" s="86">
        <v>0.48609999999999998</v>
      </c>
      <c r="BJ20" s="86">
        <v>0.49740000000000001</v>
      </c>
      <c r="BK20" s="86">
        <v>0.50190000000000001</v>
      </c>
      <c r="BL20" s="86">
        <v>0.50319999999999998</v>
      </c>
      <c r="BM20" s="86">
        <v>0.50060000000000004</v>
      </c>
      <c r="BN20" s="86" t="s">
        <v>198</v>
      </c>
      <c r="BO20" s="86">
        <v>0.53439999999999999</v>
      </c>
      <c r="BP20" s="86">
        <v>0.51300000000000001</v>
      </c>
      <c r="BQ20" s="86">
        <v>0.49790000000000001</v>
      </c>
      <c r="BR20" s="86">
        <v>0.48609999999999998</v>
      </c>
      <c r="BS20" s="86">
        <v>0.48459999999999998</v>
      </c>
      <c r="BT20" s="86">
        <v>0.49359999999999998</v>
      </c>
      <c r="BU20" s="86">
        <v>0.48749999999999999</v>
      </c>
      <c r="BV20" s="86">
        <v>0.48520000000000002</v>
      </c>
      <c r="BW20" s="86" t="s">
        <v>198</v>
      </c>
      <c r="BX20" s="86" t="s">
        <v>198</v>
      </c>
      <c r="BY20" s="86">
        <v>0.504</v>
      </c>
      <c r="BZ20" s="86">
        <v>0.50919999999999999</v>
      </c>
      <c r="CA20" s="86">
        <v>0.49969999999999998</v>
      </c>
      <c r="CB20" s="86">
        <v>0.4975</v>
      </c>
      <c r="CC20" s="86">
        <v>0.50819999999999999</v>
      </c>
      <c r="CD20" s="86">
        <v>0.50729999999999997</v>
      </c>
      <c r="CE20" s="86">
        <v>0.50619999999999998</v>
      </c>
      <c r="CF20" s="86">
        <v>0.503</v>
      </c>
      <c r="CG20" s="86">
        <v>0.49990000000000001</v>
      </c>
      <c r="CH20" s="86">
        <v>0.49940000000000001</v>
      </c>
      <c r="CI20" s="86">
        <v>0.51</v>
      </c>
      <c r="CJ20" s="86">
        <v>0.50939999999999996</v>
      </c>
      <c r="CK20" s="86">
        <v>0.49980000000000002</v>
      </c>
      <c r="CL20" s="86">
        <v>0.50570000000000004</v>
      </c>
      <c r="CM20" s="86">
        <v>0.49380000000000002</v>
      </c>
      <c r="CN20" s="86">
        <v>0.51619999999999999</v>
      </c>
      <c r="CO20" s="86">
        <v>0.499</v>
      </c>
      <c r="CP20" s="86">
        <v>0.50349999999999995</v>
      </c>
      <c r="CQ20" s="86">
        <v>0.50239999999999996</v>
      </c>
      <c r="CR20" s="86">
        <v>0.49569999999999997</v>
      </c>
      <c r="CS20" s="86">
        <v>0.502</v>
      </c>
      <c r="CT20" s="86">
        <v>0.55669999999999997</v>
      </c>
      <c r="CU20" s="86">
        <v>0.503</v>
      </c>
      <c r="CV20" s="86">
        <v>0.48909999999999998</v>
      </c>
      <c r="CW20" s="86">
        <v>0.50319999999999998</v>
      </c>
      <c r="CX20" s="86">
        <v>0.50600000000000001</v>
      </c>
      <c r="CY20" s="86">
        <v>0.52070000000000005</v>
      </c>
      <c r="CZ20" s="86">
        <v>0.49759999999999999</v>
      </c>
      <c r="DA20" s="86">
        <v>0.49480000000000002</v>
      </c>
      <c r="DB20" s="86" t="s">
        <v>198</v>
      </c>
      <c r="DC20" s="86" t="s">
        <v>198</v>
      </c>
      <c r="DD20" s="86">
        <v>0.50419999999999998</v>
      </c>
      <c r="DE20" s="86">
        <v>0.50700000000000001</v>
      </c>
      <c r="DF20" s="86">
        <v>0.49969999999999998</v>
      </c>
      <c r="DG20" s="86">
        <v>0.50029999999999997</v>
      </c>
      <c r="DH20" s="86">
        <v>0.50380000000000003</v>
      </c>
      <c r="DI20" s="87">
        <v>0.50249999999999995</v>
      </c>
    </row>
    <row r="21" spans="1:113" x14ac:dyDescent="0.25">
      <c r="A21" s="89" t="s">
        <v>226</v>
      </c>
      <c r="B21" s="84" t="s">
        <v>278</v>
      </c>
      <c r="C21" s="85">
        <v>0.4</v>
      </c>
      <c r="D21" s="86">
        <v>0.3967</v>
      </c>
      <c r="E21" s="86">
        <v>0.50419999999999998</v>
      </c>
      <c r="F21" s="86">
        <v>0.4965</v>
      </c>
      <c r="G21" s="86">
        <v>0.50600000000000001</v>
      </c>
      <c r="H21" s="86">
        <v>0.50019999999999998</v>
      </c>
      <c r="I21" s="86">
        <v>0.50539999999999996</v>
      </c>
      <c r="J21" s="86">
        <v>0.49919999999999998</v>
      </c>
      <c r="K21" s="86">
        <v>0.50180000000000002</v>
      </c>
      <c r="L21" s="86">
        <v>0.50409999999999999</v>
      </c>
      <c r="M21" s="86">
        <v>0.51659999999999995</v>
      </c>
      <c r="N21" s="86" t="s">
        <v>198</v>
      </c>
      <c r="O21" s="86" t="s">
        <v>198</v>
      </c>
      <c r="P21" s="86">
        <v>0.4985</v>
      </c>
      <c r="Q21" s="86">
        <v>0.4975</v>
      </c>
      <c r="R21" s="86">
        <v>0.50029999999999997</v>
      </c>
      <c r="S21" s="86">
        <v>0.50729999999999997</v>
      </c>
      <c r="T21" s="86">
        <v>0.50139999999999996</v>
      </c>
      <c r="U21" s="86">
        <v>0.49859999999999999</v>
      </c>
      <c r="V21" s="86">
        <v>0.4995</v>
      </c>
      <c r="W21" s="86">
        <v>0.50080000000000002</v>
      </c>
      <c r="X21" s="86">
        <v>0.50429999999999997</v>
      </c>
      <c r="Y21" s="86">
        <v>0.50149999999999995</v>
      </c>
      <c r="Z21" s="86">
        <v>0.50049999999999994</v>
      </c>
      <c r="AA21" s="86">
        <v>0.50480000000000003</v>
      </c>
      <c r="AB21" s="86">
        <v>0.50429999999999997</v>
      </c>
      <c r="AC21" s="86">
        <v>0.51049999999999995</v>
      </c>
      <c r="AD21" s="86">
        <v>0.50480000000000003</v>
      </c>
      <c r="AE21" s="86">
        <v>0.51370000000000005</v>
      </c>
      <c r="AF21" s="86">
        <v>0.51080000000000003</v>
      </c>
      <c r="AG21" s="86">
        <v>0.50239999999999996</v>
      </c>
      <c r="AH21" s="86">
        <v>0.50239999999999996</v>
      </c>
      <c r="AI21" s="86">
        <v>0.50039999999999996</v>
      </c>
      <c r="AJ21" s="86">
        <v>0.50109999999999999</v>
      </c>
      <c r="AK21" s="86">
        <v>0.50029999999999997</v>
      </c>
      <c r="AL21" s="86">
        <v>0.50390000000000001</v>
      </c>
      <c r="AM21" s="86">
        <v>0.49940000000000001</v>
      </c>
      <c r="AN21" s="86">
        <v>0.49769999999999998</v>
      </c>
      <c r="AO21" s="86">
        <v>49.375100000000003</v>
      </c>
      <c r="AP21" s="86">
        <v>49.027200000000001</v>
      </c>
      <c r="AQ21" s="86">
        <v>0.503</v>
      </c>
      <c r="AR21" s="86">
        <v>0.50019999999999998</v>
      </c>
      <c r="AS21" s="86">
        <v>0.51429999999999998</v>
      </c>
      <c r="AT21" s="86">
        <v>0.50319999999999998</v>
      </c>
      <c r="AU21" s="86">
        <v>0.50270000000000004</v>
      </c>
      <c r="AV21" s="86" t="s">
        <v>198</v>
      </c>
      <c r="AW21" s="86" t="s">
        <v>198</v>
      </c>
      <c r="AX21" s="86">
        <v>0.50139999999999996</v>
      </c>
      <c r="AY21" s="86">
        <v>0.49940000000000001</v>
      </c>
      <c r="AZ21" s="86">
        <v>0.50949999999999995</v>
      </c>
      <c r="BA21" s="86">
        <v>0.50270000000000004</v>
      </c>
      <c r="BB21" s="86">
        <v>0.50339999999999996</v>
      </c>
      <c r="BC21" s="86">
        <v>0.50160000000000005</v>
      </c>
      <c r="BD21" s="86">
        <v>0.50160000000000005</v>
      </c>
      <c r="BE21" s="86">
        <v>0.50290000000000001</v>
      </c>
      <c r="BF21" s="86">
        <v>0.5091</v>
      </c>
      <c r="BG21" s="86">
        <v>0.51600000000000001</v>
      </c>
      <c r="BH21" s="86">
        <v>0.49740000000000001</v>
      </c>
      <c r="BI21" s="86">
        <v>0.48509999999999998</v>
      </c>
      <c r="BJ21" s="86">
        <v>0.49890000000000001</v>
      </c>
      <c r="BK21" s="86">
        <v>0.50190000000000001</v>
      </c>
      <c r="BL21" s="86">
        <v>0.50319999999999998</v>
      </c>
      <c r="BM21" s="86">
        <v>0.50029999999999997</v>
      </c>
      <c r="BN21" s="86" t="s">
        <v>198</v>
      </c>
      <c r="BO21" s="86">
        <v>0.50819999999999999</v>
      </c>
      <c r="BP21" s="86">
        <v>0.50680000000000003</v>
      </c>
      <c r="BQ21" s="86">
        <v>0.49690000000000001</v>
      </c>
      <c r="BR21" s="86">
        <v>0.48670000000000002</v>
      </c>
      <c r="BS21" s="86">
        <v>0.49969999999999998</v>
      </c>
      <c r="BT21" s="86">
        <v>0.50249999999999995</v>
      </c>
      <c r="BU21" s="86">
        <v>0.49159999999999998</v>
      </c>
      <c r="BV21" s="86">
        <v>0.48730000000000001</v>
      </c>
      <c r="BW21" s="86" t="s">
        <v>198</v>
      </c>
      <c r="BX21" s="86" t="s">
        <v>198</v>
      </c>
      <c r="BY21" s="86">
        <v>0.51070000000000004</v>
      </c>
      <c r="BZ21" s="86">
        <v>0.51160000000000005</v>
      </c>
      <c r="CA21" s="86">
        <v>0.50119999999999998</v>
      </c>
      <c r="CB21" s="86">
        <v>0.49980000000000002</v>
      </c>
      <c r="CC21" s="86">
        <v>0.51090000000000002</v>
      </c>
      <c r="CD21" s="86">
        <v>0.50749999999999995</v>
      </c>
      <c r="CE21" s="86">
        <v>0.50649999999999995</v>
      </c>
      <c r="CF21" s="86">
        <v>0.503</v>
      </c>
      <c r="CG21" s="86">
        <v>0.504</v>
      </c>
      <c r="CH21" s="86">
        <v>0.50280000000000002</v>
      </c>
      <c r="CI21" s="86">
        <v>0.50919999999999999</v>
      </c>
      <c r="CJ21" s="86">
        <v>0.50680000000000003</v>
      </c>
      <c r="CK21" s="86">
        <v>0.52680000000000005</v>
      </c>
      <c r="CL21" s="86">
        <v>0.50380000000000003</v>
      </c>
      <c r="CM21" s="86">
        <v>0.495</v>
      </c>
      <c r="CN21" s="86">
        <v>0.51580000000000004</v>
      </c>
      <c r="CO21" s="86">
        <v>0.50090000000000001</v>
      </c>
      <c r="CP21" s="86">
        <v>0.503</v>
      </c>
      <c r="CQ21" s="86">
        <v>0.503</v>
      </c>
      <c r="CR21" s="86">
        <v>0.49490000000000001</v>
      </c>
      <c r="CS21" s="86">
        <v>0.49480000000000002</v>
      </c>
      <c r="CT21" s="86">
        <v>0.55879999999999996</v>
      </c>
      <c r="CU21" s="86">
        <v>0.50419999999999998</v>
      </c>
      <c r="CV21" s="86">
        <v>0.49180000000000001</v>
      </c>
      <c r="CW21" s="86">
        <v>0.50290000000000001</v>
      </c>
      <c r="CX21" s="86">
        <v>0.50629999999999997</v>
      </c>
      <c r="CY21" s="86">
        <v>0.52100000000000002</v>
      </c>
      <c r="CZ21" s="86">
        <v>0.49659999999999999</v>
      </c>
      <c r="DA21" s="86">
        <v>0.49440000000000001</v>
      </c>
      <c r="DB21" s="86" t="s">
        <v>198</v>
      </c>
      <c r="DC21" s="86" t="s">
        <v>198</v>
      </c>
      <c r="DD21" s="86">
        <v>0.505</v>
      </c>
      <c r="DE21" s="86">
        <v>0.50970000000000004</v>
      </c>
      <c r="DF21" s="86">
        <v>0.50070000000000003</v>
      </c>
      <c r="DG21" s="86">
        <v>0.50180000000000002</v>
      </c>
      <c r="DH21" s="86">
        <v>0.50490000000000002</v>
      </c>
      <c r="DI21" s="87">
        <v>0.50380000000000003</v>
      </c>
    </row>
    <row r="22" spans="1:113" x14ac:dyDescent="0.25">
      <c r="A22" s="89" t="s">
        <v>316</v>
      </c>
      <c r="B22" s="84" t="s">
        <v>386</v>
      </c>
      <c r="C22" s="85">
        <v>4.0000000000000002E-4</v>
      </c>
      <c r="D22" s="86" t="s">
        <v>285</v>
      </c>
      <c r="E22" s="86" t="s">
        <v>361</v>
      </c>
      <c r="F22" s="86" t="s">
        <v>363</v>
      </c>
      <c r="G22" s="86">
        <v>4.1000000000000003E-3</v>
      </c>
      <c r="H22" s="86">
        <v>5.9999999999999995E-4</v>
      </c>
      <c r="I22" s="86">
        <v>5.9999999999999995E-4</v>
      </c>
      <c r="J22" s="86" t="s">
        <v>286</v>
      </c>
      <c r="K22" s="86" t="s">
        <v>281</v>
      </c>
      <c r="L22" s="86" t="s">
        <v>281</v>
      </c>
      <c r="M22" s="86">
        <v>4.0000000000000002E-4</v>
      </c>
      <c r="N22" s="86" t="s">
        <v>198</v>
      </c>
      <c r="O22" s="86" t="s">
        <v>198</v>
      </c>
      <c r="P22" s="86" t="s">
        <v>387</v>
      </c>
      <c r="Q22" s="86" t="s">
        <v>388</v>
      </c>
      <c r="R22" s="86">
        <v>1E-4</v>
      </c>
      <c r="S22" s="86" t="s">
        <v>283</v>
      </c>
      <c r="T22" s="86" t="s">
        <v>283</v>
      </c>
      <c r="U22" s="86">
        <v>1E-4</v>
      </c>
      <c r="V22" s="86" t="s">
        <v>281</v>
      </c>
      <c r="W22" s="86" t="s">
        <v>283</v>
      </c>
      <c r="X22" s="86" t="s">
        <v>350</v>
      </c>
      <c r="Y22" s="86">
        <v>1E-4</v>
      </c>
      <c r="Z22" s="86" t="s">
        <v>281</v>
      </c>
      <c r="AA22" s="86" t="s">
        <v>280</v>
      </c>
      <c r="AB22" s="86" t="s">
        <v>281</v>
      </c>
      <c r="AC22" s="86" t="s">
        <v>281</v>
      </c>
      <c r="AD22" s="86">
        <v>0</v>
      </c>
      <c r="AE22" s="86" t="s">
        <v>281</v>
      </c>
      <c r="AF22" s="86" t="s">
        <v>281</v>
      </c>
      <c r="AG22" s="86" t="s">
        <v>283</v>
      </c>
      <c r="AH22" s="86" t="s">
        <v>283</v>
      </c>
      <c r="AI22" s="86">
        <v>5.0000000000000001E-4</v>
      </c>
      <c r="AJ22" s="86">
        <v>5.0000000000000001E-4</v>
      </c>
      <c r="AK22" s="86" t="s">
        <v>280</v>
      </c>
      <c r="AL22" s="86" t="s">
        <v>283</v>
      </c>
      <c r="AM22" s="86" t="s">
        <v>283</v>
      </c>
      <c r="AN22" s="86" t="s">
        <v>282</v>
      </c>
      <c r="AO22" s="86" t="s">
        <v>389</v>
      </c>
      <c r="AP22" s="86" t="s">
        <v>390</v>
      </c>
      <c r="AQ22" s="86" t="s">
        <v>286</v>
      </c>
      <c r="AR22" s="86" t="s">
        <v>285</v>
      </c>
      <c r="AS22" s="86" t="s">
        <v>279</v>
      </c>
      <c r="AT22" s="86" t="s">
        <v>283</v>
      </c>
      <c r="AU22" s="86" t="s">
        <v>281</v>
      </c>
      <c r="AV22" s="86" t="s">
        <v>198</v>
      </c>
      <c r="AW22" s="86" t="s">
        <v>198</v>
      </c>
      <c r="AX22" s="86" t="s">
        <v>281</v>
      </c>
      <c r="AY22" s="86" t="s">
        <v>282</v>
      </c>
      <c r="AZ22" s="86">
        <v>2.9999999999999997E-4</v>
      </c>
      <c r="BA22" s="86" t="s">
        <v>357</v>
      </c>
      <c r="BB22" s="86" t="s">
        <v>281</v>
      </c>
      <c r="BC22" s="86">
        <v>1.1999999999999999E-3</v>
      </c>
      <c r="BD22" s="86" t="s">
        <v>283</v>
      </c>
      <c r="BE22" s="86">
        <v>6.9999999999999999E-4</v>
      </c>
      <c r="BF22" s="86" t="s">
        <v>288</v>
      </c>
      <c r="BG22" s="86">
        <v>2.5000000000000001E-3</v>
      </c>
      <c r="BH22" s="86" t="s">
        <v>286</v>
      </c>
      <c r="BI22" s="86" t="s">
        <v>355</v>
      </c>
      <c r="BJ22" s="86" t="s">
        <v>281</v>
      </c>
      <c r="BK22" s="86">
        <v>4.0000000000000002E-4</v>
      </c>
      <c r="BL22" s="86">
        <v>8.0000000000000004E-4</v>
      </c>
      <c r="BM22" s="86" t="s">
        <v>285</v>
      </c>
      <c r="BN22" s="86" t="s">
        <v>198</v>
      </c>
      <c r="BO22" s="86" t="s">
        <v>391</v>
      </c>
      <c r="BP22" s="86">
        <v>7.6E-3</v>
      </c>
      <c r="BQ22" s="86">
        <v>1.4E-3</v>
      </c>
      <c r="BR22" s="86">
        <v>1.2999999999999999E-3</v>
      </c>
      <c r="BS22" s="86" t="s">
        <v>392</v>
      </c>
      <c r="BT22" s="86">
        <v>7.1000000000000004E-3</v>
      </c>
      <c r="BU22" s="86" t="s">
        <v>361</v>
      </c>
      <c r="BV22" s="86" t="s">
        <v>356</v>
      </c>
      <c r="BW22" s="86" t="s">
        <v>198</v>
      </c>
      <c r="BX22" s="86" t="s">
        <v>198</v>
      </c>
      <c r="BY22" s="86" t="s">
        <v>367</v>
      </c>
      <c r="BZ22" s="86" t="s">
        <v>287</v>
      </c>
      <c r="CA22" s="86">
        <v>9.1999999999999998E-3</v>
      </c>
      <c r="CB22" s="86">
        <v>9.4000000000000004E-3</v>
      </c>
      <c r="CC22" s="86">
        <v>2.0000000000000001E-4</v>
      </c>
      <c r="CD22" s="86" t="s">
        <v>285</v>
      </c>
      <c r="CE22" s="86" t="s">
        <v>393</v>
      </c>
      <c r="CF22" s="86" t="s">
        <v>285</v>
      </c>
      <c r="CG22" s="86" t="s">
        <v>281</v>
      </c>
      <c r="CH22" s="86" t="s">
        <v>281</v>
      </c>
      <c r="CI22" s="86" t="s">
        <v>283</v>
      </c>
      <c r="CJ22" s="86" t="s">
        <v>288</v>
      </c>
      <c r="CK22" s="86" t="s">
        <v>394</v>
      </c>
      <c r="CL22" s="86" t="s">
        <v>289</v>
      </c>
      <c r="CM22" s="86" t="s">
        <v>395</v>
      </c>
      <c r="CN22" s="86">
        <v>4.0000000000000002E-4</v>
      </c>
      <c r="CO22" s="86">
        <v>0</v>
      </c>
      <c r="CP22" s="86">
        <v>1E-4</v>
      </c>
      <c r="CQ22" s="86" t="s">
        <v>280</v>
      </c>
      <c r="CR22" s="86" t="s">
        <v>396</v>
      </c>
      <c r="CS22" s="86" t="s">
        <v>397</v>
      </c>
      <c r="CT22" s="86" t="s">
        <v>283</v>
      </c>
      <c r="CU22" s="86" t="s">
        <v>285</v>
      </c>
      <c r="CV22" s="86" t="s">
        <v>364</v>
      </c>
      <c r="CW22" s="86" t="s">
        <v>290</v>
      </c>
      <c r="CX22" s="86" t="s">
        <v>285</v>
      </c>
      <c r="CY22" s="86" t="s">
        <v>281</v>
      </c>
      <c r="CZ22" s="86">
        <v>8.9999999999999998E-4</v>
      </c>
      <c r="DA22" s="86" t="s">
        <v>393</v>
      </c>
      <c r="DB22" s="86" t="s">
        <v>198</v>
      </c>
      <c r="DC22" s="86" t="s">
        <v>198</v>
      </c>
      <c r="DD22" s="86">
        <v>0</v>
      </c>
      <c r="DE22" s="86" t="s">
        <v>281</v>
      </c>
      <c r="DF22" s="86">
        <v>5.0000000000000001E-4</v>
      </c>
      <c r="DG22" s="86">
        <v>4.0000000000000002E-4</v>
      </c>
      <c r="DH22" s="86" t="s">
        <v>281</v>
      </c>
      <c r="DI22" s="87" t="s">
        <v>281</v>
      </c>
    </row>
    <row r="23" spans="1:113" x14ac:dyDescent="0.25">
      <c r="A23" s="89" t="s">
        <v>227</v>
      </c>
      <c r="B23" s="84" t="s">
        <v>398</v>
      </c>
      <c r="C23" s="85">
        <v>2.9700000000000001E-2</v>
      </c>
      <c r="D23" s="86">
        <v>2.3099999999999999E-2</v>
      </c>
      <c r="E23" s="86">
        <v>0.1032</v>
      </c>
      <c r="F23" s="86">
        <v>9.6699999999999994E-2</v>
      </c>
      <c r="G23" s="86">
        <v>9.6600000000000005E-2</v>
      </c>
      <c r="H23" s="86">
        <v>0.10199999999999999</v>
      </c>
      <c r="I23" s="86">
        <v>0.1024</v>
      </c>
      <c r="J23" s="86">
        <v>0.1033</v>
      </c>
      <c r="K23" s="86">
        <v>0.1043</v>
      </c>
      <c r="L23" s="86">
        <v>0.1031</v>
      </c>
      <c r="M23" s="86">
        <v>0.10580000000000001</v>
      </c>
      <c r="N23" s="86" t="s">
        <v>198</v>
      </c>
      <c r="O23" s="86" t="s">
        <v>198</v>
      </c>
      <c r="P23" s="86">
        <v>9.74E-2</v>
      </c>
      <c r="Q23" s="86">
        <v>0.1</v>
      </c>
      <c r="R23" s="86">
        <v>0.1021</v>
      </c>
      <c r="S23" s="86">
        <v>0.1031</v>
      </c>
      <c r="T23" s="86">
        <v>9.2399999999999996E-2</v>
      </c>
      <c r="U23" s="86">
        <v>9.3799999999999994E-2</v>
      </c>
      <c r="V23" s="86">
        <v>0.1038</v>
      </c>
      <c r="W23" s="86">
        <v>0.10340000000000001</v>
      </c>
      <c r="X23" s="86">
        <v>0.10150000000000001</v>
      </c>
      <c r="Y23" s="86">
        <v>0.10299999999999999</v>
      </c>
      <c r="Z23" s="86">
        <v>0.1032</v>
      </c>
      <c r="AA23" s="86">
        <v>0.10150000000000001</v>
      </c>
      <c r="AB23" s="86">
        <v>0.1032</v>
      </c>
      <c r="AC23" s="86">
        <v>0.1026</v>
      </c>
      <c r="AD23" s="86">
        <v>0.1026</v>
      </c>
      <c r="AE23" s="86">
        <v>0.10539999999999999</v>
      </c>
      <c r="AF23" s="86">
        <v>0.1047</v>
      </c>
      <c r="AG23" s="86">
        <v>0.1032</v>
      </c>
      <c r="AH23" s="86">
        <v>0.1037</v>
      </c>
      <c r="AI23" s="86">
        <v>9.8299999999999998E-2</v>
      </c>
      <c r="AJ23" s="86">
        <v>0.1002</v>
      </c>
      <c r="AK23" s="86">
        <v>0.1016</v>
      </c>
      <c r="AL23" s="86">
        <v>0.1024</v>
      </c>
      <c r="AM23" s="86">
        <v>0.1</v>
      </c>
      <c r="AN23" s="86">
        <v>9.9000000000000005E-2</v>
      </c>
      <c r="AO23" s="86">
        <v>9.1142000000000003</v>
      </c>
      <c r="AP23" s="86">
        <v>7.9710000000000001</v>
      </c>
      <c r="AQ23" s="86">
        <v>0.1026</v>
      </c>
      <c r="AR23" s="86">
        <v>0.10249999999999999</v>
      </c>
      <c r="AS23" s="86">
        <v>0.10059999999999999</v>
      </c>
      <c r="AT23" s="86">
        <v>0.1027</v>
      </c>
      <c r="AU23" s="86">
        <v>0.1027</v>
      </c>
      <c r="AV23" s="86" t="s">
        <v>198</v>
      </c>
      <c r="AW23" s="86" t="s">
        <v>198</v>
      </c>
      <c r="AX23" s="86">
        <v>0.1024</v>
      </c>
      <c r="AY23" s="86">
        <v>0.1028</v>
      </c>
      <c r="AZ23" s="86">
        <v>0.10440000000000001</v>
      </c>
      <c r="BA23" s="86">
        <v>0.1042</v>
      </c>
      <c r="BB23" s="86">
        <v>0.10199999999999999</v>
      </c>
      <c r="BC23" s="86">
        <v>0.1026</v>
      </c>
      <c r="BD23" s="86">
        <v>0.105</v>
      </c>
      <c r="BE23" s="86">
        <v>0.1074</v>
      </c>
      <c r="BF23" s="86">
        <v>0.1037</v>
      </c>
      <c r="BG23" s="86">
        <v>0.1048</v>
      </c>
      <c r="BH23" s="86">
        <v>8.5099999999999995E-2</v>
      </c>
      <c r="BI23" s="86">
        <v>7.7899999999999997E-2</v>
      </c>
      <c r="BJ23" s="86">
        <v>9.7699999999999995E-2</v>
      </c>
      <c r="BK23" s="86">
        <v>0.10299999999999999</v>
      </c>
      <c r="BL23" s="86">
        <v>0.1045</v>
      </c>
      <c r="BM23" s="86">
        <v>0.10290000000000001</v>
      </c>
      <c r="BN23" s="86" t="s">
        <v>198</v>
      </c>
      <c r="BO23" s="86">
        <v>0.1145</v>
      </c>
      <c r="BP23" s="86">
        <v>0.105</v>
      </c>
      <c r="BQ23" s="86">
        <v>0.1011</v>
      </c>
      <c r="BR23" s="86">
        <v>9.6199999999999994E-2</v>
      </c>
      <c r="BS23" s="86">
        <v>9.6199999999999994E-2</v>
      </c>
      <c r="BT23" s="86">
        <v>0.1036</v>
      </c>
      <c r="BU23" s="86">
        <v>9.9500000000000005E-2</v>
      </c>
      <c r="BV23" s="86">
        <v>9.9900000000000003E-2</v>
      </c>
      <c r="BW23" s="86" t="s">
        <v>198</v>
      </c>
      <c r="BX23" s="86" t="s">
        <v>198</v>
      </c>
      <c r="BY23" s="86">
        <v>0.1004</v>
      </c>
      <c r="BZ23" s="86">
        <v>9.3200000000000005E-2</v>
      </c>
      <c r="CA23" s="86">
        <v>0.1096</v>
      </c>
      <c r="CB23" s="86">
        <v>0.1037</v>
      </c>
      <c r="CC23" s="86">
        <v>0.1032</v>
      </c>
      <c r="CD23" s="86">
        <v>0.1038</v>
      </c>
      <c r="CE23" s="86">
        <v>0.1014</v>
      </c>
      <c r="CF23" s="86">
        <v>0.1043</v>
      </c>
      <c r="CG23" s="86">
        <v>0.1027</v>
      </c>
      <c r="CH23" s="86">
        <v>0.10249999999999999</v>
      </c>
      <c r="CI23" s="86">
        <v>6.25E-2</v>
      </c>
      <c r="CJ23" s="86">
        <v>6.2300000000000001E-2</v>
      </c>
      <c r="CK23" s="86">
        <v>0.1163</v>
      </c>
      <c r="CL23" s="86">
        <v>9.7799999999999998E-2</v>
      </c>
      <c r="CM23" s="86">
        <v>9.7600000000000006E-2</v>
      </c>
      <c r="CN23" s="86">
        <v>0.1011</v>
      </c>
      <c r="CO23" s="86">
        <v>9.9400000000000002E-2</v>
      </c>
      <c r="CP23" s="86">
        <v>9.98E-2</v>
      </c>
      <c r="CQ23" s="86">
        <v>9.9299999999999999E-2</v>
      </c>
      <c r="CR23" s="86">
        <v>9.3299999999999994E-2</v>
      </c>
      <c r="CS23" s="86">
        <v>9.74E-2</v>
      </c>
      <c r="CT23" s="86">
        <v>0.1076</v>
      </c>
      <c r="CU23" s="86">
        <v>0.1026</v>
      </c>
      <c r="CV23" s="86">
        <v>7.9399999999999998E-2</v>
      </c>
      <c r="CW23" s="86">
        <v>0.10009999999999999</v>
      </c>
      <c r="CX23" s="86">
        <v>0.1028</v>
      </c>
      <c r="CY23" s="86">
        <v>9.8599999999999993E-2</v>
      </c>
      <c r="CZ23" s="86">
        <v>9.4500000000000001E-2</v>
      </c>
      <c r="DA23" s="86">
        <v>9.2299999999999993E-2</v>
      </c>
      <c r="DB23" s="86" t="s">
        <v>198</v>
      </c>
      <c r="DC23" s="86" t="s">
        <v>198</v>
      </c>
      <c r="DD23" s="86">
        <v>0.1042</v>
      </c>
      <c r="DE23" s="86">
        <v>0.1041</v>
      </c>
      <c r="DF23" s="86">
        <v>0.10290000000000001</v>
      </c>
      <c r="DG23" s="86">
        <v>0.1032</v>
      </c>
      <c r="DH23" s="86">
        <v>0.1</v>
      </c>
      <c r="DI23" s="87">
        <v>9.9599999999999994E-2</v>
      </c>
    </row>
    <row r="24" spans="1:113" x14ac:dyDescent="0.25">
      <c r="A24" s="89" t="s">
        <v>320</v>
      </c>
      <c r="B24" s="84" t="s">
        <v>410</v>
      </c>
      <c r="C24" s="85" t="s">
        <v>286</v>
      </c>
      <c r="D24" s="86" t="s">
        <v>284</v>
      </c>
      <c r="E24" s="86">
        <v>4.3E-3</v>
      </c>
      <c r="F24" s="86" t="s">
        <v>280</v>
      </c>
      <c r="G24" s="86">
        <v>3.0000000000000001E-3</v>
      </c>
      <c r="H24" s="86">
        <v>4.7999999999999996E-3</v>
      </c>
      <c r="I24" s="86">
        <v>5.0000000000000001E-3</v>
      </c>
      <c r="J24" s="86">
        <v>2.2100000000000002E-2</v>
      </c>
      <c r="K24" s="86">
        <v>2.1999999999999999E-2</v>
      </c>
      <c r="L24" s="86" t="s">
        <v>281</v>
      </c>
      <c r="M24" s="86">
        <v>4.0000000000000002E-4</v>
      </c>
      <c r="N24" s="86" t="s">
        <v>198</v>
      </c>
      <c r="O24" s="86" t="s">
        <v>198</v>
      </c>
      <c r="P24" s="86">
        <v>29.423300000000001</v>
      </c>
      <c r="Q24" s="86">
        <v>28.993099999999998</v>
      </c>
      <c r="R24" s="86">
        <v>2.0000000000000001E-4</v>
      </c>
      <c r="S24" s="86" t="s">
        <v>281</v>
      </c>
      <c r="T24" s="86" t="s">
        <v>289</v>
      </c>
      <c r="U24" s="86" t="s">
        <v>282</v>
      </c>
      <c r="V24" s="86" t="s">
        <v>281</v>
      </c>
      <c r="W24" s="86">
        <v>2.9999999999999997E-4</v>
      </c>
      <c r="X24" s="86" t="s">
        <v>280</v>
      </c>
      <c r="Y24" s="86">
        <v>1E-4</v>
      </c>
      <c r="Z24" s="86">
        <v>0.28189999999999998</v>
      </c>
      <c r="AA24" s="86">
        <v>4.0000000000000002E-4</v>
      </c>
      <c r="AB24" s="86" t="s">
        <v>281</v>
      </c>
      <c r="AC24" s="86" t="s">
        <v>282</v>
      </c>
      <c r="AD24" s="86">
        <v>8.0000000000000004E-4</v>
      </c>
      <c r="AE24" s="86" t="s">
        <v>283</v>
      </c>
      <c r="AF24" s="86" t="s">
        <v>281</v>
      </c>
      <c r="AG24" s="86">
        <v>9.4999999999999998E-3</v>
      </c>
      <c r="AH24" s="86">
        <v>9.1000000000000004E-3</v>
      </c>
      <c r="AI24" s="86" t="s">
        <v>283</v>
      </c>
      <c r="AJ24" s="86" t="s">
        <v>359</v>
      </c>
      <c r="AK24" s="86">
        <v>1.4E-3</v>
      </c>
      <c r="AL24" s="86">
        <v>2.0000000000000001E-4</v>
      </c>
      <c r="AM24" s="86">
        <v>5.0000000000000001E-4</v>
      </c>
      <c r="AN24" s="86">
        <v>1E-4</v>
      </c>
      <c r="AO24" s="86">
        <v>1.5117</v>
      </c>
      <c r="AP24" s="86" t="s">
        <v>411</v>
      </c>
      <c r="AQ24" s="86" t="s">
        <v>289</v>
      </c>
      <c r="AR24" s="86" t="s">
        <v>283</v>
      </c>
      <c r="AS24" s="86">
        <v>1.6496999999999999</v>
      </c>
      <c r="AT24" s="86">
        <v>3.5000000000000001E-3</v>
      </c>
      <c r="AU24" s="86">
        <v>2.0000000000000001E-4</v>
      </c>
      <c r="AV24" s="86" t="s">
        <v>198</v>
      </c>
      <c r="AW24" s="86" t="s">
        <v>198</v>
      </c>
      <c r="AX24" s="86">
        <v>0</v>
      </c>
      <c r="AY24" s="86">
        <v>5.0000000000000001E-4</v>
      </c>
      <c r="AZ24" s="86">
        <v>8.8887</v>
      </c>
      <c r="BA24" s="86">
        <v>8.8506</v>
      </c>
      <c r="BB24" s="86">
        <v>4.7999999999999996E-3</v>
      </c>
      <c r="BC24" s="86">
        <v>6.3E-3</v>
      </c>
      <c r="BD24" s="86">
        <v>2.8E-3</v>
      </c>
      <c r="BE24" s="86">
        <v>3.3E-3</v>
      </c>
      <c r="BF24" s="86">
        <v>5.4814999999999996</v>
      </c>
      <c r="BG24" s="86">
        <v>5.4965999999999999</v>
      </c>
      <c r="BH24" s="86">
        <v>1.8E-3</v>
      </c>
      <c r="BI24" s="86" t="s">
        <v>371</v>
      </c>
      <c r="BJ24" s="86" t="s">
        <v>284</v>
      </c>
      <c r="BK24" s="86">
        <v>5.9999999999999995E-4</v>
      </c>
      <c r="BL24" s="86">
        <v>8.9999999999999998E-4</v>
      </c>
      <c r="BM24" s="86" t="s">
        <v>281</v>
      </c>
      <c r="BN24" s="86" t="s">
        <v>198</v>
      </c>
      <c r="BO24" s="86" t="s">
        <v>372</v>
      </c>
      <c r="BP24" s="86">
        <v>2.0899999999999998E-2</v>
      </c>
      <c r="BQ24" s="86" t="s">
        <v>283</v>
      </c>
      <c r="BR24" s="86" t="s">
        <v>282</v>
      </c>
      <c r="BS24" s="86">
        <v>3.4935</v>
      </c>
      <c r="BT24" s="86">
        <v>3.5196000000000001</v>
      </c>
      <c r="BU24" s="86" t="s">
        <v>285</v>
      </c>
      <c r="BV24" s="86">
        <v>1E-3</v>
      </c>
      <c r="BW24" s="86" t="s">
        <v>198</v>
      </c>
      <c r="BX24" s="86" t="s">
        <v>198</v>
      </c>
      <c r="BY24" s="86" t="s">
        <v>367</v>
      </c>
      <c r="BZ24" s="86" t="s">
        <v>412</v>
      </c>
      <c r="CA24" s="86" t="s">
        <v>413</v>
      </c>
      <c r="CB24" s="86" t="s">
        <v>414</v>
      </c>
      <c r="CC24" s="86" t="s">
        <v>281</v>
      </c>
      <c r="CD24" s="86">
        <v>6.9999999999999999E-4</v>
      </c>
      <c r="CE24" s="86" t="s">
        <v>354</v>
      </c>
      <c r="CF24" s="86">
        <v>5.3E-3</v>
      </c>
      <c r="CG24" s="86">
        <v>0.13170000000000001</v>
      </c>
      <c r="CH24" s="86">
        <v>0.1358</v>
      </c>
      <c r="CI24" s="86">
        <v>8.9999999999999998E-4</v>
      </c>
      <c r="CJ24" s="86" t="s">
        <v>282</v>
      </c>
      <c r="CK24" s="86" t="s">
        <v>415</v>
      </c>
      <c r="CL24" s="86">
        <v>1.8E-3</v>
      </c>
      <c r="CM24" s="86">
        <v>3.8999999999999998E-3</v>
      </c>
      <c r="CN24" s="86" t="s">
        <v>281</v>
      </c>
      <c r="CO24" s="86" t="s">
        <v>281</v>
      </c>
      <c r="CP24" s="86" t="s">
        <v>283</v>
      </c>
      <c r="CQ24" s="86">
        <v>2.9999999999999997E-4</v>
      </c>
      <c r="CR24" s="86" t="s">
        <v>416</v>
      </c>
      <c r="CS24" s="86" t="s">
        <v>282</v>
      </c>
      <c r="CT24" s="86" t="s">
        <v>285</v>
      </c>
      <c r="CU24" s="86" t="s">
        <v>281</v>
      </c>
      <c r="CV24" s="86">
        <v>6.0900000000000003E-2</v>
      </c>
      <c r="CW24" s="86" t="s">
        <v>417</v>
      </c>
      <c r="CX24" s="86">
        <v>5.9999999999999995E-4</v>
      </c>
      <c r="CY24" s="86">
        <v>2.0799999999999999E-2</v>
      </c>
      <c r="CZ24" s="86">
        <v>1.4E-3</v>
      </c>
      <c r="DA24" s="86" t="s">
        <v>395</v>
      </c>
      <c r="DB24" s="86" t="s">
        <v>198</v>
      </c>
      <c r="DC24" s="86" t="s">
        <v>198</v>
      </c>
      <c r="DD24" s="86">
        <v>1E-4</v>
      </c>
      <c r="DE24" s="86">
        <v>1E-4</v>
      </c>
      <c r="DF24" s="86">
        <v>7.7000000000000002E-3</v>
      </c>
      <c r="DG24" s="86">
        <v>6.0000000000000001E-3</v>
      </c>
      <c r="DH24" s="86" t="s">
        <v>281</v>
      </c>
      <c r="DI24" s="87">
        <v>0</v>
      </c>
    </row>
    <row r="25" spans="1:113" x14ac:dyDescent="0.25">
      <c r="A25" s="89" t="s">
        <v>321</v>
      </c>
      <c r="B25" s="84" t="s">
        <v>418</v>
      </c>
      <c r="C25" s="85" t="s">
        <v>285</v>
      </c>
      <c r="D25" s="86" t="s">
        <v>279</v>
      </c>
      <c r="E25" s="86">
        <v>5.0000000000000001E-3</v>
      </c>
      <c r="F25" s="86" t="s">
        <v>419</v>
      </c>
      <c r="G25" s="86">
        <v>6.1000000000000004E-3</v>
      </c>
      <c r="H25" s="86">
        <v>4.7999999999999996E-3</v>
      </c>
      <c r="I25" s="86">
        <v>4.8999999999999998E-3</v>
      </c>
      <c r="J25" s="86">
        <v>2.2100000000000002E-2</v>
      </c>
      <c r="K25" s="86">
        <v>2.1999999999999999E-2</v>
      </c>
      <c r="L25" s="86" t="s">
        <v>281</v>
      </c>
      <c r="M25" s="86">
        <v>4.0000000000000002E-4</v>
      </c>
      <c r="N25" s="86" t="s">
        <v>198</v>
      </c>
      <c r="O25" s="86" t="s">
        <v>198</v>
      </c>
      <c r="P25" s="86">
        <v>29.426500000000001</v>
      </c>
      <c r="Q25" s="86">
        <v>28.825800000000001</v>
      </c>
      <c r="R25" s="86">
        <v>1E-4</v>
      </c>
      <c r="S25" s="86" t="s">
        <v>283</v>
      </c>
      <c r="T25" s="86" t="s">
        <v>284</v>
      </c>
      <c r="U25" s="86">
        <v>2.9999999999999997E-4</v>
      </c>
      <c r="V25" s="86">
        <v>2.0000000000000001E-4</v>
      </c>
      <c r="W25" s="86">
        <v>5.9999999999999995E-4</v>
      </c>
      <c r="X25" s="86" t="s">
        <v>420</v>
      </c>
      <c r="Y25" s="86">
        <v>2.0000000000000001E-4</v>
      </c>
      <c r="Z25" s="86">
        <v>0.28129999999999999</v>
      </c>
      <c r="AA25" s="86">
        <v>2.9999999999999997E-4</v>
      </c>
      <c r="AB25" s="86" t="s">
        <v>281</v>
      </c>
      <c r="AC25" s="86" t="s">
        <v>281</v>
      </c>
      <c r="AD25" s="86">
        <v>4.0000000000000002E-4</v>
      </c>
      <c r="AE25" s="86" t="s">
        <v>283</v>
      </c>
      <c r="AF25" s="86">
        <v>0</v>
      </c>
      <c r="AG25" s="86">
        <v>1.0800000000000001E-2</v>
      </c>
      <c r="AH25" s="86">
        <v>9.1000000000000004E-3</v>
      </c>
      <c r="AI25" s="86" t="s">
        <v>281</v>
      </c>
      <c r="AJ25" s="86" t="s">
        <v>279</v>
      </c>
      <c r="AK25" s="86">
        <v>1.1999999999999999E-3</v>
      </c>
      <c r="AL25" s="86">
        <v>2.0000000000000001E-4</v>
      </c>
      <c r="AM25" s="86">
        <v>5.0000000000000001E-4</v>
      </c>
      <c r="AN25" s="86" t="s">
        <v>281</v>
      </c>
      <c r="AO25" s="86">
        <v>1.0849</v>
      </c>
      <c r="AP25" s="86" t="s">
        <v>421</v>
      </c>
      <c r="AQ25" s="86" t="s">
        <v>286</v>
      </c>
      <c r="AR25" s="86" t="s">
        <v>285</v>
      </c>
      <c r="AS25" s="86">
        <v>1.6463000000000001</v>
      </c>
      <c r="AT25" s="86">
        <v>3.8E-3</v>
      </c>
      <c r="AU25" s="86" t="s">
        <v>281</v>
      </c>
      <c r="AV25" s="86" t="s">
        <v>198</v>
      </c>
      <c r="AW25" s="86" t="s">
        <v>198</v>
      </c>
      <c r="AX25" s="86">
        <v>0</v>
      </c>
      <c r="AY25" s="86">
        <v>5.9999999999999995E-4</v>
      </c>
      <c r="AZ25" s="86">
        <v>8.9013000000000009</v>
      </c>
      <c r="BA25" s="86">
        <v>8.8665000000000003</v>
      </c>
      <c r="BB25" s="86">
        <v>4.7999999999999996E-3</v>
      </c>
      <c r="BC25" s="86">
        <v>6.1000000000000004E-3</v>
      </c>
      <c r="BD25" s="86">
        <v>2.5000000000000001E-3</v>
      </c>
      <c r="BE25" s="86">
        <v>2.5999999999999999E-3</v>
      </c>
      <c r="BF25" s="86">
        <v>5.4581999999999997</v>
      </c>
      <c r="BG25" s="86">
        <v>5.4573999999999998</v>
      </c>
      <c r="BH25" s="86">
        <v>1.5E-3</v>
      </c>
      <c r="BI25" s="86">
        <v>9.4000000000000004E-3</v>
      </c>
      <c r="BJ25" s="86" t="s">
        <v>284</v>
      </c>
      <c r="BK25" s="86">
        <v>5.9999999999999995E-4</v>
      </c>
      <c r="BL25" s="86">
        <v>1.1999999999999999E-3</v>
      </c>
      <c r="BM25" s="86" t="s">
        <v>285</v>
      </c>
      <c r="BN25" s="86" t="s">
        <v>198</v>
      </c>
      <c r="BO25" s="86">
        <v>2.3900000000000001E-2</v>
      </c>
      <c r="BP25" s="86">
        <v>1.7000000000000001E-2</v>
      </c>
      <c r="BQ25" s="86" t="s">
        <v>353</v>
      </c>
      <c r="BR25" s="86" t="s">
        <v>289</v>
      </c>
      <c r="BS25" s="86">
        <v>3.4799000000000002</v>
      </c>
      <c r="BT25" s="86">
        <v>3.5118</v>
      </c>
      <c r="BU25" s="86" t="s">
        <v>422</v>
      </c>
      <c r="BV25" s="86" t="s">
        <v>356</v>
      </c>
      <c r="BW25" s="86" t="s">
        <v>198</v>
      </c>
      <c r="BX25" s="86" t="s">
        <v>198</v>
      </c>
      <c r="BY25" s="86" t="s">
        <v>353</v>
      </c>
      <c r="BZ25" s="86" t="s">
        <v>419</v>
      </c>
      <c r="CA25" s="86" t="s">
        <v>423</v>
      </c>
      <c r="CB25" s="86" t="s">
        <v>424</v>
      </c>
      <c r="CC25" s="86" t="s">
        <v>287</v>
      </c>
      <c r="CD25" s="86">
        <v>6.9999999999999999E-4</v>
      </c>
      <c r="CE25" s="86" t="s">
        <v>395</v>
      </c>
      <c r="CF25" s="86">
        <v>5.1999999999999998E-3</v>
      </c>
      <c r="CG25" s="86">
        <v>0.13170000000000001</v>
      </c>
      <c r="CH25" s="86">
        <v>0.13600000000000001</v>
      </c>
      <c r="CI25" s="86">
        <v>8.0000000000000004E-4</v>
      </c>
      <c r="CJ25" s="86" t="s">
        <v>281</v>
      </c>
      <c r="CK25" s="86" t="s">
        <v>425</v>
      </c>
      <c r="CL25" s="86" t="s">
        <v>369</v>
      </c>
      <c r="CM25" s="86">
        <v>4.0000000000000001E-3</v>
      </c>
      <c r="CN25" s="86" t="s">
        <v>287</v>
      </c>
      <c r="CO25" s="86" t="s">
        <v>283</v>
      </c>
      <c r="CP25" s="86" t="s">
        <v>283</v>
      </c>
      <c r="CQ25" s="86" t="s">
        <v>281</v>
      </c>
      <c r="CR25" s="86" t="s">
        <v>426</v>
      </c>
      <c r="CS25" s="86" t="s">
        <v>281</v>
      </c>
      <c r="CT25" s="86" t="s">
        <v>285</v>
      </c>
      <c r="CU25" s="86" t="s">
        <v>282</v>
      </c>
      <c r="CV25" s="86">
        <v>0.06</v>
      </c>
      <c r="CW25" s="86" t="s">
        <v>427</v>
      </c>
      <c r="CX25" s="86">
        <v>8.0000000000000004E-4</v>
      </c>
      <c r="CY25" s="86">
        <v>1.6299999999999999E-2</v>
      </c>
      <c r="CZ25" s="86">
        <v>1.4E-3</v>
      </c>
      <c r="DA25" s="86" t="s">
        <v>284</v>
      </c>
      <c r="DB25" s="86" t="s">
        <v>198</v>
      </c>
      <c r="DC25" s="86" t="s">
        <v>198</v>
      </c>
      <c r="DD25" s="86">
        <v>1E-4</v>
      </c>
      <c r="DE25" s="86">
        <v>1E-4</v>
      </c>
      <c r="DF25" s="86">
        <v>7.4999999999999997E-3</v>
      </c>
      <c r="DG25" s="86">
        <v>6.1000000000000004E-3</v>
      </c>
      <c r="DH25" s="86" t="s">
        <v>281</v>
      </c>
      <c r="DI25" s="87" t="s">
        <v>281</v>
      </c>
    </row>
    <row r="26" spans="1:113" x14ac:dyDescent="0.25">
      <c r="A26" s="89" t="s">
        <v>339</v>
      </c>
      <c r="B26" s="84" t="s">
        <v>429</v>
      </c>
      <c r="C26" s="85">
        <v>5.9999999999999995E-4</v>
      </c>
      <c r="D26" s="86" t="s">
        <v>282</v>
      </c>
      <c r="E26" s="86" t="s">
        <v>352</v>
      </c>
      <c r="F26" s="86" t="s">
        <v>430</v>
      </c>
      <c r="G26" s="86" t="s">
        <v>359</v>
      </c>
      <c r="H26" s="86">
        <v>5.0000000000000001E-4</v>
      </c>
      <c r="I26" s="86">
        <v>5.0000000000000001E-4</v>
      </c>
      <c r="J26" s="86">
        <v>2.0999999999999999E-3</v>
      </c>
      <c r="K26" s="86">
        <v>2.3E-3</v>
      </c>
      <c r="L26" s="86" t="s">
        <v>281</v>
      </c>
      <c r="M26" s="86" t="s">
        <v>286</v>
      </c>
      <c r="N26" s="86" t="s">
        <v>198</v>
      </c>
      <c r="O26" s="86" t="s">
        <v>198</v>
      </c>
      <c r="P26" s="86">
        <v>2.9521000000000002</v>
      </c>
      <c r="Q26" s="86">
        <v>2.8866999999999998</v>
      </c>
      <c r="R26" s="86">
        <v>1E-4</v>
      </c>
      <c r="S26" s="86" t="s">
        <v>281</v>
      </c>
      <c r="T26" s="86" t="s">
        <v>282</v>
      </c>
      <c r="U26" s="86" t="s">
        <v>281</v>
      </c>
      <c r="V26" s="86" t="s">
        <v>281</v>
      </c>
      <c r="W26" s="86" t="s">
        <v>283</v>
      </c>
      <c r="X26" s="86" t="s">
        <v>286</v>
      </c>
      <c r="Y26" s="86" t="s">
        <v>281</v>
      </c>
      <c r="Z26" s="86">
        <v>2.86E-2</v>
      </c>
      <c r="AA26" s="86">
        <v>2.0000000000000001E-4</v>
      </c>
      <c r="AB26" s="86" t="s">
        <v>281</v>
      </c>
      <c r="AC26" s="86" t="s">
        <v>281</v>
      </c>
      <c r="AD26" s="86">
        <v>1E-4</v>
      </c>
      <c r="AE26" s="86" t="s">
        <v>283</v>
      </c>
      <c r="AF26" s="86" t="s">
        <v>281</v>
      </c>
      <c r="AG26" s="86">
        <v>1.6000000000000001E-3</v>
      </c>
      <c r="AH26" s="86">
        <v>1.1999999999999999E-3</v>
      </c>
      <c r="AI26" s="86" t="s">
        <v>281</v>
      </c>
      <c r="AJ26" s="86" t="s">
        <v>284</v>
      </c>
      <c r="AK26" s="86" t="s">
        <v>279</v>
      </c>
      <c r="AL26" s="86">
        <v>1E-4</v>
      </c>
      <c r="AM26" s="86" t="s">
        <v>280</v>
      </c>
      <c r="AN26" s="86" t="s">
        <v>283</v>
      </c>
      <c r="AO26" s="86" t="s">
        <v>431</v>
      </c>
      <c r="AP26" s="86" t="s">
        <v>432</v>
      </c>
      <c r="AQ26" s="86" t="s">
        <v>283</v>
      </c>
      <c r="AR26" s="86">
        <v>1E-4</v>
      </c>
      <c r="AS26" s="86">
        <v>0.13800000000000001</v>
      </c>
      <c r="AT26" s="86">
        <v>2.0000000000000001E-4</v>
      </c>
      <c r="AU26" s="86" t="s">
        <v>281</v>
      </c>
      <c r="AV26" s="86" t="s">
        <v>198</v>
      </c>
      <c r="AW26" s="86" t="s">
        <v>198</v>
      </c>
      <c r="AX26" s="86" t="s">
        <v>281</v>
      </c>
      <c r="AY26" s="86" t="s">
        <v>281</v>
      </c>
      <c r="AZ26" s="86">
        <v>0.89549999999999996</v>
      </c>
      <c r="BA26" s="86">
        <v>0.88729999999999998</v>
      </c>
      <c r="BB26" s="86">
        <v>6.9999999999999999E-4</v>
      </c>
      <c r="BC26" s="86">
        <v>1.4E-3</v>
      </c>
      <c r="BD26" s="86">
        <v>8.0000000000000004E-4</v>
      </c>
      <c r="BE26" s="86" t="s">
        <v>283</v>
      </c>
      <c r="BF26" s="86">
        <v>0.54149999999999998</v>
      </c>
      <c r="BG26" s="86">
        <v>0.51160000000000005</v>
      </c>
      <c r="BH26" s="86">
        <v>2.9999999999999997E-4</v>
      </c>
      <c r="BI26" s="86" t="s">
        <v>281</v>
      </c>
      <c r="BJ26" s="86" t="s">
        <v>285</v>
      </c>
      <c r="BK26" s="86" t="s">
        <v>286</v>
      </c>
      <c r="BL26" s="86" t="s">
        <v>279</v>
      </c>
      <c r="BM26" s="86" t="s">
        <v>282</v>
      </c>
      <c r="BN26" s="86" t="s">
        <v>198</v>
      </c>
      <c r="BO26" s="86" t="s">
        <v>287</v>
      </c>
      <c r="BP26" s="86">
        <v>6.4000000000000003E-3</v>
      </c>
      <c r="BQ26" s="86" t="s">
        <v>282</v>
      </c>
      <c r="BR26" s="86" t="s">
        <v>281</v>
      </c>
      <c r="BS26" s="86">
        <v>0.3458</v>
      </c>
      <c r="BT26" s="86">
        <v>0.35239999999999999</v>
      </c>
      <c r="BU26" s="86">
        <v>2.0999999999999999E-3</v>
      </c>
      <c r="BV26" s="86" t="s">
        <v>280</v>
      </c>
      <c r="BW26" s="86" t="s">
        <v>198</v>
      </c>
      <c r="BX26" s="86" t="s">
        <v>198</v>
      </c>
      <c r="BY26" s="86" t="s">
        <v>433</v>
      </c>
      <c r="BZ26" s="86" t="s">
        <v>370</v>
      </c>
      <c r="CA26" s="86">
        <v>0.50219999999999998</v>
      </c>
      <c r="CB26" s="86">
        <v>0.4869</v>
      </c>
      <c r="CC26" s="86" t="s">
        <v>286</v>
      </c>
      <c r="CD26" s="86">
        <v>2.0000000000000001E-4</v>
      </c>
      <c r="CE26" s="86" t="s">
        <v>351</v>
      </c>
      <c r="CF26" s="86">
        <v>1.2999999999999999E-3</v>
      </c>
      <c r="CG26" s="86">
        <v>1.32E-2</v>
      </c>
      <c r="CH26" s="86">
        <v>1.3299999999999999E-2</v>
      </c>
      <c r="CI26" s="86" t="s">
        <v>282</v>
      </c>
      <c r="CJ26" s="86" t="s">
        <v>289</v>
      </c>
      <c r="CK26" s="86" t="s">
        <v>434</v>
      </c>
      <c r="CL26" s="86" t="s">
        <v>407</v>
      </c>
      <c r="CM26" s="86" t="s">
        <v>281</v>
      </c>
      <c r="CN26" s="86" t="s">
        <v>288</v>
      </c>
      <c r="CO26" s="86">
        <v>1E-4</v>
      </c>
      <c r="CP26" s="86">
        <v>2.0000000000000001E-4</v>
      </c>
      <c r="CQ26" s="86" t="s">
        <v>396</v>
      </c>
      <c r="CR26" s="86" t="s">
        <v>397</v>
      </c>
      <c r="CS26" s="86">
        <v>7.4000000000000003E-3</v>
      </c>
      <c r="CT26" s="86" t="s">
        <v>283</v>
      </c>
      <c r="CU26" s="86" t="s">
        <v>281</v>
      </c>
      <c r="CV26" s="86" t="s">
        <v>285</v>
      </c>
      <c r="CW26" s="86" t="s">
        <v>366</v>
      </c>
      <c r="CX26" s="86">
        <v>2.0000000000000001E-4</v>
      </c>
      <c r="CY26" s="86">
        <v>2.0000000000000001E-4</v>
      </c>
      <c r="CZ26" s="86">
        <v>1.6999999999999999E-3</v>
      </c>
      <c r="DA26" s="86" t="s">
        <v>359</v>
      </c>
      <c r="DB26" s="86" t="s">
        <v>198</v>
      </c>
      <c r="DC26" s="86" t="s">
        <v>198</v>
      </c>
      <c r="DD26" s="86">
        <v>0</v>
      </c>
      <c r="DE26" s="86">
        <v>0</v>
      </c>
      <c r="DF26" s="86">
        <v>1E-3</v>
      </c>
      <c r="DG26" s="86">
        <v>8.9999999999999998E-4</v>
      </c>
      <c r="DH26" s="86" t="s">
        <v>281</v>
      </c>
      <c r="DI26" s="87" t="s">
        <v>281</v>
      </c>
    </row>
    <row r="27" spans="1:113" x14ac:dyDescent="0.25">
      <c r="A27" s="89" t="s">
        <v>228</v>
      </c>
      <c r="B27" s="84" t="s">
        <v>428</v>
      </c>
      <c r="C27" s="85">
        <v>2.92E-2</v>
      </c>
      <c r="D27" s="86">
        <v>2.2499999999999999E-2</v>
      </c>
      <c r="E27" s="86">
        <v>0.1042</v>
      </c>
      <c r="F27" s="86">
        <v>0.1002</v>
      </c>
      <c r="G27" s="86">
        <v>9.8400000000000001E-2</v>
      </c>
      <c r="H27" s="86">
        <v>0.1037</v>
      </c>
      <c r="I27" s="86">
        <v>0.1038</v>
      </c>
      <c r="J27" s="86">
        <v>0.1053</v>
      </c>
      <c r="K27" s="86">
        <v>0.10630000000000001</v>
      </c>
      <c r="L27" s="86">
        <v>0.104</v>
      </c>
      <c r="M27" s="86">
        <v>0.1069</v>
      </c>
      <c r="N27" s="86" t="s">
        <v>198</v>
      </c>
      <c r="O27" s="86" t="s">
        <v>198</v>
      </c>
      <c r="P27" s="86">
        <v>3.1017999999999999</v>
      </c>
      <c r="Q27" s="86">
        <v>3.0629</v>
      </c>
      <c r="R27" s="86">
        <v>0.10199999999999999</v>
      </c>
      <c r="S27" s="86">
        <v>0.1028</v>
      </c>
      <c r="T27" s="86">
        <v>9.2200000000000004E-2</v>
      </c>
      <c r="U27" s="86">
        <v>9.3200000000000005E-2</v>
      </c>
      <c r="V27" s="86">
        <v>0.10299999999999999</v>
      </c>
      <c r="W27" s="86">
        <v>0.1026</v>
      </c>
      <c r="X27" s="86">
        <v>0.1031</v>
      </c>
      <c r="Y27" s="86">
        <v>0.1033</v>
      </c>
      <c r="Z27" s="86">
        <v>0.13</v>
      </c>
      <c r="AA27" s="86">
        <v>0.10150000000000001</v>
      </c>
      <c r="AB27" s="86">
        <v>0.10299999999999999</v>
      </c>
      <c r="AC27" s="86">
        <v>0.1026</v>
      </c>
      <c r="AD27" s="86">
        <v>0.10249999999999999</v>
      </c>
      <c r="AE27" s="86">
        <v>0.10489999999999999</v>
      </c>
      <c r="AF27" s="86">
        <v>0.1046</v>
      </c>
      <c r="AG27" s="86">
        <v>0.10390000000000001</v>
      </c>
      <c r="AH27" s="86">
        <v>0.10440000000000001</v>
      </c>
      <c r="AI27" s="86">
        <v>9.9299999999999999E-2</v>
      </c>
      <c r="AJ27" s="86">
        <v>0.1016</v>
      </c>
      <c r="AK27" s="86">
        <v>0.1018</v>
      </c>
      <c r="AL27" s="86">
        <v>0.1027</v>
      </c>
      <c r="AM27" s="86">
        <v>0.1003</v>
      </c>
      <c r="AN27" s="86">
        <v>9.8400000000000001E-2</v>
      </c>
      <c r="AO27" s="86">
        <v>11.2645</v>
      </c>
      <c r="AP27" s="86">
        <v>9.8008000000000006</v>
      </c>
      <c r="AQ27" s="86">
        <v>0.1016</v>
      </c>
      <c r="AR27" s="86">
        <v>0.1023</v>
      </c>
      <c r="AS27" s="86">
        <v>0.25019999999999998</v>
      </c>
      <c r="AT27" s="86">
        <v>0.1019</v>
      </c>
      <c r="AU27" s="86">
        <v>0.10249999999999999</v>
      </c>
      <c r="AV27" s="86" t="s">
        <v>198</v>
      </c>
      <c r="AW27" s="86" t="s">
        <v>198</v>
      </c>
      <c r="AX27" s="86">
        <v>0.1023</v>
      </c>
      <c r="AY27" s="86">
        <v>0.10249999999999999</v>
      </c>
      <c r="AZ27" s="86">
        <v>1.0264</v>
      </c>
      <c r="BA27" s="86">
        <v>1.0154000000000001</v>
      </c>
      <c r="BB27" s="86">
        <v>0.1022</v>
      </c>
      <c r="BC27" s="86">
        <v>0.1043</v>
      </c>
      <c r="BD27" s="86">
        <v>0.10630000000000001</v>
      </c>
      <c r="BE27" s="86">
        <v>0.10630000000000001</v>
      </c>
      <c r="BF27" s="86">
        <v>0.66020000000000001</v>
      </c>
      <c r="BG27" s="86">
        <v>0.62619999999999998</v>
      </c>
      <c r="BH27" s="86">
        <v>8.6099999999999996E-2</v>
      </c>
      <c r="BI27" s="86">
        <v>7.9200000000000007E-2</v>
      </c>
      <c r="BJ27" s="86">
        <v>9.69E-2</v>
      </c>
      <c r="BK27" s="86">
        <v>0.10290000000000001</v>
      </c>
      <c r="BL27" s="86">
        <v>0.10290000000000001</v>
      </c>
      <c r="BM27" s="86">
        <v>0.1022</v>
      </c>
      <c r="BN27" s="86" t="s">
        <v>198</v>
      </c>
      <c r="BO27" s="86">
        <v>0.12239999999999999</v>
      </c>
      <c r="BP27" s="86">
        <v>0.1099</v>
      </c>
      <c r="BQ27" s="86">
        <v>0.1009</v>
      </c>
      <c r="BR27" s="86">
        <v>9.8799999999999999E-2</v>
      </c>
      <c r="BS27" s="86">
        <v>0.43680000000000002</v>
      </c>
      <c r="BT27" s="86">
        <v>0.46310000000000001</v>
      </c>
      <c r="BU27" s="86">
        <v>0.10199999999999999</v>
      </c>
      <c r="BV27" s="86">
        <v>9.9099999999999994E-2</v>
      </c>
      <c r="BW27" s="86" t="s">
        <v>198</v>
      </c>
      <c r="BX27" s="86" t="s">
        <v>198</v>
      </c>
      <c r="BY27" s="86">
        <v>9.9699999999999997E-2</v>
      </c>
      <c r="BZ27" s="86">
        <v>9.9299999999999999E-2</v>
      </c>
      <c r="CA27" s="86">
        <v>0.61419999999999997</v>
      </c>
      <c r="CB27" s="86">
        <v>0.58850000000000002</v>
      </c>
      <c r="CC27" s="86">
        <v>0.10299999999999999</v>
      </c>
      <c r="CD27" s="86">
        <v>0.1033</v>
      </c>
      <c r="CE27" s="86">
        <v>0.1033</v>
      </c>
      <c r="CF27" s="86">
        <v>0.1045</v>
      </c>
      <c r="CG27" s="86">
        <v>0.1159</v>
      </c>
      <c r="CH27" s="86">
        <v>0.1164</v>
      </c>
      <c r="CI27" s="86">
        <v>6.2700000000000006E-2</v>
      </c>
      <c r="CJ27" s="86">
        <v>6.25E-2</v>
      </c>
      <c r="CK27" s="86">
        <v>9.7500000000000003E-2</v>
      </c>
      <c r="CL27" s="86">
        <v>9.8400000000000001E-2</v>
      </c>
      <c r="CM27" s="86">
        <v>9.7199999999999995E-2</v>
      </c>
      <c r="CN27" s="86">
        <v>0.1009</v>
      </c>
      <c r="CO27" s="86">
        <v>9.9400000000000002E-2</v>
      </c>
      <c r="CP27" s="86">
        <v>0.10009999999999999</v>
      </c>
      <c r="CQ27" s="86">
        <v>0.1013</v>
      </c>
      <c r="CR27" s="86">
        <v>9.5100000000000004E-2</v>
      </c>
      <c r="CS27" s="86">
        <v>9.98E-2</v>
      </c>
      <c r="CT27" s="86">
        <v>0.1087</v>
      </c>
      <c r="CU27" s="86">
        <v>0.10290000000000001</v>
      </c>
      <c r="CV27" s="86">
        <v>8.4900000000000003E-2</v>
      </c>
      <c r="CW27" s="86">
        <v>9.9900000000000003E-2</v>
      </c>
      <c r="CX27" s="86">
        <v>0.1037</v>
      </c>
      <c r="CY27" s="86">
        <v>0.10290000000000001</v>
      </c>
      <c r="CZ27" s="86">
        <v>9.4100000000000003E-2</v>
      </c>
      <c r="DA27" s="86">
        <v>9.3700000000000006E-2</v>
      </c>
      <c r="DB27" s="86" t="s">
        <v>198</v>
      </c>
      <c r="DC27" s="86" t="s">
        <v>198</v>
      </c>
      <c r="DD27" s="86">
        <v>0.10390000000000001</v>
      </c>
      <c r="DE27" s="86">
        <v>0.104</v>
      </c>
      <c r="DF27" s="86">
        <v>0.1033</v>
      </c>
      <c r="DG27" s="86">
        <v>0.1033</v>
      </c>
      <c r="DH27" s="86">
        <v>0.10009999999999999</v>
      </c>
      <c r="DI27" s="87">
        <v>9.9699999999999997E-2</v>
      </c>
    </row>
    <row r="28" spans="1:113" x14ac:dyDescent="0.25">
      <c r="A28" s="89" t="s">
        <v>232</v>
      </c>
      <c r="B28" s="84" t="s">
        <v>348</v>
      </c>
      <c r="C28" s="85">
        <v>3.2099999999999997E-2</v>
      </c>
      <c r="D28" s="86">
        <v>2.5999999999999999E-2</v>
      </c>
      <c r="E28" s="86">
        <v>9.4E-2</v>
      </c>
      <c r="F28" s="86">
        <v>9.5600000000000004E-2</v>
      </c>
      <c r="G28" s="86">
        <v>9.4799999999999995E-2</v>
      </c>
      <c r="H28" s="86">
        <v>9.9599999999999994E-2</v>
      </c>
      <c r="I28" s="86">
        <v>9.9699999999999997E-2</v>
      </c>
      <c r="J28" s="86">
        <v>0.1002</v>
      </c>
      <c r="K28" s="86">
        <v>0.1017</v>
      </c>
      <c r="L28" s="86">
        <v>0.1011</v>
      </c>
      <c r="M28" s="86">
        <v>0.1013</v>
      </c>
      <c r="N28" s="86" t="s">
        <v>198</v>
      </c>
      <c r="O28" s="86" t="s">
        <v>198</v>
      </c>
      <c r="P28" s="86">
        <v>9.4299999999999995E-2</v>
      </c>
      <c r="Q28" s="86">
        <v>9.5399999999999999E-2</v>
      </c>
      <c r="R28" s="86">
        <v>0.1007</v>
      </c>
      <c r="S28" s="86">
        <v>0.10009999999999999</v>
      </c>
      <c r="T28" s="86">
        <v>9.0300000000000005E-2</v>
      </c>
      <c r="U28" s="86">
        <v>9.0899999999999995E-2</v>
      </c>
      <c r="V28" s="86">
        <v>0.1004</v>
      </c>
      <c r="W28" s="86">
        <v>0.1003</v>
      </c>
      <c r="X28" s="86">
        <v>9.8400000000000001E-2</v>
      </c>
      <c r="Y28" s="86">
        <v>0.1004</v>
      </c>
      <c r="Z28" s="86">
        <v>9.8299999999999998E-2</v>
      </c>
      <c r="AA28" s="86">
        <v>9.7699999999999995E-2</v>
      </c>
      <c r="AB28" s="86">
        <v>0.1</v>
      </c>
      <c r="AC28" s="86">
        <v>9.8299999999999998E-2</v>
      </c>
      <c r="AD28" s="86">
        <v>9.9299999999999999E-2</v>
      </c>
      <c r="AE28" s="86">
        <v>0.1</v>
      </c>
      <c r="AF28" s="86">
        <v>0.1007</v>
      </c>
      <c r="AG28" s="86">
        <v>9.8799999999999999E-2</v>
      </c>
      <c r="AH28" s="86">
        <v>0.1</v>
      </c>
      <c r="AI28" s="86">
        <v>9.6000000000000002E-2</v>
      </c>
      <c r="AJ28" s="86">
        <v>9.8100000000000007E-2</v>
      </c>
      <c r="AK28" s="86">
        <v>9.9699999999999997E-2</v>
      </c>
      <c r="AL28" s="86">
        <v>9.9500000000000005E-2</v>
      </c>
      <c r="AM28" s="86">
        <v>9.7500000000000003E-2</v>
      </c>
      <c r="AN28" s="86">
        <v>9.5899999999999999E-2</v>
      </c>
      <c r="AO28" s="86">
        <v>10.3399</v>
      </c>
      <c r="AP28" s="86">
        <v>8.4277999999999995</v>
      </c>
      <c r="AQ28" s="86">
        <v>9.8599999999999993E-2</v>
      </c>
      <c r="AR28" s="86">
        <v>9.9199999999999997E-2</v>
      </c>
      <c r="AS28" s="86">
        <v>9.7199999999999995E-2</v>
      </c>
      <c r="AT28" s="86">
        <v>9.9699999999999997E-2</v>
      </c>
      <c r="AU28" s="86">
        <v>9.9900000000000003E-2</v>
      </c>
      <c r="AV28" s="86" t="s">
        <v>198</v>
      </c>
      <c r="AW28" s="86" t="s">
        <v>198</v>
      </c>
      <c r="AX28" s="86">
        <v>0.1012</v>
      </c>
      <c r="AY28" s="86">
        <v>0.10059999999999999</v>
      </c>
      <c r="AZ28" s="86">
        <v>9.9900000000000003E-2</v>
      </c>
      <c r="BA28" s="86">
        <v>0.1</v>
      </c>
      <c r="BB28" s="86">
        <v>9.8599999999999993E-2</v>
      </c>
      <c r="BC28" s="86">
        <v>9.9099999999999994E-2</v>
      </c>
      <c r="BD28" s="86">
        <v>0.1028</v>
      </c>
      <c r="BE28" s="86">
        <v>0.10299999999999999</v>
      </c>
      <c r="BF28" s="86">
        <v>9.98E-2</v>
      </c>
      <c r="BG28" s="86">
        <v>0.10009999999999999</v>
      </c>
      <c r="BH28" s="86" t="s">
        <v>198</v>
      </c>
      <c r="BI28" s="86" t="s">
        <v>198</v>
      </c>
      <c r="BJ28" s="86">
        <v>9.5899999999999999E-2</v>
      </c>
      <c r="BK28" s="86">
        <v>9.9599999999999994E-2</v>
      </c>
      <c r="BL28" s="86">
        <v>0.10150000000000001</v>
      </c>
      <c r="BM28" s="86">
        <v>0.10059999999999999</v>
      </c>
      <c r="BN28" s="86" t="s">
        <v>198</v>
      </c>
      <c r="BO28" s="86">
        <v>0.10059999999999999</v>
      </c>
      <c r="BP28" s="86">
        <v>0.1018</v>
      </c>
      <c r="BQ28" s="86">
        <v>9.8699999999999996E-2</v>
      </c>
      <c r="BR28" s="86">
        <v>9.9500000000000005E-2</v>
      </c>
      <c r="BS28" s="86">
        <v>9.0899999999999995E-2</v>
      </c>
      <c r="BT28" s="86">
        <v>9.6699999999999994E-2</v>
      </c>
      <c r="BU28" s="86">
        <v>9.5399999999999999E-2</v>
      </c>
      <c r="BV28" s="86">
        <v>9.11E-2</v>
      </c>
      <c r="BW28" s="86" t="s">
        <v>198</v>
      </c>
      <c r="BX28" s="86" t="s">
        <v>198</v>
      </c>
      <c r="BY28" s="86">
        <v>9.5100000000000004E-2</v>
      </c>
      <c r="BZ28" s="86">
        <v>8.5300000000000001E-2</v>
      </c>
      <c r="CA28" s="86">
        <v>0.1</v>
      </c>
      <c r="CB28" s="86">
        <v>9.8699999999999996E-2</v>
      </c>
      <c r="CC28" s="86">
        <v>9.8799999999999999E-2</v>
      </c>
      <c r="CD28" s="86">
        <v>9.9699999999999997E-2</v>
      </c>
      <c r="CE28" s="86">
        <v>9.7699999999999995E-2</v>
      </c>
      <c r="CF28" s="86">
        <v>9.9299999999999999E-2</v>
      </c>
      <c r="CG28" s="86">
        <v>9.9500000000000005E-2</v>
      </c>
      <c r="CH28" s="86">
        <v>9.9099999999999994E-2</v>
      </c>
      <c r="CI28" s="86">
        <v>8.7800000000000003E-2</v>
      </c>
      <c r="CJ28" s="86">
        <v>8.7400000000000005E-2</v>
      </c>
      <c r="CK28" s="86">
        <v>0.1077</v>
      </c>
      <c r="CL28" s="86">
        <v>9.9299999999999999E-2</v>
      </c>
      <c r="CM28" s="86">
        <v>9.6100000000000005E-2</v>
      </c>
      <c r="CN28" s="86">
        <v>9.7500000000000003E-2</v>
      </c>
      <c r="CO28" s="86">
        <v>9.8000000000000004E-2</v>
      </c>
      <c r="CP28" s="86">
        <v>9.7500000000000003E-2</v>
      </c>
      <c r="CQ28" s="86">
        <v>9.4899999999999998E-2</v>
      </c>
      <c r="CR28" s="86">
        <v>0.1003</v>
      </c>
      <c r="CS28" s="86">
        <v>0.1027</v>
      </c>
      <c r="CT28" s="86">
        <v>0.1023</v>
      </c>
      <c r="CU28" s="86">
        <v>9.9000000000000005E-2</v>
      </c>
      <c r="CV28" s="86">
        <v>7.6100000000000001E-2</v>
      </c>
      <c r="CW28" s="86">
        <v>9.2299999999999993E-2</v>
      </c>
      <c r="CX28" s="86">
        <v>9.9599999999999994E-2</v>
      </c>
      <c r="CY28" s="86">
        <v>9.4799999999999995E-2</v>
      </c>
      <c r="CZ28" s="86">
        <v>9.2700000000000005E-2</v>
      </c>
      <c r="DA28" s="86">
        <v>9.3799999999999994E-2</v>
      </c>
      <c r="DB28" s="86" t="s">
        <v>198</v>
      </c>
      <c r="DC28" s="86" t="s">
        <v>198</v>
      </c>
      <c r="DD28" s="86">
        <v>0.10100000000000001</v>
      </c>
      <c r="DE28" s="86">
        <v>0.1012</v>
      </c>
      <c r="DF28" s="86">
        <v>0.1013</v>
      </c>
      <c r="DG28" s="86">
        <v>0.10050000000000001</v>
      </c>
      <c r="DH28" s="86">
        <v>9.9500000000000005E-2</v>
      </c>
      <c r="DI28" s="87">
        <v>9.6799999999999997E-2</v>
      </c>
    </row>
    <row r="29" spans="1:113" x14ac:dyDescent="0.25">
      <c r="A29" s="89" t="s">
        <v>274</v>
      </c>
      <c r="B29" s="84" t="s">
        <v>349</v>
      </c>
      <c r="C29" s="85">
        <v>3.0599999999999999E-2</v>
      </c>
      <c r="D29" s="86">
        <v>2.81E-2</v>
      </c>
      <c r="E29" s="86" t="s">
        <v>379</v>
      </c>
      <c r="F29" s="86">
        <v>0.10299999999999999</v>
      </c>
      <c r="G29" s="86">
        <v>8.4400000000000003E-2</v>
      </c>
      <c r="H29" s="86">
        <v>9.0899999999999995E-2</v>
      </c>
      <c r="I29" s="86">
        <v>0.18579999999999999</v>
      </c>
      <c r="J29" s="86">
        <v>0.1017</v>
      </c>
      <c r="K29" s="86">
        <v>9.9699999999999997E-2</v>
      </c>
      <c r="L29" s="86">
        <v>8.9800000000000005E-2</v>
      </c>
      <c r="M29" s="86">
        <v>0.10009999999999999</v>
      </c>
      <c r="N29" s="86" t="s">
        <v>198</v>
      </c>
      <c r="O29" s="86" t="s">
        <v>198</v>
      </c>
      <c r="P29" s="86">
        <v>0.11219999999999999</v>
      </c>
      <c r="Q29" s="86">
        <v>0.104</v>
      </c>
      <c r="R29" s="86">
        <v>0.1011</v>
      </c>
      <c r="S29" s="86">
        <v>0.1085</v>
      </c>
      <c r="T29" s="86">
        <v>7.9100000000000004E-2</v>
      </c>
      <c r="U29" s="86">
        <v>8.8499999999999995E-2</v>
      </c>
      <c r="V29" s="86">
        <v>2.1600000000000001E-2</v>
      </c>
      <c r="W29" s="86">
        <v>0.1016</v>
      </c>
      <c r="X29" s="86">
        <v>9.69E-2</v>
      </c>
      <c r="Y29" s="86">
        <v>9.8000000000000004E-2</v>
      </c>
      <c r="Z29" s="86">
        <v>0.1</v>
      </c>
      <c r="AA29" s="86">
        <v>8.5900000000000004E-2</v>
      </c>
      <c r="AB29" s="86">
        <v>9.6199999999999994E-2</v>
      </c>
      <c r="AC29" s="86">
        <v>9.5799999999999996E-2</v>
      </c>
      <c r="AD29" s="86">
        <v>9.6500000000000002E-2</v>
      </c>
      <c r="AE29" s="86">
        <v>9.7600000000000006E-2</v>
      </c>
      <c r="AF29" s="86">
        <v>9.8000000000000004E-2</v>
      </c>
      <c r="AG29" s="86" t="s">
        <v>380</v>
      </c>
      <c r="AH29" s="86" t="s">
        <v>381</v>
      </c>
      <c r="AI29" s="86">
        <v>0.10349999999999999</v>
      </c>
      <c r="AJ29" s="86">
        <v>0.14610000000000001</v>
      </c>
      <c r="AK29" s="86">
        <v>0.10249999999999999</v>
      </c>
      <c r="AL29" s="86">
        <v>0.1207</v>
      </c>
      <c r="AM29" s="86">
        <v>9.5899999999999999E-2</v>
      </c>
      <c r="AN29" s="86">
        <v>8.9599999999999999E-2</v>
      </c>
      <c r="AO29" s="86">
        <v>10.404999999999999</v>
      </c>
      <c r="AP29" s="86">
        <v>8.8637999999999995</v>
      </c>
      <c r="AQ29" s="86">
        <v>9.2600000000000002E-2</v>
      </c>
      <c r="AR29" s="86">
        <v>9.5299999999999996E-2</v>
      </c>
      <c r="AS29" s="86">
        <v>0.1351</v>
      </c>
      <c r="AT29" s="86">
        <v>9.5799999999999996E-2</v>
      </c>
      <c r="AU29" s="86">
        <v>9.3399999999999997E-2</v>
      </c>
      <c r="AV29" s="86" t="s">
        <v>198</v>
      </c>
      <c r="AW29" s="86" t="s">
        <v>198</v>
      </c>
      <c r="AX29" s="86">
        <v>0.1028</v>
      </c>
      <c r="AY29" s="86">
        <v>9.8799999999999999E-2</v>
      </c>
      <c r="AZ29" s="86">
        <v>9.8299999999999998E-2</v>
      </c>
      <c r="BA29" s="86">
        <v>8.8900000000000007E-2</v>
      </c>
      <c r="BB29" s="86">
        <v>9.69E-2</v>
      </c>
      <c r="BC29" s="86">
        <v>0.19700000000000001</v>
      </c>
      <c r="BD29" s="86">
        <v>9.9500000000000005E-2</v>
      </c>
      <c r="BE29" s="86">
        <v>0.1023</v>
      </c>
      <c r="BF29" s="86">
        <v>0.13669999999999999</v>
      </c>
      <c r="BG29" s="86">
        <v>0.13500000000000001</v>
      </c>
      <c r="BH29" s="86" t="s">
        <v>198</v>
      </c>
      <c r="BI29" s="86" t="s">
        <v>198</v>
      </c>
      <c r="BJ29" s="86">
        <v>9.2499999999999999E-2</v>
      </c>
      <c r="BK29" s="86">
        <v>0.1037</v>
      </c>
      <c r="BL29" s="86" t="s">
        <v>382</v>
      </c>
      <c r="BM29" s="86" t="s">
        <v>383</v>
      </c>
      <c r="BN29" s="86" t="s">
        <v>198</v>
      </c>
      <c r="BO29" s="86">
        <v>0.1227</v>
      </c>
      <c r="BP29" s="86">
        <v>0.10539999999999999</v>
      </c>
      <c r="BQ29" s="86">
        <v>9.8699999999999996E-2</v>
      </c>
      <c r="BR29" s="86">
        <v>0.1169</v>
      </c>
      <c r="BS29" s="86">
        <v>9.6600000000000005E-2</v>
      </c>
      <c r="BT29" s="86">
        <v>9.0999999999999998E-2</v>
      </c>
      <c r="BU29" s="86">
        <v>9.8599999999999993E-2</v>
      </c>
      <c r="BV29" s="86">
        <v>8.8099999999999998E-2</v>
      </c>
      <c r="BW29" s="86" t="s">
        <v>198</v>
      </c>
      <c r="BX29" s="86" t="s">
        <v>198</v>
      </c>
      <c r="BY29" s="86">
        <v>7.7899999999999997E-2</v>
      </c>
      <c r="BZ29" s="86">
        <v>8.2299999999999998E-2</v>
      </c>
      <c r="CA29" s="86">
        <v>9.1899999999999996E-2</v>
      </c>
      <c r="CB29" s="86">
        <v>9.1700000000000004E-2</v>
      </c>
      <c r="CC29" s="86">
        <v>9.9099999999999994E-2</v>
      </c>
      <c r="CD29" s="86">
        <v>8.3599999999999994E-2</v>
      </c>
      <c r="CE29" s="86">
        <v>9.7799999999999998E-2</v>
      </c>
      <c r="CF29" s="86">
        <v>7.51E-2</v>
      </c>
      <c r="CG29" s="86">
        <v>9.9199999999999997E-2</v>
      </c>
      <c r="CH29" s="86">
        <v>9.9199999999999997E-2</v>
      </c>
      <c r="CI29" s="86">
        <v>7.5499999999999998E-2</v>
      </c>
      <c r="CJ29" s="86">
        <v>8.77E-2</v>
      </c>
      <c r="CK29" s="86" t="s">
        <v>384</v>
      </c>
      <c r="CL29" s="86">
        <v>0.1164</v>
      </c>
      <c r="CM29" s="86" t="s">
        <v>385</v>
      </c>
      <c r="CN29" s="86">
        <v>0.21210000000000001</v>
      </c>
      <c r="CO29" s="86">
        <v>9.6000000000000002E-2</v>
      </c>
      <c r="CP29" s="86">
        <v>9.8199999999999996E-2</v>
      </c>
      <c r="CQ29" s="86">
        <v>9.2999999999999999E-2</v>
      </c>
      <c r="CR29" s="86">
        <v>5.6899999999999999E-2</v>
      </c>
      <c r="CS29" s="86">
        <v>8.8999999999999996E-2</v>
      </c>
      <c r="CT29" s="86">
        <v>9.7199999999999995E-2</v>
      </c>
      <c r="CU29" s="86">
        <v>0.1153</v>
      </c>
      <c r="CV29" s="86">
        <v>0.73740000000000006</v>
      </c>
      <c r="CW29" s="86">
        <v>0.3034</v>
      </c>
      <c r="CX29" s="86">
        <v>0.10440000000000001</v>
      </c>
      <c r="CY29" s="86">
        <v>1.41E-2</v>
      </c>
      <c r="CZ29" s="86">
        <v>9.2100000000000001E-2</v>
      </c>
      <c r="DA29" s="86">
        <v>8.8499999999999995E-2</v>
      </c>
      <c r="DB29" s="86" t="s">
        <v>198</v>
      </c>
      <c r="DC29" s="86" t="s">
        <v>198</v>
      </c>
      <c r="DD29" s="86">
        <v>9.9299999999999999E-2</v>
      </c>
      <c r="DE29" s="86">
        <v>9.9000000000000005E-2</v>
      </c>
      <c r="DF29" s="86">
        <v>0.1023</v>
      </c>
      <c r="DG29" s="86">
        <v>0.22850000000000001</v>
      </c>
      <c r="DH29" s="86">
        <v>9.7100000000000006E-2</v>
      </c>
      <c r="DI29" s="87">
        <v>9.9299999999999999E-2</v>
      </c>
    </row>
    <row r="30" spans="1:113" x14ac:dyDescent="0.25">
      <c r="A30" s="89" t="s">
        <v>231</v>
      </c>
      <c r="B30" s="84" t="s">
        <v>378</v>
      </c>
      <c r="C30" s="85">
        <v>0.3987</v>
      </c>
      <c r="D30" s="86">
        <v>0.39229999999999998</v>
      </c>
      <c r="E30" s="86">
        <v>0.4965</v>
      </c>
      <c r="F30" s="86">
        <v>0.49840000000000001</v>
      </c>
      <c r="G30" s="86">
        <v>0.49880000000000002</v>
      </c>
      <c r="H30" s="86">
        <v>0.49859999999999999</v>
      </c>
      <c r="I30" s="86">
        <v>0.49890000000000001</v>
      </c>
      <c r="J30" s="86">
        <v>0.50070000000000003</v>
      </c>
      <c r="K30" s="86">
        <v>0.50439999999999996</v>
      </c>
      <c r="L30" s="86">
        <v>0.50380000000000003</v>
      </c>
      <c r="M30" s="86">
        <v>0.50229999999999997</v>
      </c>
      <c r="N30" s="86" t="s">
        <v>198</v>
      </c>
      <c r="O30" s="86" t="s">
        <v>198</v>
      </c>
      <c r="P30" s="86">
        <v>0.498</v>
      </c>
      <c r="Q30" s="86">
        <v>0.498</v>
      </c>
      <c r="R30" s="86">
        <v>0.50139999999999996</v>
      </c>
      <c r="S30" s="86">
        <v>0.50019999999999998</v>
      </c>
      <c r="T30" s="86">
        <v>0.45219999999999999</v>
      </c>
      <c r="U30" s="86">
        <v>0.45400000000000001</v>
      </c>
      <c r="V30" s="86">
        <v>0.49730000000000002</v>
      </c>
      <c r="W30" s="86">
        <v>0.49840000000000001</v>
      </c>
      <c r="X30" s="86">
        <v>0.50619999999999998</v>
      </c>
      <c r="Y30" s="86">
        <v>0.50190000000000001</v>
      </c>
      <c r="Z30" s="86">
        <v>0.49659999999999999</v>
      </c>
      <c r="AA30" s="86">
        <v>0.49769999999999998</v>
      </c>
      <c r="AB30" s="86">
        <v>0.50209999999999999</v>
      </c>
      <c r="AC30" s="86">
        <v>0.49249999999999999</v>
      </c>
      <c r="AD30" s="86">
        <v>0.50239999999999996</v>
      </c>
      <c r="AE30" s="86">
        <v>0.50109999999999999</v>
      </c>
      <c r="AF30" s="86">
        <v>0.50380000000000003</v>
      </c>
      <c r="AG30" s="86">
        <v>0.50080000000000002</v>
      </c>
      <c r="AH30" s="86">
        <v>0.50339999999999996</v>
      </c>
      <c r="AI30" s="86">
        <v>0.49490000000000001</v>
      </c>
      <c r="AJ30" s="86">
        <v>0.49840000000000001</v>
      </c>
      <c r="AK30" s="86">
        <v>0.50160000000000005</v>
      </c>
      <c r="AL30" s="86">
        <v>0.50070000000000003</v>
      </c>
      <c r="AM30" s="86">
        <v>0.49049999999999999</v>
      </c>
      <c r="AN30" s="86">
        <v>0.48520000000000002</v>
      </c>
      <c r="AO30" s="86">
        <v>47.805700000000002</v>
      </c>
      <c r="AP30" s="86">
        <v>46.105899999999998</v>
      </c>
      <c r="AQ30" s="86">
        <v>0.50129999999999997</v>
      </c>
      <c r="AR30" s="86">
        <v>0.49990000000000001</v>
      </c>
      <c r="AS30" s="86">
        <v>0.51259999999999994</v>
      </c>
      <c r="AT30" s="86">
        <v>0.49940000000000001</v>
      </c>
      <c r="AU30" s="86">
        <v>0.49969999999999998</v>
      </c>
      <c r="AV30" s="86" t="s">
        <v>198</v>
      </c>
      <c r="AW30" s="86" t="s">
        <v>198</v>
      </c>
      <c r="AX30" s="86">
        <v>0.50549999999999995</v>
      </c>
      <c r="AY30" s="86">
        <v>0.50329999999999997</v>
      </c>
      <c r="AZ30" s="86">
        <v>0.50390000000000001</v>
      </c>
      <c r="BA30" s="86">
        <v>0.50190000000000001</v>
      </c>
      <c r="BB30" s="86">
        <v>0.49630000000000002</v>
      </c>
      <c r="BC30" s="86">
        <v>0.49519999999999997</v>
      </c>
      <c r="BD30" s="86">
        <v>0.5202</v>
      </c>
      <c r="BE30" s="86">
        <v>0.52090000000000003</v>
      </c>
      <c r="BF30" s="86">
        <v>0.497</v>
      </c>
      <c r="BG30" s="86">
        <v>0.50539999999999996</v>
      </c>
      <c r="BH30" s="86" t="s">
        <v>198</v>
      </c>
      <c r="BI30" s="86" t="s">
        <v>198</v>
      </c>
      <c r="BJ30" s="86">
        <v>0.49519999999999997</v>
      </c>
      <c r="BK30" s="86">
        <v>0.49619999999999997</v>
      </c>
      <c r="BL30" s="86">
        <v>0.50019999999999998</v>
      </c>
      <c r="BM30" s="86">
        <v>0.498</v>
      </c>
      <c r="BN30" s="86" t="s">
        <v>198</v>
      </c>
      <c r="BO30" s="86">
        <v>0.51900000000000002</v>
      </c>
      <c r="BP30" s="86">
        <v>0.49490000000000001</v>
      </c>
      <c r="BQ30" s="86">
        <v>0.5</v>
      </c>
      <c r="BR30" s="86">
        <v>0.51339999999999997</v>
      </c>
      <c r="BS30" s="86">
        <v>0.48420000000000002</v>
      </c>
      <c r="BT30" s="86">
        <v>0.4889</v>
      </c>
      <c r="BU30" s="86">
        <v>0.49469999999999997</v>
      </c>
      <c r="BV30" s="86">
        <v>0.4965</v>
      </c>
      <c r="BW30" s="86" t="s">
        <v>198</v>
      </c>
      <c r="BX30" s="86" t="s">
        <v>198</v>
      </c>
      <c r="BY30" s="86">
        <v>0.496</v>
      </c>
      <c r="BZ30" s="86">
        <v>0.50060000000000004</v>
      </c>
      <c r="CA30" s="86">
        <v>0.5171</v>
      </c>
      <c r="CB30" s="86">
        <v>0.51160000000000005</v>
      </c>
      <c r="CC30" s="86">
        <v>0.50149999999999995</v>
      </c>
      <c r="CD30" s="86">
        <v>0.49969999999999998</v>
      </c>
      <c r="CE30" s="86">
        <v>0.501</v>
      </c>
      <c r="CF30" s="86">
        <v>0.49640000000000001</v>
      </c>
      <c r="CG30" s="86">
        <v>0.50139999999999996</v>
      </c>
      <c r="CH30" s="86">
        <v>0.49890000000000001</v>
      </c>
      <c r="CI30" s="86">
        <v>0.47970000000000002</v>
      </c>
      <c r="CJ30" s="86">
        <v>0.4819</v>
      </c>
      <c r="CK30" s="86">
        <v>0.4854</v>
      </c>
      <c r="CL30" s="86">
        <v>0.49559999999999998</v>
      </c>
      <c r="CM30" s="86">
        <v>0.49559999999999998</v>
      </c>
      <c r="CN30" s="86">
        <v>0.502</v>
      </c>
      <c r="CO30" s="86">
        <v>0.4849</v>
      </c>
      <c r="CP30" s="86">
        <v>0.49059999999999998</v>
      </c>
      <c r="CQ30" s="86">
        <v>0.49540000000000001</v>
      </c>
      <c r="CR30" s="86">
        <v>0.49130000000000001</v>
      </c>
      <c r="CS30" s="86">
        <v>0.49840000000000001</v>
      </c>
      <c r="CT30" s="86">
        <v>0.54479999999999995</v>
      </c>
      <c r="CU30" s="86">
        <v>0.499</v>
      </c>
      <c r="CV30" s="86">
        <v>0.4778</v>
      </c>
      <c r="CW30" s="86">
        <v>0.496</v>
      </c>
      <c r="CX30" s="86">
        <v>0.50370000000000004</v>
      </c>
      <c r="CY30" s="86">
        <v>0.51519999999999999</v>
      </c>
      <c r="CZ30" s="86">
        <v>0.48780000000000001</v>
      </c>
      <c r="DA30" s="86">
        <v>0.48680000000000001</v>
      </c>
      <c r="DB30" s="86" t="s">
        <v>198</v>
      </c>
      <c r="DC30" s="86" t="s">
        <v>198</v>
      </c>
      <c r="DD30" s="86">
        <v>0.50319999999999998</v>
      </c>
      <c r="DE30" s="86">
        <v>0.504</v>
      </c>
      <c r="DF30" s="86">
        <v>0.49919999999999998</v>
      </c>
      <c r="DG30" s="86">
        <v>0.50029999999999997</v>
      </c>
      <c r="DH30" s="86">
        <v>0.50260000000000005</v>
      </c>
      <c r="DI30" s="87">
        <v>0.48909999999999998</v>
      </c>
    </row>
    <row r="31" spans="1:113" x14ac:dyDescent="0.25">
      <c r="A31" s="55" t="s">
        <v>313</v>
      </c>
      <c r="B31" s="55" t="s">
        <v>315</v>
      </c>
      <c r="C31" s="56"/>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M31" s="57"/>
      <c r="CN31" s="57"/>
      <c r="CO31" s="57"/>
      <c r="CP31" s="57"/>
      <c r="CQ31" s="57"/>
      <c r="CR31" s="57"/>
      <c r="CS31" s="57"/>
      <c r="CT31" s="57"/>
      <c r="CU31" s="57"/>
      <c r="CV31" s="57"/>
      <c r="CW31" s="57"/>
      <c r="CX31" s="57"/>
      <c r="CY31" s="57"/>
      <c r="CZ31" s="57"/>
      <c r="DA31" s="57"/>
      <c r="DB31" s="57"/>
      <c r="DC31" s="57"/>
      <c r="DD31" s="57"/>
      <c r="DE31" s="57"/>
      <c r="DF31" s="57"/>
      <c r="DG31" s="57"/>
      <c r="DH31" s="57"/>
      <c r="DI31" s="58"/>
    </row>
    <row r="32" spans="1:113" x14ac:dyDescent="0.25">
      <c r="A32" s="55" t="s">
        <v>314</v>
      </c>
      <c r="B32" s="55" t="s">
        <v>315</v>
      </c>
      <c r="C32" s="56"/>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8"/>
    </row>
    <row r="33" spans="1:271" x14ac:dyDescent="0.25">
      <c r="A33" s="59" t="s">
        <v>234</v>
      </c>
      <c r="B33" s="55" t="s">
        <v>319</v>
      </c>
      <c r="C33" s="56"/>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M33" s="57"/>
      <c r="CN33" s="57"/>
      <c r="CO33" s="57"/>
      <c r="CP33" s="57"/>
      <c r="CQ33" s="57"/>
      <c r="CR33" s="57"/>
      <c r="CS33" s="57"/>
      <c r="CT33" s="57"/>
      <c r="CU33" s="57"/>
      <c r="CV33" s="57"/>
      <c r="CW33" s="57"/>
      <c r="CX33" s="57"/>
      <c r="CY33" s="57"/>
      <c r="CZ33" s="57"/>
      <c r="DA33" s="57"/>
      <c r="DB33" s="57"/>
      <c r="DC33" s="57"/>
      <c r="DD33" s="57"/>
      <c r="DE33" s="57"/>
      <c r="DF33" s="57"/>
      <c r="DG33" s="57"/>
      <c r="DH33" s="57"/>
      <c r="DI33" s="58"/>
    </row>
    <row r="34" spans="1:271" x14ac:dyDescent="0.25">
      <c r="A34" s="59" t="s">
        <v>234</v>
      </c>
      <c r="B34" s="55" t="s">
        <v>319</v>
      </c>
      <c r="C34" s="56"/>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M34" s="57"/>
      <c r="CN34" s="57"/>
      <c r="CO34" s="57"/>
      <c r="CP34" s="57"/>
      <c r="CQ34" s="57"/>
      <c r="CR34" s="57"/>
      <c r="CS34" s="57"/>
      <c r="CT34" s="57"/>
      <c r="CU34" s="57"/>
      <c r="CV34" s="57"/>
      <c r="CW34" s="57"/>
      <c r="CX34" s="57"/>
      <c r="CY34" s="57"/>
      <c r="CZ34" s="57"/>
      <c r="DA34" s="57"/>
      <c r="DB34" s="57"/>
      <c r="DC34" s="57"/>
      <c r="DD34" s="57"/>
      <c r="DE34" s="57"/>
      <c r="DF34" s="57"/>
      <c r="DG34" s="57"/>
      <c r="DH34" s="57"/>
      <c r="DI34" s="58"/>
    </row>
    <row r="35" spans="1:271" x14ac:dyDescent="0.25">
      <c r="A35" s="59" t="s">
        <v>234</v>
      </c>
      <c r="B35" s="55" t="s">
        <v>319</v>
      </c>
      <c r="C35" s="56"/>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7"/>
      <c r="CG35" s="57"/>
      <c r="CH35" s="57"/>
      <c r="CI35" s="57"/>
      <c r="CJ35" s="57"/>
      <c r="CK35" s="57"/>
      <c r="CL35" s="57"/>
      <c r="CM35" s="57"/>
      <c r="CN35" s="57"/>
      <c r="CO35" s="57"/>
      <c r="CP35" s="57"/>
      <c r="CQ35" s="57"/>
      <c r="CR35" s="57"/>
      <c r="CS35" s="57"/>
      <c r="CT35" s="57"/>
      <c r="CU35" s="57"/>
      <c r="CV35" s="57"/>
      <c r="CW35" s="57"/>
      <c r="CX35" s="57"/>
      <c r="CY35" s="57"/>
      <c r="CZ35" s="57"/>
      <c r="DA35" s="57"/>
      <c r="DB35" s="57"/>
      <c r="DC35" s="57"/>
      <c r="DD35" s="57"/>
      <c r="DE35" s="57"/>
      <c r="DF35" s="57"/>
      <c r="DG35" s="57"/>
      <c r="DH35" s="57"/>
      <c r="DI35" s="58"/>
    </row>
    <row r="36" spans="1:271" x14ac:dyDescent="0.25">
      <c r="A36" s="59" t="s">
        <v>234</v>
      </c>
      <c r="B36" s="55" t="s">
        <v>319</v>
      </c>
      <c r="C36" s="56"/>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7"/>
      <c r="CG36" s="57"/>
      <c r="CH36" s="57"/>
      <c r="CI36" s="57"/>
      <c r="CJ36" s="57"/>
      <c r="CK36" s="57"/>
      <c r="CL36" s="57"/>
      <c r="CM36" s="57"/>
      <c r="CN36" s="57"/>
      <c r="CO36" s="57"/>
      <c r="CP36" s="57"/>
      <c r="CQ36" s="57"/>
      <c r="CR36" s="57"/>
      <c r="CS36" s="57"/>
      <c r="CT36" s="57"/>
      <c r="CU36" s="57"/>
      <c r="CV36" s="57"/>
      <c r="CW36" s="57"/>
      <c r="CX36" s="57"/>
      <c r="CY36" s="57"/>
      <c r="CZ36" s="57"/>
      <c r="DA36" s="57"/>
      <c r="DB36" s="57"/>
      <c r="DC36" s="57"/>
      <c r="DD36" s="57"/>
      <c r="DE36" s="57"/>
      <c r="DF36" s="57"/>
      <c r="DG36" s="57"/>
      <c r="DH36" s="57"/>
      <c r="DI36" s="58"/>
    </row>
    <row r="37" spans="1:271" x14ac:dyDescent="0.25">
      <c r="A37" s="59" t="s">
        <v>234</v>
      </c>
      <c r="B37" s="55" t="s">
        <v>319</v>
      </c>
      <c r="C37" s="56"/>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M37" s="57"/>
      <c r="CN37" s="57"/>
      <c r="CO37" s="57"/>
      <c r="CP37" s="57"/>
      <c r="CQ37" s="57"/>
      <c r="CR37" s="57"/>
      <c r="CS37" s="57"/>
      <c r="CT37" s="57"/>
      <c r="CU37" s="57"/>
      <c r="CV37" s="57"/>
      <c r="CW37" s="57"/>
      <c r="CX37" s="57"/>
      <c r="CY37" s="57"/>
      <c r="CZ37" s="57"/>
      <c r="DA37" s="57"/>
      <c r="DB37" s="57"/>
      <c r="DC37" s="57"/>
      <c r="DD37" s="57"/>
      <c r="DE37" s="57"/>
      <c r="DF37" s="57"/>
      <c r="DG37" s="57"/>
      <c r="DH37" s="57"/>
      <c r="DI37" s="58"/>
    </row>
    <row r="38" spans="1:271" x14ac:dyDescent="0.25">
      <c r="A38" s="59" t="s">
        <v>234</v>
      </c>
      <c r="B38" s="55" t="s">
        <v>319</v>
      </c>
      <c r="C38" s="56"/>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7"/>
      <c r="AT38" s="57"/>
      <c r="AU38" s="57"/>
      <c r="AV38" s="57"/>
      <c r="AW38" s="57"/>
      <c r="AX38" s="57"/>
      <c r="AY38" s="57"/>
      <c r="AZ38" s="57"/>
      <c r="BA38" s="57"/>
      <c r="BB38" s="57"/>
      <c r="BC38" s="57"/>
      <c r="BD38" s="57"/>
      <c r="BE38" s="57"/>
      <c r="BF38" s="57"/>
      <c r="BG38" s="57"/>
      <c r="BH38" s="57"/>
      <c r="BI38" s="57"/>
      <c r="BJ38" s="57"/>
      <c r="BK38" s="57"/>
      <c r="BL38" s="57"/>
      <c r="BM38" s="57"/>
      <c r="BN38" s="57"/>
      <c r="BO38" s="57"/>
      <c r="BP38" s="57"/>
      <c r="BQ38" s="57"/>
      <c r="BR38" s="57"/>
      <c r="BS38" s="57"/>
      <c r="BT38" s="57"/>
      <c r="BU38" s="57"/>
      <c r="BV38" s="57"/>
      <c r="BW38" s="57"/>
      <c r="BX38" s="57"/>
      <c r="BY38" s="57"/>
      <c r="BZ38" s="57"/>
      <c r="CA38" s="57"/>
      <c r="CB38" s="57"/>
      <c r="CC38" s="57"/>
      <c r="CD38" s="57"/>
      <c r="CE38" s="57"/>
      <c r="CF38" s="57"/>
      <c r="CG38" s="57"/>
      <c r="CH38" s="57"/>
      <c r="CI38" s="57"/>
      <c r="CJ38" s="57"/>
      <c r="CK38" s="57"/>
      <c r="CL38" s="57"/>
      <c r="CM38" s="57"/>
      <c r="CN38" s="57"/>
      <c r="CO38" s="57"/>
      <c r="CP38" s="57"/>
      <c r="CQ38" s="57"/>
      <c r="CR38" s="57"/>
      <c r="CS38" s="57"/>
      <c r="CT38" s="57"/>
      <c r="CU38" s="57"/>
      <c r="CV38" s="57"/>
      <c r="CW38" s="57"/>
      <c r="CX38" s="57"/>
      <c r="CY38" s="57"/>
      <c r="CZ38" s="57"/>
      <c r="DA38" s="57"/>
      <c r="DB38" s="57"/>
      <c r="DC38" s="57"/>
      <c r="DD38" s="57"/>
      <c r="DE38" s="57"/>
      <c r="DF38" s="57"/>
      <c r="DG38" s="57"/>
      <c r="DH38" s="57"/>
      <c r="DI38" s="58"/>
    </row>
    <row r="39" spans="1:271" s="18" customFormat="1" x14ac:dyDescent="0.25">
      <c r="A39" s="74" t="s">
        <v>126</v>
      </c>
      <c r="B39" s="75" t="s">
        <v>127</v>
      </c>
      <c r="C39" s="76">
        <f>CODES!C29</f>
      </c>
      <c r="D39" s="76">
        <f>CODES!D29</f>
      </c>
      <c r="E39" s="76">
        <f>CODES!E29</f>
      </c>
      <c r="F39" s="76">
        <f>CODES!F29</f>
      </c>
      <c r="G39" s="76">
        <f>CODES!G29</f>
      </c>
      <c r="H39" s="77">
        <f>CODES!H29</f>
      </c>
      <c r="I39" s="77">
        <f>CODES!I29</f>
      </c>
      <c r="J39" s="77">
        <f>CODES!J29</f>
      </c>
      <c r="K39" s="77">
        <f>CODES!K29</f>
      </c>
      <c r="L39" s="77">
        <f>CODES!L29</f>
      </c>
      <c r="M39" s="77">
        <f>CODES!M29</f>
      </c>
      <c r="N39" s="76" t="str">
        <f>CODES!N29</f>
      </c>
      <c r="O39" s="76" t="str">
        <f>CODES!O29</f>
      </c>
      <c r="P39" s="76">
        <f>CODES!P29</f>
      </c>
      <c r="Q39" s="76">
        <f>CODES!Q29</f>
      </c>
      <c r="R39" s="77">
        <f>CODES!R29</f>
      </c>
      <c r="S39" s="77">
        <f>CODES!S29</f>
      </c>
      <c r="T39" s="77">
        <f>CODES!T29</f>
      </c>
      <c r="U39" s="76">
        <f>CODES!U29</f>
      </c>
      <c r="V39" s="77">
        <f>CODES!V29</f>
      </c>
      <c r="W39" s="77">
        <f>CODES!W29</f>
      </c>
      <c r="X39" s="77">
        <f>CODES!X29</f>
      </c>
      <c r="Y39" s="77">
        <f>CODES!Y29</f>
      </c>
      <c r="Z39" s="77">
        <f>CODES!Z29</f>
      </c>
      <c r="AA39" s="77">
        <f>CODES!AA29</f>
      </c>
      <c r="AB39" s="77">
        <f>CODES!AB29</f>
      </c>
      <c r="AC39" s="77">
        <f>CODES!AC29</f>
      </c>
      <c r="AD39" s="76">
        <f>CODES!AD29</f>
      </c>
      <c r="AE39" s="76">
        <f>CODES!AE29</f>
      </c>
      <c r="AF39" s="77">
        <f>CODES!AF29</f>
      </c>
      <c r="AG39" s="76">
        <f>CODES!AG29</f>
      </c>
      <c r="AH39" s="76">
        <f>CODES!AH29</f>
      </c>
      <c r="AI39" s="76">
        <f>CODES!AI29</f>
      </c>
      <c r="AJ39" s="76">
        <f>CODES!AJ29</f>
      </c>
      <c r="AK39" s="76">
        <f>CODES!AK29</f>
      </c>
      <c r="AL39" s="76">
        <f>CODES!AL29</f>
      </c>
      <c r="AM39" s="76">
        <f>CODES!AM29</f>
      </c>
      <c r="AN39" s="76">
        <f>CODES!AN29</f>
      </c>
      <c r="AO39" s="76">
        <f>CODES!AO29</f>
      </c>
      <c r="AP39" s="76">
        <f>CODES!AP29</f>
      </c>
      <c r="AQ39" s="76">
        <f>CODES!AQ29</f>
      </c>
      <c r="AR39" s="76">
        <f>CODES!AR29</f>
      </c>
      <c r="AS39" s="76">
        <f>CODES!AS29</f>
      </c>
      <c r="AT39" s="77">
        <f>CODES!AT29</f>
      </c>
      <c r="AU39" s="77">
        <f>CODES!AU29</f>
      </c>
      <c r="AV39" s="76" t="str">
        <f>CODES!AV29</f>
      </c>
      <c r="AW39" s="76" t="str">
        <f>CODES!AW29</f>
      </c>
      <c r="AX39" s="77">
        <f>CODES!AX29</f>
      </c>
      <c r="AY39" s="76">
        <f>CODES!AY29</f>
      </c>
      <c r="AZ39" s="77">
        <f>CODES!AZ29</f>
      </c>
      <c r="BA39" s="77">
        <f>CODES!BA29</f>
      </c>
      <c r="BB39" s="77">
        <f>CODES!BB29</f>
      </c>
      <c r="BC39" s="77">
        <f>CODES!BC29</f>
      </c>
      <c r="BD39" s="77">
        <f>CODES!BD29</f>
      </c>
      <c r="BE39" s="77">
        <f>CODES!BE29</f>
      </c>
      <c r="BF39" s="77">
        <f>CODES!BF29</f>
      </c>
      <c r="BG39" s="77">
        <f>CODES!BG29</f>
      </c>
      <c r="BH39" s="78">
        <f>CODES!BH29</f>
      </c>
      <c r="BI39" s="76">
        <f>CODES!BI29</f>
      </c>
      <c r="BJ39" s="76">
        <f>CODES!BJ29</f>
      </c>
      <c r="BK39" s="76">
        <f>CODES!BK29</f>
      </c>
      <c r="BL39" s="77">
        <f>CODES!BL29</f>
      </c>
      <c r="BM39" s="77">
        <f>CODES!BM29</f>
      </c>
      <c r="BN39" s="76" t="str">
        <f>CODES!BN29</f>
      </c>
      <c r="BO39" s="76" t="str">
        <f>CODES!BO29</f>
      </c>
      <c r="BP39" s="76">
        <f>CODES!BP29</f>
      </c>
      <c r="BQ39" s="77">
        <f>CODES!BQ29</f>
      </c>
      <c r="BR39" s="76">
        <f>CODES!BR29</f>
      </c>
      <c r="BS39" s="76">
        <f>CODES!BS29</f>
      </c>
      <c r="BT39" s="76">
        <f>CODES!BT29</f>
      </c>
      <c r="BU39" s="76">
        <f>CODES!BU29</f>
      </c>
      <c r="BV39" s="76">
        <f>CODES!BV29</f>
      </c>
      <c r="BW39" s="76" t="str">
        <f>CODES!BW29</f>
      </c>
      <c r="BX39" s="76" t="str">
        <f>CODES!BX29</f>
      </c>
      <c r="BY39" s="76">
        <f>CODES!BY29</f>
      </c>
      <c r="BZ39" s="76">
        <f>CODES!BZ29</f>
      </c>
      <c r="CA39" s="76">
        <f>CODES!CA29</f>
      </c>
      <c r="CB39" s="76">
        <f>CODES!CB29</f>
      </c>
      <c r="CC39" s="76">
        <f>CODES!CC29</f>
      </c>
      <c r="CD39" s="76">
        <f>CODES!CD29</f>
      </c>
      <c r="CE39" s="76">
        <f>CODES!CE29</f>
      </c>
      <c r="CF39" s="76">
        <f>CODES!CF29</f>
      </c>
      <c r="CG39" s="77">
        <f>CODES!CG29</f>
      </c>
      <c r="CH39" s="76">
        <f>CODES!CH29</f>
      </c>
      <c r="CI39" s="76">
        <f>CODES!CI29</f>
      </c>
      <c r="CJ39" s="76">
        <f>CODES!CJ29</f>
      </c>
      <c r="CK39" s="79">
        <f>CODES!CK29</f>
      </c>
      <c r="CL39" s="78">
        <f>CODES!CL29</f>
      </c>
      <c r="CM39" s="78">
        <f>CODES!CM29</f>
      </c>
      <c r="CN39" s="76">
        <f>CODES!CN29</f>
      </c>
      <c r="CO39" s="77">
        <f>CODES!CO29</f>
      </c>
      <c r="CP39" s="77">
        <f>CODES!CP29</f>
      </c>
      <c r="CQ39" s="76">
        <f>CODES!CQ29</f>
      </c>
      <c r="CR39" s="76">
        <f>CODES!CR29</f>
      </c>
      <c r="CS39" s="78">
        <f>CODES!CS29</f>
      </c>
      <c r="CT39" s="76">
        <f>CODES!CT29</f>
      </c>
      <c r="CU39" s="76">
        <f>CODES!CU29</f>
      </c>
      <c r="CV39" s="76">
        <f>CODES!CV29</f>
      </c>
      <c r="CW39" s="76">
        <f>CODES!CW29</f>
      </c>
      <c r="CX39" s="77">
        <f>CODES!CX29</f>
      </c>
      <c r="CY39" s="76">
        <f>CODES!CY29</f>
      </c>
      <c r="CZ39" s="76">
        <f>CODES!CZ29</f>
      </c>
      <c r="DA39" s="76">
        <f>CODES!DA29</f>
      </c>
      <c r="DB39" s="76" t="str">
        <f>CODES!DB29</f>
      </c>
      <c r="DC39" s="76" t="str">
        <f>CODES!DC29</f>
      </c>
      <c r="DD39" s="77">
        <f>CODES!DD29</f>
      </c>
      <c r="DE39" s="77">
        <f>CODES!DE29</f>
      </c>
      <c r="DF39" s="77">
        <f>CODES!DF29</f>
      </c>
      <c r="DG39" s="77">
        <f>CODES!DG29</f>
      </c>
      <c r="DH39" s="77">
        <f>CODES!DH29</f>
      </c>
      <c r="DI39" s="77">
        <f>CODES!DI29</f>
      </c>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row>
    <row r="40" spans="1:271" s="18" customFormat="1" x14ac:dyDescent="0.25">
      <c r="A40" s="74" t="s">
        <v>126</v>
      </c>
      <c r="B40" s="75" t="s">
        <v>127</v>
      </c>
      <c r="C40" s="78" t="str">
        <f>CODES!C30</f>
      </c>
      <c r="D40" s="78" t="str">
        <f>CODES!D30</f>
      </c>
      <c r="E40" s="78" t="str">
        <f>CODES!E30</f>
      </c>
      <c r="F40" s="78" t="str">
        <f>CODES!F30</f>
      </c>
      <c r="G40" s="78" t="str">
        <f>CODES!G30</f>
      </c>
      <c r="H40" s="78" t="str">
        <f>CODES!H30</f>
      </c>
      <c r="I40" s="78" t="str">
        <f>CODES!I30</f>
      </c>
      <c r="J40" s="78" t="str">
        <f>CODES!J30</f>
      </c>
      <c r="K40" s="78" t="str">
        <f>CODES!K30</f>
      </c>
      <c r="L40" s="78" t="str">
        <f>CODES!L30</f>
      </c>
      <c r="M40" s="78" t="str">
        <f>CODES!M30</f>
      </c>
      <c r="N40" s="78" t="str">
        <f>CODES!N30</f>
      </c>
      <c r="O40" s="78" t="str">
        <f>CODES!O30</f>
      </c>
      <c r="P40" s="78" t="str">
        <f>CODES!P30</f>
      </c>
      <c r="Q40" s="78" t="str">
        <f>CODES!Q30</f>
      </c>
      <c r="R40" s="78" t="str">
        <f>CODES!R30</f>
      </c>
      <c r="S40" s="78" t="str">
        <f>CODES!S30</f>
      </c>
      <c r="T40" s="78" t="str">
        <f>CODES!T30</f>
      </c>
      <c r="U40" s="78" t="str">
        <f>CODES!U30</f>
      </c>
      <c r="V40" s="78" t="str">
        <f>CODES!V30</f>
      </c>
      <c r="W40" s="78" t="str">
        <f>CODES!W30</f>
      </c>
      <c r="X40" s="78" t="str">
        <f>CODES!X30</f>
      </c>
      <c r="Y40" s="78" t="str">
        <f>CODES!Y30</f>
      </c>
      <c r="Z40" s="78" t="str">
        <f>CODES!Z30</f>
      </c>
      <c r="AA40" s="78" t="str">
        <f>CODES!AA30</f>
      </c>
      <c r="AB40" s="78" t="str">
        <f>CODES!AB30</f>
      </c>
      <c r="AC40" s="78" t="str">
        <f>CODES!AC30</f>
      </c>
      <c r="AD40" s="78" t="str">
        <f>CODES!AD30</f>
      </c>
      <c r="AE40" s="78" t="str">
        <f>CODES!AE30</f>
      </c>
      <c r="AF40" s="78" t="str">
        <f>CODES!AF30</f>
      </c>
      <c r="AG40" s="78" t="str">
        <f>CODES!AG30</f>
      </c>
      <c r="AH40" s="78" t="str">
        <f>CODES!AH30</f>
      </c>
      <c r="AI40" s="78" t="str">
        <f>CODES!AI30</f>
      </c>
      <c r="AJ40" s="78" t="str">
        <f>CODES!AJ30</f>
      </c>
      <c r="AK40" s="78" t="str">
        <f>CODES!AK30</f>
      </c>
      <c r="AL40" s="78" t="str">
        <f>CODES!AL30</f>
      </c>
      <c r="AM40" s="78" t="str">
        <f>CODES!AM30</f>
      </c>
      <c r="AN40" s="78" t="str">
        <f>CODES!AN30</f>
      </c>
      <c r="AO40" s="78" t="str">
        <f>CODES!AO30</f>
      </c>
      <c r="AP40" s="78" t="str">
        <f>CODES!AP30</f>
      </c>
      <c r="AQ40" s="78" t="str">
        <f>CODES!AQ30</f>
      </c>
      <c r="AR40" s="78" t="str">
        <f>CODES!AR30</f>
      </c>
      <c r="AS40" s="78" t="str">
        <f>CODES!AS30</f>
      </c>
      <c r="AT40" s="78" t="str">
        <f>CODES!AT30</f>
      </c>
      <c r="AU40" s="78" t="str">
        <f>CODES!AU30</f>
      </c>
      <c r="AV40" s="78" t="str">
        <f>CODES!AV30</f>
      </c>
      <c r="AW40" s="78" t="str">
        <f>CODES!AW30</f>
      </c>
      <c r="AX40" s="78" t="str">
        <f>CODES!AX30</f>
      </c>
      <c r="AY40" s="78" t="str">
        <f>CODES!AY30</f>
      </c>
      <c r="AZ40" s="78" t="str">
        <f>CODES!AZ30</f>
      </c>
      <c r="BA40" s="78" t="str">
        <f>CODES!BA30</f>
      </c>
      <c r="BB40" s="78" t="str">
        <f>CODES!BB30</f>
      </c>
      <c r="BC40" s="78" t="str">
        <f>CODES!BC30</f>
      </c>
      <c r="BD40" s="78" t="str">
        <f>CODES!BD30</f>
      </c>
      <c r="BE40" s="78" t="str">
        <f>CODES!BE30</f>
      </c>
      <c r="BF40" s="78" t="str">
        <f>CODES!BF30</f>
      </c>
      <c r="BG40" s="78" t="str">
        <f>CODES!BG30</f>
      </c>
      <c r="BH40" s="78" t="str">
        <f>CODES!BH30</f>
      </c>
      <c r="BI40" s="78" t="str">
        <f>CODES!BI30</f>
      </c>
      <c r="BJ40" s="78" t="str">
        <f>CODES!BJ30</f>
      </c>
      <c r="BK40" s="78" t="str">
        <f>CODES!BK30</f>
      </c>
      <c r="BL40" s="78" t="str">
        <f>CODES!BL30</f>
      </c>
      <c r="BM40" s="78" t="str">
        <f>CODES!BM30</f>
      </c>
      <c r="BN40" s="78" t="str">
        <f>CODES!BN30</f>
      </c>
      <c r="BO40" s="78" t="str">
        <f>CODES!BO30</f>
      </c>
      <c r="BP40" s="78" t="str">
        <f>CODES!BP30</f>
      </c>
      <c r="BQ40" s="78" t="str">
        <f>CODES!BQ30</f>
      </c>
      <c r="BR40" s="78" t="str">
        <f>CODES!BR30</f>
      </c>
      <c r="BS40" s="78" t="str">
        <f>CODES!BS30</f>
      </c>
      <c r="BT40" s="78" t="str">
        <f>CODES!BT30</f>
      </c>
      <c r="BU40" s="78" t="str">
        <f>CODES!BU30</f>
      </c>
      <c r="BV40" s="78" t="str">
        <f>CODES!BV30</f>
      </c>
      <c r="BW40" s="78" t="str">
        <f>CODES!BW30</f>
      </c>
      <c r="BX40" s="78" t="str">
        <f>CODES!BX30</f>
      </c>
      <c r="BY40" s="78" t="str">
        <f>CODES!BY30</f>
      </c>
      <c r="BZ40" s="78" t="str">
        <f>CODES!BZ30</f>
      </c>
      <c r="CA40" s="78" t="str">
        <f>CODES!CA30</f>
      </c>
      <c r="CB40" s="78" t="str">
        <f>CODES!CB30</f>
      </c>
      <c r="CC40" s="78" t="str">
        <f>CODES!CC30</f>
      </c>
      <c r="CD40" s="78" t="str">
        <f>CODES!CD30</f>
      </c>
      <c r="CE40" s="78" t="str">
        <f>CODES!CE30</f>
      </c>
      <c r="CF40" s="78" t="str">
        <f>CODES!CF30</f>
      </c>
      <c r="CG40" s="78" t="str">
        <f>CODES!CG30</f>
      </c>
      <c r="CH40" s="78" t="str">
        <f>CODES!CH30</f>
      </c>
      <c r="CI40" s="78" t="str">
        <f>CODES!CI30</f>
      </c>
      <c r="CJ40" s="78" t="str">
        <f>CODES!CJ30</f>
      </c>
      <c r="CK40" s="78" t="str">
        <f>CODES!CK30</f>
      </c>
      <c r="CL40" s="78" t="str">
        <f>CODES!CL30</f>
      </c>
      <c r="CM40" s="78" t="str">
        <f>CODES!CM30</f>
      </c>
      <c r="CN40" s="78" t="str">
        <f>CODES!CN30</f>
      </c>
      <c r="CO40" s="78" t="str">
        <f>CODES!CO30</f>
      </c>
      <c r="CP40" s="78" t="str">
        <f>CODES!CP30</f>
      </c>
      <c r="CQ40" s="78" t="str">
        <f>CODES!CQ30</f>
      </c>
      <c r="CR40" s="78" t="str">
        <f>CODES!CR30</f>
      </c>
      <c r="CS40" s="78" t="str">
        <f>CODES!CS30</f>
      </c>
      <c r="CT40" s="78" t="str">
        <f>CODES!CT30</f>
      </c>
      <c r="CU40" s="78" t="str">
        <f>CODES!CU30</f>
      </c>
      <c r="CV40" s="78" t="str">
        <f>CODES!CV30</f>
      </c>
      <c r="CW40" s="78" t="str">
        <f>CODES!CW30</f>
      </c>
      <c r="CX40" s="78" t="str">
        <f>CODES!CX30</f>
      </c>
      <c r="CY40" s="78" t="str">
        <f>CODES!CY30</f>
      </c>
      <c r="CZ40" s="78" t="str">
        <f>CODES!CZ30</f>
      </c>
      <c r="DA40" s="78" t="str">
        <f>CODES!DA30</f>
      </c>
      <c r="DB40" s="78" t="str">
        <f>CODES!DB30</f>
      </c>
      <c r="DC40" s="78" t="str">
        <f>CODES!DC30</f>
      </c>
      <c r="DD40" s="78" t="str">
        <f>CODES!DD30</f>
      </c>
      <c r="DE40" s="78" t="str">
        <f>CODES!DE30</f>
      </c>
      <c r="DF40" s="78" t="str">
        <f>CODES!DF30</f>
      </c>
      <c r="DG40" s="78" t="str">
        <f>CODES!DG30</f>
      </c>
      <c r="DH40" s="78" t="str">
        <f>CODES!DH30</f>
      </c>
      <c r="DI40" s="78" t="str">
        <f>CODES!DI30</f>
      </c>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row>
    <row r="41" spans="1:271" x14ac:dyDescent="0.25">
      <c r="A41" s="9"/>
      <c r="B41" s="10"/>
      <c r="C41" s="11"/>
      <c r="D41" s="11"/>
      <c r="E41" s="12"/>
      <c r="F41" s="13"/>
      <c r="G41" s="14"/>
      <c r="H41" s="11"/>
      <c r="I41" s="11"/>
      <c r="J41" s="11"/>
      <c r="K41" s="12"/>
      <c r="L41" s="12"/>
      <c r="M41" s="12"/>
      <c r="N41" s="15"/>
      <c r="O41" s="15"/>
      <c r="P41" s="13"/>
      <c r="Q41" s="12"/>
      <c r="R41" s="15"/>
      <c r="S41" s="11"/>
      <c r="T41" s="11"/>
      <c r="U41" s="11"/>
      <c r="V41" s="15"/>
      <c r="W41" s="11"/>
      <c r="X41" s="11"/>
      <c r="Y41" s="13"/>
    </row>
    <row r="42" spans="1:271" x14ac:dyDescent="0.25">
      <c r="A42" s="9"/>
      <c r="B42" s="10"/>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row>
    <row r="43" spans="1:271" x14ac:dyDescent="0.25">
      <c r="A43" s="38" t="s">
        <v>203</v>
      </c>
      <c r="B43" s="10"/>
      <c r="C43" s="15"/>
      <c r="D43" s="13"/>
      <c r="E43" s="11"/>
      <c r="F43" s="15"/>
      <c r="G43" s="12"/>
      <c r="H43" s="13"/>
      <c r="I43"/>
      <c r="J43"/>
      <c r="K43"/>
      <c r="L43"/>
      <c r="M43"/>
      <c r="N43"/>
      <c r="O43"/>
      <c r="P43"/>
      <c r="Q43"/>
      <c r="R43"/>
      <c r="S43"/>
      <c r="T43"/>
      <c r="U43"/>
      <c r="V43"/>
      <c r="W43"/>
      <c r="X43"/>
      <c r="Y43"/>
    </row>
    <row r="44" spans="1:271" x14ac:dyDescent="0.25">
      <c r="A44" s="99" t="s">
        <v>134</v>
      </c>
      <c r="B44" s="99"/>
      <c r="C44" s="22" t="str">
        <f t="shared" ref="C44:BN45" si="0">C17</f>
      </c>
      <c r="D44" s="8" t="str">
        <f t="shared" si="0"/>
      </c>
      <c r="E44" s="22" t="str">
        <f t="shared" si="0"/>
      </c>
      <c r="F44" s="22" t="str">
        <f t="shared" si="0"/>
      </c>
      <c r="G44" s="8" t="str">
        <f t="shared" si="0"/>
      </c>
      <c r="H44" s="8" t="str">
        <f t="shared" si="0"/>
      </c>
      <c r="I44" s="22" t="str">
        <f t="shared" si="0"/>
      </c>
      <c r="J44" s="8" t="str">
        <f t="shared" si="0"/>
      </c>
      <c r="K44" s="22" t="str">
        <f t="shared" si="0"/>
      </c>
      <c r="L44" s="8" t="str">
        <f t="shared" si="0"/>
      </c>
      <c r="M44" s="22" t="str">
        <f t="shared" si="0"/>
      </c>
      <c r="N44" s="8" t="str">
        <f t="shared" si="0"/>
      </c>
      <c r="O44" s="22" t="str">
        <f t="shared" si="0"/>
      </c>
      <c r="P44" s="22" t="str">
        <f t="shared" si="0"/>
      </c>
      <c r="Q44" s="8" t="str">
        <f t="shared" si="0"/>
      </c>
      <c r="R44" s="22" t="str">
        <f t="shared" si="0"/>
      </c>
      <c r="S44" s="8" t="str">
        <f t="shared" si="0"/>
      </c>
      <c r="T44" s="22" t="str">
        <f t="shared" si="0"/>
      </c>
      <c r="U44" s="8" t="str">
        <f t="shared" si="0"/>
      </c>
      <c r="V44" s="22" t="str">
        <f t="shared" si="0"/>
      </c>
      <c r="W44" s="8" t="str">
        <f t="shared" si="0"/>
      </c>
      <c r="X44" s="8" t="str">
        <f t="shared" si="0"/>
      </c>
      <c r="Y44" s="22" t="str">
        <f t="shared" si="0"/>
      </c>
      <c r="Z44" s="22" t="str">
        <f t="shared" si="0"/>
      </c>
      <c r="AA44" s="8" t="str">
        <f t="shared" si="0"/>
      </c>
      <c r="AB44" s="22" t="str">
        <f t="shared" si="0"/>
      </c>
      <c r="AC44" s="8" t="str">
        <f t="shared" si="0"/>
      </c>
      <c r="AD44" s="22" t="str">
        <f t="shared" si="0"/>
      </c>
      <c r="AE44" s="8" t="str">
        <f t="shared" si="0"/>
      </c>
      <c r="AF44" s="22" t="str">
        <f t="shared" si="0"/>
      </c>
      <c r="AG44" s="8" t="str">
        <f t="shared" si="0"/>
      </c>
      <c r="AH44" s="22" t="str">
        <f t="shared" si="0"/>
      </c>
      <c r="AI44" s="22" t="str">
        <f t="shared" si="0"/>
      </c>
      <c r="AJ44" s="8" t="str">
        <f t="shared" si="0"/>
      </c>
      <c r="AK44" s="8" t="str">
        <f t="shared" si="0"/>
      </c>
      <c r="AL44" s="22" t="str">
        <f t="shared" si="0"/>
      </c>
      <c r="AM44" s="8" t="str">
        <f t="shared" si="0"/>
      </c>
      <c r="AN44" s="22" t="str">
        <f t="shared" si="0"/>
      </c>
      <c r="AO44" s="8" t="str">
        <f t="shared" si="0"/>
      </c>
      <c r="AP44" s="22" t="str">
        <f t="shared" si="0"/>
      </c>
      <c r="AQ44" s="8" t="str">
        <f t="shared" si="0"/>
      </c>
      <c r="AR44" s="22" t="str">
        <f t="shared" si="0"/>
      </c>
      <c r="AS44" s="22" t="str">
        <f t="shared" si="0"/>
      </c>
      <c r="AT44" s="22" t="str">
        <f t="shared" si="0"/>
      </c>
      <c r="AU44" s="8" t="str">
        <f t="shared" si="0"/>
      </c>
      <c r="AV44" s="8" t="str">
        <f t="shared" si="0"/>
      </c>
      <c r="AW44" s="22" t="str">
        <f t="shared" si="0"/>
      </c>
      <c r="AX44" s="22" t="str">
        <f t="shared" si="0"/>
      </c>
      <c r="AY44" s="8" t="str">
        <f t="shared" si="0"/>
      </c>
      <c r="AZ44" s="22" t="str">
        <f t="shared" si="0"/>
      </c>
      <c r="BA44" s="8" t="str">
        <f t="shared" si="0"/>
      </c>
      <c r="BB44" s="22" t="str">
        <f t="shared" si="0"/>
      </c>
      <c r="BC44" s="8" t="str">
        <f t="shared" si="0"/>
      </c>
      <c r="BD44" s="22" t="str">
        <f t="shared" si="0"/>
      </c>
      <c r="BE44" s="8" t="str">
        <f t="shared" si="0"/>
      </c>
      <c r="BF44" s="8" t="str">
        <f t="shared" si="0"/>
      </c>
      <c r="BG44" s="22" t="str">
        <f t="shared" si="0"/>
      </c>
      <c r="BH44" s="8" t="str">
        <f t="shared" si="0"/>
      </c>
      <c r="BI44" s="22" t="str">
        <f t="shared" si="0"/>
      </c>
      <c r="BJ44" s="22" t="str">
        <f t="shared" si="0"/>
      </c>
      <c r="BK44" s="8" t="str">
        <f t="shared" si="0"/>
      </c>
      <c r="BL44" s="8" t="str">
        <f t="shared" si="0"/>
      </c>
      <c r="BM44" s="22" t="str">
        <f t="shared" si="0"/>
      </c>
      <c r="BN44" s="8" t="str">
        <f t="shared" si="0"/>
      </c>
      <c r="BO44" s="8" t="str">
        <f t="shared" ref="BO44:DI45" si="1">BO17</f>
      </c>
      <c r="BP44" s="22" t="str">
        <f t="shared" si="1"/>
      </c>
      <c r="BQ44" s="22" t="str">
        <f t="shared" si="1"/>
      </c>
      <c r="BR44" s="22" t="str">
        <f t="shared" si="1"/>
      </c>
      <c r="BS44" s="8" t="str">
        <f t="shared" si="1"/>
      </c>
      <c r="BT44" s="22" t="str">
        <f t="shared" si="1"/>
      </c>
      <c r="BU44" s="22" t="str">
        <f t="shared" si="1"/>
      </c>
      <c r="BV44" s="8" t="str">
        <f t="shared" si="1"/>
      </c>
      <c r="BW44" s="8" t="str">
        <f t="shared" si="1"/>
      </c>
      <c r="BX44" s="22" t="str">
        <f t="shared" si="1"/>
      </c>
      <c r="BY44" s="22" t="str">
        <f t="shared" si="1"/>
      </c>
      <c r="BZ44" s="8" t="str">
        <f t="shared" si="1"/>
      </c>
      <c r="CA44" s="22" t="str">
        <f t="shared" si="1"/>
      </c>
      <c r="CB44" s="8" t="str">
        <f t="shared" si="1"/>
      </c>
      <c r="CC44" s="22" t="str">
        <f t="shared" si="1"/>
      </c>
      <c r="CD44" s="8" t="str">
        <f t="shared" si="1"/>
      </c>
      <c r="CE44" s="22" t="str">
        <f t="shared" si="1"/>
      </c>
      <c r="CF44" s="8" t="str">
        <f t="shared" si="1"/>
      </c>
      <c r="CG44" s="22" t="str">
        <f t="shared" si="1"/>
      </c>
      <c r="CH44" s="8" t="str">
        <f t="shared" si="1"/>
      </c>
      <c r="CI44" s="8" t="str">
        <f t="shared" si="1"/>
      </c>
      <c r="CJ44" s="22" t="str">
        <f t="shared" si="1"/>
      </c>
      <c r="CK44" s="8" t="str">
        <f t="shared" si="1"/>
      </c>
      <c r="CL44" s="22" t="str">
        <f t="shared" si="1"/>
      </c>
      <c r="CM44" s="8" t="str">
        <f t="shared" si="1"/>
      </c>
      <c r="CN44" s="22" t="str">
        <f t="shared" si="1"/>
      </c>
      <c r="CO44" s="22" t="str">
        <f t="shared" si="1"/>
      </c>
      <c r="CP44" s="8" t="str">
        <f t="shared" si="1"/>
      </c>
      <c r="CQ44" s="22" t="str">
        <f t="shared" si="1"/>
      </c>
      <c r="CR44" s="8" t="str">
        <f t="shared" si="1"/>
      </c>
      <c r="CS44" s="8" t="str">
        <f t="shared" si="1"/>
      </c>
      <c r="CT44" s="22" t="str">
        <f t="shared" si="1"/>
      </c>
      <c r="CU44" s="8" t="str">
        <f t="shared" si="1"/>
      </c>
      <c r="CV44" s="8" t="str">
        <f t="shared" si="1"/>
      </c>
      <c r="CW44" s="22" t="str">
        <f t="shared" si="1"/>
      </c>
      <c r="CX44" s="22" t="str">
        <f t="shared" si="1"/>
      </c>
      <c r="CY44" s="8" t="str">
        <f t="shared" si="1"/>
      </c>
      <c r="CZ44" s="22" t="str">
        <f t="shared" si="1"/>
      </c>
      <c r="DA44" s="8" t="str">
        <f t="shared" si="1"/>
      </c>
      <c r="DB44" s="8" t="str">
        <f t="shared" si="1"/>
      </c>
      <c r="DC44" s="22" t="str">
        <f t="shared" si="1"/>
      </c>
      <c r="DD44" s="22" t="str">
        <f t="shared" si="1"/>
      </c>
      <c r="DE44" s="8" t="str">
        <f t="shared" si="1"/>
      </c>
      <c r="DF44" s="8" t="str">
        <f t="shared" si="1"/>
      </c>
      <c r="DG44" s="22" t="str">
        <f t="shared" si="1"/>
      </c>
      <c r="DH44" s="8" t="str">
        <f t="shared" si="1"/>
      </c>
      <c r="DI44" s="22" t="str">
        <f t="shared" si="1"/>
      </c>
    </row>
    <row r="45" spans="1:271" x14ac:dyDescent="0.25">
      <c r="A45" s="23" t="s">
        <v>122</v>
      </c>
      <c r="B45" s="23" t="s">
        <v>123</v>
      </c>
      <c r="C45" s="22" t="str">
        <f t="shared" si="0"/>
      </c>
      <c r="D45" s="8" t="str">
        <f t="shared" si="0"/>
      </c>
      <c r="E45" s="22" t="str">
        <f t="shared" si="0"/>
      </c>
      <c r="F45" s="22" t="str">
        <f t="shared" si="0"/>
      </c>
      <c r="G45" s="8" t="str">
        <f t="shared" si="0"/>
      </c>
      <c r="H45" s="8" t="str">
        <f t="shared" si="0"/>
      </c>
      <c r="I45" s="22" t="str">
        <f t="shared" si="0"/>
      </c>
      <c r="J45" s="8" t="str">
        <f t="shared" si="0"/>
      </c>
      <c r="K45" s="22" t="str">
        <f t="shared" si="0"/>
      </c>
      <c r="L45" s="8" t="str">
        <f t="shared" si="0"/>
      </c>
      <c r="M45" s="22" t="str">
        <f t="shared" si="0"/>
      </c>
      <c r="N45" s="8" t="str">
        <f t="shared" si="0"/>
      </c>
      <c r="O45" s="22" t="str">
        <f t="shared" si="0"/>
      </c>
      <c r="P45" s="22" t="str">
        <f t="shared" si="0"/>
      </c>
      <c r="Q45" s="8" t="str">
        <f t="shared" si="0"/>
      </c>
      <c r="R45" s="22" t="str">
        <f t="shared" si="0"/>
      </c>
      <c r="S45" s="8" t="str">
        <f t="shared" si="0"/>
      </c>
      <c r="T45" s="22" t="str">
        <f t="shared" si="0"/>
      </c>
      <c r="U45" s="8" t="str">
        <f t="shared" si="0"/>
      </c>
      <c r="V45" s="22" t="str">
        <f t="shared" si="0"/>
      </c>
      <c r="W45" s="8" t="str">
        <f t="shared" si="0"/>
      </c>
      <c r="X45" s="8" t="str">
        <f t="shared" si="0"/>
      </c>
      <c r="Y45" s="22" t="str">
        <f t="shared" si="0"/>
      </c>
      <c r="Z45" s="22" t="str">
        <f t="shared" si="0"/>
      </c>
      <c r="AA45" s="8" t="str">
        <f t="shared" si="0"/>
      </c>
      <c r="AB45" s="22" t="str">
        <f t="shared" si="0"/>
      </c>
      <c r="AC45" s="8" t="str">
        <f t="shared" si="0"/>
      </c>
      <c r="AD45" s="22" t="str">
        <f t="shared" si="0"/>
      </c>
      <c r="AE45" s="8" t="str">
        <f t="shared" si="0"/>
      </c>
      <c r="AF45" s="22" t="str">
        <f t="shared" si="0"/>
      </c>
      <c r="AG45" s="8" t="str">
        <f t="shared" si="0"/>
      </c>
      <c r="AH45" s="22" t="str">
        <f t="shared" si="0"/>
      </c>
      <c r="AI45" s="22" t="str">
        <f t="shared" si="0"/>
      </c>
      <c r="AJ45" s="8" t="str">
        <f t="shared" si="0"/>
      </c>
      <c r="AK45" s="8" t="str">
        <f t="shared" si="0"/>
      </c>
      <c r="AL45" s="22" t="str">
        <f t="shared" si="0"/>
      </c>
      <c r="AM45" s="8" t="str">
        <f t="shared" si="0"/>
      </c>
      <c r="AN45" s="22" t="str">
        <f t="shared" si="0"/>
      </c>
      <c r="AO45" s="8" t="str">
        <f t="shared" si="0"/>
      </c>
      <c r="AP45" s="22" t="str">
        <f t="shared" si="0"/>
      </c>
      <c r="AQ45" s="8" t="str">
        <f t="shared" si="0"/>
      </c>
      <c r="AR45" s="22" t="str">
        <f t="shared" si="0"/>
      </c>
      <c r="AS45" s="22" t="str">
        <f t="shared" si="0"/>
      </c>
      <c r="AT45" s="22" t="str">
        <f t="shared" si="0"/>
      </c>
      <c r="AU45" s="8" t="str">
        <f t="shared" si="0"/>
      </c>
      <c r="AV45" s="8" t="str">
        <f t="shared" si="0"/>
      </c>
      <c r="AW45" s="22" t="str">
        <f t="shared" si="0"/>
      </c>
      <c r="AX45" s="22" t="str">
        <f t="shared" si="0"/>
      </c>
      <c r="AY45" s="8" t="str">
        <f t="shared" si="0"/>
      </c>
      <c r="AZ45" s="22" t="str">
        <f t="shared" si="0"/>
      </c>
      <c r="BA45" s="8" t="str">
        <f t="shared" si="0"/>
      </c>
      <c r="BB45" s="22" t="str">
        <f t="shared" si="0"/>
      </c>
      <c r="BC45" s="8" t="str">
        <f t="shared" si="0"/>
      </c>
      <c r="BD45" s="22" t="str">
        <f t="shared" si="0"/>
      </c>
      <c r="BE45" s="8" t="str">
        <f t="shared" si="0"/>
      </c>
      <c r="BF45" s="8" t="str">
        <f t="shared" si="0"/>
      </c>
      <c r="BG45" s="22" t="str">
        <f t="shared" si="0"/>
      </c>
      <c r="BH45" s="8" t="str">
        <f t="shared" si="0"/>
      </c>
      <c r="BI45" s="22" t="str">
        <f t="shared" si="0"/>
      </c>
      <c r="BJ45" s="22" t="str">
        <f t="shared" si="0"/>
      </c>
      <c r="BK45" s="8" t="str">
        <f t="shared" si="0"/>
      </c>
      <c r="BL45" s="8" t="str">
        <f t="shared" si="0"/>
      </c>
      <c r="BM45" s="22" t="str">
        <f t="shared" si="0"/>
      </c>
      <c r="BN45" s="8" t="str">
        <f t="shared" si="0"/>
      </c>
      <c r="BO45" s="8" t="str">
        <f t="shared" si="1"/>
      </c>
      <c r="BP45" s="22" t="str">
        <f t="shared" si="1"/>
      </c>
      <c r="BQ45" s="22" t="str">
        <f t="shared" si="1"/>
      </c>
      <c r="BR45" s="22" t="str">
        <f t="shared" si="1"/>
      </c>
      <c r="BS45" s="8" t="str">
        <f t="shared" si="1"/>
      </c>
      <c r="BT45" s="22" t="str">
        <f t="shared" si="1"/>
      </c>
      <c r="BU45" s="22" t="str">
        <f t="shared" si="1"/>
      </c>
      <c r="BV45" s="8" t="str">
        <f t="shared" si="1"/>
      </c>
      <c r="BW45" s="8" t="str">
        <f t="shared" si="1"/>
      </c>
      <c r="BX45" s="22" t="str">
        <f t="shared" si="1"/>
      </c>
      <c r="BY45" s="22" t="str">
        <f t="shared" si="1"/>
      </c>
      <c r="BZ45" s="8" t="str">
        <f t="shared" si="1"/>
      </c>
      <c r="CA45" s="22" t="str">
        <f t="shared" si="1"/>
      </c>
      <c r="CB45" s="8" t="str">
        <f t="shared" si="1"/>
      </c>
      <c r="CC45" s="22" t="str">
        <f t="shared" si="1"/>
      </c>
      <c r="CD45" s="8" t="str">
        <f t="shared" si="1"/>
      </c>
      <c r="CE45" s="22" t="str">
        <f t="shared" si="1"/>
      </c>
      <c r="CF45" s="8" t="str">
        <f t="shared" si="1"/>
      </c>
      <c r="CG45" s="22" t="str">
        <f t="shared" si="1"/>
      </c>
      <c r="CH45" s="8" t="str">
        <f t="shared" si="1"/>
      </c>
      <c r="CI45" s="8" t="str">
        <f t="shared" si="1"/>
      </c>
      <c r="CJ45" s="22" t="str">
        <f t="shared" si="1"/>
      </c>
      <c r="CK45" s="8" t="str">
        <f t="shared" si="1"/>
      </c>
      <c r="CL45" s="22" t="str">
        <f t="shared" si="1"/>
      </c>
      <c r="CM45" s="8" t="str">
        <f t="shared" si="1"/>
      </c>
      <c r="CN45" s="22" t="str">
        <f t="shared" si="1"/>
      </c>
      <c r="CO45" s="22" t="str">
        <f t="shared" si="1"/>
      </c>
      <c r="CP45" s="8" t="str">
        <f t="shared" si="1"/>
      </c>
      <c r="CQ45" s="22" t="str">
        <f t="shared" si="1"/>
      </c>
      <c r="CR45" s="8" t="str">
        <f t="shared" si="1"/>
      </c>
      <c r="CS45" s="8" t="str">
        <f t="shared" si="1"/>
      </c>
      <c r="CT45" s="22" t="str">
        <f t="shared" si="1"/>
      </c>
      <c r="CU45" s="8" t="str">
        <f t="shared" si="1"/>
      </c>
      <c r="CV45" s="8" t="str">
        <f t="shared" si="1"/>
      </c>
      <c r="CW45" s="22" t="str">
        <f t="shared" si="1"/>
      </c>
      <c r="CX45" s="22" t="str">
        <f t="shared" si="1"/>
      </c>
      <c r="CY45" s="8" t="str">
        <f t="shared" si="1"/>
      </c>
      <c r="CZ45" s="22" t="str">
        <f t="shared" si="1"/>
      </c>
      <c r="DA45" s="8" t="str">
        <f t="shared" si="1"/>
      </c>
      <c r="DB45" s="8" t="str">
        <f t="shared" si="1"/>
      </c>
      <c r="DC45" s="22" t="str">
        <f t="shared" si="1"/>
      </c>
      <c r="DD45" s="22" t="str">
        <f t="shared" si="1"/>
      </c>
      <c r="DE45" s="8" t="str">
        <f t="shared" si="1"/>
      </c>
      <c r="DF45" s="8" t="str">
        <f t="shared" si="1"/>
      </c>
      <c r="DG45" s="22" t="str">
        <f t="shared" si="1"/>
      </c>
      <c r="DH45" s="8" t="str">
        <f t="shared" si="1"/>
      </c>
      <c r="DI45" s="22" t="str">
        <f t="shared" si="1"/>
      </c>
    </row>
    <row r="46" spans="1:271" x14ac:dyDescent="0.25">
      <c r="A46" s="16" t="str">
        <f t="shared" ref="A46:B61" si="2">A19</f>
      </c>
      <c r="B46" s="16" t="str">
        <f t="shared" si="2"/>
      </c>
      <c r="C46" s="7" t="str">
        <f>IF(ISBLANK(C19),"NO DATA",IF(ISNUMBER(FIND(CODES!$A$12,C19)),CODES!$A$12,IF(OR(ISNUMBER(FIND(CODES!$A$10,C19)),ISNUMBER(FIND(CODES!$A$11,C19))),CODES!$A$13,IF(OR(C19&lt;C$39,ISNUMBER(C19)=FALSE),C$40,C19))))</f>
      </c>
      <c r="D46" s="7" t="str">
        <f>IF(ISBLANK(D19),"NO DATA",IF(ISNUMBER(FIND(CODES!$A$12,D19)),CODES!$A$12,IF(OR(ISNUMBER(FIND(CODES!$A$10,D19)),ISNUMBER(FIND(CODES!$A$11,D19))),CODES!$A$13,IF(OR(D19&lt;D$39,ISNUMBER(D19)=FALSE),D$40,D19))))</f>
      </c>
      <c r="E46" s="7" t="str">
        <f>IF(ISBLANK(E19),"NO DATA",IF(ISNUMBER(FIND(CODES!$A$12,E19)),CODES!$A$12,IF(OR(ISNUMBER(FIND(CODES!$A$10,E19)),ISNUMBER(FIND(CODES!$A$11,E19))),CODES!$A$13,IF(OR(E19&lt;E$39,ISNUMBER(E19)=FALSE),E$40,E19))))</f>
      </c>
      <c r="F46" s="7" t="str">
        <f>IF(ISBLANK(F19),"NO DATA",IF(ISNUMBER(FIND(CODES!$A$12,F19)),CODES!$A$12,IF(OR(ISNUMBER(FIND(CODES!$A$10,F19)),ISNUMBER(FIND(CODES!$A$11,F19))),CODES!$A$13,IF(OR(F19&lt;F$39,ISNUMBER(F19)=FALSE),F$40,F19))))</f>
      </c>
      <c r="G46" s="7" t="str">
        <f>IF(ISBLANK(G19),"NO DATA",IF(ISNUMBER(FIND(CODES!$A$12,G19)),CODES!$A$12,IF(OR(ISNUMBER(FIND(CODES!$A$10,G19)),ISNUMBER(FIND(CODES!$A$11,G19))),CODES!$A$13,IF(OR(G19&lt;G$39,ISNUMBER(G19)=FALSE),G$40,G19))))</f>
      </c>
      <c r="H46" s="7" t="str">
        <f>IF(ISBLANK(H19),"NO DATA",IF(ISNUMBER(FIND(CODES!$A$12,H19)),CODES!$A$12,IF(OR(ISNUMBER(FIND(CODES!$A$10,H19)),ISNUMBER(FIND(CODES!$A$11,H19))),CODES!$A$13,IF(OR(H19&lt;H$39,ISNUMBER(H19)=FALSE),H$40,H19))))</f>
      </c>
      <c r="I46" s="7" t="str">
        <f>IF(ISBLANK(I19),"NO DATA",IF(ISNUMBER(FIND(CODES!$A$12,I19)),CODES!$A$12,IF(OR(ISNUMBER(FIND(CODES!$A$10,I19)),ISNUMBER(FIND(CODES!$A$11,I19))),CODES!$A$13,IF(OR(I19&lt;I$39,ISNUMBER(I19)=FALSE),I$40,I19))))</f>
      </c>
      <c r="J46" s="7" t="str">
        <f>IF(ISBLANK(J19),"NO DATA",IF(ISNUMBER(FIND(CODES!$A$12,J19)),CODES!$A$12,IF(OR(ISNUMBER(FIND(CODES!$A$10,J19)),ISNUMBER(FIND(CODES!$A$11,J19))),CODES!$A$13,IF(OR(J19&lt;J$39,ISNUMBER(J19)=FALSE),J$40,J19))))</f>
      </c>
      <c r="K46" s="7" t="str">
        <f>IF(ISBLANK(K19),"NO DATA",IF(ISNUMBER(FIND(CODES!$A$12,K19)),CODES!$A$12,IF(OR(ISNUMBER(FIND(CODES!$A$10,K19)),ISNUMBER(FIND(CODES!$A$11,K19))),CODES!$A$13,IF(OR(K19&lt;K$39,ISNUMBER(K19)=FALSE),K$40,K19))))</f>
      </c>
      <c r="L46" s="7" t="str">
        <f>IF(ISBLANK(L19),"NO DATA",IF(ISNUMBER(FIND(CODES!$A$12,L19)),CODES!$A$12,IF(OR(ISNUMBER(FIND(CODES!$A$10,L19)),ISNUMBER(FIND(CODES!$A$11,L19))),CODES!$A$13,IF(OR(L19&lt;L$39,ISNUMBER(L19)=FALSE),L$40,L19))))</f>
      </c>
      <c r="M46" s="7" t="str">
        <f>IF(ISBLANK(M19),"NO DATA",IF(ISNUMBER(FIND(CODES!$A$12,M19)),CODES!$A$12,IF(OR(ISNUMBER(FIND(CODES!$A$10,M19)),ISNUMBER(FIND(CODES!$A$11,M19))),CODES!$A$13,IF(OR(M19&lt;M$39,ISNUMBER(M19)=FALSE),M$40,M19))))</f>
      </c>
      <c r="N46" s="7" t="str">
        <f>IF(ISBLANK(N19),"NO DATA",IF(ISNUMBER(FIND(CODES!$A$12,N19)),CODES!$A$12,IF(OR(ISNUMBER(FIND(CODES!$A$10,N19)),ISNUMBER(FIND(CODES!$A$11,N19))),CODES!$A$13,IF(OR(N19&lt;N$39,ISNUMBER(N19)=FALSE),N$40,N19))))</f>
      </c>
      <c r="O46" s="7" t="str">
        <f>IF(ISBLANK(O19),"NO DATA",IF(ISNUMBER(FIND(CODES!$A$12,O19)),CODES!$A$12,IF(OR(ISNUMBER(FIND(CODES!$A$10,O19)),ISNUMBER(FIND(CODES!$A$11,O19))),CODES!$A$13,IF(OR(O19&lt;O$39,ISNUMBER(O19)=FALSE),O$40,O19))))</f>
      </c>
      <c r="P46" s="7" t="str">
        <f>IF(ISBLANK(P19),"NO DATA",IF(ISNUMBER(FIND(CODES!$A$12,P19)),CODES!$A$12,IF(OR(ISNUMBER(FIND(CODES!$A$10,P19)),ISNUMBER(FIND(CODES!$A$11,P19))),CODES!$A$13,IF(OR(P19&lt;P$39,ISNUMBER(P19)=FALSE),P$40,P19))))</f>
      </c>
      <c r="Q46" s="7" t="str">
        <f>IF(ISBLANK(Q19),"NO DATA",IF(ISNUMBER(FIND(CODES!$A$12,Q19)),CODES!$A$12,IF(OR(ISNUMBER(FIND(CODES!$A$10,Q19)),ISNUMBER(FIND(CODES!$A$11,Q19))),CODES!$A$13,IF(OR(Q19&lt;Q$39,ISNUMBER(Q19)=FALSE),Q$40,Q19))))</f>
      </c>
      <c r="R46" s="7" t="str">
        <f>IF(ISBLANK(R19),"NO DATA",IF(ISNUMBER(FIND(CODES!$A$12,R19)),CODES!$A$12,IF(OR(ISNUMBER(FIND(CODES!$A$10,R19)),ISNUMBER(FIND(CODES!$A$11,R19))),CODES!$A$13,IF(OR(R19&lt;R$39,ISNUMBER(R19)=FALSE),R$40,R19))))</f>
      </c>
      <c r="S46" s="7" t="str">
        <f>IF(ISBLANK(S19),"NO DATA",IF(ISNUMBER(FIND(CODES!$A$12,S19)),CODES!$A$12,IF(OR(ISNUMBER(FIND(CODES!$A$10,S19)),ISNUMBER(FIND(CODES!$A$11,S19))),CODES!$A$13,IF(OR(S19&lt;S$39,ISNUMBER(S19)=FALSE),S$40,S19))))</f>
      </c>
      <c r="T46" s="7" t="str">
        <f>IF(ISBLANK(T19),"NO DATA",IF(ISNUMBER(FIND(CODES!$A$12,T19)),CODES!$A$12,IF(OR(ISNUMBER(FIND(CODES!$A$10,T19)),ISNUMBER(FIND(CODES!$A$11,T19))),CODES!$A$13,IF(OR(T19&lt;T$39,ISNUMBER(T19)=FALSE),T$40,T19))))</f>
      </c>
      <c r="U46" s="7" t="str">
        <f>IF(ISBLANK(U19),"NO DATA",IF(ISNUMBER(FIND(CODES!$A$12,U19)),CODES!$A$12,IF(OR(ISNUMBER(FIND(CODES!$A$10,U19)),ISNUMBER(FIND(CODES!$A$11,U19))),CODES!$A$13,IF(OR(U19&lt;U$39,ISNUMBER(U19)=FALSE),U$40,U19))))</f>
      </c>
      <c r="V46" s="7" t="str">
        <f>IF(ISBLANK(V19),"NO DATA",IF(ISNUMBER(FIND(CODES!$A$12,V19)),CODES!$A$12,IF(OR(ISNUMBER(FIND(CODES!$A$10,V19)),ISNUMBER(FIND(CODES!$A$11,V19))),CODES!$A$13,IF(OR(V19&lt;V$39,ISNUMBER(V19)=FALSE),V$40,V19))))</f>
      </c>
      <c r="W46" s="7" t="str">
        <f>IF(ISBLANK(W19),"NO DATA",IF(ISNUMBER(FIND(CODES!$A$12,W19)),CODES!$A$12,IF(OR(ISNUMBER(FIND(CODES!$A$10,W19)),ISNUMBER(FIND(CODES!$A$11,W19))),CODES!$A$13,IF(OR(W19&lt;W$39,ISNUMBER(W19)=FALSE),W$40,W19))))</f>
      </c>
      <c r="X46" s="7" t="str">
        <f>IF(ISBLANK(X19),"NO DATA",IF(ISNUMBER(FIND(CODES!$A$12,X19)),CODES!$A$12,IF(OR(ISNUMBER(FIND(CODES!$A$10,X19)),ISNUMBER(FIND(CODES!$A$11,X19))),CODES!$A$13,IF(OR(X19&lt;X$39,ISNUMBER(X19)=FALSE),X$40,X19))))</f>
      </c>
      <c r="Y46" s="7" t="str">
        <f>IF(ISBLANK(Y19),"NO DATA",IF(ISNUMBER(FIND(CODES!$A$12,Y19)),CODES!$A$12,IF(OR(ISNUMBER(FIND(CODES!$A$10,Y19)),ISNUMBER(FIND(CODES!$A$11,Y19))),CODES!$A$13,IF(OR(Y19&lt;Y$39,ISNUMBER(Y19)=FALSE),Y$40,Y19))))</f>
      </c>
      <c r="Z46" s="7" t="str">
        <f>IF(ISBLANK(Z19),"NO DATA",IF(ISNUMBER(FIND(CODES!$A$12,Z19)),CODES!$A$12,IF(OR(ISNUMBER(FIND(CODES!$A$10,Z19)),ISNUMBER(FIND(CODES!$A$11,Z19))),CODES!$A$13,IF(OR(Z19&lt;Z$39,ISNUMBER(Z19)=FALSE),Z$40,Z19))))</f>
      </c>
      <c r="AA46" s="7" t="str">
        <f>IF(ISBLANK(AA19),"NO DATA",IF(ISNUMBER(FIND(CODES!$A$12,AA19)),CODES!$A$12,IF(OR(ISNUMBER(FIND(CODES!$A$10,AA19)),ISNUMBER(FIND(CODES!$A$11,AA19))),CODES!$A$13,IF(OR(AA19&lt;AA$39,ISNUMBER(AA19)=FALSE),AA$40,AA19))))</f>
      </c>
      <c r="AB46" s="7" t="str">
        <f>IF(ISBLANK(AB19),"NO DATA",IF(ISNUMBER(FIND(CODES!$A$12,AB19)),CODES!$A$12,IF(OR(ISNUMBER(FIND(CODES!$A$10,AB19)),ISNUMBER(FIND(CODES!$A$11,AB19))),CODES!$A$13,IF(OR(AB19&lt;AB$39,ISNUMBER(AB19)=FALSE),AB$40,AB19))))</f>
      </c>
      <c r="AC46" s="7" t="str">
        <f>IF(ISBLANK(AC19),"NO DATA",IF(ISNUMBER(FIND(CODES!$A$12,AC19)),CODES!$A$12,IF(OR(ISNUMBER(FIND(CODES!$A$10,AC19)),ISNUMBER(FIND(CODES!$A$11,AC19))),CODES!$A$13,IF(OR(AC19&lt;AC$39,ISNUMBER(AC19)=FALSE),AC$40,AC19))))</f>
      </c>
      <c r="AD46" s="7" t="str">
        <f>IF(ISBLANK(AD19),"NO DATA",IF(ISNUMBER(FIND(CODES!$A$12,AD19)),CODES!$A$12,IF(OR(ISNUMBER(FIND(CODES!$A$10,AD19)),ISNUMBER(FIND(CODES!$A$11,AD19))),CODES!$A$13,IF(OR(AD19&lt;AD$39,ISNUMBER(AD19)=FALSE),AD$40,AD19))))</f>
      </c>
      <c r="AE46" s="7" t="str">
        <f>IF(ISBLANK(AE19),"NO DATA",IF(ISNUMBER(FIND(CODES!$A$12,AE19)),CODES!$A$12,IF(OR(ISNUMBER(FIND(CODES!$A$10,AE19)),ISNUMBER(FIND(CODES!$A$11,AE19))),CODES!$A$13,IF(OR(AE19&lt;AE$39,ISNUMBER(AE19)=FALSE),AE$40,AE19))))</f>
      </c>
      <c r="AF46" s="7" t="str">
        <f>IF(ISBLANK(AF19),"NO DATA",IF(ISNUMBER(FIND(CODES!$A$12,AF19)),CODES!$A$12,IF(OR(ISNUMBER(FIND(CODES!$A$10,AF19)),ISNUMBER(FIND(CODES!$A$11,AF19))),CODES!$A$13,IF(OR(AF19&lt;AF$39,ISNUMBER(AF19)=FALSE),AF$40,AF19))))</f>
      </c>
      <c r="AG46" s="7" t="str">
        <f>IF(ISBLANK(AG19),"NO DATA",IF(ISNUMBER(FIND(CODES!$A$12,AG19)),CODES!$A$12,IF(OR(ISNUMBER(FIND(CODES!$A$10,AG19)),ISNUMBER(FIND(CODES!$A$11,AG19))),CODES!$A$13,IF(OR(AG19&lt;AG$39,ISNUMBER(AG19)=FALSE),AG$40,AG19))))</f>
      </c>
      <c r="AH46" s="7" t="str">
        <f>IF(ISBLANK(AH19),"NO DATA",IF(ISNUMBER(FIND(CODES!$A$12,AH19)),CODES!$A$12,IF(OR(ISNUMBER(FIND(CODES!$A$10,AH19)),ISNUMBER(FIND(CODES!$A$11,AH19))),CODES!$A$13,IF(OR(AH19&lt;AH$39,ISNUMBER(AH19)=FALSE),AH$40,AH19))))</f>
      </c>
      <c r="AI46" s="7" t="str">
        <f>IF(ISBLANK(AI19),"NO DATA",IF(ISNUMBER(FIND(CODES!$A$12,AI19)),CODES!$A$12,IF(OR(ISNUMBER(FIND(CODES!$A$10,AI19)),ISNUMBER(FIND(CODES!$A$11,AI19))),CODES!$A$13,IF(OR(AI19&lt;AI$39,ISNUMBER(AI19)=FALSE),AI$40,AI19))))</f>
      </c>
      <c r="AJ46" s="7" t="str">
        <f>IF(ISBLANK(AJ19),"NO DATA",IF(ISNUMBER(FIND(CODES!$A$12,AJ19)),CODES!$A$12,IF(OR(ISNUMBER(FIND(CODES!$A$10,AJ19)),ISNUMBER(FIND(CODES!$A$11,AJ19))),CODES!$A$13,IF(OR(AJ19&lt;AJ$39,ISNUMBER(AJ19)=FALSE),AJ$40,AJ19))))</f>
      </c>
      <c r="AK46" s="7" t="str">
        <f>IF(ISBLANK(AK19),"NO DATA",IF(ISNUMBER(FIND(CODES!$A$12,AK19)),CODES!$A$12,IF(OR(ISNUMBER(FIND(CODES!$A$10,AK19)),ISNUMBER(FIND(CODES!$A$11,AK19))),CODES!$A$13,IF(OR(AK19&lt;AK$39,ISNUMBER(AK19)=FALSE),AK$40,AK19))))</f>
      </c>
      <c r="AL46" s="7" t="str">
        <f>IF(ISBLANK(AL19),"NO DATA",IF(ISNUMBER(FIND(CODES!$A$12,AL19)),CODES!$A$12,IF(OR(ISNUMBER(FIND(CODES!$A$10,AL19)),ISNUMBER(FIND(CODES!$A$11,AL19))),CODES!$A$13,IF(OR(AL19&lt;AL$39,ISNUMBER(AL19)=FALSE),AL$40,AL19))))</f>
      </c>
      <c r="AM46" s="7" t="str">
        <f>IF(ISBLANK(AM19),"NO DATA",IF(ISNUMBER(FIND(CODES!$A$12,AM19)),CODES!$A$12,IF(OR(ISNUMBER(FIND(CODES!$A$10,AM19)),ISNUMBER(FIND(CODES!$A$11,AM19))),CODES!$A$13,IF(OR(AM19&lt;AM$39,ISNUMBER(AM19)=FALSE),AM$40,AM19))))</f>
      </c>
      <c r="AN46" s="7" t="str">
        <f>IF(ISBLANK(AN19),"NO DATA",IF(ISNUMBER(FIND(CODES!$A$12,AN19)),CODES!$A$12,IF(OR(ISNUMBER(FIND(CODES!$A$10,AN19)),ISNUMBER(FIND(CODES!$A$11,AN19))),CODES!$A$13,IF(OR(AN19&lt;AN$39,ISNUMBER(AN19)=FALSE),AN$40,AN19))))</f>
      </c>
      <c r="AO46" s="7" t="str">
        <f>IF(ISBLANK(AO19),"NO DATA",IF(ISNUMBER(FIND(CODES!$A$12,AO19)),CODES!$A$12,IF(OR(ISNUMBER(FIND(CODES!$A$10,AO19)),ISNUMBER(FIND(CODES!$A$11,AO19))),CODES!$A$13,IF(OR(AO19&lt;AO$39,ISNUMBER(AO19)=FALSE),AO$40,AO19))))</f>
      </c>
      <c r="AP46" s="7" t="str">
        <f>IF(ISBLANK(AP19),"NO DATA",IF(ISNUMBER(FIND(CODES!$A$12,AP19)),CODES!$A$12,IF(OR(ISNUMBER(FIND(CODES!$A$10,AP19)),ISNUMBER(FIND(CODES!$A$11,AP19))),CODES!$A$13,IF(OR(AP19&lt;AP$39,ISNUMBER(AP19)=FALSE),AP$40,AP19))))</f>
      </c>
      <c r="AQ46" s="7" t="str">
        <f>IF(ISBLANK(AQ19),"NO DATA",IF(ISNUMBER(FIND(CODES!$A$12,AQ19)),CODES!$A$12,IF(OR(ISNUMBER(FIND(CODES!$A$10,AQ19)),ISNUMBER(FIND(CODES!$A$11,AQ19))),CODES!$A$13,IF(OR(AQ19&lt;AQ$39,ISNUMBER(AQ19)=FALSE),AQ$40,AQ19))))</f>
      </c>
      <c r="AR46" s="7" t="str">
        <f>IF(ISBLANK(AR19),"NO DATA",IF(ISNUMBER(FIND(CODES!$A$12,AR19)),CODES!$A$12,IF(OR(ISNUMBER(FIND(CODES!$A$10,AR19)),ISNUMBER(FIND(CODES!$A$11,AR19))),CODES!$A$13,IF(OR(AR19&lt;AR$39,ISNUMBER(AR19)=FALSE),AR$40,AR19))))</f>
      </c>
      <c r="AS46" s="7" t="str">
        <f>IF(ISBLANK(AS19),"NO DATA",IF(ISNUMBER(FIND(CODES!$A$12,AS19)),CODES!$A$12,IF(OR(ISNUMBER(FIND(CODES!$A$10,AS19)),ISNUMBER(FIND(CODES!$A$11,AS19))),CODES!$A$13,IF(OR(AS19&lt;AS$39,ISNUMBER(AS19)=FALSE),AS$40,AS19))))</f>
      </c>
      <c r="AT46" s="7" t="str">
        <f>IF(ISBLANK(AT19),"NO DATA",IF(ISNUMBER(FIND(CODES!$A$12,AT19)),CODES!$A$12,IF(OR(ISNUMBER(FIND(CODES!$A$10,AT19)),ISNUMBER(FIND(CODES!$A$11,AT19))),CODES!$A$13,IF(OR(AT19&lt;AT$39,ISNUMBER(AT19)=FALSE),AT$40,AT19))))</f>
      </c>
      <c r="AU46" s="7" t="str">
        <f>IF(ISBLANK(AU19),"NO DATA",IF(ISNUMBER(FIND(CODES!$A$12,AU19)),CODES!$A$12,IF(OR(ISNUMBER(FIND(CODES!$A$10,AU19)),ISNUMBER(FIND(CODES!$A$11,AU19))),CODES!$A$13,IF(OR(AU19&lt;AU$39,ISNUMBER(AU19)=FALSE),AU$40,AU19))))</f>
      </c>
      <c r="AV46" s="7" t="str">
        <f>IF(ISBLANK(AV19),"NO DATA",IF(ISNUMBER(FIND(CODES!$A$12,AV19)),CODES!$A$12,IF(OR(ISNUMBER(FIND(CODES!$A$10,AV19)),ISNUMBER(FIND(CODES!$A$11,AV19))),CODES!$A$13,IF(OR(AV19&lt;AV$39,ISNUMBER(AV19)=FALSE),AV$40,AV19))))</f>
      </c>
      <c r="AW46" s="7" t="str">
        <f>IF(ISBLANK(AW19),"NO DATA",IF(ISNUMBER(FIND(CODES!$A$12,AW19)),CODES!$A$12,IF(OR(ISNUMBER(FIND(CODES!$A$10,AW19)),ISNUMBER(FIND(CODES!$A$11,AW19))),CODES!$A$13,IF(OR(AW19&lt;AW$39,ISNUMBER(AW19)=FALSE),AW$40,AW19))))</f>
      </c>
      <c r="AX46" s="7" t="str">
        <f>IF(ISBLANK(AX19),"NO DATA",IF(ISNUMBER(FIND(CODES!$A$12,AX19)),CODES!$A$12,IF(OR(ISNUMBER(FIND(CODES!$A$10,AX19)),ISNUMBER(FIND(CODES!$A$11,AX19))),CODES!$A$13,IF(OR(AX19&lt;AX$39,ISNUMBER(AX19)=FALSE),AX$40,AX19))))</f>
      </c>
      <c r="AY46" s="7" t="str">
        <f>IF(ISBLANK(AY19),"NO DATA",IF(ISNUMBER(FIND(CODES!$A$12,AY19)),CODES!$A$12,IF(OR(ISNUMBER(FIND(CODES!$A$10,AY19)),ISNUMBER(FIND(CODES!$A$11,AY19))),CODES!$A$13,IF(OR(AY19&lt;AY$39,ISNUMBER(AY19)=FALSE),AY$40,AY19))))</f>
      </c>
      <c r="AZ46" s="7" t="str">
        <f>IF(ISBLANK(AZ19),"NO DATA",IF(ISNUMBER(FIND(CODES!$A$12,AZ19)),CODES!$A$12,IF(OR(ISNUMBER(FIND(CODES!$A$10,AZ19)),ISNUMBER(FIND(CODES!$A$11,AZ19))),CODES!$A$13,IF(OR(AZ19&lt;AZ$39,ISNUMBER(AZ19)=FALSE),AZ$40,AZ19))))</f>
      </c>
      <c r="BA46" s="7" t="str">
        <f>IF(ISBLANK(BA19),"NO DATA",IF(ISNUMBER(FIND(CODES!$A$12,BA19)),CODES!$A$12,IF(OR(ISNUMBER(FIND(CODES!$A$10,BA19)),ISNUMBER(FIND(CODES!$A$11,BA19))),CODES!$A$13,IF(OR(BA19&lt;BA$39,ISNUMBER(BA19)=FALSE),BA$40,BA19))))</f>
      </c>
      <c r="BB46" s="7" t="str">
        <f>IF(ISBLANK(BB19),"NO DATA",IF(ISNUMBER(FIND(CODES!$A$12,BB19)),CODES!$A$12,IF(OR(ISNUMBER(FIND(CODES!$A$10,BB19)),ISNUMBER(FIND(CODES!$A$11,BB19))),CODES!$A$13,IF(OR(BB19&lt;BB$39,ISNUMBER(BB19)=FALSE),BB$40,BB19))))</f>
      </c>
      <c r="BC46" s="7" t="str">
        <f>IF(ISBLANK(BC19),"NO DATA",IF(ISNUMBER(FIND(CODES!$A$12,BC19)),CODES!$A$12,IF(OR(ISNUMBER(FIND(CODES!$A$10,BC19)),ISNUMBER(FIND(CODES!$A$11,BC19))),CODES!$A$13,IF(OR(BC19&lt;BC$39,ISNUMBER(BC19)=FALSE),BC$40,BC19))))</f>
      </c>
      <c r="BD46" s="7" t="str">
        <f>IF(ISBLANK(BD19),"NO DATA",IF(ISNUMBER(FIND(CODES!$A$12,BD19)),CODES!$A$12,IF(OR(ISNUMBER(FIND(CODES!$A$10,BD19)),ISNUMBER(FIND(CODES!$A$11,BD19))),CODES!$A$13,IF(OR(BD19&lt;BD$39,ISNUMBER(BD19)=FALSE),BD$40,BD19))))</f>
      </c>
      <c r="BE46" s="7" t="str">
        <f>IF(ISBLANK(BE19),"NO DATA",IF(ISNUMBER(FIND(CODES!$A$12,BE19)),CODES!$A$12,IF(OR(ISNUMBER(FIND(CODES!$A$10,BE19)),ISNUMBER(FIND(CODES!$A$11,BE19))),CODES!$A$13,IF(OR(BE19&lt;BE$39,ISNUMBER(BE19)=FALSE),BE$40,BE19))))</f>
      </c>
      <c r="BF46" s="7" t="str">
        <f>IF(ISBLANK(BF19),"NO DATA",IF(ISNUMBER(FIND(CODES!$A$12,BF19)),CODES!$A$12,IF(OR(ISNUMBER(FIND(CODES!$A$10,BF19)),ISNUMBER(FIND(CODES!$A$11,BF19))),CODES!$A$13,IF(OR(BF19&lt;BF$39,ISNUMBER(BF19)=FALSE),BF$40,BF19))))</f>
      </c>
      <c r="BG46" s="7" t="str">
        <f>IF(ISBLANK(BG19),"NO DATA",IF(ISNUMBER(FIND(CODES!$A$12,BG19)),CODES!$A$12,IF(OR(ISNUMBER(FIND(CODES!$A$10,BG19)),ISNUMBER(FIND(CODES!$A$11,BG19))),CODES!$A$13,IF(OR(BG19&lt;BG$39,ISNUMBER(BG19)=FALSE),BG$40,BG19))))</f>
      </c>
      <c r="BH46" s="7" t="str">
        <f>IF(ISBLANK(BH19),"NO DATA",IF(ISNUMBER(FIND(CODES!$A$12,BH19)),CODES!$A$12,IF(OR(ISNUMBER(FIND(CODES!$A$10,BH19)),ISNUMBER(FIND(CODES!$A$11,BH19))),CODES!$A$13,IF(OR(BH19&lt;BH$39,ISNUMBER(BH19)=FALSE),BH$40,BH19))))</f>
      </c>
      <c r="BI46" s="7" t="str">
        <f>IF(ISBLANK(BI19),"NO DATA",IF(ISNUMBER(FIND(CODES!$A$12,BI19)),CODES!$A$12,IF(OR(ISNUMBER(FIND(CODES!$A$10,BI19)),ISNUMBER(FIND(CODES!$A$11,BI19))),CODES!$A$13,IF(OR(BI19&lt;BI$39,ISNUMBER(BI19)=FALSE),BI$40,BI19))))</f>
      </c>
      <c r="BJ46" s="7" t="str">
        <f>IF(ISBLANK(BJ19),"NO DATA",IF(ISNUMBER(FIND(CODES!$A$12,BJ19)),CODES!$A$12,IF(OR(ISNUMBER(FIND(CODES!$A$10,BJ19)),ISNUMBER(FIND(CODES!$A$11,BJ19))),CODES!$A$13,IF(OR(BJ19&lt;BJ$39,ISNUMBER(BJ19)=FALSE),BJ$40,BJ19))))</f>
      </c>
      <c r="BK46" s="7" t="str">
        <f>IF(ISBLANK(BK19),"NO DATA",IF(ISNUMBER(FIND(CODES!$A$12,BK19)),CODES!$A$12,IF(OR(ISNUMBER(FIND(CODES!$A$10,BK19)),ISNUMBER(FIND(CODES!$A$11,BK19))),CODES!$A$13,IF(OR(BK19&lt;BK$39,ISNUMBER(BK19)=FALSE),BK$40,BK19))))</f>
      </c>
      <c r="BL46" s="7" t="str">
        <f>IF(ISBLANK(BL19),"NO DATA",IF(ISNUMBER(FIND(CODES!$A$12,BL19)),CODES!$A$12,IF(OR(ISNUMBER(FIND(CODES!$A$10,BL19)),ISNUMBER(FIND(CODES!$A$11,BL19))),CODES!$A$13,IF(OR(BL19&lt;BL$39,ISNUMBER(BL19)=FALSE),BL$40,BL19))))</f>
      </c>
      <c r="BM46" s="7" t="str">
        <f>IF(ISBLANK(BM19),"NO DATA",IF(ISNUMBER(FIND(CODES!$A$12,BM19)),CODES!$A$12,IF(OR(ISNUMBER(FIND(CODES!$A$10,BM19)),ISNUMBER(FIND(CODES!$A$11,BM19))),CODES!$A$13,IF(OR(BM19&lt;BM$39,ISNUMBER(BM19)=FALSE),BM$40,BM19))))</f>
      </c>
      <c r="BN46" s="7" t="str">
        <f>IF(ISBLANK(BN19),"NO DATA",IF(ISNUMBER(FIND(CODES!$A$12,BN19)),CODES!$A$12,IF(OR(ISNUMBER(FIND(CODES!$A$10,BN19)),ISNUMBER(FIND(CODES!$A$11,BN19))),CODES!$A$13,IF(OR(BN19&lt;BN$39,ISNUMBER(BN19)=FALSE),BN$40,BN19))))</f>
      </c>
      <c r="BO46" s="7" t="str">
        <f>IF(ISBLANK(BO19),"NO DATA",IF(ISNUMBER(FIND(CODES!$A$12,BO19)),CODES!$A$12,IF(OR(ISNUMBER(FIND(CODES!$A$10,BO19)),ISNUMBER(FIND(CODES!$A$11,BO19))),CODES!$A$13,IF(OR(BO19&lt;BO$39,ISNUMBER(BO19)=FALSE),BO$40,BO19))))</f>
      </c>
      <c r="BP46" s="7" t="str">
        <f>IF(ISBLANK(BP19),"NO DATA",IF(ISNUMBER(FIND(CODES!$A$12,BP19)),CODES!$A$12,IF(OR(ISNUMBER(FIND(CODES!$A$10,BP19)),ISNUMBER(FIND(CODES!$A$11,BP19))),CODES!$A$13,IF(OR(BP19&lt;BP$39,ISNUMBER(BP19)=FALSE),BP$40,BP19))))</f>
      </c>
      <c r="BQ46" s="7" t="str">
        <f>IF(ISBLANK(BQ19),"NO DATA",IF(ISNUMBER(FIND(CODES!$A$12,BQ19)),CODES!$A$12,IF(OR(ISNUMBER(FIND(CODES!$A$10,BQ19)),ISNUMBER(FIND(CODES!$A$11,BQ19))),CODES!$A$13,IF(OR(BQ19&lt;BQ$39,ISNUMBER(BQ19)=FALSE),BQ$40,BQ19))))</f>
      </c>
      <c r="BR46" s="7" t="str">
        <f>IF(ISBLANK(BR19),"NO DATA",IF(ISNUMBER(FIND(CODES!$A$12,BR19)),CODES!$A$12,IF(OR(ISNUMBER(FIND(CODES!$A$10,BR19)),ISNUMBER(FIND(CODES!$A$11,BR19))),CODES!$A$13,IF(OR(BR19&lt;BR$39,ISNUMBER(BR19)=FALSE),BR$40,BR19))))</f>
      </c>
      <c r="BS46" s="7" t="str">
        <f>IF(ISBLANK(BS19),"NO DATA",IF(ISNUMBER(FIND(CODES!$A$12,BS19)),CODES!$A$12,IF(OR(ISNUMBER(FIND(CODES!$A$10,BS19)),ISNUMBER(FIND(CODES!$A$11,BS19))),CODES!$A$13,IF(OR(BS19&lt;BS$39,ISNUMBER(BS19)=FALSE),BS$40,BS19))))</f>
      </c>
      <c r="BT46" s="7" t="str">
        <f>IF(ISBLANK(BT19),"NO DATA",IF(ISNUMBER(FIND(CODES!$A$12,BT19)),CODES!$A$12,IF(OR(ISNUMBER(FIND(CODES!$A$10,BT19)),ISNUMBER(FIND(CODES!$A$11,BT19))),CODES!$A$13,IF(OR(BT19&lt;BT$39,ISNUMBER(BT19)=FALSE),BT$40,BT19))))</f>
      </c>
      <c r="BU46" s="7" t="str">
        <f>IF(ISBLANK(BU19),"NO DATA",IF(ISNUMBER(FIND(CODES!$A$12,BU19)),CODES!$A$12,IF(OR(ISNUMBER(FIND(CODES!$A$10,BU19)),ISNUMBER(FIND(CODES!$A$11,BU19))),CODES!$A$13,IF(OR(BU19&lt;BU$39,ISNUMBER(BU19)=FALSE),BU$40,BU19))))</f>
      </c>
      <c r="BV46" s="7" t="str">
        <f>IF(ISBLANK(BV19),"NO DATA",IF(ISNUMBER(FIND(CODES!$A$12,BV19)),CODES!$A$12,IF(OR(ISNUMBER(FIND(CODES!$A$10,BV19)),ISNUMBER(FIND(CODES!$A$11,BV19))),CODES!$A$13,IF(OR(BV19&lt;BV$39,ISNUMBER(BV19)=FALSE),BV$40,BV19))))</f>
      </c>
      <c r="BW46" s="7" t="str">
        <f>IF(ISBLANK(BW19),"NO DATA",IF(ISNUMBER(FIND(CODES!$A$12,BW19)),CODES!$A$12,IF(OR(ISNUMBER(FIND(CODES!$A$10,BW19)),ISNUMBER(FIND(CODES!$A$11,BW19))),CODES!$A$13,IF(OR(BW19&lt;BW$39,ISNUMBER(BW19)=FALSE),BW$40,BW19))))</f>
      </c>
      <c r="BX46" s="7" t="str">
        <f>IF(ISBLANK(BX19),"NO DATA",IF(ISNUMBER(FIND(CODES!$A$12,BX19)),CODES!$A$12,IF(OR(ISNUMBER(FIND(CODES!$A$10,BX19)),ISNUMBER(FIND(CODES!$A$11,BX19))),CODES!$A$13,IF(OR(BX19&lt;BX$39,ISNUMBER(BX19)=FALSE),BX$40,BX19))))</f>
      </c>
      <c r="BY46" s="7" t="str">
        <f>IF(ISBLANK(BY19),"NO DATA",IF(ISNUMBER(FIND(CODES!$A$12,BY19)),CODES!$A$12,IF(OR(ISNUMBER(FIND(CODES!$A$10,BY19)),ISNUMBER(FIND(CODES!$A$11,BY19))),CODES!$A$13,IF(OR(BY19&lt;BY$39,ISNUMBER(BY19)=FALSE),BY$40,BY19))))</f>
      </c>
      <c r="BZ46" s="7" t="str">
        <f>IF(ISBLANK(BZ19),"NO DATA",IF(ISNUMBER(FIND(CODES!$A$12,BZ19)),CODES!$A$12,IF(OR(ISNUMBER(FIND(CODES!$A$10,BZ19)),ISNUMBER(FIND(CODES!$A$11,BZ19))),CODES!$A$13,IF(OR(BZ19&lt;BZ$39,ISNUMBER(BZ19)=FALSE),BZ$40,BZ19))))</f>
      </c>
      <c r="CA46" s="7" t="str">
        <f>IF(ISBLANK(CA19),"NO DATA",IF(ISNUMBER(FIND(CODES!$A$12,CA19)),CODES!$A$12,IF(OR(ISNUMBER(FIND(CODES!$A$10,CA19)),ISNUMBER(FIND(CODES!$A$11,CA19))),CODES!$A$13,IF(OR(CA19&lt;CA$39,ISNUMBER(CA19)=FALSE),CA$40,CA19))))</f>
      </c>
      <c r="CB46" s="7" t="str">
        <f>IF(ISBLANK(CB19),"NO DATA",IF(ISNUMBER(FIND(CODES!$A$12,CB19)),CODES!$A$12,IF(OR(ISNUMBER(FIND(CODES!$A$10,CB19)),ISNUMBER(FIND(CODES!$A$11,CB19))),CODES!$A$13,IF(OR(CB19&lt;CB$39,ISNUMBER(CB19)=FALSE),CB$40,CB19))))</f>
      </c>
      <c r="CC46" s="7" t="str">
        <f>IF(ISBLANK(CC19),"NO DATA",IF(ISNUMBER(FIND(CODES!$A$12,CC19)),CODES!$A$12,IF(OR(ISNUMBER(FIND(CODES!$A$10,CC19)),ISNUMBER(FIND(CODES!$A$11,CC19))),CODES!$A$13,IF(OR(CC19&lt;CC$39,ISNUMBER(CC19)=FALSE),CC$40,CC19))))</f>
      </c>
      <c r="CD46" s="7" t="str">
        <f>IF(ISBLANK(CD19),"NO DATA",IF(ISNUMBER(FIND(CODES!$A$12,CD19)),CODES!$A$12,IF(OR(ISNUMBER(FIND(CODES!$A$10,CD19)),ISNUMBER(FIND(CODES!$A$11,CD19))),CODES!$A$13,IF(OR(CD19&lt;CD$39,ISNUMBER(CD19)=FALSE),CD$40,CD19))))</f>
      </c>
      <c r="CE46" s="7" t="str">
        <f>IF(ISBLANK(CE19),"NO DATA",IF(ISNUMBER(FIND(CODES!$A$12,CE19)),CODES!$A$12,IF(OR(ISNUMBER(FIND(CODES!$A$10,CE19)),ISNUMBER(FIND(CODES!$A$11,CE19))),CODES!$A$13,IF(OR(CE19&lt;CE$39,ISNUMBER(CE19)=FALSE),CE$40,CE19))))</f>
      </c>
      <c r="CF46" s="7" t="str">
        <f>IF(ISBLANK(CF19),"NO DATA",IF(ISNUMBER(FIND(CODES!$A$12,CF19)),CODES!$A$12,IF(OR(ISNUMBER(FIND(CODES!$A$10,CF19)),ISNUMBER(FIND(CODES!$A$11,CF19))),CODES!$A$13,IF(OR(CF19&lt;CF$39,ISNUMBER(CF19)=FALSE),CF$40,CF19))))</f>
      </c>
      <c r="CG46" s="7" t="str">
        <f>IF(ISBLANK(CG19),"NO DATA",IF(ISNUMBER(FIND(CODES!$A$12,CG19)),CODES!$A$12,IF(OR(ISNUMBER(FIND(CODES!$A$10,CG19)),ISNUMBER(FIND(CODES!$A$11,CG19))),CODES!$A$13,IF(OR(CG19&lt;CG$39,ISNUMBER(CG19)=FALSE),CG$40,CG19))))</f>
      </c>
      <c r="CH46" s="7" t="str">
        <f>IF(ISBLANK(CH19),"NO DATA",IF(ISNUMBER(FIND(CODES!$A$12,CH19)),CODES!$A$12,IF(OR(ISNUMBER(FIND(CODES!$A$10,CH19)),ISNUMBER(FIND(CODES!$A$11,CH19))),CODES!$A$13,IF(OR(CH19&lt;CH$39,ISNUMBER(CH19)=FALSE),CH$40,CH19))))</f>
      </c>
      <c r="CI46" s="7" t="str">
        <f>IF(ISBLANK(CI19),"NO DATA",IF(ISNUMBER(FIND(CODES!$A$12,CI19)),CODES!$A$12,IF(OR(ISNUMBER(FIND(CODES!$A$10,CI19)),ISNUMBER(FIND(CODES!$A$11,CI19))),CODES!$A$13,IF(OR(CI19&lt;CI$39,ISNUMBER(CI19)=FALSE),CI$40,CI19))))</f>
      </c>
      <c r="CJ46" s="7" t="str">
        <f>IF(ISBLANK(CJ19),"NO DATA",IF(ISNUMBER(FIND(CODES!$A$12,CJ19)),CODES!$A$12,IF(OR(ISNUMBER(FIND(CODES!$A$10,CJ19)),ISNUMBER(FIND(CODES!$A$11,CJ19))),CODES!$A$13,IF(OR(CJ19&lt;CJ$39,ISNUMBER(CJ19)=FALSE),CJ$40,CJ19))))</f>
      </c>
      <c r="CK46" s="7" t="str">
        <f>IF(ISBLANK(CK19),"NO DATA",IF(ISNUMBER(FIND(CODES!$A$12,CK19)),CODES!$A$12,IF(OR(ISNUMBER(FIND(CODES!$A$10,CK19)),ISNUMBER(FIND(CODES!$A$11,CK19))),CODES!$A$13,IF(OR(CK19&lt;CK$39,ISNUMBER(CK19)=FALSE),CK$40,CK19))))</f>
      </c>
      <c r="CL46" s="7" t="str">
        <f>IF(ISBLANK(CL19),"NO DATA",IF(ISNUMBER(FIND(CODES!$A$12,CL19)),CODES!$A$12,IF(OR(ISNUMBER(FIND(CODES!$A$10,CL19)),ISNUMBER(FIND(CODES!$A$11,CL19))),CODES!$A$13,IF(OR(CL19&lt;CL$39,ISNUMBER(CL19)=FALSE),CL$40,CL19))))</f>
      </c>
      <c r="CM46" s="7" t="str">
        <f>IF(ISBLANK(CM19),"NO DATA",IF(ISNUMBER(FIND(CODES!$A$12,CM19)),CODES!$A$12,IF(OR(ISNUMBER(FIND(CODES!$A$10,CM19)),ISNUMBER(FIND(CODES!$A$11,CM19))),CODES!$A$13,IF(OR(CM19&lt;CM$39,ISNUMBER(CM19)=FALSE),CM$40,CM19))))</f>
      </c>
      <c r="CN46" s="7" t="str">
        <f>IF(ISBLANK(CN19),"NO DATA",IF(ISNUMBER(FIND(CODES!$A$12,CN19)),CODES!$A$12,IF(OR(ISNUMBER(FIND(CODES!$A$10,CN19)),ISNUMBER(FIND(CODES!$A$11,CN19))),CODES!$A$13,IF(OR(CN19&lt;CN$39,ISNUMBER(CN19)=FALSE),CN$40,CN19))))</f>
      </c>
      <c r="CO46" s="7" t="str">
        <f>IF(ISBLANK(CO19),"NO DATA",IF(ISNUMBER(FIND(CODES!$A$12,CO19)),CODES!$A$12,IF(OR(ISNUMBER(FIND(CODES!$A$10,CO19)),ISNUMBER(FIND(CODES!$A$11,CO19))),CODES!$A$13,IF(OR(CO19&lt;CO$39,ISNUMBER(CO19)=FALSE),CO$40,CO19))))</f>
      </c>
      <c r="CP46" s="7" t="str">
        <f>IF(ISBLANK(CP19),"NO DATA",IF(ISNUMBER(FIND(CODES!$A$12,CP19)),CODES!$A$12,IF(OR(ISNUMBER(FIND(CODES!$A$10,CP19)),ISNUMBER(FIND(CODES!$A$11,CP19))),CODES!$A$13,IF(OR(CP19&lt;CP$39,ISNUMBER(CP19)=FALSE),CP$40,CP19))))</f>
      </c>
      <c r="CQ46" s="7" t="str">
        <f>IF(ISBLANK(CQ19),"NO DATA",IF(ISNUMBER(FIND(CODES!$A$12,CQ19)),CODES!$A$12,IF(OR(ISNUMBER(FIND(CODES!$A$10,CQ19)),ISNUMBER(FIND(CODES!$A$11,CQ19))),CODES!$A$13,IF(OR(CQ19&lt;CQ$39,ISNUMBER(CQ19)=FALSE),CQ$40,CQ19))))</f>
      </c>
      <c r="CR46" s="7" t="str">
        <f>IF(ISBLANK(CR19),"NO DATA",IF(ISNUMBER(FIND(CODES!$A$12,CR19)),CODES!$A$12,IF(OR(ISNUMBER(FIND(CODES!$A$10,CR19)),ISNUMBER(FIND(CODES!$A$11,CR19))),CODES!$A$13,IF(OR(CR19&lt;CR$39,ISNUMBER(CR19)=FALSE),CR$40,CR19))))</f>
      </c>
      <c r="CS46" s="7" t="str">
        <f>IF(ISBLANK(CS19),"NO DATA",IF(ISNUMBER(FIND(CODES!$A$12,CS19)),CODES!$A$12,IF(OR(ISNUMBER(FIND(CODES!$A$10,CS19)),ISNUMBER(FIND(CODES!$A$11,CS19))),CODES!$A$13,IF(OR(CS19&lt;CS$39,ISNUMBER(CS19)=FALSE),CS$40,CS19))))</f>
      </c>
      <c r="CT46" s="7" t="str">
        <f>IF(ISBLANK(CT19),"NO DATA",IF(ISNUMBER(FIND(CODES!$A$12,CT19)),CODES!$A$12,IF(OR(ISNUMBER(FIND(CODES!$A$10,CT19)),ISNUMBER(FIND(CODES!$A$11,CT19))),CODES!$A$13,IF(OR(CT19&lt;CT$39,ISNUMBER(CT19)=FALSE),CT$40,CT19))))</f>
      </c>
      <c r="CU46" s="7" t="str">
        <f>IF(ISBLANK(CU19),"NO DATA",IF(ISNUMBER(FIND(CODES!$A$12,CU19)),CODES!$A$12,IF(OR(ISNUMBER(FIND(CODES!$A$10,CU19)),ISNUMBER(FIND(CODES!$A$11,CU19))),CODES!$A$13,IF(OR(CU19&lt;CU$39,ISNUMBER(CU19)=FALSE),CU$40,CU19))))</f>
      </c>
      <c r="CV46" s="7" t="str">
        <f>IF(ISBLANK(CV19),"NO DATA",IF(ISNUMBER(FIND(CODES!$A$12,CV19)),CODES!$A$12,IF(OR(ISNUMBER(FIND(CODES!$A$10,CV19)),ISNUMBER(FIND(CODES!$A$11,CV19))),CODES!$A$13,IF(OR(CV19&lt;CV$39,ISNUMBER(CV19)=FALSE),CV$40,CV19))))</f>
      </c>
      <c r="CW46" s="7" t="str">
        <f>IF(ISBLANK(CW19),"NO DATA",IF(ISNUMBER(FIND(CODES!$A$12,CW19)),CODES!$A$12,IF(OR(ISNUMBER(FIND(CODES!$A$10,CW19)),ISNUMBER(FIND(CODES!$A$11,CW19))),CODES!$A$13,IF(OR(CW19&lt;CW$39,ISNUMBER(CW19)=FALSE),CW$40,CW19))))</f>
      </c>
      <c r="CX46" s="7" t="str">
        <f>IF(ISBLANK(CX19),"NO DATA",IF(ISNUMBER(FIND(CODES!$A$12,CX19)),CODES!$A$12,IF(OR(ISNUMBER(FIND(CODES!$A$10,CX19)),ISNUMBER(FIND(CODES!$A$11,CX19))),CODES!$A$13,IF(OR(CX19&lt;CX$39,ISNUMBER(CX19)=FALSE),CX$40,CX19))))</f>
      </c>
      <c r="CY46" s="7" t="str">
        <f>IF(ISBLANK(CY19),"NO DATA",IF(ISNUMBER(FIND(CODES!$A$12,CY19)),CODES!$A$12,IF(OR(ISNUMBER(FIND(CODES!$A$10,CY19)),ISNUMBER(FIND(CODES!$A$11,CY19))),CODES!$A$13,IF(OR(CY19&lt;CY$39,ISNUMBER(CY19)=FALSE),CY$40,CY19))))</f>
      </c>
      <c r="CZ46" s="7" t="str">
        <f>IF(ISBLANK(CZ19),"NO DATA",IF(ISNUMBER(FIND(CODES!$A$12,CZ19)),CODES!$A$12,IF(OR(ISNUMBER(FIND(CODES!$A$10,CZ19)),ISNUMBER(FIND(CODES!$A$11,CZ19))),CODES!$A$13,IF(OR(CZ19&lt;CZ$39,ISNUMBER(CZ19)=FALSE),CZ$40,CZ19))))</f>
      </c>
      <c r="DA46" s="7" t="str">
        <f>IF(ISBLANK(DA19),"NO DATA",IF(ISNUMBER(FIND(CODES!$A$12,DA19)),CODES!$A$12,IF(OR(ISNUMBER(FIND(CODES!$A$10,DA19)),ISNUMBER(FIND(CODES!$A$11,DA19))),CODES!$A$13,IF(OR(DA19&lt;DA$39,ISNUMBER(DA19)=FALSE),DA$40,DA19))))</f>
      </c>
      <c r="DB46" s="7" t="str">
        <f>IF(ISBLANK(DB19),"NO DATA",IF(ISNUMBER(FIND(CODES!$A$12,DB19)),CODES!$A$12,IF(OR(ISNUMBER(FIND(CODES!$A$10,DB19)),ISNUMBER(FIND(CODES!$A$11,DB19))),CODES!$A$13,IF(OR(DB19&lt;DB$39,ISNUMBER(DB19)=FALSE),DB$40,DB19))))</f>
      </c>
      <c r="DC46" s="7" t="str">
        <f>IF(ISBLANK(DC19),"NO DATA",IF(ISNUMBER(FIND(CODES!$A$12,DC19)),CODES!$A$12,IF(OR(ISNUMBER(FIND(CODES!$A$10,DC19)),ISNUMBER(FIND(CODES!$A$11,DC19))),CODES!$A$13,IF(OR(DC19&lt;DC$39,ISNUMBER(DC19)=FALSE),DC$40,DC19))))</f>
      </c>
      <c r="DD46" s="7" t="str">
        <f>IF(ISBLANK(DD19),"NO DATA",IF(ISNUMBER(FIND(CODES!$A$12,DD19)),CODES!$A$12,IF(OR(ISNUMBER(FIND(CODES!$A$10,DD19)),ISNUMBER(FIND(CODES!$A$11,DD19))),CODES!$A$13,IF(OR(DD19&lt;DD$39,ISNUMBER(DD19)=FALSE),DD$40,DD19))))</f>
      </c>
      <c r="DE46" s="7" t="str">
        <f>IF(ISBLANK(DE19),"NO DATA",IF(ISNUMBER(FIND(CODES!$A$12,DE19)),CODES!$A$12,IF(OR(ISNUMBER(FIND(CODES!$A$10,DE19)),ISNUMBER(FIND(CODES!$A$11,DE19))),CODES!$A$13,IF(OR(DE19&lt;DE$39,ISNUMBER(DE19)=FALSE),DE$40,DE19))))</f>
      </c>
      <c r="DF46" s="7" t="str">
        <f>IF(ISBLANK(DF19),"NO DATA",IF(ISNUMBER(FIND(CODES!$A$12,DF19)),CODES!$A$12,IF(OR(ISNUMBER(FIND(CODES!$A$10,DF19)),ISNUMBER(FIND(CODES!$A$11,DF19))),CODES!$A$13,IF(OR(DF19&lt;DF$39,ISNUMBER(DF19)=FALSE),DF$40,DF19))))</f>
      </c>
      <c r="DG46" s="7" t="str">
        <f>IF(ISBLANK(DG19),"NO DATA",IF(ISNUMBER(FIND(CODES!$A$12,DG19)),CODES!$A$12,IF(OR(ISNUMBER(FIND(CODES!$A$10,DG19)),ISNUMBER(FIND(CODES!$A$11,DG19))),CODES!$A$13,IF(OR(DG19&lt;DG$39,ISNUMBER(DG19)=FALSE),DG$40,DG19))))</f>
      </c>
      <c r="DH46" s="7" t="str">
        <f>IF(ISBLANK(DH19),"NO DATA",IF(ISNUMBER(FIND(CODES!$A$12,DH19)),CODES!$A$12,IF(OR(ISNUMBER(FIND(CODES!$A$10,DH19)),ISNUMBER(FIND(CODES!$A$11,DH19))),CODES!$A$13,IF(OR(DH19&lt;DH$39,ISNUMBER(DH19)=FALSE),DH$40,DH19))))</f>
      </c>
      <c r="DI46" s="7" t="str">
        <f>IF(ISBLANK(DI19),"NO DATA",IF(ISNUMBER(FIND(CODES!$A$12,DI19)),CODES!$A$12,IF(OR(ISNUMBER(FIND(CODES!$A$10,DI19)),ISNUMBER(FIND(CODES!$A$11,DI19))),CODES!$A$13,IF(OR(DI19&lt;DI$39,ISNUMBER(DI19)=FALSE),DI$40,DI19))))</f>
      </c>
    </row>
    <row r="47" spans="1:271" x14ac:dyDescent="0.25">
      <c r="A47" s="16" t="str">
        <f t="shared" si="2"/>
      </c>
      <c r="B47" s="16" t="str">
        <f t="shared" si="2"/>
      </c>
      <c r="C47" s="7">
        <f>IF(ISBLANK(C20),"NO DATA",IF(ISNUMBER(FIND(CODES!$A$12,C20)),CODES!$A$12,IF(OR(ISNUMBER(FIND(CODES!$A$10,C20)),ISNUMBER(FIND(CODES!$A$11,C20))),CODES!$A$13,IF(OR(C20&lt;C$39,ISNUMBER(C20)=FALSE),C$40,C20))))</f>
      </c>
      <c r="D47" s="7">
        <f>IF(ISBLANK(D20),"NO DATA",IF(ISNUMBER(FIND(CODES!$A$12,D20)),CODES!$A$12,IF(OR(ISNUMBER(FIND(CODES!$A$10,D20)),ISNUMBER(FIND(CODES!$A$11,D20))),CODES!$A$13,IF(OR(D20&lt;D$39,ISNUMBER(D20)=FALSE),D$40,D20))))</f>
      </c>
      <c r="E47" s="7">
        <f>IF(ISBLANK(E20),"NO DATA",IF(ISNUMBER(FIND(CODES!$A$12,E20)),CODES!$A$12,IF(OR(ISNUMBER(FIND(CODES!$A$10,E20)),ISNUMBER(FIND(CODES!$A$11,E20))),CODES!$A$13,IF(OR(E20&lt;E$39,ISNUMBER(E20)=FALSE),E$40,E20))))</f>
      </c>
      <c r="F47" s="7">
        <f>IF(ISBLANK(F20),"NO DATA",IF(ISNUMBER(FIND(CODES!$A$12,F20)),CODES!$A$12,IF(OR(ISNUMBER(FIND(CODES!$A$10,F20)),ISNUMBER(FIND(CODES!$A$11,F20))),CODES!$A$13,IF(OR(F20&lt;F$39,ISNUMBER(F20)=FALSE),F$40,F20))))</f>
      </c>
      <c r="G47" s="7">
        <f>IF(ISBLANK(G20),"NO DATA",IF(ISNUMBER(FIND(CODES!$A$12,G20)),CODES!$A$12,IF(OR(ISNUMBER(FIND(CODES!$A$10,G20)),ISNUMBER(FIND(CODES!$A$11,G20))),CODES!$A$13,IF(OR(G20&lt;G$39,ISNUMBER(G20)=FALSE),G$40,G20))))</f>
      </c>
      <c r="H47" s="7">
        <f>IF(ISBLANK(H20),"NO DATA",IF(ISNUMBER(FIND(CODES!$A$12,H20)),CODES!$A$12,IF(OR(ISNUMBER(FIND(CODES!$A$10,H20)),ISNUMBER(FIND(CODES!$A$11,H20))),CODES!$A$13,IF(OR(H20&lt;H$39,ISNUMBER(H20)=FALSE),H$40,H20))))</f>
      </c>
      <c r="I47" s="7">
        <f>IF(ISBLANK(I20),"NO DATA",IF(ISNUMBER(FIND(CODES!$A$12,I20)),CODES!$A$12,IF(OR(ISNUMBER(FIND(CODES!$A$10,I20)),ISNUMBER(FIND(CODES!$A$11,I20))),CODES!$A$13,IF(OR(I20&lt;I$39,ISNUMBER(I20)=FALSE),I$40,I20))))</f>
      </c>
      <c r="J47" s="7">
        <f>IF(ISBLANK(J20),"NO DATA",IF(ISNUMBER(FIND(CODES!$A$12,J20)),CODES!$A$12,IF(OR(ISNUMBER(FIND(CODES!$A$10,J20)),ISNUMBER(FIND(CODES!$A$11,J20))),CODES!$A$13,IF(OR(J20&lt;J$39,ISNUMBER(J20)=FALSE),J$40,J20))))</f>
      </c>
      <c r="K47" s="7">
        <f>IF(ISBLANK(K20),"NO DATA",IF(ISNUMBER(FIND(CODES!$A$12,K20)),CODES!$A$12,IF(OR(ISNUMBER(FIND(CODES!$A$10,K20)),ISNUMBER(FIND(CODES!$A$11,K20))),CODES!$A$13,IF(OR(K20&lt;K$39,ISNUMBER(K20)=FALSE),K$40,K20))))</f>
      </c>
      <c r="L47" s="7">
        <f>IF(ISBLANK(L20),"NO DATA",IF(ISNUMBER(FIND(CODES!$A$12,L20)),CODES!$A$12,IF(OR(ISNUMBER(FIND(CODES!$A$10,L20)),ISNUMBER(FIND(CODES!$A$11,L20))),CODES!$A$13,IF(OR(L20&lt;L$39,ISNUMBER(L20)=FALSE),L$40,L20))))</f>
      </c>
      <c r="M47" s="7">
        <f>IF(ISBLANK(M20),"NO DATA",IF(ISNUMBER(FIND(CODES!$A$12,M20)),CODES!$A$12,IF(OR(ISNUMBER(FIND(CODES!$A$10,M20)),ISNUMBER(FIND(CODES!$A$11,M20))),CODES!$A$13,IF(OR(M20&lt;M$39,ISNUMBER(M20)=FALSE),M$40,M20))))</f>
      </c>
      <c r="N47" s="7" t="str">
        <f>IF(ISBLANK(N20),"NO DATA",IF(ISNUMBER(FIND(CODES!$A$12,N20)),CODES!$A$12,IF(OR(ISNUMBER(FIND(CODES!$A$10,N20)),ISNUMBER(FIND(CODES!$A$11,N20))),CODES!$A$13,IF(OR(N20&lt;N$39,ISNUMBER(N20)=FALSE),N$40,N20))))</f>
      </c>
      <c r="O47" s="7" t="str">
        <f>IF(ISBLANK(O20),"NO DATA",IF(ISNUMBER(FIND(CODES!$A$12,O20)),CODES!$A$12,IF(OR(ISNUMBER(FIND(CODES!$A$10,O20)),ISNUMBER(FIND(CODES!$A$11,O20))),CODES!$A$13,IF(OR(O20&lt;O$39,ISNUMBER(O20)=FALSE),O$40,O20))))</f>
      </c>
      <c r="P47" s="7">
        <f>IF(ISBLANK(P20),"NO DATA",IF(ISNUMBER(FIND(CODES!$A$12,P20)),CODES!$A$12,IF(OR(ISNUMBER(FIND(CODES!$A$10,P20)),ISNUMBER(FIND(CODES!$A$11,P20))),CODES!$A$13,IF(OR(P20&lt;P$39,ISNUMBER(P20)=FALSE),P$40,P20))))</f>
      </c>
      <c r="Q47" s="7">
        <f>IF(ISBLANK(Q20),"NO DATA",IF(ISNUMBER(FIND(CODES!$A$12,Q20)),CODES!$A$12,IF(OR(ISNUMBER(FIND(CODES!$A$10,Q20)),ISNUMBER(FIND(CODES!$A$11,Q20))),CODES!$A$13,IF(OR(Q20&lt;Q$39,ISNUMBER(Q20)=FALSE),Q$40,Q20))))</f>
      </c>
      <c r="R47" s="7">
        <f>IF(ISBLANK(R20),"NO DATA",IF(ISNUMBER(FIND(CODES!$A$12,R20)),CODES!$A$12,IF(OR(ISNUMBER(FIND(CODES!$A$10,R20)),ISNUMBER(FIND(CODES!$A$11,R20))),CODES!$A$13,IF(OR(R20&lt;R$39,ISNUMBER(R20)=FALSE),R$40,R20))))</f>
      </c>
      <c r="S47" s="7">
        <f>IF(ISBLANK(S20),"NO DATA",IF(ISNUMBER(FIND(CODES!$A$12,S20)),CODES!$A$12,IF(OR(ISNUMBER(FIND(CODES!$A$10,S20)),ISNUMBER(FIND(CODES!$A$11,S20))),CODES!$A$13,IF(OR(S20&lt;S$39,ISNUMBER(S20)=FALSE),S$40,S20))))</f>
      </c>
      <c r="T47" s="7">
        <f>IF(ISBLANK(T20),"NO DATA",IF(ISNUMBER(FIND(CODES!$A$12,T20)),CODES!$A$12,IF(OR(ISNUMBER(FIND(CODES!$A$10,T20)),ISNUMBER(FIND(CODES!$A$11,T20))),CODES!$A$13,IF(OR(T20&lt;T$39,ISNUMBER(T20)=FALSE),T$40,T20))))</f>
      </c>
      <c r="U47" s="7">
        <f>IF(ISBLANK(U20),"NO DATA",IF(ISNUMBER(FIND(CODES!$A$12,U20)),CODES!$A$12,IF(OR(ISNUMBER(FIND(CODES!$A$10,U20)),ISNUMBER(FIND(CODES!$A$11,U20))),CODES!$A$13,IF(OR(U20&lt;U$39,ISNUMBER(U20)=FALSE),U$40,U20))))</f>
      </c>
      <c r="V47" s="7">
        <f>IF(ISBLANK(V20),"NO DATA",IF(ISNUMBER(FIND(CODES!$A$12,V20)),CODES!$A$12,IF(OR(ISNUMBER(FIND(CODES!$A$10,V20)),ISNUMBER(FIND(CODES!$A$11,V20))),CODES!$A$13,IF(OR(V20&lt;V$39,ISNUMBER(V20)=FALSE),V$40,V20))))</f>
      </c>
      <c r="W47" s="7">
        <f>IF(ISBLANK(W20),"NO DATA",IF(ISNUMBER(FIND(CODES!$A$12,W20)),CODES!$A$12,IF(OR(ISNUMBER(FIND(CODES!$A$10,W20)),ISNUMBER(FIND(CODES!$A$11,W20))),CODES!$A$13,IF(OR(W20&lt;W$39,ISNUMBER(W20)=FALSE),W$40,W20))))</f>
      </c>
      <c r="X47" s="7">
        <f>IF(ISBLANK(X20),"NO DATA",IF(ISNUMBER(FIND(CODES!$A$12,X20)),CODES!$A$12,IF(OR(ISNUMBER(FIND(CODES!$A$10,X20)),ISNUMBER(FIND(CODES!$A$11,X20))),CODES!$A$13,IF(OR(X20&lt;X$39,ISNUMBER(X20)=FALSE),X$40,X20))))</f>
      </c>
      <c r="Y47" s="7">
        <f>IF(ISBLANK(Y20),"NO DATA",IF(ISNUMBER(FIND(CODES!$A$12,Y20)),CODES!$A$12,IF(OR(ISNUMBER(FIND(CODES!$A$10,Y20)),ISNUMBER(FIND(CODES!$A$11,Y20))),CODES!$A$13,IF(OR(Y20&lt;Y$39,ISNUMBER(Y20)=FALSE),Y$40,Y20))))</f>
      </c>
      <c r="Z47" s="7">
        <f>IF(ISBLANK(Z20),"NO DATA",IF(ISNUMBER(FIND(CODES!$A$12,Z20)),CODES!$A$12,IF(OR(ISNUMBER(FIND(CODES!$A$10,Z20)),ISNUMBER(FIND(CODES!$A$11,Z20))),CODES!$A$13,IF(OR(Z20&lt;Z$39,ISNUMBER(Z20)=FALSE),Z$40,Z20))))</f>
      </c>
      <c r="AA47" s="7">
        <f>IF(ISBLANK(AA20),"NO DATA",IF(ISNUMBER(FIND(CODES!$A$12,AA20)),CODES!$A$12,IF(OR(ISNUMBER(FIND(CODES!$A$10,AA20)),ISNUMBER(FIND(CODES!$A$11,AA20))),CODES!$A$13,IF(OR(AA20&lt;AA$39,ISNUMBER(AA20)=FALSE),AA$40,AA20))))</f>
      </c>
      <c r="AB47" s="7">
        <f>IF(ISBLANK(AB20),"NO DATA",IF(ISNUMBER(FIND(CODES!$A$12,AB20)),CODES!$A$12,IF(OR(ISNUMBER(FIND(CODES!$A$10,AB20)),ISNUMBER(FIND(CODES!$A$11,AB20))),CODES!$A$13,IF(OR(AB20&lt;AB$39,ISNUMBER(AB20)=FALSE),AB$40,AB20))))</f>
      </c>
      <c r="AC47" s="7">
        <f>IF(ISBLANK(AC20),"NO DATA",IF(ISNUMBER(FIND(CODES!$A$12,AC20)),CODES!$A$12,IF(OR(ISNUMBER(FIND(CODES!$A$10,AC20)),ISNUMBER(FIND(CODES!$A$11,AC20))),CODES!$A$13,IF(OR(AC20&lt;AC$39,ISNUMBER(AC20)=FALSE),AC$40,AC20))))</f>
      </c>
      <c r="AD47" s="7">
        <f>IF(ISBLANK(AD20),"NO DATA",IF(ISNUMBER(FIND(CODES!$A$12,AD20)),CODES!$A$12,IF(OR(ISNUMBER(FIND(CODES!$A$10,AD20)),ISNUMBER(FIND(CODES!$A$11,AD20))),CODES!$A$13,IF(OR(AD20&lt;AD$39,ISNUMBER(AD20)=FALSE),AD$40,AD20))))</f>
      </c>
      <c r="AE47" s="7">
        <f>IF(ISBLANK(AE20),"NO DATA",IF(ISNUMBER(FIND(CODES!$A$12,AE20)),CODES!$A$12,IF(OR(ISNUMBER(FIND(CODES!$A$10,AE20)),ISNUMBER(FIND(CODES!$A$11,AE20))),CODES!$A$13,IF(OR(AE20&lt;AE$39,ISNUMBER(AE20)=FALSE),AE$40,AE20))))</f>
      </c>
      <c r="AF47" s="7">
        <f>IF(ISBLANK(AF20),"NO DATA",IF(ISNUMBER(FIND(CODES!$A$12,AF20)),CODES!$A$12,IF(OR(ISNUMBER(FIND(CODES!$A$10,AF20)),ISNUMBER(FIND(CODES!$A$11,AF20))),CODES!$A$13,IF(OR(AF20&lt;AF$39,ISNUMBER(AF20)=FALSE),AF$40,AF20))))</f>
      </c>
      <c r="AG47" s="7">
        <f>IF(ISBLANK(AG20),"NO DATA",IF(ISNUMBER(FIND(CODES!$A$12,AG20)),CODES!$A$12,IF(OR(ISNUMBER(FIND(CODES!$A$10,AG20)),ISNUMBER(FIND(CODES!$A$11,AG20))),CODES!$A$13,IF(OR(AG20&lt;AG$39,ISNUMBER(AG20)=FALSE),AG$40,AG20))))</f>
      </c>
      <c r="AH47" s="7">
        <f>IF(ISBLANK(AH20),"NO DATA",IF(ISNUMBER(FIND(CODES!$A$12,AH20)),CODES!$A$12,IF(OR(ISNUMBER(FIND(CODES!$A$10,AH20)),ISNUMBER(FIND(CODES!$A$11,AH20))),CODES!$A$13,IF(OR(AH20&lt;AH$39,ISNUMBER(AH20)=FALSE),AH$40,AH20))))</f>
      </c>
      <c r="AI47" s="7">
        <f>IF(ISBLANK(AI20),"NO DATA",IF(ISNUMBER(FIND(CODES!$A$12,AI20)),CODES!$A$12,IF(OR(ISNUMBER(FIND(CODES!$A$10,AI20)),ISNUMBER(FIND(CODES!$A$11,AI20))),CODES!$A$13,IF(OR(AI20&lt;AI$39,ISNUMBER(AI20)=FALSE),AI$40,AI20))))</f>
      </c>
      <c r="AJ47" s="7">
        <f>IF(ISBLANK(AJ20),"NO DATA",IF(ISNUMBER(FIND(CODES!$A$12,AJ20)),CODES!$A$12,IF(OR(ISNUMBER(FIND(CODES!$A$10,AJ20)),ISNUMBER(FIND(CODES!$A$11,AJ20))),CODES!$A$13,IF(OR(AJ20&lt;AJ$39,ISNUMBER(AJ20)=FALSE),AJ$40,AJ20))))</f>
      </c>
      <c r="AK47" s="7">
        <f>IF(ISBLANK(AK20),"NO DATA",IF(ISNUMBER(FIND(CODES!$A$12,AK20)),CODES!$A$12,IF(OR(ISNUMBER(FIND(CODES!$A$10,AK20)),ISNUMBER(FIND(CODES!$A$11,AK20))),CODES!$A$13,IF(OR(AK20&lt;AK$39,ISNUMBER(AK20)=FALSE),AK$40,AK20))))</f>
      </c>
      <c r="AL47" s="7">
        <f>IF(ISBLANK(AL20),"NO DATA",IF(ISNUMBER(FIND(CODES!$A$12,AL20)),CODES!$A$12,IF(OR(ISNUMBER(FIND(CODES!$A$10,AL20)),ISNUMBER(FIND(CODES!$A$11,AL20))),CODES!$A$13,IF(OR(AL20&lt;AL$39,ISNUMBER(AL20)=FALSE),AL$40,AL20))))</f>
      </c>
      <c r="AM47" s="7">
        <f>IF(ISBLANK(AM20),"NO DATA",IF(ISNUMBER(FIND(CODES!$A$12,AM20)),CODES!$A$12,IF(OR(ISNUMBER(FIND(CODES!$A$10,AM20)),ISNUMBER(FIND(CODES!$A$11,AM20))),CODES!$A$13,IF(OR(AM20&lt;AM$39,ISNUMBER(AM20)=FALSE),AM$40,AM20))))</f>
      </c>
      <c r="AN47" s="7">
        <f>IF(ISBLANK(AN20),"NO DATA",IF(ISNUMBER(FIND(CODES!$A$12,AN20)),CODES!$A$12,IF(OR(ISNUMBER(FIND(CODES!$A$10,AN20)),ISNUMBER(FIND(CODES!$A$11,AN20))),CODES!$A$13,IF(OR(AN20&lt;AN$39,ISNUMBER(AN20)=FALSE),AN$40,AN20))))</f>
      </c>
      <c r="AO47" s="7">
        <f>IF(ISBLANK(AO20),"NO DATA",IF(ISNUMBER(FIND(CODES!$A$12,AO20)),CODES!$A$12,IF(OR(ISNUMBER(FIND(CODES!$A$10,AO20)),ISNUMBER(FIND(CODES!$A$11,AO20))),CODES!$A$13,IF(OR(AO20&lt;AO$39,ISNUMBER(AO20)=FALSE),AO$40,AO20))))</f>
      </c>
      <c r="AP47" s="7">
        <f>IF(ISBLANK(AP20),"NO DATA",IF(ISNUMBER(FIND(CODES!$A$12,AP20)),CODES!$A$12,IF(OR(ISNUMBER(FIND(CODES!$A$10,AP20)),ISNUMBER(FIND(CODES!$A$11,AP20))),CODES!$A$13,IF(OR(AP20&lt;AP$39,ISNUMBER(AP20)=FALSE),AP$40,AP20))))</f>
      </c>
      <c r="AQ47" s="7">
        <f>IF(ISBLANK(AQ20),"NO DATA",IF(ISNUMBER(FIND(CODES!$A$12,AQ20)),CODES!$A$12,IF(OR(ISNUMBER(FIND(CODES!$A$10,AQ20)),ISNUMBER(FIND(CODES!$A$11,AQ20))),CODES!$A$13,IF(OR(AQ20&lt;AQ$39,ISNUMBER(AQ20)=FALSE),AQ$40,AQ20))))</f>
      </c>
      <c r="AR47" s="7">
        <f>IF(ISBLANK(AR20),"NO DATA",IF(ISNUMBER(FIND(CODES!$A$12,AR20)),CODES!$A$12,IF(OR(ISNUMBER(FIND(CODES!$A$10,AR20)),ISNUMBER(FIND(CODES!$A$11,AR20))),CODES!$A$13,IF(OR(AR20&lt;AR$39,ISNUMBER(AR20)=FALSE),AR$40,AR20))))</f>
      </c>
      <c r="AS47" s="7">
        <f>IF(ISBLANK(AS20),"NO DATA",IF(ISNUMBER(FIND(CODES!$A$12,AS20)),CODES!$A$12,IF(OR(ISNUMBER(FIND(CODES!$A$10,AS20)),ISNUMBER(FIND(CODES!$A$11,AS20))),CODES!$A$13,IF(OR(AS20&lt;AS$39,ISNUMBER(AS20)=FALSE),AS$40,AS20))))</f>
      </c>
      <c r="AT47" s="7">
        <f>IF(ISBLANK(AT20),"NO DATA",IF(ISNUMBER(FIND(CODES!$A$12,AT20)),CODES!$A$12,IF(OR(ISNUMBER(FIND(CODES!$A$10,AT20)),ISNUMBER(FIND(CODES!$A$11,AT20))),CODES!$A$13,IF(OR(AT20&lt;AT$39,ISNUMBER(AT20)=FALSE),AT$40,AT20))))</f>
      </c>
      <c r="AU47" s="7">
        <f>IF(ISBLANK(AU20),"NO DATA",IF(ISNUMBER(FIND(CODES!$A$12,AU20)),CODES!$A$12,IF(OR(ISNUMBER(FIND(CODES!$A$10,AU20)),ISNUMBER(FIND(CODES!$A$11,AU20))),CODES!$A$13,IF(OR(AU20&lt;AU$39,ISNUMBER(AU20)=FALSE),AU$40,AU20))))</f>
      </c>
      <c r="AV47" s="7" t="str">
        <f>IF(ISBLANK(AV20),"NO DATA",IF(ISNUMBER(FIND(CODES!$A$12,AV20)),CODES!$A$12,IF(OR(ISNUMBER(FIND(CODES!$A$10,AV20)),ISNUMBER(FIND(CODES!$A$11,AV20))),CODES!$A$13,IF(OR(AV20&lt;AV$39,ISNUMBER(AV20)=FALSE),AV$40,AV20))))</f>
      </c>
      <c r="AW47" s="7" t="str">
        <f>IF(ISBLANK(AW20),"NO DATA",IF(ISNUMBER(FIND(CODES!$A$12,AW20)),CODES!$A$12,IF(OR(ISNUMBER(FIND(CODES!$A$10,AW20)),ISNUMBER(FIND(CODES!$A$11,AW20))),CODES!$A$13,IF(OR(AW20&lt;AW$39,ISNUMBER(AW20)=FALSE),AW$40,AW20))))</f>
      </c>
      <c r="AX47" s="7">
        <f>IF(ISBLANK(AX20),"NO DATA",IF(ISNUMBER(FIND(CODES!$A$12,AX20)),CODES!$A$12,IF(OR(ISNUMBER(FIND(CODES!$A$10,AX20)),ISNUMBER(FIND(CODES!$A$11,AX20))),CODES!$A$13,IF(OR(AX20&lt;AX$39,ISNUMBER(AX20)=FALSE),AX$40,AX20))))</f>
      </c>
      <c r="AY47" s="7">
        <f>IF(ISBLANK(AY20),"NO DATA",IF(ISNUMBER(FIND(CODES!$A$12,AY20)),CODES!$A$12,IF(OR(ISNUMBER(FIND(CODES!$A$10,AY20)),ISNUMBER(FIND(CODES!$A$11,AY20))),CODES!$A$13,IF(OR(AY20&lt;AY$39,ISNUMBER(AY20)=FALSE),AY$40,AY20))))</f>
      </c>
      <c r="AZ47" s="7">
        <f>IF(ISBLANK(AZ20),"NO DATA",IF(ISNUMBER(FIND(CODES!$A$12,AZ20)),CODES!$A$12,IF(OR(ISNUMBER(FIND(CODES!$A$10,AZ20)),ISNUMBER(FIND(CODES!$A$11,AZ20))),CODES!$A$13,IF(OR(AZ20&lt;AZ$39,ISNUMBER(AZ20)=FALSE),AZ$40,AZ20))))</f>
      </c>
      <c r="BA47" s="7">
        <f>IF(ISBLANK(BA20),"NO DATA",IF(ISNUMBER(FIND(CODES!$A$12,BA20)),CODES!$A$12,IF(OR(ISNUMBER(FIND(CODES!$A$10,BA20)),ISNUMBER(FIND(CODES!$A$11,BA20))),CODES!$A$13,IF(OR(BA20&lt;BA$39,ISNUMBER(BA20)=FALSE),BA$40,BA20))))</f>
      </c>
      <c r="BB47" s="7">
        <f>IF(ISBLANK(BB20),"NO DATA",IF(ISNUMBER(FIND(CODES!$A$12,BB20)),CODES!$A$12,IF(OR(ISNUMBER(FIND(CODES!$A$10,BB20)),ISNUMBER(FIND(CODES!$A$11,BB20))),CODES!$A$13,IF(OR(BB20&lt;BB$39,ISNUMBER(BB20)=FALSE),BB$40,BB20))))</f>
      </c>
      <c r="BC47" s="7">
        <f>IF(ISBLANK(BC20),"NO DATA",IF(ISNUMBER(FIND(CODES!$A$12,BC20)),CODES!$A$12,IF(OR(ISNUMBER(FIND(CODES!$A$10,BC20)),ISNUMBER(FIND(CODES!$A$11,BC20))),CODES!$A$13,IF(OR(BC20&lt;BC$39,ISNUMBER(BC20)=FALSE),BC$40,BC20))))</f>
      </c>
      <c r="BD47" s="7">
        <f>IF(ISBLANK(BD20),"NO DATA",IF(ISNUMBER(FIND(CODES!$A$12,BD20)),CODES!$A$12,IF(OR(ISNUMBER(FIND(CODES!$A$10,BD20)),ISNUMBER(FIND(CODES!$A$11,BD20))),CODES!$A$13,IF(OR(BD20&lt;BD$39,ISNUMBER(BD20)=FALSE),BD$40,BD20))))</f>
      </c>
      <c r="BE47" s="7">
        <f>IF(ISBLANK(BE20),"NO DATA",IF(ISNUMBER(FIND(CODES!$A$12,BE20)),CODES!$A$12,IF(OR(ISNUMBER(FIND(CODES!$A$10,BE20)),ISNUMBER(FIND(CODES!$A$11,BE20))),CODES!$A$13,IF(OR(BE20&lt;BE$39,ISNUMBER(BE20)=FALSE),BE$40,BE20))))</f>
      </c>
      <c r="BF47" s="7">
        <f>IF(ISBLANK(BF20),"NO DATA",IF(ISNUMBER(FIND(CODES!$A$12,BF20)),CODES!$A$12,IF(OR(ISNUMBER(FIND(CODES!$A$10,BF20)),ISNUMBER(FIND(CODES!$A$11,BF20))),CODES!$A$13,IF(OR(BF20&lt;BF$39,ISNUMBER(BF20)=FALSE),BF$40,BF20))))</f>
      </c>
      <c r="BG47" s="7">
        <f>IF(ISBLANK(BG20),"NO DATA",IF(ISNUMBER(FIND(CODES!$A$12,BG20)),CODES!$A$12,IF(OR(ISNUMBER(FIND(CODES!$A$10,BG20)),ISNUMBER(FIND(CODES!$A$11,BG20))),CODES!$A$13,IF(OR(BG20&lt;BG$39,ISNUMBER(BG20)=FALSE),BG$40,BG20))))</f>
      </c>
      <c r="BH47" s="7">
        <f>IF(ISBLANK(BH20),"NO DATA",IF(ISNUMBER(FIND(CODES!$A$12,BH20)),CODES!$A$12,IF(OR(ISNUMBER(FIND(CODES!$A$10,BH20)),ISNUMBER(FIND(CODES!$A$11,BH20))),CODES!$A$13,IF(OR(BH20&lt;BH$39,ISNUMBER(BH20)=FALSE),BH$40,BH20))))</f>
      </c>
      <c r="BI47" s="7">
        <f>IF(ISBLANK(BI20),"NO DATA",IF(ISNUMBER(FIND(CODES!$A$12,BI20)),CODES!$A$12,IF(OR(ISNUMBER(FIND(CODES!$A$10,BI20)),ISNUMBER(FIND(CODES!$A$11,BI20))),CODES!$A$13,IF(OR(BI20&lt;BI$39,ISNUMBER(BI20)=FALSE),BI$40,BI20))))</f>
      </c>
      <c r="BJ47" s="7">
        <f>IF(ISBLANK(BJ20),"NO DATA",IF(ISNUMBER(FIND(CODES!$A$12,BJ20)),CODES!$A$12,IF(OR(ISNUMBER(FIND(CODES!$A$10,BJ20)),ISNUMBER(FIND(CODES!$A$11,BJ20))),CODES!$A$13,IF(OR(BJ20&lt;BJ$39,ISNUMBER(BJ20)=FALSE),BJ$40,BJ20))))</f>
      </c>
      <c r="BK47" s="7">
        <f>IF(ISBLANK(BK20),"NO DATA",IF(ISNUMBER(FIND(CODES!$A$12,BK20)),CODES!$A$12,IF(OR(ISNUMBER(FIND(CODES!$A$10,BK20)),ISNUMBER(FIND(CODES!$A$11,BK20))),CODES!$A$13,IF(OR(BK20&lt;BK$39,ISNUMBER(BK20)=FALSE),BK$40,BK20))))</f>
      </c>
      <c r="BL47" s="7">
        <f>IF(ISBLANK(BL20),"NO DATA",IF(ISNUMBER(FIND(CODES!$A$12,BL20)),CODES!$A$12,IF(OR(ISNUMBER(FIND(CODES!$A$10,BL20)),ISNUMBER(FIND(CODES!$A$11,BL20))),CODES!$A$13,IF(OR(BL20&lt;BL$39,ISNUMBER(BL20)=FALSE),BL$40,BL20))))</f>
      </c>
      <c r="BM47" s="7">
        <f>IF(ISBLANK(BM20),"NO DATA",IF(ISNUMBER(FIND(CODES!$A$12,BM20)),CODES!$A$12,IF(OR(ISNUMBER(FIND(CODES!$A$10,BM20)),ISNUMBER(FIND(CODES!$A$11,BM20))),CODES!$A$13,IF(OR(BM20&lt;BM$39,ISNUMBER(BM20)=FALSE),BM$40,BM20))))</f>
      </c>
      <c r="BN47" s="7" t="str">
        <f>IF(ISBLANK(BN20),"NO DATA",IF(ISNUMBER(FIND(CODES!$A$12,BN20)),CODES!$A$12,IF(OR(ISNUMBER(FIND(CODES!$A$10,BN20)),ISNUMBER(FIND(CODES!$A$11,BN20))),CODES!$A$13,IF(OR(BN20&lt;BN$39,ISNUMBER(BN20)=FALSE),BN$40,BN20))))</f>
      </c>
      <c r="BO47" s="7" t="str">
        <f>IF(ISBLANK(BO20),"NO DATA",IF(ISNUMBER(FIND(CODES!$A$12,BO20)),CODES!$A$12,IF(OR(ISNUMBER(FIND(CODES!$A$10,BO20)),ISNUMBER(FIND(CODES!$A$11,BO20))),CODES!$A$13,IF(OR(BO20&lt;BO$39,ISNUMBER(BO20)=FALSE),BO$40,BO20))))</f>
      </c>
      <c r="BP47" s="7">
        <f>IF(ISBLANK(BP20),"NO DATA",IF(ISNUMBER(FIND(CODES!$A$12,BP20)),CODES!$A$12,IF(OR(ISNUMBER(FIND(CODES!$A$10,BP20)),ISNUMBER(FIND(CODES!$A$11,BP20))),CODES!$A$13,IF(OR(BP20&lt;BP$39,ISNUMBER(BP20)=FALSE),BP$40,BP20))))</f>
      </c>
      <c r="BQ47" s="7">
        <f>IF(ISBLANK(BQ20),"NO DATA",IF(ISNUMBER(FIND(CODES!$A$12,BQ20)),CODES!$A$12,IF(OR(ISNUMBER(FIND(CODES!$A$10,BQ20)),ISNUMBER(FIND(CODES!$A$11,BQ20))),CODES!$A$13,IF(OR(BQ20&lt;BQ$39,ISNUMBER(BQ20)=FALSE),BQ$40,BQ20))))</f>
      </c>
      <c r="BR47" s="7">
        <f>IF(ISBLANK(BR20),"NO DATA",IF(ISNUMBER(FIND(CODES!$A$12,BR20)),CODES!$A$12,IF(OR(ISNUMBER(FIND(CODES!$A$10,BR20)),ISNUMBER(FIND(CODES!$A$11,BR20))),CODES!$A$13,IF(OR(BR20&lt;BR$39,ISNUMBER(BR20)=FALSE),BR$40,BR20))))</f>
      </c>
      <c r="BS47" s="7">
        <f>IF(ISBLANK(BS20),"NO DATA",IF(ISNUMBER(FIND(CODES!$A$12,BS20)),CODES!$A$12,IF(OR(ISNUMBER(FIND(CODES!$A$10,BS20)),ISNUMBER(FIND(CODES!$A$11,BS20))),CODES!$A$13,IF(OR(BS20&lt;BS$39,ISNUMBER(BS20)=FALSE),BS$40,BS20))))</f>
      </c>
      <c r="BT47" s="7">
        <f>IF(ISBLANK(BT20),"NO DATA",IF(ISNUMBER(FIND(CODES!$A$12,BT20)),CODES!$A$12,IF(OR(ISNUMBER(FIND(CODES!$A$10,BT20)),ISNUMBER(FIND(CODES!$A$11,BT20))),CODES!$A$13,IF(OR(BT20&lt;BT$39,ISNUMBER(BT20)=FALSE),BT$40,BT20))))</f>
      </c>
      <c r="BU47" s="7">
        <f>IF(ISBLANK(BU20),"NO DATA",IF(ISNUMBER(FIND(CODES!$A$12,BU20)),CODES!$A$12,IF(OR(ISNUMBER(FIND(CODES!$A$10,BU20)),ISNUMBER(FIND(CODES!$A$11,BU20))),CODES!$A$13,IF(OR(BU20&lt;BU$39,ISNUMBER(BU20)=FALSE),BU$40,BU20))))</f>
      </c>
      <c r="BV47" s="7">
        <f>IF(ISBLANK(BV20),"NO DATA",IF(ISNUMBER(FIND(CODES!$A$12,BV20)),CODES!$A$12,IF(OR(ISNUMBER(FIND(CODES!$A$10,BV20)),ISNUMBER(FIND(CODES!$A$11,BV20))),CODES!$A$13,IF(OR(BV20&lt;BV$39,ISNUMBER(BV20)=FALSE),BV$40,BV20))))</f>
      </c>
      <c r="BW47" s="7" t="str">
        <f>IF(ISBLANK(BW20),"NO DATA",IF(ISNUMBER(FIND(CODES!$A$12,BW20)),CODES!$A$12,IF(OR(ISNUMBER(FIND(CODES!$A$10,BW20)),ISNUMBER(FIND(CODES!$A$11,BW20))),CODES!$A$13,IF(OR(BW20&lt;BW$39,ISNUMBER(BW20)=FALSE),BW$40,BW20))))</f>
      </c>
      <c r="BX47" s="7" t="str">
        <f>IF(ISBLANK(BX20),"NO DATA",IF(ISNUMBER(FIND(CODES!$A$12,BX20)),CODES!$A$12,IF(OR(ISNUMBER(FIND(CODES!$A$10,BX20)),ISNUMBER(FIND(CODES!$A$11,BX20))),CODES!$A$13,IF(OR(BX20&lt;BX$39,ISNUMBER(BX20)=FALSE),BX$40,BX20))))</f>
      </c>
      <c r="BY47" s="7">
        <f>IF(ISBLANK(BY20),"NO DATA",IF(ISNUMBER(FIND(CODES!$A$12,BY20)),CODES!$A$12,IF(OR(ISNUMBER(FIND(CODES!$A$10,BY20)),ISNUMBER(FIND(CODES!$A$11,BY20))),CODES!$A$13,IF(OR(BY20&lt;BY$39,ISNUMBER(BY20)=FALSE),BY$40,BY20))))</f>
      </c>
      <c r="BZ47" s="7">
        <f>IF(ISBLANK(BZ20),"NO DATA",IF(ISNUMBER(FIND(CODES!$A$12,BZ20)),CODES!$A$12,IF(OR(ISNUMBER(FIND(CODES!$A$10,BZ20)),ISNUMBER(FIND(CODES!$A$11,BZ20))),CODES!$A$13,IF(OR(BZ20&lt;BZ$39,ISNUMBER(BZ20)=FALSE),BZ$40,BZ20))))</f>
      </c>
      <c r="CA47" s="7">
        <f>IF(ISBLANK(CA20),"NO DATA",IF(ISNUMBER(FIND(CODES!$A$12,CA20)),CODES!$A$12,IF(OR(ISNUMBER(FIND(CODES!$A$10,CA20)),ISNUMBER(FIND(CODES!$A$11,CA20))),CODES!$A$13,IF(OR(CA20&lt;CA$39,ISNUMBER(CA20)=FALSE),CA$40,CA20))))</f>
      </c>
      <c r="CB47" s="7">
        <f>IF(ISBLANK(CB20),"NO DATA",IF(ISNUMBER(FIND(CODES!$A$12,CB20)),CODES!$A$12,IF(OR(ISNUMBER(FIND(CODES!$A$10,CB20)),ISNUMBER(FIND(CODES!$A$11,CB20))),CODES!$A$13,IF(OR(CB20&lt;CB$39,ISNUMBER(CB20)=FALSE),CB$40,CB20))))</f>
      </c>
      <c r="CC47" s="7">
        <f>IF(ISBLANK(CC20),"NO DATA",IF(ISNUMBER(FIND(CODES!$A$12,CC20)),CODES!$A$12,IF(OR(ISNUMBER(FIND(CODES!$A$10,CC20)),ISNUMBER(FIND(CODES!$A$11,CC20))),CODES!$A$13,IF(OR(CC20&lt;CC$39,ISNUMBER(CC20)=FALSE),CC$40,CC20))))</f>
      </c>
      <c r="CD47" s="7">
        <f>IF(ISBLANK(CD20),"NO DATA",IF(ISNUMBER(FIND(CODES!$A$12,CD20)),CODES!$A$12,IF(OR(ISNUMBER(FIND(CODES!$A$10,CD20)),ISNUMBER(FIND(CODES!$A$11,CD20))),CODES!$A$13,IF(OR(CD20&lt;CD$39,ISNUMBER(CD20)=FALSE),CD$40,CD20))))</f>
      </c>
      <c r="CE47" s="7">
        <f>IF(ISBLANK(CE20),"NO DATA",IF(ISNUMBER(FIND(CODES!$A$12,CE20)),CODES!$A$12,IF(OR(ISNUMBER(FIND(CODES!$A$10,CE20)),ISNUMBER(FIND(CODES!$A$11,CE20))),CODES!$A$13,IF(OR(CE20&lt;CE$39,ISNUMBER(CE20)=FALSE),CE$40,CE20))))</f>
      </c>
      <c r="CF47" s="7">
        <f>IF(ISBLANK(CF20),"NO DATA",IF(ISNUMBER(FIND(CODES!$A$12,CF20)),CODES!$A$12,IF(OR(ISNUMBER(FIND(CODES!$A$10,CF20)),ISNUMBER(FIND(CODES!$A$11,CF20))),CODES!$A$13,IF(OR(CF20&lt;CF$39,ISNUMBER(CF20)=FALSE),CF$40,CF20))))</f>
      </c>
      <c r="CG47" s="7">
        <f>IF(ISBLANK(CG20),"NO DATA",IF(ISNUMBER(FIND(CODES!$A$12,CG20)),CODES!$A$12,IF(OR(ISNUMBER(FIND(CODES!$A$10,CG20)),ISNUMBER(FIND(CODES!$A$11,CG20))),CODES!$A$13,IF(OR(CG20&lt;CG$39,ISNUMBER(CG20)=FALSE),CG$40,CG20))))</f>
      </c>
      <c r="CH47" s="7">
        <f>IF(ISBLANK(CH20),"NO DATA",IF(ISNUMBER(FIND(CODES!$A$12,CH20)),CODES!$A$12,IF(OR(ISNUMBER(FIND(CODES!$A$10,CH20)),ISNUMBER(FIND(CODES!$A$11,CH20))),CODES!$A$13,IF(OR(CH20&lt;CH$39,ISNUMBER(CH20)=FALSE),CH$40,CH20))))</f>
      </c>
      <c r="CI47" s="7">
        <f>IF(ISBLANK(CI20),"NO DATA",IF(ISNUMBER(FIND(CODES!$A$12,CI20)),CODES!$A$12,IF(OR(ISNUMBER(FIND(CODES!$A$10,CI20)),ISNUMBER(FIND(CODES!$A$11,CI20))),CODES!$A$13,IF(OR(CI20&lt;CI$39,ISNUMBER(CI20)=FALSE),CI$40,CI20))))</f>
      </c>
      <c r="CJ47" s="7">
        <f>IF(ISBLANK(CJ20),"NO DATA",IF(ISNUMBER(FIND(CODES!$A$12,CJ20)),CODES!$A$12,IF(OR(ISNUMBER(FIND(CODES!$A$10,CJ20)),ISNUMBER(FIND(CODES!$A$11,CJ20))),CODES!$A$13,IF(OR(CJ20&lt;CJ$39,ISNUMBER(CJ20)=FALSE),CJ$40,CJ20))))</f>
      </c>
      <c r="CK47" s="7">
        <f>IF(ISBLANK(CK20),"NO DATA",IF(ISNUMBER(FIND(CODES!$A$12,CK20)),CODES!$A$12,IF(OR(ISNUMBER(FIND(CODES!$A$10,CK20)),ISNUMBER(FIND(CODES!$A$11,CK20))),CODES!$A$13,IF(OR(CK20&lt;CK$39,ISNUMBER(CK20)=FALSE),CK$40,CK20))))</f>
      </c>
      <c r="CL47" s="7">
        <f>IF(ISBLANK(CL20),"NO DATA",IF(ISNUMBER(FIND(CODES!$A$12,CL20)),CODES!$A$12,IF(OR(ISNUMBER(FIND(CODES!$A$10,CL20)),ISNUMBER(FIND(CODES!$A$11,CL20))),CODES!$A$13,IF(OR(CL20&lt;CL$39,ISNUMBER(CL20)=FALSE),CL$40,CL20))))</f>
      </c>
      <c r="CM47" s="7">
        <f>IF(ISBLANK(CM20),"NO DATA",IF(ISNUMBER(FIND(CODES!$A$12,CM20)),CODES!$A$12,IF(OR(ISNUMBER(FIND(CODES!$A$10,CM20)),ISNUMBER(FIND(CODES!$A$11,CM20))),CODES!$A$13,IF(OR(CM20&lt;CM$39,ISNUMBER(CM20)=FALSE),CM$40,CM20))))</f>
      </c>
      <c r="CN47" s="7">
        <f>IF(ISBLANK(CN20),"NO DATA",IF(ISNUMBER(FIND(CODES!$A$12,CN20)),CODES!$A$12,IF(OR(ISNUMBER(FIND(CODES!$A$10,CN20)),ISNUMBER(FIND(CODES!$A$11,CN20))),CODES!$A$13,IF(OR(CN20&lt;CN$39,ISNUMBER(CN20)=FALSE),CN$40,CN20))))</f>
      </c>
      <c r="CO47" s="7">
        <f>IF(ISBLANK(CO20),"NO DATA",IF(ISNUMBER(FIND(CODES!$A$12,CO20)),CODES!$A$12,IF(OR(ISNUMBER(FIND(CODES!$A$10,CO20)),ISNUMBER(FIND(CODES!$A$11,CO20))),CODES!$A$13,IF(OR(CO20&lt;CO$39,ISNUMBER(CO20)=FALSE),CO$40,CO20))))</f>
      </c>
      <c r="CP47" s="7">
        <f>IF(ISBLANK(CP20),"NO DATA",IF(ISNUMBER(FIND(CODES!$A$12,CP20)),CODES!$A$12,IF(OR(ISNUMBER(FIND(CODES!$A$10,CP20)),ISNUMBER(FIND(CODES!$A$11,CP20))),CODES!$A$13,IF(OR(CP20&lt;CP$39,ISNUMBER(CP20)=FALSE),CP$40,CP20))))</f>
      </c>
      <c r="CQ47" s="7">
        <f>IF(ISBLANK(CQ20),"NO DATA",IF(ISNUMBER(FIND(CODES!$A$12,CQ20)),CODES!$A$12,IF(OR(ISNUMBER(FIND(CODES!$A$10,CQ20)),ISNUMBER(FIND(CODES!$A$11,CQ20))),CODES!$A$13,IF(OR(CQ20&lt;CQ$39,ISNUMBER(CQ20)=FALSE),CQ$40,CQ20))))</f>
      </c>
      <c r="CR47" s="7">
        <f>IF(ISBLANK(CR20),"NO DATA",IF(ISNUMBER(FIND(CODES!$A$12,CR20)),CODES!$A$12,IF(OR(ISNUMBER(FIND(CODES!$A$10,CR20)),ISNUMBER(FIND(CODES!$A$11,CR20))),CODES!$A$13,IF(OR(CR20&lt;CR$39,ISNUMBER(CR20)=FALSE),CR$40,CR20))))</f>
      </c>
      <c r="CS47" s="7">
        <f>IF(ISBLANK(CS20),"NO DATA",IF(ISNUMBER(FIND(CODES!$A$12,CS20)),CODES!$A$12,IF(OR(ISNUMBER(FIND(CODES!$A$10,CS20)),ISNUMBER(FIND(CODES!$A$11,CS20))),CODES!$A$13,IF(OR(CS20&lt;CS$39,ISNUMBER(CS20)=FALSE),CS$40,CS20))))</f>
      </c>
      <c r="CT47" s="7">
        <f>IF(ISBLANK(CT20),"NO DATA",IF(ISNUMBER(FIND(CODES!$A$12,CT20)),CODES!$A$12,IF(OR(ISNUMBER(FIND(CODES!$A$10,CT20)),ISNUMBER(FIND(CODES!$A$11,CT20))),CODES!$A$13,IF(OR(CT20&lt;CT$39,ISNUMBER(CT20)=FALSE),CT$40,CT20))))</f>
      </c>
      <c r="CU47" s="7">
        <f>IF(ISBLANK(CU20),"NO DATA",IF(ISNUMBER(FIND(CODES!$A$12,CU20)),CODES!$A$12,IF(OR(ISNUMBER(FIND(CODES!$A$10,CU20)),ISNUMBER(FIND(CODES!$A$11,CU20))),CODES!$A$13,IF(OR(CU20&lt;CU$39,ISNUMBER(CU20)=FALSE),CU$40,CU20))))</f>
      </c>
      <c r="CV47" s="7">
        <f>IF(ISBLANK(CV20),"NO DATA",IF(ISNUMBER(FIND(CODES!$A$12,CV20)),CODES!$A$12,IF(OR(ISNUMBER(FIND(CODES!$A$10,CV20)),ISNUMBER(FIND(CODES!$A$11,CV20))),CODES!$A$13,IF(OR(CV20&lt;CV$39,ISNUMBER(CV20)=FALSE),CV$40,CV20))))</f>
      </c>
      <c r="CW47" s="7">
        <f>IF(ISBLANK(CW20),"NO DATA",IF(ISNUMBER(FIND(CODES!$A$12,CW20)),CODES!$A$12,IF(OR(ISNUMBER(FIND(CODES!$A$10,CW20)),ISNUMBER(FIND(CODES!$A$11,CW20))),CODES!$A$13,IF(OR(CW20&lt;CW$39,ISNUMBER(CW20)=FALSE),CW$40,CW20))))</f>
      </c>
      <c r="CX47" s="7">
        <f>IF(ISBLANK(CX20),"NO DATA",IF(ISNUMBER(FIND(CODES!$A$12,CX20)),CODES!$A$12,IF(OR(ISNUMBER(FIND(CODES!$A$10,CX20)),ISNUMBER(FIND(CODES!$A$11,CX20))),CODES!$A$13,IF(OR(CX20&lt;CX$39,ISNUMBER(CX20)=FALSE),CX$40,CX20))))</f>
      </c>
      <c r="CY47" s="7">
        <f>IF(ISBLANK(CY20),"NO DATA",IF(ISNUMBER(FIND(CODES!$A$12,CY20)),CODES!$A$12,IF(OR(ISNUMBER(FIND(CODES!$A$10,CY20)),ISNUMBER(FIND(CODES!$A$11,CY20))),CODES!$A$13,IF(OR(CY20&lt;CY$39,ISNUMBER(CY20)=FALSE),CY$40,CY20))))</f>
      </c>
      <c r="CZ47" s="7">
        <f>IF(ISBLANK(CZ20),"NO DATA",IF(ISNUMBER(FIND(CODES!$A$12,CZ20)),CODES!$A$12,IF(OR(ISNUMBER(FIND(CODES!$A$10,CZ20)),ISNUMBER(FIND(CODES!$A$11,CZ20))),CODES!$A$13,IF(OR(CZ20&lt;CZ$39,ISNUMBER(CZ20)=FALSE),CZ$40,CZ20))))</f>
      </c>
      <c r="DA47" s="7">
        <f>IF(ISBLANK(DA20),"NO DATA",IF(ISNUMBER(FIND(CODES!$A$12,DA20)),CODES!$A$12,IF(OR(ISNUMBER(FIND(CODES!$A$10,DA20)),ISNUMBER(FIND(CODES!$A$11,DA20))),CODES!$A$13,IF(OR(DA20&lt;DA$39,ISNUMBER(DA20)=FALSE),DA$40,DA20))))</f>
      </c>
      <c r="DB47" s="7" t="str">
        <f>IF(ISBLANK(DB20),"NO DATA",IF(ISNUMBER(FIND(CODES!$A$12,DB20)),CODES!$A$12,IF(OR(ISNUMBER(FIND(CODES!$A$10,DB20)),ISNUMBER(FIND(CODES!$A$11,DB20))),CODES!$A$13,IF(OR(DB20&lt;DB$39,ISNUMBER(DB20)=FALSE),DB$40,DB20))))</f>
      </c>
      <c r="DC47" s="7" t="str">
        <f>IF(ISBLANK(DC20),"NO DATA",IF(ISNUMBER(FIND(CODES!$A$12,DC20)),CODES!$A$12,IF(OR(ISNUMBER(FIND(CODES!$A$10,DC20)),ISNUMBER(FIND(CODES!$A$11,DC20))),CODES!$A$13,IF(OR(DC20&lt;DC$39,ISNUMBER(DC20)=FALSE),DC$40,DC20))))</f>
      </c>
      <c r="DD47" s="7">
        <f>IF(ISBLANK(DD20),"NO DATA",IF(ISNUMBER(FIND(CODES!$A$12,DD20)),CODES!$A$12,IF(OR(ISNUMBER(FIND(CODES!$A$10,DD20)),ISNUMBER(FIND(CODES!$A$11,DD20))),CODES!$A$13,IF(OR(DD20&lt;DD$39,ISNUMBER(DD20)=FALSE),DD$40,DD20))))</f>
      </c>
      <c r="DE47" s="7">
        <f>IF(ISBLANK(DE20),"NO DATA",IF(ISNUMBER(FIND(CODES!$A$12,DE20)),CODES!$A$12,IF(OR(ISNUMBER(FIND(CODES!$A$10,DE20)),ISNUMBER(FIND(CODES!$A$11,DE20))),CODES!$A$13,IF(OR(DE20&lt;DE$39,ISNUMBER(DE20)=FALSE),DE$40,DE20))))</f>
      </c>
      <c r="DF47" s="7">
        <f>IF(ISBLANK(DF20),"NO DATA",IF(ISNUMBER(FIND(CODES!$A$12,DF20)),CODES!$A$12,IF(OR(ISNUMBER(FIND(CODES!$A$10,DF20)),ISNUMBER(FIND(CODES!$A$11,DF20))),CODES!$A$13,IF(OR(DF20&lt;DF$39,ISNUMBER(DF20)=FALSE),DF$40,DF20))))</f>
      </c>
      <c r="DG47" s="7">
        <f>IF(ISBLANK(DG20),"NO DATA",IF(ISNUMBER(FIND(CODES!$A$12,DG20)),CODES!$A$12,IF(OR(ISNUMBER(FIND(CODES!$A$10,DG20)),ISNUMBER(FIND(CODES!$A$11,DG20))),CODES!$A$13,IF(OR(DG20&lt;DG$39,ISNUMBER(DG20)=FALSE),DG$40,DG20))))</f>
      </c>
      <c r="DH47" s="7">
        <f>IF(ISBLANK(DH20),"NO DATA",IF(ISNUMBER(FIND(CODES!$A$12,DH20)),CODES!$A$12,IF(OR(ISNUMBER(FIND(CODES!$A$10,DH20)),ISNUMBER(FIND(CODES!$A$11,DH20))),CODES!$A$13,IF(OR(DH20&lt;DH$39,ISNUMBER(DH20)=FALSE),DH$40,DH20))))</f>
      </c>
      <c r="DI47" s="7">
        <f>IF(ISBLANK(DI20),"NO DATA",IF(ISNUMBER(FIND(CODES!$A$12,DI20)),CODES!$A$12,IF(OR(ISNUMBER(FIND(CODES!$A$10,DI20)),ISNUMBER(FIND(CODES!$A$11,DI20))),CODES!$A$13,IF(OR(DI20&lt;DI$39,ISNUMBER(DI20)=FALSE),DI$40,DI20))))</f>
      </c>
    </row>
    <row r="48" spans="1:271" x14ac:dyDescent="0.25">
      <c r="A48" s="16" t="str">
        <f t="shared" si="2"/>
      </c>
      <c r="B48" s="16" t="str">
        <f t="shared" si="2"/>
      </c>
      <c r="C48" s="7">
        <f>IF(ISBLANK(C21),"NO DATA",IF(ISNUMBER(FIND(CODES!$A$12,C21)),CODES!$A$12,IF(OR(ISNUMBER(FIND(CODES!$A$10,C21)),ISNUMBER(FIND(CODES!$A$11,C21))),CODES!$A$13,IF(OR(C21&lt;C$39,ISNUMBER(C21)=FALSE),C$40,C21))))</f>
      </c>
      <c r="D48" s="7">
        <f>IF(ISBLANK(D21),"NO DATA",IF(ISNUMBER(FIND(CODES!$A$12,D21)),CODES!$A$12,IF(OR(ISNUMBER(FIND(CODES!$A$10,D21)),ISNUMBER(FIND(CODES!$A$11,D21))),CODES!$A$13,IF(OR(D21&lt;D$39,ISNUMBER(D21)=FALSE),D$40,D21))))</f>
      </c>
      <c r="E48" s="7">
        <f>IF(ISBLANK(E21),"NO DATA",IF(ISNUMBER(FIND(CODES!$A$12,E21)),CODES!$A$12,IF(OR(ISNUMBER(FIND(CODES!$A$10,E21)),ISNUMBER(FIND(CODES!$A$11,E21))),CODES!$A$13,IF(OR(E21&lt;E$39,ISNUMBER(E21)=FALSE),E$40,E21))))</f>
      </c>
      <c r="F48" s="7">
        <f>IF(ISBLANK(F21),"NO DATA",IF(ISNUMBER(FIND(CODES!$A$12,F21)),CODES!$A$12,IF(OR(ISNUMBER(FIND(CODES!$A$10,F21)),ISNUMBER(FIND(CODES!$A$11,F21))),CODES!$A$13,IF(OR(F21&lt;F$39,ISNUMBER(F21)=FALSE),F$40,F21))))</f>
      </c>
      <c r="G48" s="7">
        <f>IF(ISBLANK(G21),"NO DATA",IF(ISNUMBER(FIND(CODES!$A$12,G21)),CODES!$A$12,IF(OR(ISNUMBER(FIND(CODES!$A$10,G21)),ISNUMBER(FIND(CODES!$A$11,G21))),CODES!$A$13,IF(OR(G21&lt;G$39,ISNUMBER(G21)=FALSE),G$40,G21))))</f>
      </c>
      <c r="H48" s="7">
        <f>IF(ISBLANK(H21),"NO DATA",IF(ISNUMBER(FIND(CODES!$A$12,H21)),CODES!$A$12,IF(OR(ISNUMBER(FIND(CODES!$A$10,H21)),ISNUMBER(FIND(CODES!$A$11,H21))),CODES!$A$13,IF(OR(H21&lt;H$39,ISNUMBER(H21)=FALSE),H$40,H21))))</f>
      </c>
      <c r="I48" s="7">
        <f>IF(ISBLANK(I21),"NO DATA",IF(ISNUMBER(FIND(CODES!$A$12,I21)),CODES!$A$12,IF(OR(ISNUMBER(FIND(CODES!$A$10,I21)),ISNUMBER(FIND(CODES!$A$11,I21))),CODES!$A$13,IF(OR(I21&lt;I$39,ISNUMBER(I21)=FALSE),I$40,I21))))</f>
      </c>
      <c r="J48" s="7">
        <f>IF(ISBLANK(J21),"NO DATA",IF(ISNUMBER(FIND(CODES!$A$12,J21)),CODES!$A$12,IF(OR(ISNUMBER(FIND(CODES!$A$10,J21)),ISNUMBER(FIND(CODES!$A$11,J21))),CODES!$A$13,IF(OR(J21&lt;J$39,ISNUMBER(J21)=FALSE),J$40,J21))))</f>
      </c>
      <c r="K48" s="7">
        <f>IF(ISBLANK(K21),"NO DATA",IF(ISNUMBER(FIND(CODES!$A$12,K21)),CODES!$A$12,IF(OR(ISNUMBER(FIND(CODES!$A$10,K21)),ISNUMBER(FIND(CODES!$A$11,K21))),CODES!$A$13,IF(OR(K21&lt;K$39,ISNUMBER(K21)=FALSE),K$40,K21))))</f>
      </c>
      <c r="L48" s="7">
        <f>IF(ISBLANK(L21),"NO DATA",IF(ISNUMBER(FIND(CODES!$A$12,L21)),CODES!$A$12,IF(OR(ISNUMBER(FIND(CODES!$A$10,L21)),ISNUMBER(FIND(CODES!$A$11,L21))),CODES!$A$13,IF(OR(L21&lt;L$39,ISNUMBER(L21)=FALSE),L$40,L21))))</f>
      </c>
      <c r="M48" s="7">
        <f>IF(ISBLANK(M21),"NO DATA",IF(ISNUMBER(FIND(CODES!$A$12,M21)),CODES!$A$12,IF(OR(ISNUMBER(FIND(CODES!$A$10,M21)),ISNUMBER(FIND(CODES!$A$11,M21))),CODES!$A$13,IF(OR(M21&lt;M$39,ISNUMBER(M21)=FALSE),M$40,M21))))</f>
      </c>
      <c r="N48" s="7" t="str">
        <f>IF(ISBLANK(N21),"NO DATA",IF(ISNUMBER(FIND(CODES!$A$12,N21)),CODES!$A$12,IF(OR(ISNUMBER(FIND(CODES!$A$10,N21)),ISNUMBER(FIND(CODES!$A$11,N21))),CODES!$A$13,IF(OR(N21&lt;N$39,ISNUMBER(N21)=FALSE),N$40,N21))))</f>
      </c>
      <c r="O48" s="7" t="str">
        <f>IF(ISBLANK(O21),"NO DATA",IF(ISNUMBER(FIND(CODES!$A$12,O21)),CODES!$A$12,IF(OR(ISNUMBER(FIND(CODES!$A$10,O21)),ISNUMBER(FIND(CODES!$A$11,O21))),CODES!$A$13,IF(OR(O21&lt;O$39,ISNUMBER(O21)=FALSE),O$40,O21))))</f>
      </c>
      <c r="P48" s="7">
        <f>IF(ISBLANK(P21),"NO DATA",IF(ISNUMBER(FIND(CODES!$A$12,P21)),CODES!$A$12,IF(OR(ISNUMBER(FIND(CODES!$A$10,P21)),ISNUMBER(FIND(CODES!$A$11,P21))),CODES!$A$13,IF(OR(P21&lt;P$39,ISNUMBER(P21)=FALSE),P$40,P21))))</f>
      </c>
      <c r="Q48" s="7">
        <f>IF(ISBLANK(Q21),"NO DATA",IF(ISNUMBER(FIND(CODES!$A$12,Q21)),CODES!$A$12,IF(OR(ISNUMBER(FIND(CODES!$A$10,Q21)),ISNUMBER(FIND(CODES!$A$11,Q21))),CODES!$A$13,IF(OR(Q21&lt;Q$39,ISNUMBER(Q21)=FALSE),Q$40,Q21))))</f>
      </c>
      <c r="R48" s="7">
        <f>IF(ISBLANK(R21),"NO DATA",IF(ISNUMBER(FIND(CODES!$A$12,R21)),CODES!$A$12,IF(OR(ISNUMBER(FIND(CODES!$A$10,R21)),ISNUMBER(FIND(CODES!$A$11,R21))),CODES!$A$13,IF(OR(R21&lt;R$39,ISNUMBER(R21)=FALSE),R$40,R21))))</f>
      </c>
      <c r="S48" s="7">
        <f>IF(ISBLANK(S21),"NO DATA",IF(ISNUMBER(FIND(CODES!$A$12,S21)),CODES!$A$12,IF(OR(ISNUMBER(FIND(CODES!$A$10,S21)),ISNUMBER(FIND(CODES!$A$11,S21))),CODES!$A$13,IF(OR(S21&lt;S$39,ISNUMBER(S21)=FALSE),S$40,S21))))</f>
      </c>
      <c r="T48" s="7">
        <f>IF(ISBLANK(T21),"NO DATA",IF(ISNUMBER(FIND(CODES!$A$12,T21)),CODES!$A$12,IF(OR(ISNUMBER(FIND(CODES!$A$10,T21)),ISNUMBER(FIND(CODES!$A$11,T21))),CODES!$A$13,IF(OR(T21&lt;T$39,ISNUMBER(T21)=FALSE),T$40,T21))))</f>
      </c>
      <c r="U48" s="7">
        <f>IF(ISBLANK(U21),"NO DATA",IF(ISNUMBER(FIND(CODES!$A$12,U21)),CODES!$A$12,IF(OR(ISNUMBER(FIND(CODES!$A$10,U21)),ISNUMBER(FIND(CODES!$A$11,U21))),CODES!$A$13,IF(OR(U21&lt;U$39,ISNUMBER(U21)=FALSE),U$40,U21))))</f>
      </c>
      <c r="V48" s="7">
        <f>IF(ISBLANK(V21),"NO DATA",IF(ISNUMBER(FIND(CODES!$A$12,V21)),CODES!$A$12,IF(OR(ISNUMBER(FIND(CODES!$A$10,V21)),ISNUMBER(FIND(CODES!$A$11,V21))),CODES!$A$13,IF(OR(V21&lt;V$39,ISNUMBER(V21)=FALSE),V$40,V21))))</f>
      </c>
      <c r="W48" s="7">
        <f>IF(ISBLANK(W21),"NO DATA",IF(ISNUMBER(FIND(CODES!$A$12,W21)),CODES!$A$12,IF(OR(ISNUMBER(FIND(CODES!$A$10,W21)),ISNUMBER(FIND(CODES!$A$11,W21))),CODES!$A$13,IF(OR(W21&lt;W$39,ISNUMBER(W21)=FALSE),W$40,W21))))</f>
      </c>
      <c r="X48" s="7">
        <f>IF(ISBLANK(X21),"NO DATA",IF(ISNUMBER(FIND(CODES!$A$12,X21)),CODES!$A$12,IF(OR(ISNUMBER(FIND(CODES!$A$10,X21)),ISNUMBER(FIND(CODES!$A$11,X21))),CODES!$A$13,IF(OR(X21&lt;X$39,ISNUMBER(X21)=FALSE),X$40,X21))))</f>
      </c>
      <c r="Y48" s="7">
        <f>IF(ISBLANK(Y21),"NO DATA",IF(ISNUMBER(FIND(CODES!$A$12,Y21)),CODES!$A$12,IF(OR(ISNUMBER(FIND(CODES!$A$10,Y21)),ISNUMBER(FIND(CODES!$A$11,Y21))),CODES!$A$13,IF(OR(Y21&lt;Y$39,ISNUMBER(Y21)=FALSE),Y$40,Y21))))</f>
      </c>
      <c r="Z48" s="7">
        <f>IF(ISBLANK(Z21),"NO DATA",IF(ISNUMBER(FIND(CODES!$A$12,Z21)),CODES!$A$12,IF(OR(ISNUMBER(FIND(CODES!$A$10,Z21)),ISNUMBER(FIND(CODES!$A$11,Z21))),CODES!$A$13,IF(OR(Z21&lt;Z$39,ISNUMBER(Z21)=FALSE),Z$40,Z21))))</f>
      </c>
      <c r="AA48" s="7">
        <f>IF(ISBLANK(AA21),"NO DATA",IF(ISNUMBER(FIND(CODES!$A$12,AA21)),CODES!$A$12,IF(OR(ISNUMBER(FIND(CODES!$A$10,AA21)),ISNUMBER(FIND(CODES!$A$11,AA21))),CODES!$A$13,IF(OR(AA21&lt;AA$39,ISNUMBER(AA21)=FALSE),AA$40,AA21))))</f>
      </c>
      <c r="AB48" s="7">
        <f>IF(ISBLANK(AB21),"NO DATA",IF(ISNUMBER(FIND(CODES!$A$12,AB21)),CODES!$A$12,IF(OR(ISNUMBER(FIND(CODES!$A$10,AB21)),ISNUMBER(FIND(CODES!$A$11,AB21))),CODES!$A$13,IF(OR(AB21&lt;AB$39,ISNUMBER(AB21)=FALSE),AB$40,AB21))))</f>
      </c>
      <c r="AC48" s="7">
        <f>IF(ISBLANK(AC21),"NO DATA",IF(ISNUMBER(FIND(CODES!$A$12,AC21)),CODES!$A$12,IF(OR(ISNUMBER(FIND(CODES!$A$10,AC21)),ISNUMBER(FIND(CODES!$A$11,AC21))),CODES!$A$13,IF(OR(AC21&lt;AC$39,ISNUMBER(AC21)=FALSE),AC$40,AC21))))</f>
      </c>
      <c r="AD48" s="7">
        <f>IF(ISBLANK(AD21),"NO DATA",IF(ISNUMBER(FIND(CODES!$A$12,AD21)),CODES!$A$12,IF(OR(ISNUMBER(FIND(CODES!$A$10,AD21)),ISNUMBER(FIND(CODES!$A$11,AD21))),CODES!$A$13,IF(OR(AD21&lt;AD$39,ISNUMBER(AD21)=FALSE),AD$40,AD21))))</f>
      </c>
      <c r="AE48" s="7">
        <f>IF(ISBLANK(AE21),"NO DATA",IF(ISNUMBER(FIND(CODES!$A$12,AE21)),CODES!$A$12,IF(OR(ISNUMBER(FIND(CODES!$A$10,AE21)),ISNUMBER(FIND(CODES!$A$11,AE21))),CODES!$A$13,IF(OR(AE21&lt;AE$39,ISNUMBER(AE21)=FALSE),AE$40,AE21))))</f>
      </c>
      <c r="AF48" s="7">
        <f>IF(ISBLANK(AF21),"NO DATA",IF(ISNUMBER(FIND(CODES!$A$12,AF21)),CODES!$A$12,IF(OR(ISNUMBER(FIND(CODES!$A$10,AF21)),ISNUMBER(FIND(CODES!$A$11,AF21))),CODES!$A$13,IF(OR(AF21&lt;AF$39,ISNUMBER(AF21)=FALSE),AF$40,AF21))))</f>
      </c>
      <c r="AG48" s="7">
        <f>IF(ISBLANK(AG21),"NO DATA",IF(ISNUMBER(FIND(CODES!$A$12,AG21)),CODES!$A$12,IF(OR(ISNUMBER(FIND(CODES!$A$10,AG21)),ISNUMBER(FIND(CODES!$A$11,AG21))),CODES!$A$13,IF(OR(AG21&lt;AG$39,ISNUMBER(AG21)=FALSE),AG$40,AG21))))</f>
      </c>
      <c r="AH48" s="7">
        <f>IF(ISBLANK(AH21),"NO DATA",IF(ISNUMBER(FIND(CODES!$A$12,AH21)),CODES!$A$12,IF(OR(ISNUMBER(FIND(CODES!$A$10,AH21)),ISNUMBER(FIND(CODES!$A$11,AH21))),CODES!$A$13,IF(OR(AH21&lt;AH$39,ISNUMBER(AH21)=FALSE),AH$40,AH21))))</f>
      </c>
      <c r="AI48" s="7">
        <f>IF(ISBLANK(AI21),"NO DATA",IF(ISNUMBER(FIND(CODES!$A$12,AI21)),CODES!$A$12,IF(OR(ISNUMBER(FIND(CODES!$A$10,AI21)),ISNUMBER(FIND(CODES!$A$11,AI21))),CODES!$A$13,IF(OR(AI21&lt;AI$39,ISNUMBER(AI21)=FALSE),AI$40,AI21))))</f>
      </c>
      <c r="AJ48" s="7">
        <f>IF(ISBLANK(AJ21),"NO DATA",IF(ISNUMBER(FIND(CODES!$A$12,AJ21)),CODES!$A$12,IF(OR(ISNUMBER(FIND(CODES!$A$10,AJ21)),ISNUMBER(FIND(CODES!$A$11,AJ21))),CODES!$A$13,IF(OR(AJ21&lt;AJ$39,ISNUMBER(AJ21)=FALSE),AJ$40,AJ21))))</f>
      </c>
      <c r="AK48" s="7">
        <f>IF(ISBLANK(AK21),"NO DATA",IF(ISNUMBER(FIND(CODES!$A$12,AK21)),CODES!$A$12,IF(OR(ISNUMBER(FIND(CODES!$A$10,AK21)),ISNUMBER(FIND(CODES!$A$11,AK21))),CODES!$A$13,IF(OR(AK21&lt;AK$39,ISNUMBER(AK21)=FALSE),AK$40,AK21))))</f>
      </c>
      <c r="AL48" s="7">
        <f>IF(ISBLANK(AL21),"NO DATA",IF(ISNUMBER(FIND(CODES!$A$12,AL21)),CODES!$A$12,IF(OR(ISNUMBER(FIND(CODES!$A$10,AL21)),ISNUMBER(FIND(CODES!$A$11,AL21))),CODES!$A$13,IF(OR(AL21&lt;AL$39,ISNUMBER(AL21)=FALSE),AL$40,AL21))))</f>
      </c>
      <c r="AM48" s="7">
        <f>IF(ISBLANK(AM21),"NO DATA",IF(ISNUMBER(FIND(CODES!$A$12,AM21)),CODES!$A$12,IF(OR(ISNUMBER(FIND(CODES!$A$10,AM21)),ISNUMBER(FIND(CODES!$A$11,AM21))),CODES!$A$13,IF(OR(AM21&lt;AM$39,ISNUMBER(AM21)=FALSE),AM$40,AM21))))</f>
      </c>
      <c r="AN48" s="7">
        <f>IF(ISBLANK(AN21),"NO DATA",IF(ISNUMBER(FIND(CODES!$A$12,AN21)),CODES!$A$12,IF(OR(ISNUMBER(FIND(CODES!$A$10,AN21)),ISNUMBER(FIND(CODES!$A$11,AN21))),CODES!$A$13,IF(OR(AN21&lt;AN$39,ISNUMBER(AN21)=FALSE),AN$40,AN21))))</f>
      </c>
      <c r="AO48" s="7">
        <f>IF(ISBLANK(AO21),"NO DATA",IF(ISNUMBER(FIND(CODES!$A$12,AO21)),CODES!$A$12,IF(OR(ISNUMBER(FIND(CODES!$A$10,AO21)),ISNUMBER(FIND(CODES!$A$11,AO21))),CODES!$A$13,IF(OR(AO21&lt;AO$39,ISNUMBER(AO21)=FALSE),AO$40,AO21))))</f>
      </c>
      <c r="AP48" s="7">
        <f>IF(ISBLANK(AP21),"NO DATA",IF(ISNUMBER(FIND(CODES!$A$12,AP21)),CODES!$A$12,IF(OR(ISNUMBER(FIND(CODES!$A$10,AP21)),ISNUMBER(FIND(CODES!$A$11,AP21))),CODES!$A$13,IF(OR(AP21&lt;AP$39,ISNUMBER(AP21)=FALSE),AP$40,AP21))))</f>
      </c>
      <c r="AQ48" s="7">
        <f>IF(ISBLANK(AQ21),"NO DATA",IF(ISNUMBER(FIND(CODES!$A$12,AQ21)),CODES!$A$12,IF(OR(ISNUMBER(FIND(CODES!$A$10,AQ21)),ISNUMBER(FIND(CODES!$A$11,AQ21))),CODES!$A$13,IF(OR(AQ21&lt;AQ$39,ISNUMBER(AQ21)=FALSE),AQ$40,AQ21))))</f>
      </c>
      <c r="AR48" s="7">
        <f>IF(ISBLANK(AR21),"NO DATA",IF(ISNUMBER(FIND(CODES!$A$12,AR21)),CODES!$A$12,IF(OR(ISNUMBER(FIND(CODES!$A$10,AR21)),ISNUMBER(FIND(CODES!$A$11,AR21))),CODES!$A$13,IF(OR(AR21&lt;AR$39,ISNUMBER(AR21)=FALSE),AR$40,AR21))))</f>
      </c>
      <c r="AS48" s="7">
        <f>IF(ISBLANK(AS21),"NO DATA",IF(ISNUMBER(FIND(CODES!$A$12,AS21)),CODES!$A$12,IF(OR(ISNUMBER(FIND(CODES!$A$10,AS21)),ISNUMBER(FIND(CODES!$A$11,AS21))),CODES!$A$13,IF(OR(AS21&lt;AS$39,ISNUMBER(AS21)=FALSE),AS$40,AS21))))</f>
      </c>
      <c r="AT48" s="7">
        <f>IF(ISBLANK(AT21),"NO DATA",IF(ISNUMBER(FIND(CODES!$A$12,AT21)),CODES!$A$12,IF(OR(ISNUMBER(FIND(CODES!$A$10,AT21)),ISNUMBER(FIND(CODES!$A$11,AT21))),CODES!$A$13,IF(OR(AT21&lt;AT$39,ISNUMBER(AT21)=FALSE),AT$40,AT21))))</f>
      </c>
      <c r="AU48" s="7">
        <f>IF(ISBLANK(AU21),"NO DATA",IF(ISNUMBER(FIND(CODES!$A$12,AU21)),CODES!$A$12,IF(OR(ISNUMBER(FIND(CODES!$A$10,AU21)),ISNUMBER(FIND(CODES!$A$11,AU21))),CODES!$A$13,IF(OR(AU21&lt;AU$39,ISNUMBER(AU21)=FALSE),AU$40,AU21))))</f>
      </c>
      <c r="AV48" s="7" t="str">
        <f>IF(ISBLANK(AV21),"NO DATA",IF(ISNUMBER(FIND(CODES!$A$12,AV21)),CODES!$A$12,IF(OR(ISNUMBER(FIND(CODES!$A$10,AV21)),ISNUMBER(FIND(CODES!$A$11,AV21))),CODES!$A$13,IF(OR(AV21&lt;AV$39,ISNUMBER(AV21)=FALSE),AV$40,AV21))))</f>
      </c>
      <c r="AW48" s="7" t="str">
        <f>IF(ISBLANK(AW21),"NO DATA",IF(ISNUMBER(FIND(CODES!$A$12,AW21)),CODES!$A$12,IF(OR(ISNUMBER(FIND(CODES!$A$10,AW21)),ISNUMBER(FIND(CODES!$A$11,AW21))),CODES!$A$13,IF(OR(AW21&lt;AW$39,ISNUMBER(AW21)=FALSE),AW$40,AW21))))</f>
      </c>
      <c r="AX48" s="7">
        <f>IF(ISBLANK(AX21),"NO DATA",IF(ISNUMBER(FIND(CODES!$A$12,AX21)),CODES!$A$12,IF(OR(ISNUMBER(FIND(CODES!$A$10,AX21)),ISNUMBER(FIND(CODES!$A$11,AX21))),CODES!$A$13,IF(OR(AX21&lt;AX$39,ISNUMBER(AX21)=FALSE),AX$40,AX21))))</f>
      </c>
      <c r="AY48" s="7">
        <f>IF(ISBLANK(AY21),"NO DATA",IF(ISNUMBER(FIND(CODES!$A$12,AY21)),CODES!$A$12,IF(OR(ISNUMBER(FIND(CODES!$A$10,AY21)),ISNUMBER(FIND(CODES!$A$11,AY21))),CODES!$A$13,IF(OR(AY21&lt;AY$39,ISNUMBER(AY21)=FALSE),AY$40,AY21))))</f>
      </c>
      <c r="AZ48" s="7">
        <f>IF(ISBLANK(AZ21),"NO DATA",IF(ISNUMBER(FIND(CODES!$A$12,AZ21)),CODES!$A$12,IF(OR(ISNUMBER(FIND(CODES!$A$10,AZ21)),ISNUMBER(FIND(CODES!$A$11,AZ21))),CODES!$A$13,IF(OR(AZ21&lt;AZ$39,ISNUMBER(AZ21)=FALSE),AZ$40,AZ21))))</f>
      </c>
      <c r="BA48" s="7">
        <f>IF(ISBLANK(BA21),"NO DATA",IF(ISNUMBER(FIND(CODES!$A$12,BA21)),CODES!$A$12,IF(OR(ISNUMBER(FIND(CODES!$A$10,BA21)),ISNUMBER(FIND(CODES!$A$11,BA21))),CODES!$A$13,IF(OR(BA21&lt;BA$39,ISNUMBER(BA21)=FALSE),BA$40,BA21))))</f>
      </c>
      <c r="BB48" s="7">
        <f>IF(ISBLANK(BB21),"NO DATA",IF(ISNUMBER(FIND(CODES!$A$12,BB21)),CODES!$A$12,IF(OR(ISNUMBER(FIND(CODES!$A$10,BB21)),ISNUMBER(FIND(CODES!$A$11,BB21))),CODES!$A$13,IF(OR(BB21&lt;BB$39,ISNUMBER(BB21)=FALSE),BB$40,BB21))))</f>
      </c>
      <c r="BC48" s="7">
        <f>IF(ISBLANK(BC21),"NO DATA",IF(ISNUMBER(FIND(CODES!$A$12,BC21)),CODES!$A$12,IF(OR(ISNUMBER(FIND(CODES!$A$10,BC21)),ISNUMBER(FIND(CODES!$A$11,BC21))),CODES!$A$13,IF(OR(BC21&lt;BC$39,ISNUMBER(BC21)=FALSE),BC$40,BC21))))</f>
      </c>
      <c r="BD48" s="7">
        <f>IF(ISBLANK(BD21),"NO DATA",IF(ISNUMBER(FIND(CODES!$A$12,BD21)),CODES!$A$12,IF(OR(ISNUMBER(FIND(CODES!$A$10,BD21)),ISNUMBER(FIND(CODES!$A$11,BD21))),CODES!$A$13,IF(OR(BD21&lt;BD$39,ISNUMBER(BD21)=FALSE),BD$40,BD21))))</f>
      </c>
      <c r="BE48" s="7">
        <f>IF(ISBLANK(BE21),"NO DATA",IF(ISNUMBER(FIND(CODES!$A$12,BE21)),CODES!$A$12,IF(OR(ISNUMBER(FIND(CODES!$A$10,BE21)),ISNUMBER(FIND(CODES!$A$11,BE21))),CODES!$A$13,IF(OR(BE21&lt;BE$39,ISNUMBER(BE21)=FALSE),BE$40,BE21))))</f>
      </c>
      <c r="BF48" s="7">
        <f>IF(ISBLANK(BF21),"NO DATA",IF(ISNUMBER(FIND(CODES!$A$12,BF21)),CODES!$A$12,IF(OR(ISNUMBER(FIND(CODES!$A$10,BF21)),ISNUMBER(FIND(CODES!$A$11,BF21))),CODES!$A$13,IF(OR(BF21&lt;BF$39,ISNUMBER(BF21)=FALSE),BF$40,BF21))))</f>
      </c>
      <c r="BG48" s="7">
        <f>IF(ISBLANK(BG21),"NO DATA",IF(ISNUMBER(FIND(CODES!$A$12,BG21)),CODES!$A$12,IF(OR(ISNUMBER(FIND(CODES!$A$10,BG21)),ISNUMBER(FIND(CODES!$A$11,BG21))),CODES!$A$13,IF(OR(BG21&lt;BG$39,ISNUMBER(BG21)=FALSE),BG$40,BG21))))</f>
      </c>
      <c r="BH48" s="7">
        <f>IF(ISBLANK(BH21),"NO DATA",IF(ISNUMBER(FIND(CODES!$A$12,BH21)),CODES!$A$12,IF(OR(ISNUMBER(FIND(CODES!$A$10,BH21)),ISNUMBER(FIND(CODES!$A$11,BH21))),CODES!$A$13,IF(OR(BH21&lt;BH$39,ISNUMBER(BH21)=FALSE),BH$40,BH21))))</f>
      </c>
      <c r="BI48" s="7">
        <f>IF(ISBLANK(BI21),"NO DATA",IF(ISNUMBER(FIND(CODES!$A$12,BI21)),CODES!$A$12,IF(OR(ISNUMBER(FIND(CODES!$A$10,BI21)),ISNUMBER(FIND(CODES!$A$11,BI21))),CODES!$A$13,IF(OR(BI21&lt;BI$39,ISNUMBER(BI21)=FALSE),BI$40,BI21))))</f>
      </c>
      <c r="BJ48" s="7">
        <f>IF(ISBLANK(BJ21),"NO DATA",IF(ISNUMBER(FIND(CODES!$A$12,BJ21)),CODES!$A$12,IF(OR(ISNUMBER(FIND(CODES!$A$10,BJ21)),ISNUMBER(FIND(CODES!$A$11,BJ21))),CODES!$A$13,IF(OR(BJ21&lt;BJ$39,ISNUMBER(BJ21)=FALSE),BJ$40,BJ21))))</f>
      </c>
      <c r="BK48" s="7">
        <f>IF(ISBLANK(BK21),"NO DATA",IF(ISNUMBER(FIND(CODES!$A$12,BK21)),CODES!$A$12,IF(OR(ISNUMBER(FIND(CODES!$A$10,BK21)),ISNUMBER(FIND(CODES!$A$11,BK21))),CODES!$A$13,IF(OR(BK21&lt;BK$39,ISNUMBER(BK21)=FALSE),BK$40,BK21))))</f>
      </c>
      <c r="BL48" s="7">
        <f>IF(ISBLANK(BL21),"NO DATA",IF(ISNUMBER(FIND(CODES!$A$12,BL21)),CODES!$A$12,IF(OR(ISNUMBER(FIND(CODES!$A$10,BL21)),ISNUMBER(FIND(CODES!$A$11,BL21))),CODES!$A$13,IF(OR(BL21&lt;BL$39,ISNUMBER(BL21)=FALSE),BL$40,BL21))))</f>
      </c>
      <c r="BM48" s="7">
        <f>IF(ISBLANK(BM21),"NO DATA",IF(ISNUMBER(FIND(CODES!$A$12,BM21)),CODES!$A$12,IF(OR(ISNUMBER(FIND(CODES!$A$10,BM21)),ISNUMBER(FIND(CODES!$A$11,BM21))),CODES!$A$13,IF(OR(BM21&lt;BM$39,ISNUMBER(BM21)=FALSE),BM$40,BM21))))</f>
      </c>
      <c r="BN48" s="7" t="str">
        <f>IF(ISBLANK(BN21),"NO DATA",IF(ISNUMBER(FIND(CODES!$A$12,BN21)),CODES!$A$12,IF(OR(ISNUMBER(FIND(CODES!$A$10,BN21)),ISNUMBER(FIND(CODES!$A$11,BN21))),CODES!$A$13,IF(OR(BN21&lt;BN$39,ISNUMBER(BN21)=FALSE),BN$40,BN21))))</f>
      </c>
      <c r="BO48" s="7" t="str">
        <f>IF(ISBLANK(BO21),"NO DATA",IF(ISNUMBER(FIND(CODES!$A$12,BO21)),CODES!$A$12,IF(OR(ISNUMBER(FIND(CODES!$A$10,BO21)),ISNUMBER(FIND(CODES!$A$11,BO21))),CODES!$A$13,IF(OR(BO21&lt;BO$39,ISNUMBER(BO21)=FALSE),BO$40,BO21))))</f>
      </c>
      <c r="BP48" s="7">
        <f>IF(ISBLANK(BP21),"NO DATA",IF(ISNUMBER(FIND(CODES!$A$12,BP21)),CODES!$A$12,IF(OR(ISNUMBER(FIND(CODES!$A$10,BP21)),ISNUMBER(FIND(CODES!$A$11,BP21))),CODES!$A$13,IF(OR(BP21&lt;BP$39,ISNUMBER(BP21)=FALSE),BP$40,BP21))))</f>
      </c>
      <c r="BQ48" s="7">
        <f>IF(ISBLANK(BQ21),"NO DATA",IF(ISNUMBER(FIND(CODES!$A$12,BQ21)),CODES!$A$12,IF(OR(ISNUMBER(FIND(CODES!$A$10,BQ21)),ISNUMBER(FIND(CODES!$A$11,BQ21))),CODES!$A$13,IF(OR(BQ21&lt;BQ$39,ISNUMBER(BQ21)=FALSE),BQ$40,BQ21))))</f>
      </c>
      <c r="BR48" s="7">
        <f>IF(ISBLANK(BR21),"NO DATA",IF(ISNUMBER(FIND(CODES!$A$12,BR21)),CODES!$A$12,IF(OR(ISNUMBER(FIND(CODES!$A$10,BR21)),ISNUMBER(FIND(CODES!$A$11,BR21))),CODES!$A$13,IF(OR(BR21&lt;BR$39,ISNUMBER(BR21)=FALSE),BR$40,BR21))))</f>
      </c>
      <c r="BS48" s="7">
        <f>IF(ISBLANK(BS21),"NO DATA",IF(ISNUMBER(FIND(CODES!$A$12,BS21)),CODES!$A$12,IF(OR(ISNUMBER(FIND(CODES!$A$10,BS21)),ISNUMBER(FIND(CODES!$A$11,BS21))),CODES!$A$13,IF(OR(BS21&lt;BS$39,ISNUMBER(BS21)=FALSE),BS$40,BS21))))</f>
      </c>
      <c r="BT48" s="7">
        <f>IF(ISBLANK(BT21),"NO DATA",IF(ISNUMBER(FIND(CODES!$A$12,BT21)),CODES!$A$12,IF(OR(ISNUMBER(FIND(CODES!$A$10,BT21)),ISNUMBER(FIND(CODES!$A$11,BT21))),CODES!$A$13,IF(OR(BT21&lt;BT$39,ISNUMBER(BT21)=FALSE),BT$40,BT21))))</f>
      </c>
      <c r="BU48" s="7">
        <f>IF(ISBLANK(BU21),"NO DATA",IF(ISNUMBER(FIND(CODES!$A$12,BU21)),CODES!$A$12,IF(OR(ISNUMBER(FIND(CODES!$A$10,BU21)),ISNUMBER(FIND(CODES!$A$11,BU21))),CODES!$A$13,IF(OR(BU21&lt;BU$39,ISNUMBER(BU21)=FALSE),BU$40,BU21))))</f>
      </c>
      <c r="BV48" s="7">
        <f>IF(ISBLANK(BV21),"NO DATA",IF(ISNUMBER(FIND(CODES!$A$12,BV21)),CODES!$A$12,IF(OR(ISNUMBER(FIND(CODES!$A$10,BV21)),ISNUMBER(FIND(CODES!$A$11,BV21))),CODES!$A$13,IF(OR(BV21&lt;BV$39,ISNUMBER(BV21)=FALSE),BV$40,BV21))))</f>
      </c>
      <c r="BW48" s="7" t="str">
        <f>IF(ISBLANK(BW21),"NO DATA",IF(ISNUMBER(FIND(CODES!$A$12,BW21)),CODES!$A$12,IF(OR(ISNUMBER(FIND(CODES!$A$10,BW21)),ISNUMBER(FIND(CODES!$A$11,BW21))),CODES!$A$13,IF(OR(BW21&lt;BW$39,ISNUMBER(BW21)=FALSE),BW$40,BW21))))</f>
      </c>
      <c r="BX48" s="7" t="str">
        <f>IF(ISBLANK(BX21),"NO DATA",IF(ISNUMBER(FIND(CODES!$A$12,BX21)),CODES!$A$12,IF(OR(ISNUMBER(FIND(CODES!$A$10,BX21)),ISNUMBER(FIND(CODES!$A$11,BX21))),CODES!$A$13,IF(OR(BX21&lt;BX$39,ISNUMBER(BX21)=FALSE),BX$40,BX21))))</f>
      </c>
      <c r="BY48" s="7">
        <f>IF(ISBLANK(BY21),"NO DATA",IF(ISNUMBER(FIND(CODES!$A$12,BY21)),CODES!$A$12,IF(OR(ISNUMBER(FIND(CODES!$A$10,BY21)),ISNUMBER(FIND(CODES!$A$11,BY21))),CODES!$A$13,IF(OR(BY21&lt;BY$39,ISNUMBER(BY21)=FALSE),BY$40,BY21))))</f>
      </c>
      <c r="BZ48" s="7">
        <f>IF(ISBLANK(BZ21),"NO DATA",IF(ISNUMBER(FIND(CODES!$A$12,BZ21)),CODES!$A$12,IF(OR(ISNUMBER(FIND(CODES!$A$10,BZ21)),ISNUMBER(FIND(CODES!$A$11,BZ21))),CODES!$A$13,IF(OR(BZ21&lt;BZ$39,ISNUMBER(BZ21)=FALSE),BZ$40,BZ21))))</f>
      </c>
      <c r="CA48" s="7">
        <f>IF(ISBLANK(CA21),"NO DATA",IF(ISNUMBER(FIND(CODES!$A$12,CA21)),CODES!$A$12,IF(OR(ISNUMBER(FIND(CODES!$A$10,CA21)),ISNUMBER(FIND(CODES!$A$11,CA21))),CODES!$A$13,IF(OR(CA21&lt;CA$39,ISNUMBER(CA21)=FALSE),CA$40,CA21))))</f>
      </c>
      <c r="CB48" s="7">
        <f>IF(ISBLANK(CB21),"NO DATA",IF(ISNUMBER(FIND(CODES!$A$12,CB21)),CODES!$A$12,IF(OR(ISNUMBER(FIND(CODES!$A$10,CB21)),ISNUMBER(FIND(CODES!$A$11,CB21))),CODES!$A$13,IF(OR(CB21&lt;CB$39,ISNUMBER(CB21)=FALSE),CB$40,CB21))))</f>
      </c>
      <c r="CC48" s="7">
        <f>IF(ISBLANK(CC21),"NO DATA",IF(ISNUMBER(FIND(CODES!$A$12,CC21)),CODES!$A$12,IF(OR(ISNUMBER(FIND(CODES!$A$10,CC21)),ISNUMBER(FIND(CODES!$A$11,CC21))),CODES!$A$13,IF(OR(CC21&lt;CC$39,ISNUMBER(CC21)=FALSE),CC$40,CC21))))</f>
      </c>
      <c r="CD48" s="7">
        <f>IF(ISBLANK(CD21),"NO DATA",IF(ISNUMBER(FIND(CODES!$A$12,CD21)),CODES!$A$12,IF(OR(ISNUMBER(FIND(CODES!$A$10,CD21)),ISNUMBER(FIND(CODES!$A$11,CD21))),CODES!$A$13,IF(OR(CD21&lt;CD$39,ISNUMBER(CD21)=FALSE),CD$40,CD21))))</f>
      </c>
      <c r="CE48" s="7">
        <f>IF(ISBLANK(CE21),"NO DATA",IF(ISNUMBER(FIND(CODES!$A$12,CE21)),CODES!$A$12,IF(OR(ISNUMBER(FIND(CODES!$A$10,CE21)),ISNUMBER(FIND(CODES!$A$11,CE21))),CODES!$A$13,IF(OR(CE21&lt;CE$39,ISNUMBER(CE21)=FALSE),CE$40,CE21))))</f>
      </c>
      <c r="CF48" s="7">
        <f>IF(ISBLANK(CF21),"NO DATA",IF(ISNUMBER(FIND(CODES!$A$12,CF21)),CODES!$A$12,IF(OR(ISNUMBER(FIND(CODES!$A$10,CF21)),ISNUMBER(FIND(CODES!$A$11,CF21))),CODES!$A$13,IF(OR(CF21&lt;CF$39,ISNUMBER(CF21)=FALSE),CF$40,CF21))))</f>
      </c>
      <c r="CG48" s="7">
        <f>IF(ISBLANK(CG21),"NO DATA",IF(ISNUMBER(FIND(CODES!$A$12,CG21)),CODES!$A$12,IF(OR(ISNUMBER(FIND(CODES!$A$10,CG21)),ISNUMBER(FIND(CODES!$A$11,CG21))),CODES!$A$13,IF(OR(CG21&lt;CG$39,ISNUMBER(CG21)=FALSE),CG$40,CG21))))</f>
      </c>
      <c r="CH48" s="7">
        <f>IF(ISBLANK(CH21),"NO DATA",IF(ISNUMBER(FIND(CODES!$A$12,CH21)),CODES!$A$12,IF(OR(ISNUMBER(FIND(CODES!$A$10,CH21)),ISNUMBER(FIND(CODES!$A$11,CH21))),CODES!$A$13,IF(OR(CH21&lt;CH$39,ISNUMBER(CH21)=FALSE),CH$40,CH21))))</f>
      </c>
      <c r="CI48" s="7">
        <f>IF(ISBLANK(CI21),"NO DATA",IF(ISNUMBER(FIND(CODES!$A$12,CI21)),CODES!$A$12,IF(OR(ISNUMBER(FIND(CODES!$A$10,CI21)),ISNUMBER(FIND(CODES!$A$11,CI21))),CODES!$A$13,IF(OR(CI21&lt;CI$39,ISNUMBER(CI21)=FALSE),CI$40,CI21))))</f>
      </c>
      <c r="CJ48" s="7">
        <f>IF(ISBLANK(CJ21),"NO DATA",IF(ISNUMBER(FIND(CODES!$A$12,CJ21)),CODES!$A$12,IF(OR(ISNUMBER(FIND(CODES!$A$10,CJ21)),ISNUMBER(FIND(CODES!$A$11,CJ21))),CODES!$A$13,IF(OR(CJ21&lt;CJ$39,ISNUMBER(CJ21)=FALSE),CJ$40,CJ21))))</f>
      </c>
      <c r="CK48" s="7">
        <f>IF(ISBLANK(CK21),"NO DATA",IF(ISNUMBER(FIND(CODES!$A$12,CK21)),CODES!$A$12,IF(OR(ISNUMBER(FIND(CODES!$A$10,CK21)),ISNUMBER(FIND(CODES!$A$11,CK21))),CODES!$A$13,IF(OR(CK21&lt;CK$39,ISNUMBER(CK21)=FALSE),CK$40,CK21))))</f>
      </c>
      <c r="CL48" s="7">
        <f>IF(ISBLANK(CL21),"NO DATA",IF(ISNUMBER(FIND(CODES!$A$12,CL21)),CODES!$A$12,IF(OR(ISNUMBER(FIND(CODES!$A$10,CL21)),ISNUMBER(FIND(CODES!$A$11,CL21))),CODES!$A$13,IF(OR(CL21&lt;CL$39,ISNUMBER(CL21)=FALSE),CL$40,CL21))))</f>
      </c>
      <c r="CM48" s="7">
        <f>IF(ISBLANK(CM21),"NO DATA",IF(ISNUMBER(FIND(CODES!$A$12,CM21)),CODES!$A$12,IF(OR(ISNUMBER(FIND(CODES!$A$10,CM21)),ISNUMBER(FIND(CODES!$A$11,CM21))),CODES!$A$13,IF(OR(CM21&lt;CM$39,ISNUMBER(CM21)=FALSE),CM$40,CM21))))</f>
      </c>
      <c r="CN48" s="7">
        <f>IF(ISBLANK(CN21),"NO DATA",IF(ISNUMBER(FIND(CODES!$A$12,CN21)),CODES!$A$12,IF(OR(ISNUMBER(FIND(CODES!$A$10,CN21)),ISNUMBER(FIND(CODES!$A$11,CN21))),CODES!$A$13,IF(OR(CN21&lt;CN$39,ISNUMBER(CN21)=FALSE),CN$40,CN21))))</f>
      </c>
      <c r="CO48" s="7">
        <f>IF(ISBLANK(CO21),"NO DATA",IF(ISNUMBER(FIND(CODES!$A$12,CO21)),CODES!$A$12,IF(OR(ISNUMBER(FIND(CODES!$A$10,CO21)),ISNUMBER(FIND(CODES!$A$11,CO21))),CODES!$A$13,IF(OR(CO21&lt;CO$39,ISNUMBER(CO21)=FALSE),CO$40,CO21))))</f>
      </c>
      <c r="CP48" s="7">
        <f>IF(ISBLANK(CP21),"NO DATA",IF(ISNUMBER(FIND(CODES!$A$12,CP21)),CODES!$A$12,IF(OR(ISNUMBER(FIND(CODES!$A$10,CP21)),ISNUMBER(FIND(CODES!$A$11,CP21))),CODES!$A$13,IF(OR(CP21&lt;CP$39,ISNUMBER(CP21)=FALSE),CP$40,CP21))))</f>
      </c>
      <c r="CQ48" s="7">
        <f>IF(ISBLANK(CQ21),"NO DATA",IF(ISNUMBER(FIND(CODES!$A$12,CQ21)),CODES!$A$12,IF(OR(ISNUMBER(FIND(CODES!$A$10,CQ21)),ISNUMBER(FIND(CODES!$A$11,CQ21))),CODES!$A$13,IF(OR(CQ21&lt;CQ$39,ISNUMBER(CQ21)=FALSE),CQ$40,CQ21))))</f>
      </c>
      <c r="CR48" s="7">
        <f>IF(ISBLANK(CR21),"NO DATA",IF(ISNUMBER(FIND(CODES!$A$12,CR21)),CODES!$A$12,IF(OR(ISNUMBER(FIND(CODES!$A$10,CR21)),ISNUMBER(FIND(CODES!$A$11,CR21))),CODES!$A$13,IF(OR(CR21&lt;CR$39,ISNUMBER(CR21)=FALSE),CR$40,CR21))))</f>
      </c>
      <c r="CS48" s="7">
        <f>IF(ISBLANK(CS21),"NO DATA",IF(ISNUMBER(FIND(CODES!$A$12,CS21)),CODES!$A$12,IF(OR(ISNUMBER(FIND(CODES!$A$10,CS21)),ISNUMBER(FIND(CODES!$A$11,CS21))),CODES!$A$13,IF(OR(CS21&lt;CS$39,ISNUMBER(CS21)=FALSE),CS$40,CS21))))</f>
      </c>
      <c r="CT48" s="7">
        <f>IF(ISBLANK(CT21),"NO DATA",IF(ISNUMBER(FIND(CODES!$A$12,CT21)),CODES!$A$12,IF(OR(ISNUMBER(FIND(CODES!$A$10,CT21)),ISNUMBER(FIND(CODES!$A$11,CT21))),CODES!$A$13,IF(OR(CT21&lt;CT$39,ISNUMBER(CT21)=FALSE),CT$40,CT21))))</f>
      </c>
      <c r="CU48" s="7">
        <f>IF(ISBLANK(CU21),"NO DATA",IF(ISNUMBER(FIND(CODES!$A$12,CU21)),CODES!$A$12,IF(OR(ISNUMBER(FIND(CODES!$A$10,CU21)),ISNUMBER(FIND(CODES!$A$11,CU21))),CODES!$A$13,IF(OR(CU21&lt;CU$39,ISNUMBER(CU21)=FALSE),CU$40,CU21))))</f>
      </c>
      <c r="CV48" s="7">
        <f>IF(ISBLANK(CV21),"NO DATA",IF(ISNUMBER(FIND(CODES!$A$12,CV21)),CODES!$A$12,IF(OR(ISNUMBER(FIND(CODES!$A$10,CV21)),ISNUMBER(FIND(CODES!$A$11,CV21))),CODES!$A$13,IF(OR(CV21&lt;CV$39,ISNUMBER(CV21)=FALSE),CV$40,CV21))))</f>
      </c>
      <c r="CW48" s="7">
        <f>IF(ISBLANK(CW21),"NO DATA",IF(ISNUMBER(FIND(CODES!$A$12,CW21)),CODES!$A$12,IF(OR(ISNUMBER(FIND(CODES!$A$10,CW21)),ISNUMBER(FIND(CODES!$A$11,CW21))),CODES!$A$13,IF(OR(CW21&lt;CW$39,ISNUMBER(CW21)=FALSE),CW$40,CW21))))</f>
      </c>
      <c r="CX48" s="7">
        <f>IF(ISBLANK(CX21),"NO DATA",IF(ISNUMBER(FIND(CODES!$A$12,CX21)),CODES!$A$12,IF(OR(ISNUMBER(FIND(CODES!$A$10,CX21)),ISNUMBER(FIND(CODES!$A$11,CX21))),CODES!$A$13,IF(OR(CX21&lt;CX$39,ISNUMBER(CX21)=FALSE),CX$40,CX21))))</f>
      </c>
      <c r="CY48" s="7">
        <f>IF(ISBLANK(CY21),"NO DATA",IF(ISNUMBER(FIND(CODES!$A$12,CY21)),CODES!$A$12,IF(OR(ISNUMBER(FIND(CODES!$A$10,CY21)),ISNUMBER(FIND(CODES!$A$11,CY21))),CODES!$A$13,IF(OR(CY21&lt;CY$39,ISNUMBER(CY21)=FALSE),CY$40,CY21))))</f>
      </c>
      <c r="CZ48" s="7">
        <f>IF(ISBLANK(CZ21),"NO DATA",IF(ISNUMBER(FIND(CODES!$A$12,CZ21)),CODES!$A$12,IF(OR(ISNUMBER(FIND(CODES!$A$10,CZ21)),ISNUMBER(FIND(CODES!$A$11,CZ21))),CODES!$A$13,IF(OR(CZ21&lt;CZ$39,ISNUMBER(CZ21)=FALSE),CZ$40,CZ21))))</f>
      </c>
      <c r="DA48" s="7">
        <f>IF(ISBLANK(DA21),"NO DATA",IF(ISNUMBER(FIND(CODES!$A$12,DA21)),CODES!$A$12,IF(OR(ISNUMBER(FIND(CODES!$A$10,DA21)),ISNUMBER(FIND(CODES!$A$11,DA21))),CODES!$A$13,IF(OR(DA21&lt;DA$39,ISNUMBER(DA21)=FALSE),DA$40,DA21))))</f>
      </c>
      <c r="DB48" s="7" t="str">
        <f>IF(ISBLANK(DB21),"NO DATA",IF(ISNUMBER(FIND(CODES!$A$12,DB21)),CODES!$A$12,IF(OR(ISNUMBER(FIND(CODES!$A$10,DB21)),ISNUMBER(FIND(CODES!$A$11,DB21))),CODES!$A$13,IF(OR(DB21&lt;DB$39,ISNUMBER(DB21)=FALSE),DB$40,DB21))))</f>
      </c>
      <c r="DC48" s="7" t="str">
        <f>IF(ISBLANK(DC21),"NO DATA",IF(ISNUMBER(FIND(CODES!$A$12,DC21)),CODES!$A$12,IF(OR(ISNUMBER(FIND(CODES!$A$10,DC21)),ISNUMBER(FIND(CODES!$A$11,DC21))),CODES!$A$13,IF(OR(DC21&lt;DC$39,ISNUMBER(DC21)=FALSE),DC$40,DC21))))</f>
      </c>
      <c r="DD48" s="7">
        <f>IF(ISBLANK(DD21),"NO DATA",IF(ISNUMBER(FIND(CODES!$A$12,DD21)),CODES!$A$12,IF(OR(ISNUMBER(FIND(CODES!$A$10,DD21)),ISNUMBER(FIND(CODES!$A$11,DD21))),CODES!$A$13,IF(OR(DD21&lt;DD$39,ISNUMBER(DD21)=FALSE),DD$40,DD21))))</f>
      </c>
      <c r="DE48" s="7">
        <f>IF(ISBLANK(DE21),"NO DATA",IF(ISNUMBER(FIND(CODES!$A$12,DE21)),CODES!$A$12,IF(OR(ISNUMBER(FIND(CODES!$A$10,DE21)),ISNUMBER(FIND(CODES!$A$11,DE21))),CODES!$A$13,IF(OR(DE21&lt;DE$39,ISNUMBER(DE21)=FALSE),DE$40,DE21))))</f>
      </c>
      <c r="DF48" s="7">
        <f>IF(ISBLANK(DF21),"NO DATA",IF(ISNUMBER(FIND(CODES!$A$12,DF21)),CODES!$A$12,IF(OR(ISNUMBER(FIND(CODES!$A$10,DF21)),ISNUMBER(FIND(CODES!$A$11,DF21))),CODES!$A$13,IF(OR(DF21&lt;DF$39,ISNUMBER(DF21)=FALSE),DF$40,DF21))))</f>
      </c>
      <c r="DG48" s="7">
        <f>IF(ISBLANK(DG21),"NO DATA",IF(ISNUMBER(FIND(CODES!$A$12,DG21)),CODES!$A$12,IF(OR(ISNUMBER(FIND(CODES!$A$10,DG21)),ISNUMBER(FIND(CODES!$A$11,DG21))),CODES!$A$13,IF(OR(DG21&lt;DG$39,ISNUMBER(DG21)=FALSE),DG$40,DG21))))</f>
      </c>
      <c r="DH48" s="7">
        <f>IF(ISBLANK(DH21),"NO DATA",IF(ISNUMBER(FIND(CODES!$A$12,DH21)),CODES!$A$12,IF(OR(ISNUMBER(FIND(CODES!$A$10,DH21)),ISNUMBER(FIND(CODES!$A$11,DH21))),CODES!$A$13,IF(OR(DH21&lt;DH$39,ISNUMBER(DH21)=FALSE),DH$40,DH21))))</f>
      </c>
      <c r="DI48" s="7">
        <f>IF(ISBLANK(DI21),"NO DATA",IF(ISNUMBER(FIND(CODES!$A$12,DI21)),CODES!$A$12,IF(OR(ISNUMBER(FIND(CODES!$A$10,DI21)),ISNUMBER(FIND(CODES!$A$11,DI21))),CODES!$A$13,IF(OR(DI21&lt;DI$39,ISNUMBER(DI21)=FALSE),DI$40,DI21))))</f>
      </c>
    </row>
    <row r="49" spans="1:113" x14ac:dyDescent="0.25">
      <c r="A49" s="16" t="str">
        <f t="shared" si="2"/>
      </c>
      <c r="B49" s="16" t="str">
        <f t="shared" si="2"/>
      </c>
      <c r="C49" s="7" t="str">
        <f>IF(ISBLANK(C22),"NO DATA",IF(ISNUMBER(FIND(CODES!$A$12,C22)),CODES!$A$12,IF(OR(ISNUMBER(FIND(CODES!$A$10,C22)),ISNUMBER(FIND(CODES!$A$11,C22))),CODES!$A$13,IF(OR(C22&lt;C$39,ISNUMBER(C22)=FALSE),C$40,C22))))</f>
      </c>
      <c r="D49" s="7" t="str">
        <f>IF(ISBLANK(D22),"NO DATA",IF(ISNUMBER(FIND(CODES!$A$12,D22)),CODES!$A$12,IF(OR(ISNUMBER(FIND(CODES!$A$10,D22)),ISNUMBER(FIND(CODES!$A$11,D22))),CODES!$A$13,IF(OR(D22&lt;D$39,ISNUMBER(D22)=FALSE),D$40,D22))))</f>
      </c>
      <c r="E49" s="7" t="str">
        <f>IF(ISBLANK(E22),"NO DATA",IF(ISNUMBER(FIND(CODES!$A$12,E22)),CODES!$A$12,IF(OR(ISNUMBER(FIND(CODES!$A$10,E22)),ISNUMBER(FIND(CODES!$A$11,E22))),CODES!$A$13,IF(OR(E22&lt;E$39,ISNUMBER(E22)=FALSE),E$40,E22))))</f>
      </c>
      <c r="F49" s="7" t="str">
        <f>IF(ISBLANK(F22),"NO DATA",IF(ISNUMBER(FIND(CODES!$A$12,F22)),CODES!$A$12,IF(OR(ISNUMBER(FIND(CODES!$A$10,F22)),ISNUMBER(FIND(CODES!$A$11,F22))),CODES!$A$13,IF(OR(F22&lt;F$39,ISNUMBER(F22)=FALSE),F$40,F22))))</f>
      </c>
      <c r="G49" s="7" t="str">
        <f>IF(ISBLANK(G22),"NO DATA",IF(ISNUMBER(FIND(CODES!$A$12,G22)),CODES!$A$12,IF(OR(ISNUMBER(FIND(CODES!$A$10,G22)),ISNUMBER(FIND(CODES!$A$11,G22))),CODES!$A$13,IF(OR(G22&lt;G$39,ISNUMBER(G22)=FALSE),G$40,G22))))</f>
      </c>
      <c r="H49" s="7" t="str">
        <f>IF(ISBLANK(H22),"NO DATA",IF(ISNUMBER(FIND(CODES!$A$12,H22)),CODES!$A$12,IF(OR(ISNUMBER(FIND(CODES!$A$10,H22)),ISNUMBER(FIND(CODES!$A$11,H22))),CODES!$A$13,IF(OR(H22&lt;H$39,ISNUMBER(H22)=FALSE),H$40,H22))))</f>
      </c>
      <c r="I49" s="7" t="str">
        <f>IF(ISBLANK(I22),"NO DATA",IF(ISNUMBER(FIND(CODES!$A$12,I22)),CODES!$A$12,IF(OR(ISNUMBER(FIND(CODES!$A$10,I22)),ISNUMBER(FIND(CODES!$A$11,I22))),CODES!$A$13,IF(OR(I22&lt;I$39,ISNUMBER(I22)=FALSE),I$40,I22))))</f>
      </c>
      <c r="J49" s="7" t="str">
        <f>IF(ISBLANK(J22),"NO DATA",IF(ISNUMBER(FIND(CODES!$A$12,J22)),CODES!$A$12,IF(OR(ISNUMBER(FIND(CODES!$A$10,J22)),ISNUMBER(FIND(CODES!$A$11,J22))),CODES!$A$13,IF(OR(J22&lt;J$39,ISNUMBER(J22)=FALSE),J$40,J22))))</f>
      </c>
      <c r="K49" s="7" t="str">
        <f>IF(ISBLANK(K22),"NO DATA",IF(ISNUMBER(FIND(CODES!$A$12,K22)),CODES!$A$12,IF(OR(ISNUMBER(FIND(CODES!$A$10,K22)),ISNUMBER(FIND(CODES!$A$11,K22))),CODES!$A$13,IF(OR(K22&lt;K$39,ISNUMBER(K22)=FALSE),K$40,K22))))</f>
      </c>
      <c r="L49" s="7" t="str">
        <f>IF(ISBLANK(L22),"NO DATA",IF(ISNUMBER(FIND(CODES!$A$12,L22)),CODES!$A$12,IF(OR(ISNUMBER(FIND(CODES!$A$10,L22)),ISNUMBER(FIND(CODES!$A$11,L22))),CODES!$A$13,IF(OR(L22&lt;L$39,ISNUMBER(L22)=FALSE),L$40,L22))))</f>
      </c>
      <c r="M49" s="7" t="str">
        <f>IF(ISBLANK(M22),"NO DATA",IF(ISNUMBER(FIND(CODES!$A$12,M22)),CODES!$A$12,IF(OR(ISNUMBER(FIND(CODES!$A$10,M22)),ISNUMBER(FIND(CODES!$A$11,M22))),CODES!$A$13,IF(OR(M22&lt;M$39,ISNUMBER(M22)=FALSE),M$40,M22))))</f>
      </c>
      <c r="N49" s="7" t="str">
        <f>IF(ISBLANK(N22),"NO DATA",IF(ISNUMBER(FIND(CODES!$A$12,N22)),CODES!$A$12,IF(OR(ISNUMBER(FIND(CODES!$A$10,N22)),ISNUMBER(FIND(CODES!$A$11,N22))),CODES!$A$13,IF(OR(N22&lt;N$39,ISNUMBER(N22)=FALSE),N$40,N22))))</f>
      </c>
      <c r="O49" s="7" t="str">
        <f>IF(ISBLANK(O22),"NO DATA",IF(ISNUMBER(FIND(CODES!$A$12,O22)),CODES!$A$12,IF(OR(ISNUMBER(FIND(CODES!$A$10,O22)),ISNUMBER(FIND(CODES!$A$11,O22))),CODES!$A$13,IF(OR(O22&lt;O$39,ISNUMBER(O22)=FALSE),O$40,O22))))</f>
      </c>
      <c r="P49" s="7" t="str">
        <f>IF(ISBLANK(P22),"NO DATA",IF(ISNUMBER(FIND(CODES!$A$12,P22)),CODES!$A$12,IF(OR(ISNUMBER(FIND(CODES!$A$10,P22)),ISNUMBER(FIND(CODES!$A$11,P22))),CODES!$A$13,IF(OR(P22&lt;P$39,ISNUMBER(P22)=FALSE),P$40,P22))))</f>
      </c>
      <c r="Q49" s="7" t="str">
        <f>IF(ISBLANK(Q22),"NO DATA",IF(ISNUMBER(FIND(CODES!$A$12,Q22)),CODES!$A$12,IF(OR(ISNUMBER(FIND(CODES!$A$10,Q22)),ISNUMBER(FIND(CODES!$A$11,Q22))),CODES!$A$13,IF(OR(Q22&lt;Q$39,ISNUMBER(Q22)=FALSE),Q$40,Q22))))</f>
      </c>
      <c r="R49" s="7" t="str">
        <f>IF(ISBLANK(R22),"NO DATA",IF(ISNUMBER(FIND(CODES!$A$12,R22)),CODES!$A$12,IF(OR(ISNUMBER(FIND(CODES!$A$10,R22)),ISNUMBER(FIND(CODES!$A$11,R22))),CODES!$A$13,IF(OR(R22&lt;R$39,ISNUMBER(R22)=FALSE),R$40,R22))))</f>
      </c>
      <c r="S49" s="7" t="str">
        <f>IF(ISBLANK(S22),"NO DATA",IF(ISNUMBER(FIND(CODES!$A$12,S22)),CODES!$A$12,IF(OR(ISNUMBER(FIND(CODES!$A$10,S22)),ISNUMBER(FIND(CODES!$A$11,S22))),CODES!$A$13,IF(OR(S22&lt;S$39,ISNUMBER(S22)=FALSE),S$40,S22))))</f>
      </c>
      <c r="T49" s="7" t="str">
        <f>IF(ISBLANK(T22),"NO DATA",IF(ISNUMBER(FIND(CODES!$A$12,T22)),CODES!$A$12,IF(OR(ISNUMBER(FIND(CODES!$A$10,T22)),ISNUMBER(FIND(CODES!$A$11,T22))),CODES!$A$13,IF(OR(T22&lt;T$39,ISNUMBER(T22)=FALSE),T$40,T22))))</f>
      </c>
      <c r="U49" s="7" t="str">
        <f>IF(ISBLANK(U22),"NO DATA",IF(ISNUMBER(FIND(CODES!$A$12,U22)),CODES!$A$12,IF(OR(ISNUMBER(FIND(CODES!$A$10,U22)),ISNUMBER(FIND(CODES!$A$11,U22))),CODES!$A$13,IF(OR(U22&lt;U$39,ISNUMBER(U22)=FALSE),U$40,U22))))</f>
      </c>
      <c r="V49" s="7" t="str">
        <f>IF(ISBLANK(V22),"NO DATA",IF(ISNUMBER(FIND(CODES!$A$12,V22)),CODES!$A$12,IF(OR(ISNUMBER(FIND(CODES!$A$10,V22)),ISNUMBER(FIND(CODES!$A$11,V22))),CODES!$A$13,IF(OR(V22&lt;V$39,ISNUMBER(V22)=FALSE),V$40,V22))))</f>
      </c>
      <c r="W49" s="7" t="str">
        <f>IF(ISBLANK(W22),"NO DATA",IF(ISNUMBER(FIND(CODES!$A$12,W22)),CODES!$A$12,IF(OR(ISNUMBER(FIND(CODES!$A$10,W22)),ISNUMBER(FIND(CODES!$A$11,W22))),CODES!$A$13,IF(OR(W22&lt;W$39,ISNUMBER(W22)=FALSE),W$40,W22))))</f>
      </c>
      <c r="X49" s="7" t="str">
        <f>IF(ISBLANK(X22),"NO DATA",IF(ISNUMBER(FIND(CODES!$A$12,X22)),CODES!$A$12,IF(OR(ISNUMBER(FIND(CODES!$A$10,X22)),ISNUMBER(FIND(CODES!$A$11,X22))),CODES!$A$13,IF(OR(X22&lt;X$39,ISNUMBER(X22)=FALSE),X$40,X22))))</f>
      </c>
      <c r="Y49" s="7" t="str">
        <f>IF(ISBLANK(Y22),"NO DATA",IF(ISNUMBER(FIND(CODES!$A$12,Y22)),CODES!$A$12,IF(OR(ISNUMBER(FIND(CODES!$A$10,Y22)),ISNUMBER(FIND(CODES!$A$11,Y22))),CODES!$A$13,IF(OR(Y22&lt;Y$39,ISNUMBER(Y22)=FALSE),Y$40,Y22))))</f>
      </c>
      <c r="Z49" s="7" t="str">
        <f>IF(ISBLANK(Z22),"NO DATA",IF(ISNUMBER(FIND(CODES!$A$12,Z22)),CODES!$A$12,IF(OR(ISNUMBER(FIND(CODES!$A$10,Z22)),ISNUMBER(FIND(CODES!$A$11,Z22))),CODES!$A$13,IF(OR(Z22&lt;Z$39,ISNUMBER(Z22)=FALSE),Z$40,Z22))))</f>
      </c>
      <c r="AA49" s="7" t="str">
        <f>IF(ISBLANK(AA22),"NO DATA",IF(ISNUMBER(FIND(CODES!$A$12,AA22)),CODES!$A$12,IF(OR(ISNUMBER(FIND(CODES!$A$10,AA22)),ISNUMBER(FIND(CODES!$A$11,AA22))),CODES!$A$13,IF(OR(AA22&lt;AA$39,ISNUMBER(AA22)=FALSE),AA$40,AA22))))</f>
      </c>
      <c r="AB49" s="7" t="str">
        <f>IF(ISBLANK(AB22),"NO DATA",IF(ISNUMBER(FIND(CODES!$A$12,AB22)),CODES!$A$12,IF(OR(ISNUMBER(FIND(CODES!$A$10,AB22)),ISNUMBER(FIND(CODES!$A$11,AB22))),CODES!$A$13,IF(OR(AB22&lt;AB$39,ISNUMBER(AB22)=FALSE),AB$40,AB22))))</f>
      </c>
      <c r="AC49" s="7" t="str">
        <f>IF(ISBLANK(AC22),"NO DATA",IF(ISNUMBER(FIND(CODES!$A$12,AC22)),CODES!$A$12,IF(OR(ISNUMBER(FIND(CODES!$A$10,AC22)),ISNUMBER(FIND(CODES!$A$11,AC22))),CODES!$A$13,IF(OR(AC22&lt;AC$39,ISNUMBER(AC22)=FALSE),AC$40,AC22))))</f>
      </c>
      <c r="AD49" s="7" t="str">
        <f>IF(ISBLANK(AD22),"NO DATA",IF(ISNUMBER(FIND(CODES!$A$12,AD22)),CODES!$A$12,IF(OR(ISNUMBER(FIND(CODES!$A$10,AD22)),ISNUMBER(FIND(CODES!$A$11,AD22))),CODES!$A$13,IF(OR(AD22&lt;AD$39,ISNUMBER(AD22)=FALSE),AD$40,AD22))))</f>
      </c>
      <c r="AE49" s="7" t="str">
        <f>IF(ISBLANK(AE22),"NO DATA",IF(ISNUMBER(FIND(CODES!$A$12,AE22)),CODES!$A$12,IF(OR(ISNUMBER(FIND(CODES!$A$10,AE22)),ISNUMBER(FIND(CODES!$A$11,AE22))),CODES!$A$13,IF(OR(AE22&lt;AE$39,ISNUMBER(AE22)=FALSE),AE$40,AE22))))</f>
      </c>
      <c r="AF49" s="7" t="str">
        <f>IF(ISBLANK(AF22),"NO DATA",IF(ISNUMBER(FIND(CODES!$A$12,AF22)),CODES!$A$12,IF(OR(ISNUMBER(FIND(CODES!$A$10,AF22)),ISNUMBER(FIND(CODES!$A$11,AF22))),CODES!$A$13,IF(OR(AF22&lt;AF$39,ISNUMBER(AF22)=FALSE),AF$40,AF22))))</f>
      </c>
      <c r="AG49" s="7" t="str">
        <f>IF(ISBLANK(AG22),"NO DATA",IF(ISNUMBER(FIND(CODES!$A$12,AG22)),CODES!$A$12,IF(OR(ISNUMBER(FIND(CODES!$A$10,AG22)),ISNUMBER(FIND(CODES!$A$11,AG22))),CODES!$A$13,IF(OR(AG22&lt;AG$39,ISNUMBER(AG22)=FALSE),AG$40,AG22))))</f>
      </c>
      <c r="AH49" s="7" t="str">
        <f>IF(ISBLANK(AH22),"NO DATA",IF(ISNUMBER(FIND(CODES!$A$12,AH22)),CODES!$A$12,IF(OR(ISNUMBER(FIND(CODES!$A$10,AH22)),ISNUMBER(FIND(CODES!$A$11,AH22))),CODES!$A$13,IF(OR(AH22&lt;AH$39,ISNUMBER(AH22)=FALSE),AH$40,AH22))))</f>
      </c>
      <c r="AI49" s="7" t="str">
        <f>IF(ISBLANK(AI22),"NO DATA",IF(ISNUMBER(FIND(CODES!$A$12,AI22)),CODES!$A$12,IF(OR(ISNUMBER(FIND(CODES!$A$10,AI22)),ISNUMBER(FIND(CODES!$A$11,AI22))),CODES!$A$13,IF(OR(AI22&lt;AI$39,ISNUMBER(AI22)=FALSE),AI$40,AI22))))</f>
      </c>
      <c r="AJ49" s="7" t="str">
        <f>IF(ISBLANK(AJ22),"NO DATA",IF(ISNUMBER(FIND(CODES!$A$12,AJ22)),CODES!$A$12,IF(OR(ISNUMBER(FIND(CODES!$A$10,AJ22)),ISNUMBER(FIND(CODES!$A$11,AJ22))),CODES!$A$13,IF(OR(AJ22&lt;AJ$39,ISNUMBER(AJ22)=FALSE),AJ$40,AJ22))))</f>
      </c>
      <c r="AK49" s="7" t="str">
        <f>IF(ISBLANK(AK22),"NO DATA",IF(ISNUMBER(FIND(CODES!$A$12,AK22)),CODES!$A$12,IF(OR(ISNUMBER(FIND(CODES!$A$10,AK22)),ISNUMBER(FIND(CODES!$A$11,AK22))),CODES!$A$13,IF(OR(AK22&lt;AK$39,ISNUMBER(AK22)=FALSE),AK$40,AK22))))</f>
      </c>
      <c r="AL49" s="7" t="str">
        <f>IF(ISBLANK(AL22),"NO DATA",IF(ISNUMBER(FIND(CODES!$A$12,AL22)),CODES!$A$12,IF(OR(ISNUMBER(FIND(CODES!$A$10,AL22)),ISNUMBER(FIND(CODES!$A$11,AL22))),CODES!$A$13,IF(OR(AL22&lt;AL$39,ISNUMBER(AL22)=FALSE),AL$40,AL22))))</f>
      </c>
      <c r="AM49" s="7" t="str">
        <f>IF(ISBLANK(AM22),"NO DATA",IF(ISNUMBER(FIND(CODES!$A$12,AM22)),CODES!$A$12,IF(OR(ISNUMBER(FIND(CODES!$A$10,AM22)),ISNUMBER(FIND(CODES!$A$11,AM22))),CODES!$A$13,IF(OR(AM22&lt;AM$39,ISNUMBER(AM22)=FALSE),AM$40,AM22))))</f>
      </c>
      <c r="AN49" s="7" t="str">
        <f>IF(ISBLANK(AN22),"NO DATA",IF(ISNUMBER(FIND(CODES!$A$12,AN22)),CODES!$A$12,IF(OR(ISNUMBER(FIND(CODES!$A$10,AN22)),ISNUMBER(FIND(CODES!$A$11,AN22))),CODES!$A$13,IF(OR(AN22&lt;AN$39,ISNUMBER(AN22)=FALSE),AN$40,AN22))))</f>
      </c>
      <c r="AO49" s="7" t="str">
        <f>IF(ISBLANK(AO22),"NO DATA",IF(ISNUMBER(FIND(CODES!$A$12,AO22)),CODES!$A$12,IF(OR(ISNUMBER(FIND(CODES!$A$10,AO22)),ISNUMBER(FIND(CODES!$A$11,AO22))),CODES!$A$13,IF(OR(AO22&lt;AO$39,ISNUMBER(AO22)=FALSE),AO$40,AO22))))</f>
      </c>
      <c r="AP49" s="7" t="str">
        <f>IF(ISBLANK(AP22),"NO DATA",IF(ISNUMBER(FIND(CODES!$A$12,AP22)),CODES!$A$12,IF(OR(ISNUMBER(FIND(CODES!$A$10,AP22)),ISNUMBER(FIND(CODES!$A$11,AP22))),CODES!$A$13,IF(OR(AP22&lt;AP$39,ISNUMBER(AP22)=FALSE),AP$40,AP22))))</f>
      </c>
      <c r="AQ49" s="7" t="str">
        <f>IF(ISBLANK(AQ22),"NO DATA",IF(ISNUMBER(FIND(CODES!$A$12,AQ22)),CODES!$A$12,IF(OR(ISNUMBER(FIND(CODES!$A$10,AQ22)),ISNUMBER(FIND(CODES!$A$11,AQ22))),CODES!$A$13,IF(OR(AQ22&lt;AQ$39,ISNUMBER(AQ22)=FALSE),AQ$40,AQ22))))</f>
      </c>
      <c r="AR49" s="7" t="str">
        <f>IF(ISBLANK(AR22),"NO DATA",IF(ISNUMBER(FIND(CODES!$A$12,AR22)),CODES!$A$12,IF(OR(ISNUMBER(FIND(CODES!$A$10,AR22)),ISNUMBER(FIND(CODES!$A$11,AR22))),CODES!$A$13,IF(OR(AR22&lt;AR$39,ISNUMBER(AR22)=FALSE),AR$40,AR22))))</f>
      </c>
      <c r="AS49" s="7" t="str">
        <f>IF(ISBLANK(AS22),"NO DATA",IF(ISNUMBER(FIND(CODES!$A$12,AS22)),CODES!$A$12,IF(OR(ISNUMBER(FIND(CODES!$A$10,AS22)),ISNUMBER(FIND(CODES!$A$11,AS22))),CODES!$A$13,IF(OR(AS22&lt;AS$39,ISNUMBER(AS22)=FALSE),AS$40,AS22))))</f>
      </c>
      <c r="AT49" s="7" t="str">
        <f>IF(ISBLANK(AT22),"NO DATA",IF(ISNUMBER(FIND(CODES!$A$12,AT22)),CODES!$A$12,IF(OR(ISNUMBER(FIND(CODES!$A$10,AT22)),ISNUMBER(FIND(CODES!$A$11,AT22))),CODES!$A$13,IF(OR(AT22&lt;AT$39,ISNUMBER(AT22)=FALSE),AT$40,AT22))))</f>
      </c>
      <c r="AU49" s="7" t="str">
        <f>IF(ISBLANK(AU22),"NO DATA",IF(ISNUMBER(FIND(CODES!$A$12,AU22)),CODES!$A$12,IF(OR(ISNUMBER(FIND(CODES!$A$10,AU22)),ISNUMBER(FIND(CODES!$A$11,AU22))),CODES!$A$13,IF(OR(AU22&lt;AU$39,ISNUMBER(AU22)=FALSE),AU$40,AU22))))</f>
      </c>
      <c r="AV49" s="7" t="str">
        <f>IF(ISBLANK(AV22),"NO DATA",IF(ISNUMBER(FIND(CODES!$A$12,AV22)),CODES!$A$12,IF(OR(ISNUMBER(FIND(CODES!$A$10,AV22)),ISNUMBER(FIND(CODES!$A$11,AV22))),CODES!$A$13,IF(OR(AV22&lt;AV$39,ISNUMBER(AV22)=FALSE),AV$40,AV22))))</f>
      </c>
      <c r="AW49" s="7" t="str">
        <f>IF(ISBLANK(AW22),"NO DATA",IF(ISNUMBER(FIND(CODES!$A$12,AW22)),CODES!$A$12,IF(OR(ISNUMBER(FIND(CODES!$A$10,AW22)),ISNUMBER(FIND(CODES!$A$11,AW22))),CODES!$A$13,IF(OR(AW22&lt;AW$39,ISNUMBER(AW22)=FALSE),AW$40,AW22))))</f>
      </c>
      <c r="AX49" s="7" t="str">
        <f>IF(ISBLANK(AX22),"NO DATA",IF(ISNUMBER(FIND(CODES!$A$12,AX22)),CODES!$A$12,IF(OR(ISNUMBER(FIND(CODES!$A$10,AX22)),ISNUMBER(FIND(CODES!$A$11,AX22))),CODES!$A$13,IF(OR(AX22&lt;AX$39,ISNUMBER(AX22)=FALSE),AX$40,AX22))))</f>
      </c>
      <c r="AY49" s="7" t="str">
        <f>IF(ISBLANK(AY22),"NO DATA",IF(ISNUMBER(FIND(CODES!$A$12,AY22)),CODES!$A$12,IF(OR(ISNUMBER(FIND(CODES!$A$10,AY22)),ISNUMBER(FIND(CODES!$A$11,AY22))),CODES!$A$13,IF(OR(AY22&lt;AY$39,ISNUMBER(AY22)=FALSE),AY$40,AY22))))</f>
      </c>
      <c r="AZ49" s="7" t="str">
        <f>IF(ISBLANK(AZ22),"NO DATA",IF(ISNUMBER(FIND(CODES!$A$12,AZ22)),CODES!$A$12,IF(OR(ISNUMBER(FIND(CODES!$A$10,AZ22)),ISNUMBER(FIND(CODES!$A$11,AZ22))),CODES!$A$13,IF(OR(AZ22&lt;AZ$39,ISNUMBER(AZ22)=FALSE),AZ$40,AZ22))))</f>
      </c>
      <c r="BA49" s="7" t="str">
        <f>IF(ISBLANK(BA22),"NO DATA",IF(ISNUMBER(FIND(CODES!$A$12,BA22)),CODES!$A$12,IF(OR(ISNUMBER(FIND(CODES!$A$10,BA22)),ISNUMBER(FIND(CODES!$A$11,BA22))),CODES!$A$13,IF(OR(BA22&lt;BA$39,ISNUMBER(BA22)=FALSE),BA$40,BA22))))</f>
      </c>
      <c r="BB49" s="7" t="str">
        <f>IF(ISBLANK(BB22),"NO DATA",IF(ISNUMBER(FIND(CODES!$A$12,BB22)),CODES!$A$12,IF(OR(ISNUMBER(FIND(CODES!$A$10,BB22)),ISNUMBER(FIND(CODES!$A$11,BB22))),CODES!$A$13,IF(OR(BB22&lt;BB$39,ISNUMBER(BB22)=FALSE),BB$40,BB22))))</f>
      </c>
      <c r="BC49" s="7" t="str">
        <f>IF(ISBLANK(BC22),"NO DATA",IF(ISNUMBER(FIND(CODES!$A$12,BC22)),CODES!$A$12,IF(OR(ISNUMBER(FIND(CODES!$A$10,BC22)),ISNUMBER(FIND(CODES!$A$11,BC22))),CODES!$A$13,IF(OR(BC22&lt;BC$39,ISNUMBER(BC22)=FALSE),BC$40,BC22))))</f>
      </c>
      <c r="BD49" s="7" t="str">
        <f>IF(ISBLANK(BD22),"NO DATA",IF(ISNUMBER(FIND(CODES!$A$12,BD22)),CODES!$A$12,IF(OR(ISNUMBER(FIND(CODES!$A$10,BD22)),ISNUMBER(FIND(CODES!$A$11,BD22))),CODES!$A$13,IF(OR(BD22&lt;BD$39,ISNUMBER(BD22)=FALSE),BD$40,BD22))))</f>
      </c>
      <c r="BE49" s="7" t="str">
        <f>IF(ISBLANK(BE22),"NO DATA",IF(ISNUMBER(FIND(CODES!$A$12,BE22)),CODES!$A$12,IF(OR(ISNUMBER(FIND(CODES!$A$10,BE22)),ISNUMBER(FIND(CODES!$A$11,BE22))),CODES!$A$13,IF(OR(BE22&lt;BE$39,ISNUMBER(BE22)=FALSE),BE$40,BE22))))</f>
      </c>
      <c r="BF49" s="7" t="str">
        <f>IF(ISBLANK(BF22),"NO DATA",IF(ISNUMBER(FIND(CODES!$A$12,BF22)),CODES!$A$12,IF(OR(ISNUMBER(FIND(CODES!$A$10,BF22)),ISNUMBER(FIND(CODES!$A$11,BF22))),CODES!$A$13,IF(OR(BF22&lt;BF$39,ISNUMBER(BF22)=FALSE),BF$40,BF22))))</f>
      </c>
      <c r="BG49" s="7">
        <f>IF(ISBLANK(BG22),"NO DATA",IF(ISNUMBER(FIND(CODES!$A$12,BG22)),CODES!$A$12,IF(OR(ISNUMBER(FIND(CODES!$A$10,BG22)),ISNUMBER(FIND(CODES!$A$11,BG22))),CODES!$A$13,IF(OR(BG22&lt;BG$39,ISNUMBER(BG22)=FALSE),BG$40,BG22))))</f>
      </c>
      <c r="BH49" s="7" t="str">
        <f>IF(ISBLANK(BH22),"NO DATA",IF(ISNUMBER(FIND(CODES!$A$12,BH22)),CODES!$A$12,IF(OR(ISNUMBER(FIND(CODES!$A$10,BH22)),ISNUMBER(FIND(CODES!$A$11,BH22))),CODES!$A$13,IF(OR(BH22&lt;BH$39,ISNUMBER(BH22)=FALSE),BH$40,BH22))))</f>
      </c>
      <c r="BI49" s="7" t="str">
        <f>IF(ISBLANK(BI22),"NO DATA",IF(ISNUMBER(FIND(CODES!$A$12,BI22)),CODES!$A$12,IF(OR(ISNUMBER(FIND(CODES!$A$10,BI22)),ISNUMBER(FIND(CODES!$A$11,BI22))),CODES!$A$13,IF(OR(BI22&lt;BI$39,ISNUMBER(BI22)=FALSE),BI$40,BI22))))</f>
      </c>
      <c r="BJ49" s="7" t="str">
        <f>IF(ISBLANK(BJ22),"NO DATA",IF(ISNUMBER(FIND(CODES!$A$12,BJ22)),CODES!$A$12,IF(OR(ISNUMBER(FIND(CODES!$A$10,BJ22)),ISNUMBER(FIND(CODES!$A$11,BJ22))),CODES!$A$13,IF(OR(BJ22&lt;BJ$39,ISNUMBER(BJ22)=FALSE),BJ$40,BJ22))))</f>
      </c>
      <c r="BK49" s="7" t="str">
        <f>IF(ISBLANK(BK22),"NO DATA",IF(ISNUMBER(FIND(CODES!$A$12,BK22)),CODES!$A$12,IF(OR(ISNUMBER(FIND(CODES!$A$10,BK22)),ISNUMBER(FIND(CODES!$A$11,BK22))),CODES!$A$13,IF(OR(BK22&lt;BK$39,ISNUMBER(BK22)=FALSE),BK$40,BK22))))</f>
      </c>
      <c r="BL49" s="7" t="str">
        <f>IF(ISBLANK(BL22),"NO DATA",IF(ISNUMBER(FIND(CODES!$A$12,BL22)),CODES!$A$12,IF(OR(ISNUMBER(FIND(CODES!$A$10,BL22)),ISNUMBER(FIND(CODES!$A$11,BL22))),CODES!$A$13,IF(OR(BL22&lt;BL$39,ISNUMBER(BL22)=FALSE),BL$40,BL22))))</f>
      </c>
      <c r="BM49" s="7" t="str">
        <f>IF(ISBLANK(BM22),"NO DATA",IF(ISNUMBER(FIND(CODES!$A$12,BM22)),CODES!$A$12,IF(OR(ISNUMBER(FIND(CODES!$A$10,BM22)),ISNUMBER(FIND(CODES!$A$11,BM22))),CODES!$A$13,IF(OR(BM22&lt;BM$39,ISNUMBER(BM22)=FALSE),BM$40,BM22))))</f>
      </c>
      <c r="BN49" s="7" t="str">
        <f>IF(ISBLANK(BN22),"NO DATA",IF(ISNUMBER(FIND(CODES!$A$12,BN22)),CODES!$A$12,IF(OR(ISNUMBER(FIND(CODES!$A$10,BN22)),ISNUMBER(FIND(CODES!$A$11,BN22))),CODES!$A$13,IF(OR(BN22&lt;BN$39,ISNUMBER(BN22)=FALSE),BN$40,BN22))))</f>
      </c>
      <c r="BO49" s="7" t="str">
        <f>IF(ISBLANK(BO22),"NO DATA",IF(ISNUMBER(FIND(CODES!$A$12,BO22)),CODES!$A$12,IF(OR(ISNUMBER(FIND(CODES!$A$10,BO22)),ISNUMBER(FIND(CODES!$A$11,BO22))),CODES!$A$13,IF(OR(BO22&lt;BO$39,ISNUMBER(BO22)=FALSE),BO$40,BO22))))</f>
      </c>
      <c r="BP49" s="7" t="str">
        <f>IF(ISBLANK(BP22),"NO DATA",IF(ISNUMBER(FIND(CODES!$A$12,BP22)),CODES!$A$12,IF(OR(ISNUMBER(FIND(CODES!$A$10,BP22)),ISNUMBER(FIND(CODES!$A$11,BP22))),CODES!$A$13,IF(OR(BP22&lt;BP$39,ISNUMBER(BP22)=FALSE),BP$40,BP22))))</f>
      </c>
      <c r="BQ49" s="7" t="str">
        <f>IF(ISBLANK(BQ22),"NO DATA",IF(ISNUMBER(FIND(CODES!$A$12,BQ22)),CODES!$A$12,IF(OR(ISNUMBER(FIND(CODES!$A$10,BQ22)),ISNUMBER(FIND(CODES!$A$11,BQ22))),CODES!$A$13,IF(OR(BQ22&lt;BQ$39,ISNUMBER(BQ22)=FALSE),BQ$40,BQ22))))</f>
      </c>
      <c r="BR49" s="7" t="str">
        <f>IF(ISBLANK(BR22),"NO DATA",IF(ISNUMBER(FIND(CODES!$A$12,BR22)),CODES!$A$12,IF(OR(ISNUMBER(FIND(CODES!$A$10,BR22)),ISNUMBER(FIND(CODES!$A$11,BR22))),CODES!$A$13,IF(OR(BR22&lt;BR$39,ISNUMBER(BR22)=FALSE),BR$40,BR22))))</f>
      </c>
      <c r="BS49" s="7" t="str">
        <f>IF(ISBLANK(BS22),"NO DATA",IF(ISNUMBER(FIND(CODES!$A$12,BS22)),CODES!$A$12,IF(OR(ISNUMBER(FIND(CODES!$A$10,BS22)),ISNUMBER(FIND(CODES!$A$11,BS22))),CODES!$A$13,IF(OR(BS22&lt;BS$39,ISNUMBER(BS22)=FALSE),BS$40,BS22))))</f>
      </c>
      <c r="BT49" s="7" t="str">
        <f>IF(ISBLANK(BT22),"NO DATA",IF(ISNUMBER(FIND(CODES!$A$12,BT22)),CODES!$A$12,IF(OR(ISNUMBER(FIND(CODES!$A$10,BT22)),ISNUMBER(FIND(CODES!$A$11,BT22))),CODES!$A$13,IF(OR(BT22&lt;BT$39,ISNUMBER(BT22)=FALSE),BT$40,BT22))))</f>
      </c>
      <c r="BU49" s="7" t="str">
        <f>IF(ISBLANK(BU22),"NO DATA",IF(ISNUMBER(FIND(CODES!$A$12,BU22)),CODES!$A$12,IF(OR(ISNUMBER(FIND(CODES!$A$10,BU22)),ISNUMBER(FIND(CODES!$A$11,BU22))),CODES!$A$13,IF(OR(BU22&lt;BU$39,ISNUMBER(BU22)=FALSE),BU$40,BU22))))</f>
      </c>
      <c r="BV49" s="7" t="str">
        <f>IF(ISBLANK(BV22),"NO DATA",IF(ISNUMBER(FIND(CODES!$A$12,BV22)),CODES!$A$12,IF(OR(ISNUMBER(FIND(CODES!$A$10,BV22)),ISNUMBER(FIND(CODES!$A$11,BV22))),CODES!$A$13,IF(OR(BV22&lt;BV$39,ISNUMBER(BV22)=FALSE),BV$40,BV22))))</f>
      </c>
      <c r="BW49" s="7" t="str">
        <f>IF(ISBLANK(BW22),"NO DATA",IF(ISNUMBER(FIND(CODES!$A$12,BW22)),CODES!$A$12,IF(OR(ISNUMBER(FIND(CODES!$A$10,BW22)),ISNUMBER(FIND(CODES!$A$11,BW22))),CODES!$A$13,IF(OR(BW22&lt;BW$39,ISNUMBER(BW22)=FALSE),BW$40,BW22))))</f>
      </c>
      <c r="BX49" s="7" t="str">
        <f>IF(ISBLANK(BX22),"NO DATA",IF(ISNUMBER(FIND(CODES!$A$12,BX22)),CODES!$A$12,IF(OR(ISNUMBER(FIND(CODES!$A$10,BX22)),ISNUMBER(FIND(CODES!$A$11,BX22))),CODES!$A$13,IF(OR(BX22&lt;BX$39,ISNUMBER(BX22)=FALSE),BX$40,BX22))))</f>
      </c>
      <c r="BY49" s="7" t="str">
        <f>IF(ISBLANK(BY22),"NO DATA",IF(ISNUMBER(FIND(CODES!$A$12,BY22)),CODES!$A$12,IF(OR(ISNUMBER(FIND(CODES!$A$10,BY22)),ISNUMBER(FIND(CODES!$A$11,BY22))),CODES!$A$13,IF(OR(BY22&lt;BY$39,ISNUMBER(BY22)=FALSE),BY$40,BY22))))</f>
      </c>
      <c r="BZ49" s="7" t="str">
        <f>IF(ISBLANK(BZ22),"NO DATA",IF(ISNUMBER(FIND(CODES!$A$12,BZ22)),CODES!$A$12,IF(OR(ISNUMBER(FIND(CODES!$A$10,BZ22)),ISNUMBER(FIND(CODES!$A$11,BZ22))),CODES!$A$13,IF(OR(BZ22&lt;BZ$39,ISNUMBER(BZ22)=FALSE),BZ$40,BZ22))))</f>
      </c>
      <c r="CA49" s="7">
        <f>IF(ISBLANK(CA22),"NO DATA",IF(ISNUMBER(FIND(CODES!$A$12,CA22)),CODES!$A$12,IF(OR(ISNUMBER(FIND(CODES!$A$10,CA22)),ISNUMBER(FIND(CODES!$A$11,CA22))),CODES!$A$13,IF(OR(CA22&lt;CA$39,ISNUMBER(CA22)=FALSE),CA$40,CA22))))</f>
      </c>
      <c r="CB49" s="7">
        <f>IF(ISBLANK(CB22),"NO DATA",IF(ISNUMBER(FIND(CODES!$A$12,CB22)),CODES!$A$12,IF(OR(ISNUMBER(FIND(CODES!$A$10,CB22)),ISNUMBER(FIND(CODES!$A$11,CB22))),CODES!$A$13,IF(OR(CB22&lt;CB$39,ISNUMBER(CB22)=FALSE),CB$40,CB22))))</f>
      </c>
      <c r="CC49" s="7" t="str">
        <f>IF(ISBLANK(CC22),"NO DATA",IF(ISNUMBER(FIND(CODES!$A$12,CC22)),CODES!$A$12,IF(OR(ISNUMBER(FIND(CODES!$A$10,CC22)),ISNUMBER(FIND(CODES!$A$11,CC22))),CODES!$A$13,IF(OR(CC22&lt;CC$39,ISNUMBER(CC22)=FALSE),CC$40,CC22))))</f>
      </c>
      <c r="CD49" s="7" t="str">
        <f>IF(ISBLANK(CD22),"NO DATA",IF(ISNUMBER(FIND(CODES!$A$12,CD22)),CODES!$A$12,IF(OR(ISNUMBER(FIND(CODES!$A$10,CD22)),ISNUMBER(FIND(CODES!$A$11,CD22))),CODES!$A$13,IF(OR(CD22&lt;CD$39,ISNUMBER(CD22)=FALSE),CD$40,CD22))))</f>
      </c>
      <c r="CE49" s="7" t="str">
        <f>IF(ISBLANK(CE22),"NO DATA",IF(ISNUMBER(FIND(CODES!$A$12,CE22)),CODES!$A$12,IF(OR(ISNUMBER(FIND(CODES!$A$10,CE22)),ISNUMBER(FIND(CODES!$A$11,CE22))),CODES!$A$13,IF(OR(CE22&lt;CE$39,ISNUMBER(CE22)=FALSE),CE$40,CE22))))</f>
      </c>
      <c r="CF49" s="7" t="str">
        <f>IF(ISBLANK(CF22),"NO DATA",IF(ISNUMBER(FIND(CODES!$A$12,CF22)),CODES!$A$12,IF(OR(ISNUMBER(FIND(CODES!$A$10,CF22)),ISNUMBER(FIND(CODES!$A$11,CF22))),CODES!$A$13,IF(OR(CF22&lt;CF$39,ISNUMBER(CF22)=FALSE),CF$40,CF22))))</f>
      </c>
      <c r="CG49" s="7" t="str">
        <f>IF(ISBLANK(CG22),"NO DATA",IF(ISNUMBER(FIND(CODES!$A$12,CG22)),CODES!$A$12,IF(OR(ISNUMBER(FIND(CODES!$A$10,CG22)),ISNUMBER(FIND(CODES!$A$11,CG22))),CODES!$A$13,IF(OR(CG22&lt;CG$39,ISNUMBER(CG22)=FALSE),CG$40,CG22))))</f>
      </c>
      <c r="CH49" s="7" t="str">
        <f>IF(ISBLANK(CH22),"NO DATA",IF(ISNUMBER(FIND(CODES!$A$12,CH22)),CODES!$A$12,IF(OR(ISNUMBER(FIND(CODES!$A$10,CH22)),ISNUMBER(FIND(CODES!$A$11,CH22))),CODES!$A$13,IF(OR(CH22&lt;CH$39,ISNUMBER(CH22)=FALSE),CH$40,CH22))))</f>
      </c>
      <c r="CI49" s="7" t="str">
        <f>IF(ISBLANK(CI22),"NO DATA",IF(ISNUMBER(FIND(CODES!$A$12,CI22)),CODES!$A$12,IF(OR(ISNUMBER(FIND(CODES!$A$10,CI22)),ISNUMBER(FIND(CODES!$A$11,CI22))),CODES!$A$13,IF(OR(CI22&lt;CI$39,ISNUMBER(CI22)=FALSE),CI$40,CI22))))</f>
      </c>
      <c r="CJ49" s="7" t="str">
        <f>IF(ISBLANK(CJ22),"NO DATA",IF(ISNUMBER(FIND(CODES!$A$12,CJ22)),CODES!$A$12,IF(OR(ISNUMBER(FIND(CODES!$A$10,CJ22)),ISNUMBER(FIND(CODES!$A$11,CJ22))),CODES!$A$13,IF(OR(CJ22&lt;CJ$39,ISNUMBER(CJ22)=FALSE),CJ$40,CJ22))))</f>
      </c>
      <c r="CK49" s="7" t="str">
        <f>IF(ISBLANK(CK22),"NO DATA",IF(ISNUMBER(FIND(CODES!$A$12,CK22)),CODES!$A$12,IF(OR(ISNUMBER(FIND(CODES!$A$10,CK22)),ISNUMBER(FIND(CODES!$A$11,CK22))),CODES!$A$13,IF(OR(CK22&lt;CK$39,ISNUMBER(CK22)=FALSE),CK$40,CK22))))</f>
      </c>
      <c r="CL49" s="7" t="str">
        <f>IF(ISBLANK(CL22),"NO DATA",IF(ISNUMBER(FIND(CODES!$A$12,CL22)),CODES!$A$12,IF(OR(ISNUMBER(FIND(CODES!$A$10,CL22)),ISNUMBER(FIND(CODES!$A$11,CL22))),CODES!$A$13,IF(OR(CL22&lt;CL$39,ISNUMBER(CL22)=FALSE),CL$40,CL22))))</f>
      </c>
      <c r="CM49" s="7" t="str">
        <f>IF(ISBLANK(CM22),"NO DATA",IF(ISNUMBER(FIND(CODES!$A$12,CM22)),CODES!$A$12,IF(OR(ISNUMBER(FIND(CODES!$A$10,CM22)),ISNUMBER(FIND(CODES!$A$11,CM22))),CODES!$A$13,IF(OR(CM22&lt;CM$39,ISNUMBER(CM22)=FALSE),CM$40,CM22))))</f>
      </c>
      <c r="CN49" s="7" t="str">
        <f>IF(ISBLANK(CN22),"NO DATA",IF(ISNUMBER(FIND(CODES!$A$12,CN22)),CODES!$A$12,IF(OR(ISNUMBER(FIND(CODES!$A$10,CN22)),ISNUMBER(FIND(CODES!$A$11,CN22))),CODES!$A$13,IF(OR(CN22&lt;CN$39,ISNUMBER(CN22)=FALSE),CN$40,CN22))))</f>
      </c>
      <c r="CO49" s="7" t="str">
        <f>IF(ISBLANK(CO22),"NO DATA",IF(ISNUMBER(FIND(CODES!$A$12,CO22)),CODES!$A$12,IF(OR(ISNUMBER(FIND(CODES!$A$10,CO22)),ISNUMBER(FIND(CODES!$A$11,CO22))),CODES!$A$13,IF(OR(CO22&lt;CO$39,ISNUMBER(CO22)=FALSE),CO$40,CO22))))</f>
      </c>
      <c r="CP49" s="7" t="str">
        <f>IF(ISBLANK(CP22),"NO DATA",IF(ISNUMBER(FIND(CODES!$A$12,CP22)),CODES!$A$12,IF(OR(ISNUMBER(FIND(CODES!$A$10,CP22)),ISNUMBER(FIND(CODES!$A$11,CP22))),CODES!$A$13,IF(OR(CP22&lt;CP$39,ISNUMBER(CP22)=FALSE),CP$40,CP22))))</f>
      </c>
      <c r="CQ49" s="7" t="str">
        <f>IF(ISBLANK(CQ22),"NO DATA",IF(ISNUMBER(FIND(CODES!$A$12,CQ22)),CODES!$A$12,IF(OR(ISNUMBER(FIND(CODES!$A$10,CQ22)),ISNUMBER(FIND(CODES!$A$11,CQ22))),CODES!$A$13,IF(OR(CQ22&lt;CQ$39,ISNUMBER(CQ22)=FALSE),CQ$40,CQ22))))</f>
      </c>
      <c r="CR49" s="7" t="str">
        <f>IF(ISBLANK(CR22),"NO DATA",IF(ISNUMBER(FIND(CODES!$A$12,CR22)),CODES!$A$12,IF(OR(ISNUMBER(FIND(CODES!$A$10,CR22)),ISNUMBER(FIND(CODES!$A$11,CR22))),CODES!$A$13,IF(OR(CR22&lt;CR$39,ISNUMBER(CR22)=FALSE),CR$40,CR22))))</f>
      </c>
      <c r="CS49" s="7" t="str">
        <f>IF(ISBLANK(CS22),"NO DATA",IF(ISNUMBER(FIND(CODES!$A$12,CS22)),CODES!$A$12,IF(OR(ISNUMBER(FIND(CODES!$A$10,CS22)),ISNUMBER(FIND(CODES!$A$11,CS22))),CODES!$A$13,IF(OR(CS22&lt;CS$39,ISNUMBER(CS22)=FALSE),CS$40,CS22))))</f>
      </c>
      <c r="CT49" s="7" t="str">
        <f>IF(ISBLANK(CT22),"NO DATA",IF(ISNUMBER(FIND(CODES!$A$12,CT22)),CODES!$A$12,IF(OR(ISNUMBER(FIND(CODES!$A$10,CT22)),ISNUMBER(FIND(CODES!$A$11,CT22))),CODES!$A$13,IF(OR(CT22&lt;CT$39,ISNUMBER(CT22)=FALSE),CT$40,CT22))))</f>
      </c>
      <c r="CU49" s="7" t="str">
        <f>IF(ISBLANK(CU22),"NO DATA",IF(ISNUMBER(FIND(CODES!$A$12,CU22)),CODES!$A$12,IF(OR(ISNUMBER(FIND(CODES!$A$10,CU22)),ISNUMBER(FIND(CODES!$A$11,CU22))),CODES!$A$13,IF(OR(CU22&lt;CU$39,ISNUMBER(CU22)=FALSE),CU$40,CU22))))</f>
      </c>
      <c r="CV49" s="7" t="str">
        <f>IF(ISBLANK(CV22),"NO DATA",IF(ISNUMBER(FIND(CODES!$A$12,CV22)),CODES!$A$12,IF(OR(ISNUMBER(FIND(CODES!$A$10,CV22)),ISNUMBER(FIND(CODES!$A$11,CV22))),CODES!$A$13,IF(OR(CV22&lt;CV$39,ISNUMBER(CV22)=FALSE),CV$40,CV22))))</f>
      </c>
      <c r="CW49" s="7" t="str">
        <f>IF(ISBLANK(CW22),"NO DATA",IF(ISNUMBER(FIND(CODES!$A$12,CW22)),CODES!$A$12,IF(OR(ISNUMBER(FIND(CODES!$A$10,CW22)),ISNUMBER(FIND(CODES!$A$11,CW22))),CODES!$A$13,IF(OR(CW22&lt;CW$39,ISNUMBER(CW22)=FALSE),CW$40,CW22))))</f>
      </c>
      <c r="CX49" s="7" t="str">
        <f>IF(ISBLANK(CX22),"NO DATA",IF(ISNUMBER(FIND(CODES!$A$12,CX22)),CODES!$A$12,IF(OR(ISNUMBER(FIND(CODES!$A$10,CX22)),ISNUMBER(FIND(CODES!$A$11,CX22))),CODES!$A$13,IF(OR(CX22&lt;CX$39,ISNUMBER(CX22)=FALSE),CX$40,CX22))))</f>
      </c>
      <c r="CY49" s="7" t="str">
        <f>IF(ISBLANK(CY22),"NO DATA",IF(ISNUMBER(FIND(CODES!$A$12,CY22)),CODES!$A$12,IF(OR(ISNUMBER(FIND(CODES!$A$10,CY22)),ISNUMBER(FIND(CODES!$A$11,CY22))),CODES!$A$13,IF(OR(CY22&lt;CY$39,ISNUMBER(CY22)=FALSE),CY$40,CY22))))</f>
      </c>
      <c r="CZ49" s="7" t="str">
        <f>IF(ISBLANK(CZ22),"NO DATA",IF(ISNUMBER(FIND(CODES!$A$12,CZ22)),CODES!$A$12,IF(OR(ISNUMBER(FIND(CODES!$A$10,CZ22)),ISNUMBER(FIND(CODES!$A$11,CZ22))),CODES!$A$13,IF(OR(CZ22&lt;CZ$39,ISNUMBER(CZ22)=FALSE),CZ$40,CZ22))))</f>
      </c>
      <c r="DA49" s="7" t="str">
        <f>IF(ISBLANK(DA22),"NO DATA",IF(ISNUMBER(FIND(CODES!$A$12,DA22)),CODES!$A$12,IF(OR(ISNUMBER(FIND(CODES!$A$10,DA22)),ISNUMBER(FIND(CODES!$A$11,DA22))),CODES!$A$13,IF(OR(DA22&lt;DA$39,ISNUMBER(DA22)=FALSE),DA$40,DA22))))</f>
      </c>
      <c r="DB49" s="7" t="str">
        <f>IF(ISBLANK(DB22),"NO DATA",IF(ISNUMBER(FIND(CODES!$A$12,DB22)),CODES!$A$12,IF(OR(ISNUMBER(FIND(CODES!$A$10,DB22)),ISNUMBER(FIND(CODES!$A$11,DB22))),CODES!$A$13,IF(OR(DB22&lt;DB$39,ISNUMBER(DB22)=FALSE),DB$40,DB22))))</f>
      </c>
      <c r="DC49" s="7" t="str">
        <f>IF(ISBLANK(DC22),"NO DATA",IF(ISNUMBER(FIND(CODES!$A$12,DC22)),CODES!$A$12,IF(OR(ISNUMBER(FIND(CODES!$A$10,DC22)),ISNUMBER(FIND(CODES!$A$11,DC22))),CODES!$A$13,IF(OR(DC22&lt;DC$39,ISNUMBER(DC22)=FALSE),DC$40,DC22))))</f>
      </c>
      <c r="DD49" s="7" t="str">
        <f>IF(ISBLANK(DD22),"NO DATA",IF(ISNUMBER(FIND(CODES!$A$12,DD22)),CODES!$A$12,IF(OR(ISNUMBER(FIND(CODES!$A$10,DD22)),ISNUMBER(FIND(CODES!$A$11,DD22))),CODES!$A$13,IF(OR(DD22&lt;DD$39,ISNUMBER(DD22)=FALSE),DD$40,DD22))))</f>
      </c>
      <c r="DE49" s="7" t="str">
        <f>IF(ISBLANK(DE22),"NO DATA",IF(ISNUMBER(FIND(CODES!$A$12,DE22)),CODES!$A$12,IF(OR(ISNUMBER(FIND(CODES!$A$10,DE22)),ISNUMBER(FIND(CODES!$A$11,DE22))),CODES!$A$13,IF(OR(DE22&lt;DE$39,ISNUMBER(DE22)=FALSE),DE$40,DE22))))</f>
      </c>
      <c r="DF49" s="7" t="str">
        <f>IF(ISBLANK(DF22),"NO DATA",IF(ISNUMBER(FIND(CODES!$A$12,DF22)),CODES!$A$12,IF(OR(ISNUMBER(FIND(CODES!$A$10,DF22)),ISNUMBER(FIND(CODES!$A$11,DF22))),CODES!$A$13,IF(OR(DF22&lt;DF$39,ISNUMBER(DF22)=FALSE),DF$40,DF22))))</f>
      </c>
      <c r="DG49" s="7" t="str">
        <f>IF(ISBLANK(DG22),"NO DATA",IF(ISNUMBER(FIND(CODES!$A$12,DG22)),CODES!$A$12,IF(OR(ISNUMBER(FIND(CODES!$A$10,DG22)),ISNUMBER(FIND(CODES!$A$11,DG22))),CODES!$A$13,IF(OR(DG22&lt;DG$39,ISNUMBER(DG22)=FALSE),DG$40,DG22))))</f>
      </c>
      <c r="DH49" s="7" t="str">
        <f>IF(ISBLANK(DH22),"NO DATA",IF(ISNUMBER(FIND(CODES!$A$12,DH22)),CODES!$A$12,IF(OR(ISNUMBER(FIND(CODES!$A$10,DH22)),ISNUMBER(FIND(CODES!$A$11,DH22))),CODES!$A$13,IF(OR(DH22&lt;DH$39,ISNUMBER(DH22)=FALSE),DH$40,DH22))))</f>
      </c>
      <c r="DI49" s="7" t="str">
        <f>IF(ISBLANK(DI22),"NO DATA",IF(ISNUMBER(FIND(CODES!$A$12,DI22)),CODES!$A$12,IF(OR(ISNUMBER(FIND(CODES!$A$10,DI22)),ISNUMBER(FIND(CODES!$A$11,DI22))),CODES!$A$13,IF(OR(DI22&lt;DI$39,ISNUMBER(DI22)=FALSE),DI$40,DI22))))</f>
      </c>
    </row>
    <row r="50" spans="1:113" x14ac:dyDescent="0.25">
      <c r="A50" s="16" t="str">
        <f t="shared" si="2"/>
      </c>
      <c r="B50" s="16" t="str">
        <f t="shared" si="2"/>
      </c>
      <c r="C50" s="7">
        <f>IF(ISBLANK(C23),"NO DATA",IF(ISNUMBER(FIND(CODES!$A$12,C23)),CODES!$A$12,IF(OR(ISNUMBER(FIND(CODES!$A$10,C23)),ISNUMBER(FIND(CODES!$A$11,C23))),CODES!$A$13,IF(OR(C23&lt;C$39,ISNUMBER(C23)=FALSE),C$40,C23))))</f>
      </c>
      <c r="D50" s="7">
        <f>IF(ISBLANK(D23),"NO DATA",IF(ISNUMBER(FIND(CODES!$A$12,D23)),CODES!$A$12,IF(OR(ISNUMBER(FIND(CODES!$A$10,D23)),ISNUMBER(FIND(CODES!$A$11,D23))),CODES!$A$13,IF(OR(D23&lt;D$39,ISNUMBER(D23)=FALSE),D$40,D23))))</f>
      </c>
      <c r="E50" s="7">
        <f>IF(ISBLANK(E23),"NO DATA",IF(ISNUMBER(FIND(CODES!$A$12,E23)),CODES!$A$12,IF(OR(ISNUMBER(FIND(CODES!$A$10,E23)),ISNUMBER(FIND(CODES!$A$11,E23))),CODES!$A$13,IF(OR(E23&lt;E$39,ISNUMBER(E23)=FALSE),E$40,E23))))</f>
      </c>
      <c r="F50" s="7">
        <f>IF(ISBLANK(F23),"NO DATA",IF(ISNUMBER(FIND(CODES!$A$12,F23)),CODES!$A$12,IF(OR(ISNUMBER(FIND(CODES!$A$10,F23)),ISNUMBER(FIND(CODES!$A$11,F23))),CODES!$A$13,IF(OR(F23&lt;F$39,ISNUMBER(F23)=FALSE),F$40,F23))))</f>
      </c>
      <c r="G50" s="7">
        <f>IF(ISBLANK(G23),"NO DATA",IF(ISNUMBER(FIND(CODES!$A$12,G23)),CODES!$A$12,IF(OR(ISNUMBER(FIND(CODES!$A$10,G23)),ISNUMBER(FIND(CODES!$A$11,G23))),CODES!$A$13,IF(OR(G23&lt;G$39,ISNUMBER(G23)=FALSE),G$40,G23))))</f>
      </c>
      <c r="H50" s="7">
        <f>IF(ISBLANK(H23),"NO DATA",IF(ISNUMBER(FIND(CODES!$A$12,H23)),CODES!$A$12,IF(OR(ISNUMBER(FIND(CODES!$A$10,H23)),ISNUMBER(FIND(CODES!$A$11,H23))),CODES!$A$13,IF(OR(H23&lt;H$39,ISNUMBER(H23)=FALSE),H$40,H23))))</f>
      </c>
      <c r="I50" s="7">
        <f>IF(ISBLANK(I23),"NO DATA",IF(ISNUMBER(FIND(CODES!$A$12,I23)),CODES!$A$12,IF(OR(ISNUMBER(FIND(CODES!$A$10,I23)),ISNUMBER(FIND(CODES!$A$11,I23))),CODES!$A$13,IF(OR(I23&lt;I$39,ISNUMBER(I23)=FALSE),I$40,I23))))</f>
      </c>
      <c r="J50" s="7">
        <f>IF(ISBLANK(J23),"NO DATA",IF(ISNUMBER(FIND(CODES!$A$12,J23)),CODES!$A$12,IF(OR(ISNUMBER(FIND(CODES!$A$10,J23)),ISNUMBER(FIND(CODES!$A$11,J23))),CODES!$A$13,IF(OR(J23&lt;J$39,ISNUMBER(J23)=FALSE),J$40,J23))))</f>
      </c>
      <c r="K50" s="7">
        <f>IF(ISBLANK(K23),"NO DATA",IF(ISNUMBER(FIND(CODES!$A$12,K23)),CODES!$A$12,IF(OR(ISNUMBER(FIND(CODES!$A$10,K23)),ISNUMBER(FIND(CODES!$A$11,K23))),CODES!$A$13,IF(OR(K23&lt;K$39,ISNUMBER(K23)=FALSE),K$40,K23))))</f>
      </c>
      <c r="L50" s="7">
        <f>IF(ISBLANK(L23),"NO DATA",IF(ISNUMBER(FIND(CODES!$A$12,L23)),CODES!$A$12,IF(OR(ISNUMBER(FIND(CODES!$A$10,L23)),ISNUMBER(FIND(CODES!$A$11,L23))),CODES!$A$13,IF(OR(L23&lt;L$39,ISNUMBER(L23)=FALSE),L$40,L23))))</f>
      </c>
      <c r="M50" s="7">
        <f>IF(ISBLANK(M23),"NO DATA",IF(ISNUMBER(FIND(CODES!$A$12,M23)),CODES!$A$12,IF(OR(ISNUMBER(FIND(CODES!$A$10,M23)),ISNUMBER(FIND(CODES!$A$11,M23))),CODES!$A$13,IF(OR(M23&lt;M$39,ISNUMBER(M23)=FALSE),M$40,M23))))</f>
      </c>
      <c r="N50" s="7" t="str">
        <f>IF(ISBLANK(N23),"NO DATA",IF(ISNUMBER(FIND(CODES!$A$12,N23)),CODES!$A$12,IF(OR(ISNUMBER(FIND(CODES!$A$10,N23)),ISNUMBER(FIND(CODES!$A$11,N23))),CODES!$A$13,IF(OR(N23&lt;N$39,ISNUMBER(N23)=FALSE),N$40,N23))))</f>
      </c>
      <c r="O50" s="7" t="str">
        <f>IF(ISBLANK(O23),"NO DATA",IF(ISNUMBER(FIND(CODES!$A$12,O23)),CODES!$A$12,IF(OR(ISNUMBER(FIND(CODES!$A$10,O23)),ISNUMBER(FIND(CODES!$A$11,O23))),CODES!$A$13,IF(OR(O23&lt;O$39,ISNUMBER(O23)=FALSE),O$40,O23))))</f>
      </c>
      <c r="P50" s="7">
        <f>IF(ISBLANK(P23),"NO DATA",IF(ISNUMBER(FIND(CODES!$A$12,P23)),CODES!$A$12,IF(OR(ISNUMBER(FIND(CODES!$A$10,P23)),ISNUMBER(FIND(CODES!$A$11,P23))),CODES!$A$13,IF(OR(P23&lt;P$39,ISNUMBER(P23)=FALSE),P$40,P23))))</f>
      </c>
      <c r="Q50" s="7">
        <f>IF(ISBLANK(Q23),"NO DATA",IF(ISNUMBER(FIND(CODES!$A$12,Q23)),CODES!$A$12,IF(OR(ISNUMBER(FIND(CODES!$A$10,Q23)),ISNUMBER(FIND(CODES!$A$11,Q23))),CODES!$A$13,IF(OR(Q23&lt;Q$39,ISNUMBER(Q23)=FALSE),Q$40,Q23))))</f>
      </c>
      <c r="R50" s="7">
        <f>IF(ISBLANK(R23),"NO DATA",IF(ISNUMBER(FIND(CODES!$A$12,R23)),CODES!$A$12,IF(OR(ISNUMBER(FIND(CODES!$A$10,R23)),ISNUMBER(FIND(CODES!$A$11,R23))),CODES!$A$13,IF(OR(R23&lt;R$39,ISNUMBER(R23)=FALSE),R$40,R23))))</f>
      </c>
      <c r="S50" s="7">
        <f>IF(ISBLANK(S23),"NO DATA",IF(ISNUMBER(FIND(CODES!$A$12,S23)),CODES!$A$12,IF(OR(ISNUMBER(FIND(CODES!$A$10,S23)),ISNUMBER(FIND(CODES!$A$11,S23))),CODES!$A$13,IF(OR(S23&lt;S$39,ISNUMBER(S23)=FALSE),S$40,S23))))</f>
      </c>
      <c r="T50" s="7">
        <f>IF(ISBLANK(T23),"NO DATA",IF(ISNUMBER(FIND(CODES!$A$12,T23)),CODES!$A$12,IF(OR(ISNUMBER(FIND(CODES!$A$10,T23)),ISNUMBER(FIND(CODES!$A$11,T23))),CODES!$A$13,IF(OR(T23&lt;T$39,ISNUMBER(T23)=FALSE),T$40,T23))))</f>
      </c>
      <c r="U50" s="7">
        <f>IF(ISBLANK(U23),"NO DATA",IF(ISNUMBER(FIND(CODES!$A$12,U23)),CODES!$A$12,IF(OR(ISNUMBER(FIND(CODES!$A$10,U23)),ISNUMBER(FIND(CODES!$A$11,U23))),CODES!$A$13,IF(OR(U23&lt;U$39,ISNUMBER(U23)=FALSE),U$40,U23))))</f>
      </c>
      <c r="V50" s="7">
        <f>IF(ISBLANK(V23),"NO DATA",IF(ISNUMBER(FIND(CODES!$A$12,V23)),CODES!$A$12,IF(OR(ISNUMBER(FIND(CODES!$A$10,V23)),ISNUMBER(FIND(CODES!$A$11,V23))),CODES!$A$13,IF(OR(V23&lt;V$39,ISNUMBER(V23)=FALSE),V$40,V23))))</f>
      </c>
      <c r="W50" s="7">
        <f>IF(ISBLANK(W23),"NO DATA",IF(ISNUMBER(FIND(CODES!$A$12,W23)),CODES!$A$12,IF(OR(ISNUMBER(FIND(CODES!$A$10,W23)),ISNUMBER(FIND(CODES!$A$11,W23))),CODES!$A$13,IF(OR(W23&lt;W$39,ISNUMBER(W23)=FALSE),W$40,W23))))</f>
      </c>
      <c r="X50" s="7">
        <f>IF(ISBLANK(X23),"NO DATA",IF(ISNUMBER(FIND(CODES!$A$12,X23)),CODES!$A$12,IF(OR(ISNUMBER(FIND(CODES!$A$10,X23)),ISNUMBER(FIND(CODES!$A$11,X23))),CODES!$A$13,IF(OR(X23&lt;X$39,ISNUMBER(X23)=FALSE),X$40,X23))))</f>
      </c>
      <c r="Y50" s="7">
        <f>IF(ISBLANK(Y23),"NO DATA",IF(ISNUMBER(FIND(CODES!$A$12,Y23)),CODES!$A$12,IF(OR(ISNUMBER(FIND(CODES!$A$10,Y23)),ISNUMBER(FIND(CODES!$A$11,Y23))),CODES!$A$13,IF(OR(Y23&lt;Y$39,ISNUMBER(Y23)=FALSE),Y$40,Y23))))</f>
      </c>
      <c r="Z50" s="7">
        <f>IF(ISBLANK(Z23),"NO DATA",IF(ISNUMBER(FIND(CODES!$A$12,Z23)),CODES!$A$12,IF(OR(ISNUMBER(FIND(CODES!$A$10,Z23)),ISNUMBER(FIND(CODES!$A$11,Z23))),CODES!$A$13,IF(OR(Z23&lt;Z$39,ISNUMBER(Z23)=FALSE),Z$40,Z23))))</f>
      </c>
      <c r="AA50" s="7">
        <f>IF(ISBLANK(AA23),"NO DATA",IF(ISNUMBER(FIND(CODES!$A$12,AA23)),CODES!$A$12,IF(OR(ISNUMBER(FIND(CODES!$A$10,AA23)),ISNUMBER(FIND(CODES!$A$11,AA23))),CODES!$A$13,IF(OR(AA23&lt;AA$39,ISNUMBER(AA23)=FALSE),AA$40,AA23))))</f>
      </c>
      <c r="AB50" s="7">
        <f>IF(ISBLANK(AB23),"NO DATA",IF(ISNUMBER(FIND(CODES!$A$12,AB23)),CODES!$A$12,IF(OR(ISNUMBER(FIND(CODES!$A$10,AB23)),ISNUMBER(FIND(CODES!$A$11,AB23))),CODES!$A$13,IF(OR(AB23&lt;AB$39,ISNUMBER(AB23)=FALSE),AB$40,AB23))))</f>
      </c>
      <c r="AC50" s="7">
        <f>IF(ISBLANK(AC23),"NO DATA",IF(ISNUMBER(FIND(CODES!$A$12,AC23)),CODES!$A$12,IF(OR(ISNUMBER(FIND(CODES!$A$10,AC23)),ISNUMBER(FIND(CODES!$A$11,AC23))),CODES!$A$13,IF(OR(AC23&lt;AC$39,ISNUMBER(AC23)=FALSE),AC$40,AC23))))</f>
      </c>
      <c r="AD50" s="7">
        <f>IF(ISBLANK(AD23),"NO DATA",IF(ISNUMBER(FIND(CODES!$A$12,AD23)),CODES!$A$12,IF(OR(ISNUMBER(FIND(CODES!$A$10,AD23)),ISNUMBER(FIND(CODES!$A$11,AD23))),CODES!$A$13,IF(OR(AD23&lt;AD$39,ISNUMBER(AD23)=FALSE),AD$40,AD23))))</f>
      </c>
      <c r="AE50" s="7">
        <f>IF(ISBLANK(AE23),"NO DATA",IF(ISNUMBER(FIND(CODES!$A$12,AE23)),CODES!$A$12,IF(OR(ISNUMBER(FIND(CODES!$A$10,AE23)),ISNUMBER(FIND(CODES!$A$11,AE23))),CODES!$A$13,IF(OR(AE23&lt;AE$39,ISNUMBER(AE23)=FALSE),AE$40,AE23))))</f>
      </c>
      <c r="AF50" s="7">
        <f>IF(ISBLANK(AF23),"NO DATA",IF(ISNUMBER(FIND(CODES!$A$12,AF23)),CODES!$A$12,IF(OR(ISNUMBER(FIND(CODES!$A$10,AF23)),ISNUMBER(FIND(CODES!$A$11,AF23))),CODES!$A$13,IF(OR(AF23&lt;AF$39,ISNUMBER(AF23)=FALSE),AF$40,AF23))))</f>
      </c>
      <c r="AG50" s="7">
        <f>IF(ISBLANK(AG23),"NO DATA",IF(ISNUMBER(FIND(CODES!$A$12,AG23)),CODES!$A$12,IF(OR(ISNUMBER(FIND(CODES!$A$10,AG23)),ISNUMBER(FIND(CODES!$A$11,AG23))),CODES!$A$13,IF(OR(AG23&lt;AG$39,ISNUMBER(AG23)=FALSE),AG$40,AG23))))</f>
      </c>
      <c r="AH50" s="7">
        <f>IF(ISBLANK(AH23),"NO DATA",IF(ISNUMBER(FIND(CODES!$A$12,AH23)),CODES!$A$12,IF(OR(ISNUMBER(FIND(CODES!$A$10,AH23)),ISNUMBER(FIND(CODES!$A$11,AH23))),CODES!$A$13,IF(OR(AH23&lt;AH$39,ISNUMBER(AH23)=FALSE),AH$40,AH23))))</f>
      </c>
      <c r="AI50" s="7">
        <f>IF(ISBLANK(AI23),"NO DATA",IF(ISNUMBER(FIND(CODES!$A$12,AI23)),CODES!$A$12,IF(OR(ISNUMBER(FIND(CODES!$A$10,AI23)),ISNUMBER(FIND(CODES!$A$11,AI23))),CODES!$A$13,IF(OR(AI23&lt;AI$39,ISNUMBER(AI23)=FALSE),AI$40,AI23))))</f>
      </c>
      <c r="AJ50" s="7">
        <f>IF(ISBLANK(AJ23),"NO DATA",IF(ISNUMBER(FIND(CODES!$A$12,AJ23)),CODES!$A$12,IF(OR(ISNUMBER(FIND(CODES!$A$10,AJ23)),ISNUMBER(FIND(CODES!$A$11,AJ23))),CODES!$A$13,IF(OR(AJ23&lt;AJ$39,ISNUMBER(AJ23)=FALSE),AJ$40,AJ23))))</f>
      </c>
      <c r="AK50" s="7">
        <f>IF(ISBLANK(AK23),"NO DATA",IF(ISNUMBER(FIND(CODES!$A$12,AK23)),CODES!$A$12,IF(OR(ISNUMBER(FIND(CODES!$A$10,AK23)),ISNUMBER(FIND(CODES!$A$11,AK23))),CODES!$A$13,IF(OR(AK23&lt;AK$39,ISNUMBER(AK23)=FALSE),AK$40,AK23))))</f>
      </c>
      <c r="AL50" s="7">
        <f>IF(ISBLANK(AL23),"NO DATA",IF(ISNUMBER(FIND(CODES!$A$12,AL23)),CODES!$A$12,IF(OR(ISNUMBER(FIND(CODES!$A$10,AL23)),ISNUMBER(FIND(CODES!$A$11,AL23))),CODES!$A$13,IF(OR(AL23&lt;AL$39,ISNUMBER(AL23)=FALSE),AL$40,AL23))))</f>
      </c>
      <c r="AM50" s="7">
        <f>IF(ISBLANK(AM23),"NO DATA",IF(ISNUMBER(FIND(CODES!$A$12,AM23)),CODES!$A$12,IF(OR(ISNUMBER(FIND(CODES!$A$10,AM23)),ISNUMBER(FIND(CODES!$A$11,AM23))),CODES!$A$13,IF(OR(AM23&lt;AM$39,ISNUMBER(AM23)=FALSE),AM$40,AM23))))</f>
      </c>
      <c r="AN50" s="7">
        <f>IF(ISBLANK(AN23),"NO DATA",IF(ISNUMBER(FIND(CODES!$A$12,AN23)),CODES!$A$12,IF(OR(ISNUMBER(FIND(CODES!$A$10,AN23)),ISNUMBER(FIND(CODES!$A$11,AN23))),CODES!$A$13,IF(OR(AN23&lt;AN$39,ISNUMBER(AN23)=FALSE),AN$40,AN23))))</f>
      </c>
      <c r="AO50" s="7">
        <f>IF(ISBLANK(AO23),"NO DATA",IF(ISNUMBER(FIND(CODES!$A$12,AO23)),CODES!$A$12,IF(OR(ISNUMBER(FIND(CODES!$A$10,AO23)),ISNUMBER(FIND(CODES!$A$11,AO23))),CODES!$A$13,IF(OR(AO23&lt;AO$39,ISNUMBER(AO23)=FALSE),AO$40,AO23))))</f>
      </c>
      <c r="AP50" s="7">
        <f>IF(ISBLANK(AP23),"NO DATA",IF(ISNUMBER(FIND(CODES!$A$12,AP23)),CODES!$A$12,IF(OR(ISNUMBER(FIND(CODES!$A$10,AP23)),ISNUMBER(FIND(CODES!$A$11,AP23))),CODES!$A$13,IF(OR(AP23&lt;AP$39,ISNUMBER(AP23)=FALSE),AP$40,AP23))))</f>
      </c>
      <c r="AQ50" s="7">
        <f>IF(ISBLANK(AQ23),"NO DATA",IF(ISNUMBER(FIND(CODES!$A$12,AQ23)),CODES!$A$12,IF(OR(ISNUMBER(FIND(CODES!$A$10,AQ23)),ISNUMBER(FIND(CODES!$A$11,AQ23))),CODES!$A$13,IF(OR(AQ23&lt;AQ$39,ISNUMBER(AQ23)=FALSE),AQ$40,AQ23))))</f>
      </c>
      <c r="AR50" s="7">
        <f>IF(ISBLANK(AR23),"NO DATA",IF(ISNUMBER(FIND(CODES!$A$12,AR23)),CODES!$A$12,IF(OR(ISNUMBER(FIND(CODES!$A$10,AR23)),ISNUMBER(FIND(CODES!$A$11,AR23))),CODES!$A$13,IF(OR(AR23&lt;AR$39,ISNUMBER(AR23)=FALSE),AR$40,AR23))))</f>
      </c>
      <c r="AS50" s="7">
        <f>IF(ISBLANK(AS23),"NO DATA",IF(ISNUMBER(FIND(CODES!$A$12,AS23)),CODES!$A$12,IF(OR(ISNUMBER(FIND(CODES!$A$10,AS23)),ISNUMBER(FIND(CODES!$A$11,AS23))),CODES!$A$13,IF(OR(AS23&lt;AS$39,ISNUMBER(AS23)=FALSE),AS$40,AS23))))</f>
      </c>
      <c r="AT50" s="7">
        <f>IF(ISBLANK(AT23),"NO DATA",IF(ISNUMBER(FIND(CODES!$A$12,AT23)),CODES!$A$12,IF(OR(ISNUMBER(FIND(CODES!$A$10,AT23)),ISNUMBER(FIND(CODES!$A$11,AT23))),CODES!$A$13,IF(OR(AT23&lt;AT$39,ISNUMBER(AT23)=FALSE),AT$40,AT23))))</f>
      </c>
      <c r="AU50" s="7">
        <f>IF(ISBLANK(AU23),"NO DATA",IF(ISNUMBER(FIND(CODES!$A$12,AU23)),CODES!$A$12,IF(OR(ISNUMBER(FIND(CODES!$A$10,AU23)),ISNUMBER(FIND(CODES!$A$11,AU23))),CODES!$A$13,IF(OR(AU23&lt;AU$39,ISNUMBER(AU23)=FALSE),AU$40,AU23))))</f>
      </c>
      <c r="AV50" s="7" t="str">
        <f>IF(ISBLANK(AV23),"NO DATA",IF(ISNUMBER(FIND(CODES!$A$12,AV23)),CODES!$A$12,IF(OR(ISNUMBER(FIND(CODES!$A$10,AV23)),ISNUMBER(FIND(CODES!$A$11,AV23))),CODES!$A$13,IF(OR(AV23&lt;AV$39,ISNUMBER(AV23)=FALSE),AV$40,AV23))))</f>
      </c>
      <c r="AW50" s="7" t="str">
        <f>IF(ISBLANK(AW23),"NO DATA",IF(ISNUMBER(FIND(CODES!$A$12,AW23)),CODES!$A$12,IF(OR(ISNUMBER(FIND(CODES!$A$10,AW23)),ISNUMBER(FIND(CODES!$A$11,AW23))),CODES!$A$13,IF(OR(AW23&lt;AW$39,ISNUMBER(AW23)=FALSE),AW$40,AW23))))</f>
      </c>
      <c r="AX50" s="7">
        <f>IF(ISBLANK(AX23),"NO DATA",IF(ISNUMBER(FIND(CODES!$A$12,AX23)),CODES!$A$12,IF(OR(ISNUMBER(FIND(CODES!$A$10,AX23)),ISNUMBER(FIND(CODES!$A$11,AX23))),CODES!$A$13,IF(OR(AX23&lt;AX$39,ISNUMBER(AX23)=FALSE),AX$40,AX23))))</f>
      </c>
      <c r="AY50" s="7">
        <f>IF(ISBLANK(AY23),"NO DATA",IF(ISNUMBER(FIND(CODES!$A$12,AY23)),CODES!$A$12,IF(OR(ISNUMBER(FIND(CODES!$A$10,AY23)),ISNUMBER(FIND(CODES!$A$11,AY23))),CODES!$A$13,IF(OR(AY23&lt;AY$39,ISNUMBER(AY23)=FALSE),AY$40,AY23))))</f>
      </c>
      <c r="AZ50" s="7">
        <f>IF(ISBLANK(AZ23),"NO DATA",IF(ISNUMBER(FIND(CODES!$A$12,AZ23)),CODES!$A$12,IF(OR(ISNUMBER(FIND(CODES!$A$10,AZ23)),ISNUMBER(FIND(CODES!$A$11,AZ23))),CODES!$A$13,IF(OR(AZ23&lt;AZ$39,ISNUMBER(AZ23)=FALSE),AZ$40,AZ23))))</f>
      </c>
      <c r="BA50" s="7">
        <f>IF(ISBLANK(BA23),"NO DATA",IF(ISNUMBER(FIND(CODES!$A$12,BA23)),CODES!$A$12,IF(OR(ISNUMBER(FIND(CODES!$A$10,BA23)),ISNUMBER(FIND(CODES!$A$11,BA23))),CODES!$A$13,IF(OR(BA23&lt;BA$39,ISNUMBER(BA23)=FALSE),BA$40,BA23))))</f>
      </c>
      <c r="BB50" s="7">
        <f>IF(ISBLANK(BB23),"NO DATA",IF(ISNUMBER(FIND(CODES!$A$12,BB23)),CODES!$A$12,IF(OR(ISNUMBER(FIND(CODES!$A$10,BB23)),ISNUMBER(FIND(CODES!$A$11,BB23))),CODES!$A$13,IF(OR(BB23&lt;BB$39,ISNUMBER(BB23)=FALSE),BB$40,BB23))))</f>
      </c>
      <c r="BC50" s="7">
        <f>IF(ISBLANK(BC23),"NO DATA",IF(ISNUMBER(FIND(CODES!$A$12,BC23)),CODES!$A$12,IF(OR(ISNUMBER(FIND(CODES!$A$10,BC23)),ISNUMBER(FIND(CODES!$A$11,BC23))),CODES!$A$13,IF(OR(BC23&lt;BC$39,ISNUMBER(BC23)=FALSE),BC$40,BC23))))</f>
      </c>
      <c r="BD50" s="7">
        <f>IF(ISBLANK(BD23),"NO DATA",IF(ISNUMBER(FIND(CODES!$A$12,BD23)),CODES!$A$12,IF(OR(ISNUMBER(FIND(CODES!$A$10,BD23)),ISNUMBER(FIND(CODES!$A$11,BD23))),CODES!$A$13,IF(OR(BD23&lt;BD$39,ISNUMBER(BD23)=FALSE),BD$40,BD23))))</f>
      </c>
      <c r="BE50" s="7">
        <f>IF(ISBLANK(BE23),"NO DATA",IF(ISNUMBER(FIND(CODES!$A$12,BE23)),CODES!$A$12,IF(OR(ISNUMBER(FIND(CODES!$A$10,BE23)),ISNUMBER(FIND(CODES!$A$11,BE23))),CODES!$A$13,IF(OR(BE23&lt;BE$39,ISNUMBER(BE23)=FALSE),BE$40,BE23))))</f>
      </c>
      <c r="BF50" s="7">
        <f>IF(ISBLANK(BF23),"NO DATA",IF(ISNUMBER(FIND(CODES!$A$12,BF23)),CODES!$A$12,IF(OR(ISNUMBER(FIND(CODES!$A$10,BF23)),ISNUMBER(FIND(CODES!$A$11,BF23))),CODES!$A$13,IF(OR(BF23&lt;BF$39,ISNUMBER(BF23)=FALSE),BF$40,BF23))))</f>
      </c>
      <c r="BG50" s="7">
        <f>IF(ISBLANK(BG23),"NO DATA",IF(ISNUMBER(FIND(CODES!$A$12,BG23)),CODES!$A$12,IF(OR(ISNUMBER(FIND(CODES!$A$10,BG23)),ISNUMBER(FIND(CODES!$A$11,BG23))),CODES!$A$13,IF(OR(BG23&lt;BG$39,ISNUMBER(BG23)=FALSE),BG$40,BG23))))</f>
      </c>
      <c r="BH50" s="7">
        <f>IF(ISBLANK(BH23),"NO DATA",IF(ISNUMBER(FIND(CODES!$A$12,BH23)),CODES!$A$12,IF(OR(ISNUMBER(FIND(CODES!$A$10,BH23)),ISNUMBER(FIND(CODES!$A$11,BH23))),CODES!$A$13,IF(OR(BH23&lt;BH$39,ISNUMBER(BH23)=FALSE),BH$40,BH23))))</f>
      </c>
      <c r="BI50" s="7">
        <f>IF(ISBLANK(BI23),"NO DATA",IF(ISNUMBER(FIND(CODES!$A$12,BI23)),CODES!$A$12,IF(OR(ISNUMBER(FIND(CODES!$A$10,BI23)),ISNUMBER(FIND(CODES!$A$11,BI23))),CODES!$A$13,IF(OR(BI23&lt;BI$39,ISNUMBER(BI23)=FALSE),BI$40,BI23))))</f>
      </c>
      <c r="BJ50" s="7">
        <f>IF(ISBLANK(BJ23),"NO DATA",IF(ISNUMBER(FIND(CODES!$A$12,BJ23)),CODES!$A$12,IF(OR(ISNUMBER(FIND(CODES!$A$10,BJ23)),ISNUMBER(FIND(CODES!$A$11,BJ23))),CODES!$A$13,IF(OR(BJ23&lt;BJ$39,ISNUMBER(BJ23)=FALSE),BJ$40,BJ23))))</f>
      </c>
      <c r="BK50" s="7">
        <f>IF(ISBLANK(BK23),"NO DATA",IF(ISNUMBER(FIND(CODES!$A$12,BK23)),CODES!$A$12,IF(OR(ISNUMBER(FIND(CODES!$A$10,BK23)),ISNUMBER(FIND(CODES!$A$11,BK23))),CODES!$A$13,IF(OR(BK23&lt;BK$39,ISNUMBER(BK23)=FALSE),BK$40,BK23))))</f>
      </c>
      <c r="BL50" s="7">
        <f>IF(ISBLANK(BL23),"NO DATA",IF(ISNUMBER(FIND(CODES!$A$12,BL23)),CODES!$A$12,IF(OR(ISNUMBER(FIND(CODES!$A$10,BL23)),ISNUMBER(FIND(CODES!$A$11,BL23))),CODES!$A$13,IF(OR(BL23&lt;BL$39,ISNUMBER(BL23)=FALSE),BL$40,BL23))))</f>
      </c>
      <c r="BM50" s="7">
        <f>IF(ISBLANK(BM23),"NO DATA",IF(ISNUMBER(FIND(CODES!$A$12,BM23)),CODES!$A$12,IF(OR(ISNUMBER(FIND(CODES!$A$10,BM23)),ISNUMBER(FIND(CODES!$A$11,BM23))),CODES!$A$13,IF(OR(BM23&lt;BM$39,ISNUMBER(BM23)=FALSE),BM$40,BM23))))</f>
      </c>
      <c r="BN50" s="7" t="str">
        <f>IF(ISBLANK(BN23),"NO DATA",IF(ISNUMBER(FIND(CODES!$A$12,BN23)),CODES!$A$12,IF(OR(ISNUMBER(FIND(CODES!$A$10,BN23)),ISNUMBER(FIND(CODES!$A$11,BN23))),CODES!$A$13,IF(OR(BN23&lt;BN$39,ISNUMBER(BN23)=FALSE),BN$40,BN23))))</f>
      </c>
      <c r="BO50" s="7" t="str">
        <f>IF(ISBLANK(BO23),"NO DATA",IF(ISNUMBER(FIND(CODES!$A$12,BO23)),CODES!$A$12,IF(OR(ISNUMBER(FIND(CODES!$A$10,BO23)),ISNUMBER(FIND(CODES!$A$11,BO23))),CODES!$A$13,IF(OR(BO23&lt;BO$39,ISNUMBER(BO23)=FALSE),BO$40,BO23))))</f>
      </c>
      <c r="BP50" s="7">
        <f>IF(ISBLANK(BP23),"NO DATA",IF(ISNUMBER(FIND(CODES!$A$12,BP23)),CODES!$A$12,IF(OR(ISNUMBER(FIND(CODES!$A$10,BP23)),ISNUMBER(FIND(CODES!$A$11,BP23))),CODES!$A$13,IF(OR(BP23&lt;BP$39,ISNUMBER(BP23)=FALSE),BP$40,BP23))))</f>
      </c>
      <c r="BQ50" s="7">
        <f>IF(ISBLANK(BQ23),"NO DATA",IF(ISNUMBER(FIND(CODES!$A$12,BQ23)),CODES!$A$12,IF(OR(ISNUMBER(FIND(CODES!$A$10,BQ23)),ISNUMBER(FIND(CODES!$A$11,BQ23))),CODES!$A$13,IF(OR(BQ23&lt;BQ$39,ISNUMBER(BQ23)=FALSE),BQ$40,BQ23))))</f>
      </c>
      <c r="BR50" s="7">
        <f>IF(ISBLANK(BR23),"NO DATA",IF(ISNUMBER(FIND(CODES!$A$12,BR23)),CODES!$A$12,IF(OR(ISNUMBER(FIND(CODES!$A$10,BR23)),ISNUMBER(FIND(CODES!$A$11,BR23))),CODES!$A$13,IF(OR(BR23&lt;BR$39,ISNUMBER(BR23)=FALSE),BR$40,BR23))))</f>
      </c>
      <c r="BS50" s="7">
        <f>IF(ISBLANK(BS23),"NO DATA",IF(ISNUMBER(FIND(CODES!$A$12,BS23)),CODES!$A$12,IF(OR(ISNUMBER(FIND(CODES!$A$10,BS23)),ISNUMBER(FIND(CODES!$A$11,BS23))),CODES!$A$13,IF(OR(BS23&lt;BS$39,ISNUMBER(BS23)=FALSE),BS$40,BS23))))</f>
      </c>
      <c r="BT50" s="7">
        <f>IF(ISBLANK(BT23),"NO DATA",IF(ISNUMBER(FIND(CODES!$A$12,BT23)),CODES!$A$12,IF(OR(ISNUMBER(FIND(CODES!$A$10,BT23)),ISNUMBER(FIND(CODES!$A$11,BT23))),CODES!$A$13,IF(OR(BT23&lt;BT$39,ISNUMBER(BT23)=FALSE),BT$40,BT23))))</f>
      </c>
      <c r="BU50" s="7">
        <f>IF(ISBLANK(BU23),"NO DATA",IF(ISNUMBER(FIND(CODES!$A$12,BU23)),CODES!$A$12,IF(OR(ISNUMBER(FIND(CODES!$A$10,BU23)),ISNUMBER(FIND(CODES!$A$11,BU23))),CODES!$A$13,IF(OR(BU23&lt;BU$39,ISNUMBER(BU23)=FALSE),BU$40,BU23))))</f>
      </c>
      <c r="BV50" s="7">
        <f>IF(ISBLANK(BV23),"NO DATA",IF(ISNUMBER(FIND(CODES!$A$12,BV23)),CODES!$A$12,IF(OR(ISNUMBER(FIND(CODES!$A$10,BV23)),ISNUMBER(FIND(CODES!$A$11,BV23))),CODES!$A$13,IF(OR(BV23&lt;BV$39,ISNUMBER(BV23)=FALSE),BV$40,BV23))))</f>
      </c>
      <c r="BW50" s="7" t="str">
        <f>IF(ISBLANK(BW23),"NO DATA",IF(ISNUMBER(FIND(CODES!$A$12,BW23)),CODES!$A$12,IF(OR(ISNUMBER(FIND(CODES!$A$10,BW23)),ISNUMBER(FIND(CODES!$A$11,BW23))),CODES!$A$13,IF(OR(BW23&lt;BW$39,ISNUMBER(BW23)=FALSE),BW$40,BW23))))</f>
      </c>
      <c r="BX50" s="7" t="str">
        <f>IF(ISBLANK(BX23),"NO DATA",IF(ISNUMBER(FIND(CODES!$A$12,BX23)),CODES!$A$12,IF(OR(ISNUMBER(FIND(CODES!$A$10,BX23)),ISNUMBER(FIND(CODES!$A$11,BX23))),CODES!$A$13,IF(OR(BX23&lt;BX$39,ISNUMBER(BX23)=FALSE),BX$40,BX23))))</f>
      </c>
      <c r="BY50" s="7">
        <f>IF(ISBLANK(BY23),"NO DATA",IF(ISNUMBER(FIND(CODES!$A$12,BY23)),CODES!$A$12,IF(OR(ISNUMBER(FIND(CODES!$A$10,BY23)),ISNUMBER(FIND(CODES!$A$11,BY23))),CODES!$A$13,IF(OR(BY23&lt;BY$39,ISNUMBER(BY23)=FALSE),BY$40,BY23))))</f>
      </c>
      <c r="BZ50" s="7">
        <f>IF(ISBLANK(BZ23),"NO DATA",IF(ISNUMBER(FIND(CODES!$A$12,BZ23)),CODES!$A$12,IF(OR(ISNUMBER(FIND(CODES!$A$10,BZ23)),ISNUMBER(FIND(CODES!$A$11,BZ23))),CODES!$A$13,IF(OR(BZ23&lt;BZ$39,ISNUMBER(BZ23)=FALSE),BZ$40,BZ23))))</f>
      </c>
      <c r="CA50" s="7">
        <f>IF(ISBLANK(CA23),"NO DATA",IF(ISNUMBER(FIND(CODES!$A$12,CA23)),CODES!$A$12,IF(OR(ISNUMBER(FIND(CODES!$A$10,CA23)),ISNUMBER(FIND(CODES!$A$11,CA23))),CODES!$A$13,IF(OR(CA23&lt;CA$39,ISNUMBER(CA23)=FALSE),CA$40,CA23))))</f>
      </c>
      <c r="CB50" s="7">
        <f>IF(ISBLANK(CB23),"NO DATA",IF(ISNUMBER(FIND(CODES!$A$12,CB23)),CODES!$A$12,IF(OR(ISNUMBER(FIND(CODES!$A$10,CB23)),ISNUMBER(FIND(CODES!$A$11,CB23))),CODES!$A$13,IF(OR(CB23&lt;CB$39,ISNUMBER(CB23)=FALSE),CB$40,CB23))))</f>
      </c>
      <c r="CC50" s="7">
        <f>IF(ISBLANK(CC23),"NO DATA",IF(ISNUMBER(FIND(CODES!$A$12,CC23)),CODES!$A$12,IF(OR(ISNUMBER(FIND(CODES!$A$10,CC23)),ISNUMBER(FIND(CODES!$A$11,CC23))),CODES!$A$13,IF(OR(CC23&lt;CC$39,ISNUMBER(CC23)=FALSE),CC$40,CC23))))</f>
      </c>
      <c r="CD50" s="7">
        <f>IF(ISBLANK(CD23),"NO DATA",IF(ISNUMBER(FIND(CODES!$A$12,CD23)),CODES!$A$12,IF(OR(ISNUMBER(FIND(CODES!$A$10,CD23)),ISNUMBER(FIND(CODES!$A$11,CD23))),CODES!$A$13,IF(OR(CD23&lt;CD$39,ISNUMBER(CD23)=FALSE),CD$40,CD23))))</f>
      </c>
      <c r="CE50" s="7">
        <f>IF(ISBLANK(CE23),"NO DATA",IF(ISNUMBER(FIND(CODES!$A$12,CE23)),CODES!$A$12,IF(OR(ISNUMBER(FIND(CODES!$A$10,CE23)),ISNUMBER(FIND(CODES!$A$11,CE23))),CODES!$A$13,IF(OR(CE23&lt;CE$39,ISNUMBER(CE23)=FALSE),CE$40,CE23))))</f>
      </c>
      <c r="CF50" s="7">
        <f>IF(ISBLANK(CF23),"NO DATA",IF(ISNUMBER(FIND(CODES!$A$12,CF23)),CODES!$A$12,IF(OR(ISNUMBER(FIND(CODES!$A$10,CF23)),ISNUMBER(FIND(CODES!$A$11,CF23))),CODES!$A$13,IF(OR(CF23&lt;CF$39,ISNUMBER(CF23)=FALSE),CF$40,CF23))))</f>
      </c>
      <c r="CG50" s="7">
        <f>IF(ISBLANK(CG23),"NO DATA",IF(ISNUMBER(FIND(CODES!$A$12,CG23)),CODES!$A$12,IF(OR(ISNUMBER(FIND(CODES!$A$10,CG23)),ISNUMBER(FIND(CODES!$A$11,CG23))),CODES!$A$13,IF(OR(CG23&lt;CG$39,ISNUMBER(CG23)=FALSE),CG$40,CG23))))</f>
      </c>
      <c r="CH50" s="7">
        <f>IF(ISBLANK(CH23),"NO DATA",IF(ISNUMBER(FIND(CODES!$A$12,CH23)),CODES!$A$12,IF(OR(ISNUMBER(FIND(CODES!$A$10,CH23)),ISNUMBER(FIND(CODES!$A$11,CH23))),CODES!$A$13,IF(OR(CH23&lt;CH$39,ISNUMBER(CH23)=FALSE),CH$40,CH23))))</f>
      </c>
      <c r="CI50" s="7">
        <f>IF(ISBLANK(CI23),"NO DATA",IF(ISNUMBER(FIND(CODES!$A$12,CI23)),CODES!$A$12,IF(OR(ISNUMBER(FIND(CODES!$A$10,CI23)),ISNUMBER(FIND(CODES!$A$11,CI23))),CODES!$A$13,IF(OR(CI23&lt;CI$39,ISNUMBER(CI23)=FALSE),CI$40,CI23))))</f>
      </c>
      <c r="CJ50" s="7">
        <f>IF(ISBLANK(CJ23),"NO DATA",IF(ISNUMBER(FIND(CODES!$A$12,CJ23)),CODES!$A$12,IF(OR(ISNUMBER(FIND(CODES!$A$10,CJ23)),ISNUMBER(FIND(CODES!$A$11,CJ23))),CODES!$A$13,IF(OR(CJ23&lt;CJ$39,ISNUMBER(CJ23)=FALSE),CJ$40,CJ23))))</f>
      </c>
      <c r="CK50" s="7">
        <f>IF(ISBLANK(CK23),"NO DATA",IF(ISNUMBER(FIND(CODES!$A$12,CK23)),CODES!$A$12,IF(OR(ISNUMBER(FIND(CODES!$A$10,CK23)),ISNUMBER(FIND(CODES!$A$11,CK23))),CODES!$A$13,IF(OR(CK23&lt;CK$39,ISNUMBER(CK23)=FALSE),CK$40,CK23))))</f>
      </c>
      <c r="CL50" s="7">
        <f>IF(ISBLANK(CL23),"NO DATA",IF(ISNUMBER(FIND(CODES!$A$12,CL23)),CODES!$A$12,IF(OR(ISNUMBER(FIND(CODES!$A$10,CL23)),ISNUMBER(FIND(CODES!$A$11,CL23))),CODES!$A$13,IF(OR(CL23&lt;CL$39,ISNUMBER(CL23)=FALSE),CL$40,CL23))))</f>
      </c>
      <c r="CM50" s="7">
        <f>IF(ISBLANK(CM23),"NO DATA",IF(ISNUMBER(FIND(CODES!$A$12,CM23)),CODES!$A$12,IF(OR(ISNUMBER(FIND(CODES!$A$10,CM23)),ISNUMBER(FIND(CODES!$A$11,CM23))),CODES!$A$13,IF(OR(CM23&lt;CM$39,ISNUMBER(CM23)=FALSE),CM$40,CM23))))</f>
      </c>
      <c r="CN50" s="7">
        <f>IF(ISBLANK(CN23),"NO DATA",IF(ISNUMBER(FIND(CODES!$A$12,CN23)),CODES!$A$12,IF(OR(ISNUMBER(FIND(CODES!$A$10,CN23)),ISNUMBER(FIND(CODES!$A$11,CN23))),CODES!$A$13,IF(OR(CN23&lt;CN$39,ISNUMBER(CN23)=FALSE),CN$40,CN23))))</f>
      </c>
      <c r="CO50" s="7">
        <f>IF(ISBLANK(CO23),"NO DATA",IF(ISNUMBER(FIND(CODES!$A$12,CO23)),CODES!$A$12,IF(OR(ISNUMBER(FIND(CODES!$A$10,CO23)),ISNUMBER(FIND(CODES!$A$11,CO23))),CODES!$A$13,IF(OR(CO23&lt;CO$39,ISNUMBER(CO23)=FALSE),CO$40,CO23))))</f>
      </c>
      <c r="CP50" s="7">
        <f>IF(ISBLANK(CP23),"NO DATA",IF(ISNUMBER(FIND(CODES!$A$12,CP23)),CODES!$A$12,IF(OR(ISNUMBER(FIND(CODES!$A$10,CP23)),ISNUMBER(FIND(CODES!$A$11,CP23))),CODES!$A$13,IF(OR(CP23&lt;CP$39,ISNUMBER(CP23)=FALSE),CP$40,CP23))))</f>
      </c>
      <c r="CQ50" s="7">
        <f>IF(ISBLANK(CQ23),"NO DATA",IF(ISNUMBER(FIND(CODES!$A$12,CQ23)),CODES!$A$12,IF(OR(ISNUMBER(FIND(CODES!$A$10,CQ23)),ISNUMBER(FIND(CODES!$A$11,CQ23))),CODES!$A$13,IF(OR(CQ23&lt;CQ$39,ISNUMBER(CQ23)=FALSE),CQ$40,CQ23))))</f>
      </c>
      <c r="CR50" s="7">
        <f>IF(ISBLANK(CR23),"NO DATA",IF(ISNUMBER(FIND(CODES!$A$12,CR23)),CODES!$A$12,IF(OR(ISNUMBER(FIND(CODES!$A$10,CR23)),ISNUMBER(FIND(CODES!$A$11,CR23))),CODES!$A$13,IF(OR(CR23&lt;CR$39,ISNUMBER(CR23)=FALSE),CR$40,CR23))))</f>
      </c>
      <c r="CS50" s="7">
        <f>IF(ISBLANK(CS23),"NO DATA",IF(ISNUMBER(FIND(CODES!$A$12,CS23)),CODES!$A$12,IF(OR(ISNUMBER(FIND(CODES!$A$10,CS23)),ISNUMBER(FIND(CODES!$A$11,CS23))),CODES!$A$13,IF(OR(CS23&lt;CS$39,ISNUMBER(CS23)=FALSE),CS$40,CS23))))</f>
      </c>
      <c r="CT50" s="7">
        <f>IF(ISBLANK(CT23),"NO DATA",IF(ISNUMBER(FIND(CODES!$A$12,CT23)),CODES!$A$12,IF(OR(ISNUMBER(FIND(CODES!$A$10,CT23)),ISNUMBER(FIND(CODES!$A$11,CT23))),CODES!$A$13,IF(OR(CT23&lt;CT$39,ISNUMBER(CT23)=FALSE),CT$40,CT23))))</f>
      </c>
      <c r="CU50" s="7">
        <f>IF(ISBLANK(CU23),"NO DATA",IF(ISNUMBER(FIND(CODES!$A$12,CU23)),CODES!$A$12,IF(OR(ISNUMBER(FIND(CODES!$A$10,CU23)),ISNUMBER(FIND(CODES!$A$11,CU23))),CODES!$A$13,IF(OR(CU23&lt;CU$39,ISNUMBER(CU23)=FALSE),CU$40,CU23))))</f>
      </c>
      <c r="CV50" s="7">
        <f>IF(ISBLANK(CV23),"NO DATA",IF(ISNUMBER(FIND(CODES!$A$12,CV23)),CODES!$A$12,IF(OR(ISNUMBER(FIND(CODES!$A$10,CV23)),ISNUMBER(FIND(CODES!$A$11,CV23))),CODES!$A$13,IF(OR(CV23&lt;CV$39,ISNUMBER(CV23)=FALSE),CV$40,CV23))))</f>
      </c>
      <c r="CW50" s="7">
        <f>IF(ISBLANK(CW23),"NO DATA",IF(ISNUMBER(FIND(CODES!$A$12,CW23)),CODES!$A$12,IF(OR(ISNUMBER(FIND(CODES!$A$10,CW23)),ISNUMBER(FIND(CODES!$A$11,CW23))),CODES!$A$13,IF(OR(CW23&lt;CW$39,ISNUMBER(CW23)=FALSE),CW$40,CW23))))</f>
      </c>
      <c r="CX50" s="7">
        <f>IF(ISBLANK(CX23),"NO DATA",IF(ISNUMBER(FIND(CODES!$A$12,CX23)),CODES!$A$12,IF(OR(ISNUMBER(FIND(CODES!$A$10,CX23)),ISNUMBER(FIND(CODES!$A$11,CX23))),CODES!$A$13,IF(OR(CX23&lt;CX$39,ISNUMBER(CX23)=FALSE),CX$40,CX23))))</f>
      </c>
      <c r="CY50" s="7">
        <f>IF(ISBLANK(CY23),"NO DATA",IF(ISNUMBER(FIND(CODES!$A$12,CY23)),CODES!$A$12,IF(OR(ISNUMBER(FIND(CODES!$A$10,CY23)),ISNUMBER(FIND(CODES!$A$11,CY23))),CODES!$A$13,IF(OR(CY23&lt;CY$39,ISNUMBER(CY23)=FALSE),CY$40,CY23))))</f>
      </c>
      <c r="CZ50" s="7">
        <f>IF(ISBLANK(CZ23),"NO DATA",IF(ISNUMBER(FIND(CODES!$A$12,CZ23)),CODES!$A$12,IF(OR(ISNUMBER(FIND(CODES!$A$10,CZ23)),ISNUMBER(FIND(CODES!$A$11,CZ23))),CODES!$A$13,IF(OR(CZ23&lt;CZ$39,ISNUMBER(CZ23)=FALSE),CZ$40,CZ23))))</f>
      </c>
      <c r="DA50" s="7">
        <f>IF(ISBLANK(DA23),"NO DATA",IF(ISNUMBER(FIND(CODES!$A$12,DA23)),CODES!$A$12,IF(OR(ISNUMBER(FIND(CODES!$A$10,DA23)),ISNUMBER(FIND(CODES!$A$11,DA23))),CODES!$A$13,IF(OR(DA23&lt;DA$39,ISNUMBER(DA23)=FALSE),DA$40,DA23))))</f>
      </c>
      <c r="DB50" s="7" t="str">
        <f>IF(ISBLANK(DB23),"NO DATA",IF(ISNUMBER(FIND(CODES!$A$12,DB23)),CODES!$A$12,IF(OR(ISNUMBER(FIND(CODES!$A$10,DB23)),ISNUMBER(FIND(CODES!$A$11,DB23))),CODES!$A$13,IF(OR(DB23&lt;DB$39,ISNUMBER(DB23)=FALSE),DB$40,DB23))))</f>
      </c>
      <c r="DC50" s="7" t="str">
        <f>IF(ISBLANK(DC23),"NO DATA",IF(ISNUMBER(FIND(CODES!$A$12,DC23)),CODES!$A$12,IF(OR(ISNUMBER(FIND(CODES!$A$10,DC23)),ISNUMBER(FIND(CODES!$A$11,DC23))),CODES!$A$13,IF(OR(DC23&lt;DC$39,ISNUMBER(DC23)=FALSE),DC$40,DC23))))</f>
      </c>
      <c r="DD50" s="7">
        <f>IF(ISBLANK(DD23),"NO DATA",IF(ISNUMBER(FIND(CODES!$A$12,DD23)),CODES!$A$12,IF(OR(ISNUMBER(FIND(CODES!$A$10,DD23)),ISNUMBER(FIND(CODES!$A$11,DD23))),CODES!$A$13,IF(OR(DD23&lt;DD$39,ISNUMBER(DD23)=FALSE),DD$40,DD23))))</f>
      </c>
      <c r="DE50" s="7">
        <f>IF(ISBLANK(DE23),"NO DATA",IF(ISNUMBER(FIND(CODES!$A$12,DE23)),CODES!$A$12,IF(OR(ISNUMBER(FIND(CODES!$A$10,DE23)),ISNUMBER(FIND(CODES!$A$11,DE23))),CODES!$A$13,IF(OR(DE23&lt;DE$39,ISNUMBER(DE23)=FALSE),DE$40,DE23))))</f>
      </c>
      <c r="DF50" s="7">
        <f>IF(ISBLANK(DF23),"NO DATA",IF(ISNUMBER(FIND(CODES!$A$12,DF23)),CODES!$A$12,IF(OR(ISNUMBER(FIND(CODES!$A$10,DF23)),ISNUMBER(FIND(CODES!$A$11,DF23))),CODES!$A$13,IF(OR(DF23&lt;DF$39,ISNUMBER(DF23)=FALSE),DF$40,DF23))))</f>
      </c>
      <c r="DG50" s="7">
        <f>IF(ISBLANK(DG23),"NO DATA",IF(ISNUMBER(FIND(CODES!$A$12,DG23)),CODES!$A$12,IF(OR(ISNUMBER(FIND(CODES!$A$10,DG23)),ISNUMBER(FIND(CODES!$A$11,DG23))),CODES!$A$13,IF(OR(DG23&lt;DG$39,ISNUMBER(DG23)=FALSE),DG$40,DG23))))</f>
      </c>
      <c r="DH50" s="7">
        <f>IF(ISBLANK(DH23),"NO DATA",IF(ISNUMBER(FIND(CODES!$A$12,DH23)),CODES!$A$12,IF(OR(ISNUMBER(FIND(CODES!$A$10,DH23)),ISNUMBER(FIND(CODES!$A$11,DH23))),CODES!$A$13,IF(OR(DH23&lt;DH$39,ISNUMBER(DH23)=FALSE),DH$40,DH23))))</f>
      </c>
      <c r="DI50" s="7">
        <f>IF(ISBLANK(DI23),"NO DATA",IF(ISNUMBER(FIND(CODES!$A$12,DI23)),CODES!$A$12,IF(OR(ISNUMBER(FIND(CODES!$A$10,DI23)),ISNUMBER(FIND(CODES!$A$11,DI23))),CODES!$A$13,IF(OR(DI23&lt;DI$39,ISNUMBER(DI23)=FALSE),DI$40,DI23))))</f>
      </c>
    </row>
    <row r="51" spans="1:113" x14ac:dyDescent="0.25">
      <c r="A51" s="16" t="str">
        <f t="shared" si="2"/>
      </c>
      <c r="B51" s="16" t="str">
        <f t="shared" si="2"/>
      </c>
      <c r="C51" s="7" t="str">
        <f>IF(ISBLANK(C24),"NO DATA",IF(ISNUMBER(FIND(CODES!$A$12,C24)),CODES!$A$12,IF(OR(ISNUMBER(FIND(CODES!$A$10,C24)),ISNUMBER(FIND(CODES!$A$11,C24))),CODES!$A$13,IF(OR(C24&lt;C$39,ISNUMBER(C24)=FALSE),C$40,C24))))</f>
      </c>
      <c r="D51" s="7" t="str">
        <f>IF(ISBLANK(D24),"NO DATA",IF(ISNUMBER(FIND(CODES!$A$12,D24)),CODES!$A$12,IF(OR(ISNUMBER(FIND(CODES!$A$10,D24)),ISNUMBER(FIND(CODES!$A$11,D24))),CODES!$A$13,IF(OR(D24&lt;D$39,ISNUMBER(D24)=FALSE),D$40,D24))))</f>
      </c>
      <c r="E51" s="7" t="str">
        <f>IF(ISBLANK(E24),"NO DATA",IF(ISNUMBER(FIND(CODES!$A$12,E24)),CODES!$A$12,IF(OR(ISNUMBER(FIND(CODES!$A$10,E24)),ISNUMBER(FIND(CODES!$A$11,E24))),CODES!$A$13,IF(OR(E24&lt;E$39,ISNUMBER(E24)=FALSE),E$40,E24))))</f>
      </c>
      <c r="F51" s="7" t="str">
        <f>IF(ISBLANK(F24),"NO DATA",IF(ISNUMBER(FIND(CODES!$A$12,F24)),CODES!$A$12,IF(OR(ISNUMBER(FIND(CODES!$A$10,F24)),ISNUMBER(FIND(CODES!$A$11,F24))),CODES!$A$13,IF(OR(F24&lt;F$39,ISNUMBER(F24)=FALSE),F$40,F24))))</f>
      </c>
      <c r="G51" s="7" t="str">
        <f>IF(ISBLANK(G24),"NO DATA",IF(ISNUMBER(FIND(CODES!$A$12,G24)),CODES!$A$12,IF(OR(ISNUMBER(FIND(CODES!$A$10,G24)),ISNUMBER(FIND(CODES!$A$11,G24))),CODES!$A$13,IF(OR(G24&lt;G$39,ISNUMBER(G24)=FALSE),G$40,G24))))</f>
      </c>
      <c r="H51" s="7">
        <f>IF(ISBLANK(H24),"NO DATA",IF(ISNUMBER(FIND(CODES!$A$12,H24)),CODES!$A$12,IF(OR(ISNUMBER(FIND(CODES!$A$10,H24)),ISNUMBER(FIND(CODES!$A$11,H24))),CODES!$A$13,IF(OR(H24&lt;H$39,ISNUMBER(H24)=FALSE),H$40,H24))))</f>
      </c>
      <c r="I51" s="7">
        <f>IF(ISBLANK(I24),"NO DATA",IF(ISNUMBER(FIND(CODES!$A$12,I24)),CODES!$A$12,IF(OR(ISNUMBER(FIND(CODES!$A$10,I24)),ISNUMBER(FIND(CODES!$A$11,I24))),CODES!$A$13,IF(OR(I24&lt;I$39,ISNUMBER(I24)=FALSE),I$40,I24))))</f>
      </c>
      <c r="J51" s="7">
        <f>IF(ISBLANK(J24),"NO DATA",IF(ISNUMBER(FIND(CODES!$A$12,J24)),CODES!$A$12,IF(OR(ISNUMBER(FIND(CODES!$A$10,J24)),ISNUMBER(FIND(CODES!$A$11,J24))),CODES!$A$13,IF(OR(J24&lt;J$39,ISNUMBER(J24)=FALSE),J$40,J24))))</f>
      </c>
      <c r="K51" s="7">
        <f>IF(ISBLANK(K24),"NO DATA",IF(ISNUMBER(FIND(CODES!$A$12,K24)),CODES!$A$12,IF(OR(ISNUMBER(FIND(CODES!$A$10,K24)),ISNUMBER(FIND(CODES!$A$11,K24))),CODES!$A$13,IF(OR(K24&lt;K$39,ISNUMBER(K24)=FALSE),K$40,K24))))</f>
      </c>
      <c r="L51" s="7" t="str">
        <f>IF(ISBLANK(L24),"NO DATA",IF(ISNUMBER(FIND(CODES!$A$12,L24)),CODES!$A$12,IF(OR(ISNUMBER(FIND(CODES!$A$10,L24)),ISNUMBER(FIND(CODES!$A$11,L24))),CODES!$A$13,IF(OR(L24&lt;L$39,ISNUMBER(L24)=FALSE),L$40,L24))))</f>
      </c>
      <c r="M51" s="7" t="str">
        <f>IF(ISBLANK(M24),"NO DATA",IF(ISNUMBER(FIND(CODES!$A$12,M24)),CODES!$A$12,IF(OR(ISNUMBER(FIND(CODES!$A$10,M24)),ISNUMBER(FIND(CODES!$A$11,M24))),CODES!$A$13,IF(OR(M24&lt;M$39,ISNUMBER(M24)=FALSE),M$40,M24))))</f>
      </c>
      <c r="N51" s="7" t="str">
        <f>IF(ISBLANK(N24),"NO DATA",IF(ISNUMBER(FIND(CODES!$A$12,N24)),CODES!$A$12,IF(OR(ISNUMBER(FIND(CODES!$A$10,N24)),ISNUMBER(FIND(CODES!$A$11,N24))),CODES!$A$13,IF(OR(N24&lt;N$39,ISNUMBER(N24)=FALSE),N$40,N24))))</f>
      </c>
      <c r="O51" s="7" t="str">
        <f>IF(ISBLANK(O24),"NO DATA",IF(ISNUMBER(FIND(CODES!$A$12,O24)),CODES!$A$12,IF(OR(ISNUMBER(FIND(CODES!$A$10,O24)),ISNUMBER(FIND(CODES!$A$11,O24))),CODES!$A$13,IF(OR(O24&lt;O$39,ISNUMBER(O24)=FALSE),O$40,O24))))</f>
      </c>
      <c r="P51" s="7">
        <f>IF(ISBLANK(P24),"NO DATA",IF(ISNUMBER(FIND(CODES!$A$12,P24)),CODES!$A$12,IF(OR(ISNUMBER(FIND(CODES!$A$10,P24)),ISNUMBER(FIND(CODES!$A$11,P24))),CODES!$A$13,IF(OR(P24&lt;P$39,ISNUMBER(P24)=FALSE),P$40,P24))))</f>
      </c>
      <c r="Q51" s="7">
        <f>IF(ISBLANK(Q24),"NO DATA",IF(ISNUMBER(FIND(CODES!$A$12,Q24)),CODES!$A$12,IF(OR(ISNUMBER(FIND(CODES!$A$10,Q24)),ISNUMBER(FIND(CODES!$A$11,Q24))),CODES!$A$13,IF(OR(Q24&lt;Q$39,ISNUMBER(Q24)=FALSE),Q$40,Q24))))</f>
      </c>
      <c r="R51" s="7" t="str">
        <f>IF(ISBLANK(R24),"NO DATA",IF(ISNUMBER(FIND(CODES!$A$12,R24)),CODES!$A$12,IF(OR(ISNUMBER(FIND(CODES!$A$10,R24)),ISNUMBER(FIND(CODES!$A$11,R24))),CODES!$A$13,IF(OR(R24&lt;R$39,ISNUMBER(R24)=FALSE),R$40,R24))))</f>
      </c>
      <c r="S51" s="7" t="str">
        <f>IF(ISBLANK(S24),"NO DATA",IF(ISNUMBER(FIND(CODES!$A$12,S24)),CODES!$A$12,IF(OR(ISNUMBER(FIND(CODES!$A$10,S24)),ISNUMBER(FIND(CODES!$A$11,S24))),CODES!$A$13,IF(OR(S24&lt;S$39,ISNUMBER(S24)=FALSE),S$40,S24))))</f>
      </c>
      <c r="T51" s="7" t="str">
        <f>IF(ISBLANK(T24),"NO DATA",IF(ISNUMBER(FIND(CODES!$A$12,T24)),CODES!$A$12,IF(OR(ISNUMBER(FIND(CODES!$A$10,T24)),ISNUMBER(FIND(CODES!$A$11,T24))),CODES!$A$13,IF(OR(T24&lt;T$39,ISNUMBER(T24)=FALSE),T$40,T24))))</f>
      </c>
      <c r="U51" s="7" t="str">
        <f>IF(ISBLANK(U24),"NO DATA",IF(ISNUMBER(FIND(CODES!$A$12,U24)),CODES!$A$12,IF(OR(ISNUMBER(FIND(CODES!$A$10,U24)),ISNUMBER(FIND(CODES!$A$11,U24))),CODES!$A$13,IF(OR(U24&lt;U$39,ISNUMBER(U24)=FALSE),U$40,U24))))</f>
      </c>
      <c r="V51" s="7" t="str">
        <f>IF(ISBLANK(V24),"NO DATA",IF(ISNUMBER(FIND(CODES!$A$12,V24)),CODES!$A$12,IF(OR(ISNUMBER(FIND(CODES!$A$10,V24)),ISNUMBER(FIND(CODES!$A$11,V24))),CODES!$A$13,IF(OR(V24&lt;V$39,ISNUMBER(V24)=FALSE),V$40,V24))))</f>
      </c>
      <c r="W51" s="7" t="str">
        <f>IF(ISBLANK(W24),"NO DATA",IF(ISNUMBER(FIND(CODES!$A$12,W24)),CODES!$A$12,IF(OR(ISNUMBER(FIND(CODES!$A$10,W24)),ISNUMBER(FIND(CODES!$A$11,W24))),CODES!$A$13,IF(OR(W24&lt;W$39,ISNUMBER(W24)=FALSE),W$40,W24))))</f>
      </c>
      <c r="X51" s="7" t="str">
        <f>IF(ISBLANK(X24),"NO DATA",IF(ISNUMBER(FIND(CODES!$A$12,X24)),CODES!$A$12,IF(OR(ISNUMBER(FIND(CODES!$A$10,X24)),ISNUMBER(FIND(CODES!$A$11,X24))),CODES!$A$13,IF(OR(X24&lt;X$39,ISNUMBER(X24)=FALSE),X$40,X24))))</f>
      </c>
      <c r="Y51" s="7" t="str">
        <f>IF(ISBLANK(Y24),"NO DATA",IF(ISNUMBER(FIND(CODES!$A$12,Y24)),CODES!$A$12,IF(OR(ISNUMBER(FIND(CODES!$A$10,Y24)),ISNUMBER(FIND(CODES!$A$11,Y24))),CODES!$A$13,IF(OR(Y24&lt;Y$39,ISNUMBER(Y24)=FALSE),Y$40,Y24))))</f>
      </c>
      <c r="Z51" s="7">
        <f>IF(ISBLANK(Z24),"NO DATA",IF(ISNUMBER(FIND(CODES!$A$12,Z24)),CODES!$A$12,IF(OR(ISNUMBER(FIND(CODES!$A$10,Z24)),ISNUMBER(FIND(CODES!$A$11,Z24))),CODES!$A$13,IF(OR(Z24&lt;Z$39,ISNUMBER(Z24)=FALSE),Z$40,Z24))))</f>
      </c>
      <c r="AA51" s="7" t="str">
        <f>IF(ISBLANK(AA24),"NO DATA",IF(ISNUMBER(FIND(CODES!$A$12,AA24)),CODES!$A$12,IF(OR(ISNUMBER(FIND(CODES!$A$10,AA24)),ISNUMBER(FIND(CODES!$A$11,AA24))),CODES!$A$13,IF(OR(AA24&lt;AA$39,ISNUMBER(AA24)=FALSE),AA$40,AA24))))</f>
      </c>
      <c r="AB51" s="7" t="str">
        <f>IF(ISBLANK(AB24),"NO DATA",IF(ISNUMBER(FIND(CODES!$A$12,AB24)),CODES!$A$12,IF(OR(ISNUMBER(FIND(CODES!$A$10,AB24)),ISNUMBER(FIND(CODES!$A$11,AB24))),CODES!$A$13,IF(OR(AB24&lt;AB$39,ISNUMBER(AB24)=FALSE),AB$40,AB24))))</f>
      </c>
      <c r="AC51" s="7" t="str">
        <f>IF(ISBLANK(AC24),"NO DATA",IF(ISNUMBER(FIND(CODES!$A$12,AC24)),CODES!$A$12,IF(OR(ISNUMBER(FIND(CODES!$A$10,AC24)),ISNUMBER(FIND(CODES!$A$11,AC24))),CODES!$A$13,IF(OR(AC24&lt;AC$39,ISNUMBER(AC24)=FALSE),AC$40,AC24))))</f>
      </c>
      <c r="AD51" s="7" t="str">
        <f>IF(ISBLANK(AD24),"NO DATA",IF(ISNUMBER(FIND(CODES!$A$12,AD24)),CODES!$A$12,IF(OR(ISNUMBER(FIND(CODES!$A$10,AD24)),ISNUMBER(FIND(CODES!$A$11,AD24))),CODES!$A$13,IF(OR(AD24&lt;AD$39,ISNUMBER(AD24)=FALSE),AD$40,AD24))))</f>
      </c>
      <c r="AE51" s="7" t="str">
        <f>IF(ISBLANK(AE24),"NO DATA",IF(ISNUMBER(FIND(CODES!$A$12,AE24)),CODES!$A$12,IF(OR(ISNUMBER(FIND(CODES!$A$10,AE24)),ISNUMBER(FIND(CODES!$A$11,AE24))),CODES!$A$13,IF(OR(AE24&lt;AE$39,ISNUMBER(AE24)=FALSE),AE$40,AE24))))</f>
      </c>
      <c r="AF51" s="7" t="str">
        <f>IF(ISBLANK(AF24),"NO DATA",IF(ISNUMBER(FIND(CODES!$A$12,AF24)),CODES!$A$12,IF(OR(ISNUMBER(FIND(CODES!$A$10,AF24)),ISNUMBER(FIND(CODES!$A$11,AF24))),CODES!$A$13,IF(OR(AF24&lt;AF$39,ISNUMBER(AF24)=FALSE),AF$40,AF24))))</f>
      </c>
      <c r="AG51" s="7">
        <f>IF(ISBLANK(AG24),"NO DATA",IF(ISNUMBER(FIND(CODES!$A$12,AG24)),CODES!$A$12,IF(OR(ISNUMBER(FIND(CODES!$A$10,AG24)),ISNUMBER(FIND(CODES!$A$11,AG24))),CODES!$A$13,IF(OR(AG24&lt;AG$39,ISNUMBER(AG24)=FALSE),AG$40,AG24))))</f>
      </c>
      <c r="AH51" s="7">
        <f>IF(ISBLANK(AH24),"NO DATA",IF(ISNUMBER(FIND(CODES!$A$12,AH24)),CODES!$A$12,IF(OR(ISNUMBER(FIND(CODES!$A$10,AH24)),ISNUMBER(FIND(CODES!$A$11,AH24))),CODES!$A$13,IF(OR(AH24&lt;AH$39,ISNUMBER(AH24)=FALSE),AH$40,AH24))))</f>
      </c>
      <c r="AI51" s="7" t="str">
        <f>IF(ISBLANK(AI24),"NO DATA",IF(ISNUMBER(FIND(CODES!$A$12,AI24)),CODES!$A$12,IF(OR(ISNUMBER(FIND(CODES!$A$10,AI24)),ISNUMBER(FIND(CODES!$A$11,AI24))),CODES!$A$13,IF(OR(AI24&lt;AI$39,ISNUMBER(AI24)=FALSE),AI$40,AI24))))</f>
      </c>
      <c r="AJ51" s="7" t="str">
        <f>IF(ISBLANK(AJ24),"NO DATA",IF(ISNUMBER(FIND(CODES!$A$12,AJ24)),CODES!$A$12,IF(OR(ISNUMBER(FIND(CODES!$A$10,AJ24)),ISNUMBER(FIND(CODES!$A$11,AJ24))),CODES!$A$13,IF(OR(AJ24&lt;AJ$39,ISNUMBER(AJ24)=FALSE),AJ$40,AJ24))))</f>
      </c>
      <c r="AK51" s="7">
        <f>IF(ISBLANK(AK24),"NO DATA",IF(ISNUMBER(FIND(CODES!$A$12,AK24)),CODES!$A$12,IF(OR(ISNUMBER(FIND(CODES!$A$10,AK24)),ISNUMBER(FIND(CODES!$A$11,AK24))),CODES!$A$13,IF(OR(AK24&lt;AK$39,ISNUMBER(AK24)=FALSE),AK$40,AK24))))</f>
      </c>
      <c r="AL51" s="7" t="str">
        <f>IF(ISBLANK(AL24),"NO DATA",IF(ISNUMBER(FIND(CODES!$A$12,AL24)),CODES!$A$12,IF(OR(ISNUMBER(FIND(CODES!$A$10,AL24)),ISNUMBER(FIND(CODES!$A$11,AL24))),CODES!$A$13,IF(OR(AL24&lt;AL$39,ISNUMBER(AL24)=FALSE),AL$40,AL24))))</f>
      </c>
      <c r="AM51" s="7" t="str">
        <f>IF(ISBLANK(AM24),"NO DATA",IF(ISNUMBER(FIND(CODES!$A$12,AM24)),CODES!$A$12,IF(OR(ISNUMBER(FIND(CODES!$A$10,AM24)),ISNUMBER(FIND(CODES!$A$11,AM24))),CODES!$A$13,IF(OR(AM24&lt;AM$39,ISNUMBER(AM24)=FALSE),AM$40,AM24))))</f>
      </c>
      <c r="AN51" s="7" t="str">
        <f>IF(ISBLANK(AN24),"NO DATA",IF(ISNUMBER(FIND(CODES!$A$12,AN24)),CODES!$A$12,IF(OR(ISNUMBER(FIND(CODES!$A$10,AN24)),ISNUMBER(FIND(CODES!$A$11,AN24))),CODES!$A$13,IF(OR(AN24&lt;AN$39,ISNUMBER(AN24)=FALSE),AN$40,AN24))))</f>
      </c>
      <c r="AO51" s="7" t="str">
        <f>IF(ISBLANK(AO24),"NO DATA",IF(ISNUMBER(FIND(CODES!$A$12,AO24)),CODES!$A$12,IF(OR(ISNUMBER(FIND(CODES!$A$10,AO24)),ISNUMBER(FIND(CODES!$A$11,AO24))),CODES!$A$13,IF(OR(AO24&lt;AO$39,ISNUMBER(AO24)=FALSE),AO$40,AO24))))</f>
      </c>
      <c r="AP51" s="7" t="str">
        <f>IF(ISBLANK(AP24),"NO DATA",IF(ISNUMBER(FIND(CODES!$A$12,AP24)),CODES!$A$12,IF(OR(ISNUMBER(FIND(CODES!$A$10,AP24)),ISNUMBER(FIND(CODES!$A$11,AP24))),CODES!$A$13,IF(OR(AP24&lt;AP$39,ISNUMBER(AP24)=FALSE),AP$40,AP24))))</f>
      </c>
      <c r="AQ51" s="7" t="str">
        <f>IF(ISBLANK(AQ24),"NO DATA",IF(ISNUMBER(FIND(CODES!$A$12,AQ24)),CODES!$A$12,IF(OR(ISNUMBER(FIND(CODES!$A$10,AQ24)),ISNUMBER(FIND(CODES!$A$11,AQ24))),CODES!$A$13,IF(OR(AQ24&lt;AQ$39,ISNUMBER(AQ24)=FALSE),AQ$40,AQ24))))</f>
      </c>
      <c r="AR51" s="7" t="str">
        <f>IF(ISBLANK(AR24),"NO DATA",IF(ISNUMBER(FIND(CODES!$A$12,AR24)),CODES!$A$12,IF(OR(ISNUMBER(FIND(CODES!$A$10,AR24)),ISNUMBER(FIND(CODES!$A$11,AR24))),CODES!$A$13,IF(OR(AR24&lt;AR$39,ISNUMBER(AR24)=FALSE),AR$40,AR24))))</f>
      </c>
      <c r="AS51" s="7">
        <f>IF(ISBLANK(AS24),"NO DATA",IF(ISNUMBER(FIND(CODES!$A$12,AS24)),CODES!$A$12,IF(OR(ISNUMBER(FIND(CODES!$A$10,AS24)),ISNUMBER(FIND(CODES!$A$11,AS24))),CODES!$A$13,IF(OR(AS24&lt;AS$39,ISNUMBER(AS24)=FALSE),AS$40,AS24))))</f>
      </c>
      <c r="AT51" s="7">
        <f>IF(ISBLANK(AT24),"NO DATA",IF(ISNUMBER(FIND(CODES!$A$12,AT24)),CODES!$A$12,IF(OR(ISNUMBER(FIND(CODES!$A$10,AT24)),ISNUMBER(FIND(CODES!$A$11,AT24))),CODES!$A$13,IF(OR(AT24&lt;AT$39,ISNUMBER(AT24)=FALSE),AT$40,AT24))))</f>
      </c>
      <c r="AU51" s="7" t="str">
        <f>IF(ISBLANK(AU24),"NO DATA",IF(ISNUMBER(FIND(CODES!$A$12,AU24)),CODES!$A$12,IF(OR(ISNUMBER(FIND(CODES!$A$10,AU24)),ISNUMBER(FIND(CODES!$A$11,AU24))),CODES!$A$13,IF(OR(AU24&lt;AU$39,ISNUMBER(AU24)=FALSE),AU$40,AU24))))</f>
      </c>
      <c r="AV51" s="7" t="str">
        <f>IF(ISBLANK(AV24),"NO DATA",IF(ISNUMBER(FIND(CODES!$A$12,AV24)),CODES!$A$12,IF(OR(ISNUMBER(FIND(CODES!$A$10,AV24)),ISNUMBER(FIND(CODES!$A$11,AV24))),CODES!$A$13,IF(OR(AV24&lt;AV$39,ISNUMBER(AV24)=FALSE),AV$40,AV24))))</f>
      </c>
      <c r="AW51" s="7" t="str">
        <f>IF(ISBLANK(AW24),"NO DATA",IF(ISNUMBER(FIND(CODES!$A$12,AW24)),CODES!$A$12,IF(OR(ISNUMBER(FIND(CODES!$A$10,AW24)),ISNUMBER(FIND(CODES!$A$11,AW24))),CODES!$A$13,IF(OR(AW24&lt;AW$39,ISNUMBER(AW24)=FALSE),AW$40,AW24))))</f>
      </c>
      <c r="AX51" s="7" t="str">
        <f>IF(ISBLANK(AX24),"NO DATA",IF(ISNUMBER(FIND(CODES!$A$12,AX24)),CODES!$A$12,IF(OR(ISNUMBER(FIND(CODES!$A$10,AX24)),ISNUMBER(FIND(CODES!$A$11,AX24))),CODES!$A$13,IF(OR(AX24&lt;AX$39,ISNUMBER(AX24)=FALSE),AX$40,AX24))))</f>
      </c>
      <c r="AY51" s="7" t="str">
        <f>IF(ISBLANK(AY24),"NO DATA",IF(ISNUMBER(FIND(CODES!$A$12,AY24)),CODES!$A$12,IF(OR(ISNUMBER(FIND(CODES!$A$10,AY24)),ISNUMBER(FIND(CODES!$A$11,AY24))),CODES!$A$13,IF(OR(AY24&lt;AY$39,ISNUMBER(AY24)=FALSE),AY$40,AY24))))</f>
      </c>
      <c r="AZ51" s="7">
        <f>IF(ISBLANK(AZ24),"NO DATA",IF(ISNUMBER(FIND(CODES!$A$12,AZ24)),CODES!$A$12,IF(OR(ISNUMBER(FIND(CODES!$A$10,AZ24)),ISNUMBER(FIND(CODES!$A$11,AZ24))),CODES!$A$13,IF(OR(AZ24&lt;AZ$39,ISNUMBER(AZ24)=FALSE),AZ$40,AZ24))))</f>
      </c>
      <c r="BA51" s="7">
        <f>IF(ISBLANK(BA24),"NO DATA",IF(ISNUMBER(FIND(CODES!$A$12,BA24)),CODES!$A$12,IF(OR(ISNUMBER(FIND(CODES!$A$10,BA24)),ISNUMBER(FIND(CODES!$A$11,BA24))),CODES!$A$13,IF(OR(BA24&lt;BA$39,ISNUMBER(BA24)=FALSE),BA$40,BA24))))</f>
      </c>
      <c r="BB51" s="36">
        <f>IF(ISBLANK(BB24),"NO DATA",IF(ISNUMBER(FIND(CODES!$A$12,BB24)),CODES!$A$12,IF(OR(ISNUMBER(FIND(CODES!$A$10,BB24)),ISNUMBER(FIND(CODES!$A$11,BB24))),CODES!$A$13,IF(OR(BB24&lt;BB$39,ISNUMBER(BB24)=FALSE),BB$40,BB24))))</f>
      </c>
      <c r="BC51" s="7">
        <f>IF(ISBLANK(BC24),"NO DATA",IF(ISNUMBER(FIND(CODES!$A$12,BC24)),CODES!$A$12,IF(OR(ISNUMBER(FIND(CODES!$A$10,BC24)),ISNUMBER(FIND(CODES!$A$11,BC24))),CODES!$A$13,IF(OR(BC24&lt;BC$39,ISNUMBER(BC24)=FALSE),BC$40,BC24))))</f>
      </c>
      <c r="BD51" s="7">
        <f>IF(ISBLANK(BD24),"NO DATA",IF(ISNUMBER(FIND(CODES!$A$12,BD24)),CODES!$A$12,IF(OR(ISNUMBER(FIND(CODES!$A$10,BD24)),ISNUMBER(FIND(CODES!$A$11,BD24))),CODES!$A$13,IF(OR(BD24&lt;BD$39,ISNUMBER(BD24)=FALSE),BD$40,BD24))))</f>
      </c>
      <c r="BE51" s="7">
        <f>IF(ISBLANK(BE24),"NO DATA",IF(ISNUMBER(FIND(CODES!$A$12,BE24)),CODES!$A$12,IF(OR(ISNUMBER(FIND(CODES!$A$10,BE24)),ISNUMBER(FIND(CODES!$A$11,BE24))),CODES!$A$13,IF(OR(BE24&lt;BE$39,ISNUMBER(BE24)=FALSE),BE$40,BE24))))</f>
      </c>
      <c r="BF51" s="7">
        <f>IF(ISBLANK(BF24),"NO DATA",IF(ISNUMBER(FIND(CODES!$A$12,BF24)),CODES!$A$12,IF(OR(ISNUMBER(FIND(CODES!$A$10,BF24)),ISNUMBER(FIND(CODES!$A$11,BF24))),CODES!$A$13,IF(OR(BF24&lt;BF$39,ISNUMBER(BF24)=FALSE),BF$40,BF24))))</f>
      </c>
      <c r="BG51" s="7">
        <f>IF(ISBLANK(BG24),"NO DATA",IF(ISNUMBER(FIND(CODES!$A$12,BG24)),CODES!$A$12,IF(OR(ISNUMBER(FIND(CODES!$A$10,BG24)),ISNUMBER(FIND(CODES!$A$11,BG24))),CODES!$A$13,IF(OR(BG24&lt;BG$39,ISNUMBER(BG24)=FALSE),BG$40,BG24))))</f>
      </c>
      <c r="BH51" s="7" t="str">
        <f>IF(ISBLANK(BH24),"NO DATA",IF(ISNUMBER(FIND(CODES!$A$12,BH24)),CODES!$A$12,IF(OR(ISNUMBER(FIND(CODES!$A$10,BH24)),ISNUMBER(FIND(CODES!$A$11,BH24))),CODES!$A$13,IF(OR(BH24&lt;BH$39,ISNUMBER(BH24)=FALSE),BH$40,BH24))))</f>
      </c>
      <c r="BI51" s="7" t="str">
        <f>IF(ISBLANK(BI24),"NO DATA",IF(ISNUMBER(FIND(CODES!$A$12,BI24)),CODES!$A$12,IF(OR(ISNUMBER(FIND(CODES!$A$10,BI24)),ISNUMBER(FIND(CODES!$A$11,BI24))),CODES!$A$13,IF(OR(BI24&lt;BI$39,ISNUMBER(BI24)=FALSE),BI$40,BI24))))</f>
      </c>
      <c r="BJ51" s="7" t="str">
        <f>IF(ISBLANK(BJ24),"NO DATA",IF(ISNUMBER(FIND(CODES!$A$12,BJ24)),CODES!$A$12,IF(OR(ISNUMBER(FIND(CODES!$A$10,BJ24)),ISNUMBER(FIND(CODES!$A$11,BJ24))),CODES!$A$13,IF(OR(BJ24&lt;BJ$39,ISNUMBER(BJ24)=FALSE),BJ$40,BJ24))))</f>
      </c>
      <c r="BK51" s="7" t="str">
        <f>IF(ISBLANK(BK24),"NO DATA",IF(ISNUMBER(FIND(CODES!$A$12,BK24)),CODES!$A$12,IF(OR(ISNUMBER(FIND(CODES!$A$10,BK24)),ISNUMBER(FIND(CODES!$A$11,BK24))),CODES!$A$13,IF(OR(BK24&lt;BK$39,ISNUMBER(BK24)=FALSE),BK$40,BK24))))</f>
      </c>
      <c r="BL51" s="7" t="str">
        <f>IF(ISBLANK(BL24),"NO DATA",IF(ISNUMBER(FIND(CODES!$A$12,BL24)),CODES!$A$12,IF(OR(ISNUMBER(FIND(CODES!$A$10,BL24)),ISNUMBER(FIND(CODES!$A$11,BL24))),CODES!$A$13,IF(OR(BL24&lt;BL$39,ISNUMBER(BL24)=FALSE),BL$40,BL24))))</f>
      </c>
      <c r="BM51" s="7" t="str">
        <f>IF(ISBLANK(BM24),"NO DATA",IF(ISNUMBER(FIND(CODES!$A$12,BM24)),CODES!$A$12,IF(OR(ISNUMBER(FIND(CODES!$A$10,BM24)),ISNUMBER(FIND(CODES!$A$11,BM24))),CODES!$A$13,IF(OR(BM24&lt;BM$39,ISNUMBER(BM24)=FALSE),BM$40,BM24))))</f>
      </c>
      <c r="BN51" s="7" t="str">
        <f>IF(ISBLANK(BN24),"NO DATA",IF(ISNUMBER(FIND(CODES!$A$12,BN24)),CODES!$A$12,IF(OR(ISNUMBER(FIND(CODES!$A$10,BN24)),ISNUMBER(FIND(CODES!$A$11,BN24))),CODES!$A$13,IF(OR(BN24&lt;BN$39,ISNUMBER(BN24)=FALSE),BN$40,BN24))))</f>
      </c>
      <c r="BO51" s="7" t="str">
        <f>IF(ISBLANK(BO24),"NO DATA",IF(ISNUMBER(FIND(CODES!$A$12,BO24)),CODES!$A$12,IF(OR(ISNUMBER(FIND(CODES!$A$10,BO24)),ISNUMBER(FIND(CODES!$A$11,BO24))),CODES!$A$13,IF(OR(BO24&lt;BO$39,ISNUMBER(BO24)=FALSE),BO$40,BO24))))</f>
      </c>
      <c r="BP51" s="7">
        <f>IF(ISBLANK(BP24),"NO DATA",IF(ISNUMBER(FIND(CODES!$A$12,BP24)),CODES!$A$12,IF(OR(ISNUMBER(FIND(CODES!$A$10,BP24)),ISNUMBER(FIND(CODES!$A$11,BP24))),CODES!$A$13,IF(OR(BP24&lt;BP$39,ISNUMBER(BP24)=FALSE),BP$40,BP24))))</f>
      </c>
      <c r="BQ51" s="7" t="str">
        <f>IF(ISBLANK(BQ24),"NO DATA",IF(ISNUMBER(FIND(CODES!$A$12,BQ24)),CODES!$A$12,IF(OR(ISNUMBER(FIND(CODES!$A$10,BQ24)),ISNUMBER(FIND(CODES!$A$11,BQ24))),CODES!$A$13,IF(OR(BQ24&lt;BQ$39,ISNUMBER(BQ24)=FALSE),BQ$40,BQ24))))</f>
      </c>
      <c r="BR51" s="7" t="str">
        <f>IF(ISBLANK(BR24),"NO DATA",IF(ISNUMBER(FIND(CODES!$A$12,BR24)),CODES!$A$12,IF(OR(ISNUMBER(FIND(CODES!$A$10,BR24)),ISNUMBER(FIND(CODES!$A$11,BR24))),CODES!$A$13,IF(OR(BR24&lt;BR$39,ISNUMBER(BR24)=FALSE),BR$40,BR24))))</f>
      </c>
      <c r="BS51" s="7">
        <f>IF(ISBLANK(BS24),"NO DATA",IF(ISNUMBER(FIND(CODES!$A$12,BS24)),CODES!$A$12,IF(OR(ISNUMBER(FIND(CODES!$A$10,BS24)),ISNUMBER(FIND(CODES!$A$11,BS24))),CODES!$A$13,IF(OR(BS24&lt;BS$39,ISNUMBER(BS24)=FALSE),BS$40,BS24))))</f>
      </c>
      <c r="BT51" s="7">
        <f>IF(ISBLANK(BT24),"NO DATA",IF(ISNUMBER(FIND(CODES!$A$12,BT24)),CODES!$A$12,IF(OR(ISNUMBER(FIND(CODES!$A$10,BT24)),ISNUMBER(FIND(CODES!$A$11,BT24))),CODES!$A$13,IF(OR(BT24&lt;BT$39,ISNUMBER(BT24)=FALSE),BT$40,BT24))))</f>
      </c>
      <c r="BU51" s="7" t="str">
        <f>IF(ISBLANK(BU24),"NO DATA",IF(ISNUMBER(FIND(CODES!$A$12,BU24)),CODES!$A$12,IF(OR(ISNUMBER(FIND(CODES!$A$10,BU24)),ISNUMBER(FIND(CODES!$A$11,BU24))),CODES!$A$13,IF(OR(BU24&lt;BU$39,ISNUMBER(BU24)=FALSE),BU$40,BU24))))</f>
      </c>
      <c r="BV51" s="7" t="str">
        <f>IF(ISBLANK(BV24),"NO DATA",IF(ISNUMBER(FIND(CODES!$A$12,BV24)),CODES!$A$12,IF(OR(ISNUMBER(FIND(CODES!$A$10,BV24)),ISNUMBER(FIND(CODES!$A$11,BV24))),CODES!$A$13,IF(OR(BV24&lt;BV$39,ISNUMBER(BV24)=FALSE),BV$40,BV24))))</f>
      </c>
      <c r="BW51" s="7" t="str">
        <f>IF(ISBLANK(BW24),"NO DATA",IF(ISNUMBER(FIND(CODES!$A$12,BW24)),CODES!$A$12,IF(OR(ISNUMBER(FIND(CODES!$A$10,BW24)),ISNUMBER(FIND(CODES!$A$11,BW24))),CODES!$A$13,IF(OR(BW24&lt;BW$39,ISNUMBER(BW24)=FALSE),BW$40,BW24))))</f>
      </c>
      <c r="BX51" s="7" t="str">
        <f>IF(ISBLANK(BX24),"NO DATA",IF(ISNUMBER(FIND(CODES!$A$12,BX24)),CODES!$A$12,IF(OR(ISNUMBER(FIND(CODES!$A$10,BX24)),ISNUMBER(FIND(CODES!$A$11,BX24))),CODES!$A$13,IF(OR(BX24&lt;BX$39,ISNUMBER(BX24)=FALSE),BX$40,BX24))))</f>
      </c>
      <c r="BY51" s="7" t="str">
        <f>IF(ISBLANK(BY24),"NO DATA",IF(ISNUMBER(FIND(CODES!$A$12,BY24)),CODES!$A$12,IF(OR(ISNUMBER(FIND(CODES!$A$10,BY24)),ISNUMBER(FIND(CODES!$A$11,BY24))),CODES!$A$13,IF(OR(BY24&lt;BY$39,ISNUMBER(BY24)=FALSE),BY$40,BY24))))</f>
      </c>
      <c r="BZ51" s="7" t="str">
        <f>IF(ISBLANK(BZ24),"NO DATA",IF(ISNUMBER(FIND(CODES!$A$12,BZ24)),CODES!$A$12,IF(OR(ISNUMBER(FIND(CODES!$A$10,BZ24)),ISNUMBER(FIND(CODES!$A$11,BZ24))),CODES!$A$13,IF(OR(BZ24&lt;BZ$39,ISNUMBER(BZ24)=FALSE),BZ$40,BZ24))))</f>
      </c>
      <c r="CA51" s="7" t="str">
        <f>IF(ISBLANK(CA24),"NO DATA",IF(ISNUMBER(FIND(CODES!$A$12,CA24)),CODES!$A$12,IF(OR(ISNUMBER(FIND(CODES!$A$10,CA24)),ISNUMBER(FIND(CODES!$A$11,CA24))),CODES!$A$13,IF(OR(CA24&lt;CA$39,ISNUMBER(CA24)=FALSE),CA$40,CA24))))</f>
      </c>
      <c r="CB51" s="7" t="str">
        <f>IF(ISBLANK(CB24),"NO DATA",IF(ISNUMBER(FIND(CODES!$A$12,CB24)),CODES!$A$12,IF(OR(ISNUMBER(FIND(CODES!$A$10,CB24)),ISNUMBER(FIND(CODES!$A$11,CB24))),CODES!$A$13,IF(OR(CB24&lt;CB$39,ISNUMBER(CB24)=FALSE),CB$40,CB24))))</f>
      </c>
      <c r="CC51" s="7" t="str">
        <f>IF(ISBLANK(CC24),"NO DATA",IF(ISNUMBER(FIND(CODES!$A$12,CC24)),CODES!$A$12,IF(OR(ISNUMBER(FIND(CODES!$A$10,CC24)),ISNUMBER(FIND(CODES!$A$11,CC24))),CODES!$A$13,IF(OR(CC24&lt;CC$39,ISNUMBER(CC24)=FALSE),CC$40,CC24))))</f>
      </c>
      <c r="CD51" s="7" t="str">
        <f>IF(ISBLANK(CD24),"NO DATA",IF(ISNUMBER(FIND(CODES!$A$12,CD24)),CODES!$A$12,IF(OR(ISNUMBER(FIND(CODES!$A$10,CD24)),ISNUMBER(FIND(CODES!$A$11,CD24))),CODES!$A$13,IF(OR(CD24&lt;CD$39,ISNUMBER(CD24)=FALSE),CD$40,CD24))))</f>
      </c>
      <c r="CE51" s="7" t="str">
        <f>IF(ISBLANK(CE24),"NO DATA",IF(ISNUMBER(FIND(CODES!$A$12,CE24)),CODES!$A$12,IF(OR(ISNUMBER(FIND(CODES!$A$10,CE24)),ISNUMBER(FIND(CODES!$A$11,CE24))),CODES!$A$13,IF(OR(CE24&lt;CE$39,ISNUMBER(CE24)=FALSE),CE$40,CE24))))</f>
      </c>
      <c r="CF51" s="7">
        <f>IF(ISBLANK(CF24),"NO DATA",IF(ISNUMBER(FIND(CODES!$A$12,CF24)),CODES!$A$12,IF(OR(ISNUMBER(FIND(CODES!$A$10,CF24)),ISNUMBER(FIND(CODES!$A$11,CF24))),CODES!$A$13,IF(OR(CF24&lt;CF$39,ISNUMBER(CF24)=FALSE),CF$40,CF24))))</f>
      </c>
      <c r="CG51" s="7">
        <f>IF(ISBLANK(CG24),"NO DATA",IF(ISNUMBER(FIND(CODES!$A$12,CG24)),CODES!$A$12,IF(OR(ISNUMBER(FIND(CODES!$A$10,CG24)),ISNUMBER(FIND(CODES!$A$11,CG24))),CODES!$A$13,IF(OR(CG24&lt;CG$39,ISNUMBER(CG24)=FALSE),CG$40,CG24))))</f>
      </c>
      <c r="CH51" s="7">
        <f>IF(ISBLANK(CH24),"NO DATA",IF(ISNUMBER(FIND(CODES!$A$12,CH24)),CODES!$A$12,IF(OR(ISNUMBER(FIND(CODES!$A$10,CH24)),ISNUMBER(FIND(CODES!$A$11,CH24))),CODES!$A$13,IF(OR(CH24&lt;CH$39,ISNUMBER(CH24)=FALSE),CH$40,CH24))))</f>
      </c>
      <c r="CI51" s="7" t="str">
        <f>IF(ISBLANK(CI24),"NO DATA",IF(ISNUMBER(FIND(CODES!$A$12,CI24)),CODES!$A$12,IF(OR(ISNUMBER(FIND(CODES!$A$10,CI24)),ISNUMBER(FIND(CODES!$A$11,CI24))),CODES!$A$13,IF(OR(CI24&lt;CI$39,ISNUMBER(CI24)=FALSE),CI$40,CI24))))</f>
      </c>
      <c r="CJ51" s="7" t="str">
        <f>IF(ISBLANK(CJ24),"NO DATA",IF(ISNUMBER(FIND(CODES!$A$12,CJ24)),CODES!$A$12,IF(OR(ISNUMBER(FIND(CODES!$A$10,CJ24)),ISNUMBER(FIND(CODES!$A$11,CJ24))),CODES!$A$13,IF(OR(CJ24&lt;CJ$39,ISNUMBER(CJ24)=FALSE),CJ$40,CJ24))))</f>
      </c>
      <c r="CK51" s="7" t="str">
        <f>IF(ISBLANK(CK24),"NO DATA",IF(ISNUMBER(FIND(CODES!$A$12,CK24)),CODES!$A$12,IF(OR(ISNUMBER(FIND(CODES!$A$10,CK24)),ISNUMBER(FIND(CODES!$A$11,CK24))),CODES!$A$13,IF(OR(CK24&lt;CK$39,ISNUMBER(CK24)=FALSE),CK$40,CK24))))</f>
      </c>
      <c r="CL51" s="7" t="str">
        <f>IF(ISBLANK(CL24),"NO DATA",IF(ISNUMBER(FIND(CODES!$A$12,CL24)),CODES!$A$12,IF(OR(ISNUMBER(FIND(CODES!$A$10,CL24)),ISNUMBER(FIND(CODES!$A$11,CL24))),CODES!$A$13,IF(OR(CL24&lt;CL$39,ISNUMBER(CL24)=FALSE),CL$40,CL24))))</f>
      </c>
      <c r="CM51" s="7" t="str">
        <f>IF(ISBLANK(CM24),"NO DATA",IF(ISNUMBER(FIND(CODES!$A$12,CM24)),CODES!$A$12,IF(OR(ISNUMBER(FIND(CODES!$A$10,CM24)),ISNUMBER(FIND(CODES!$A$11,CM24))),CODES!$A$13,IF(OR(CM24&lt;CM$39,ISNUMBER(CM24)=FALSE),CM$40,CM24))))</f>
      </c>
      <c r="CN51" s="7" t="str">
        <f>IF(ISBLANK(CN24),"NO DATA",IF(ISNUMBER(FIND(CODES!$A$12,CN24)),CODES!$A$12,IF(OR(ISNUMBER(FIND(CODES!$A$10,CN24)),ISNUMBER(FIND(CODES!$A$11,CN24))),CODES!$A$13,IF(OR(CN24&lt;CN$39,ISNUMBER(CN24)=FALSE),CN$40,CN24))))</f>
      </c>
      <c r="CO51" s="7" t="str">
        <f>IF(ISBLANK(CO24),"NO DATA",IF(ISNUMBER(FIND(CODES!$A$12,CO24)),CODES!$A$12,IF(OR(ISNUMBER(FIND(CODES!$A$10,CO24)),ISNUMBER(FIND(CODES!$A$11,CO24))),CODES!$A$13,IF(OR(CO24&lt;CO$39,ISNUMBER(CO24)=FALSE),CO$40,CO24))))</f>
      </c>
      <c r="CP51" s="7" t="str">
        <f>IF(ISBLANK(CP24),"NO DATA",IF(ISNUMBER(FIND(CODES!$A$12,CP24)),CODES!$A$12,IF(OR(ISNUMBER(FIND(CODES!$A$10,CP24)),ISNUMBER(FIND(CODES!$A$11,CP24))),CODES!$A$13,IF(OR(CP24&lt;CP$39,ISNUMBER(CP24)=FALSE),CP$40,CP24))))</f>
      </c>
      <c r="CQ51" s="7" t="str">
        <f>IF(ISBLANK(CQ24),"NO DATA",IF(ISNUMBER(FIND(CODES!$A$12,CQ24)),CODES!$A$12,IF(OR(ISNUMBER(FIND(CODES!$A$10,CQ24)),ISNUMBER(FIND(CODES!$A$11,CQ24))),CODES!$A$13,IF(OR(CQ24&lt;CQ$39,ISNUMBER(CQ24)=FALSE),CQ$40,CQ24))))</f>
      </c>
      <c r="CR51" s="7" t="str">
        <f>IF(ISBLANK(CR24),"NO DATA",IF(ISNUMBER(FIND(CODES!$A$12,CR24)),CODES!$A$12,IF(OR(ISNUMBER(FIND(CODES!$A$10,CR24)),ISNUMBER(FIND(CODES!$A$11,CR24))),CODES!$A$13,IF(OR(CR24&lt;CR$39,ISNUMBER(CR24)=FALSE),CR$40,CR24))))</f>
      </c>
      <c r="CS51" s="7" t="str">
        <f>IF(ISBLANK(CS24),"NO DATA",IF(ISNUMBER(FIND(CODES!$A$12,CS24)),CODES!$A$12,IF(OR(ISNUMBER(FIND(CODES!$A$10,CS24)),ISNUMBER(FIND(CODES!$A$11,CS24))),CODES!$A$13,IF(OR(CS24&lt;CS$39,ISNUMBER(CS24)=FALSE),CS$40,CS24))))</f>
      </c>
      <c r="CT51" s="7" t="str">
        <f>IF(ISBLANK(CT24),"NO DATA",IF(ISNUMBER(FIND(CODES!$A$12,CT24)),CODES!$A$12,IF(OR(ISNUMBER(FIND(CODES!$A$10,CT24)),ISNUMBER(FIND(CODES!$A$11,CT24))),CODES!$A$13,IF(OR(CT24&lt;CT$39,ISNUMBER(CT24)=FALSE),CT$40,CT24))))</f>
      </c>
      <c r="CU51" s="7" t="str">
        <f>IF(ISBLANK(CU24),"NO DATA",IF(ISNUMBER(FIND(CODES!$A$12,CU24)),CODES!$A$12,IF(OR(ISNUMBER(FIND(CODES!$A$10,CU24)),ISNUMBER(FIND(CODES!$A$11,CU24))),CODES!$A$13,IF(OR(CU24&lt;CU$39,ISNUMBER(CU24)=FALSE),CU$40,CU24))))</f>
      </c>
      <c r="CV51" s="7">
        <f>IF(ISBLANK(CV24),"NO DATA",IF(ISNUMBER(FIND(CODES!$A$12,CV24)),CODES!$A$12,IF(OR(ISNUMBER(FIND(CODES!$A$10,CV24)),ISNUMBER(FIND(CODES!$A$11,CV24))),CODES!$A$13,IF(OR(CV24&lt;CV$39,ISNUMBER(CV24)=FALSE),CV$40,CV24))))</f>
      </c>
      <c r="CW51" s="7" t="str">
        <f>IF(ISBLANK(CW24),"NO DATA",IF(ISNUMBER(FIND(CODES!$A$12,CW24)),CODES!$A$12,IF(OR(ISNUMBER(FIND(CODES!$A$10,CW24)),ISNUMBER(FIND(CODES!$A$11,CW24))),CODES!$A$13,IF(OR(CW24&lt;CW$39,ISNUMBER(CW24)=FALSE),CW$40,CW24))))</f>
      </c>
      <c r="CX51" s="7" t="str">
        <f>IF(ISBLANK(CX24),"NO DATA",IF(ISNUMBER(FIND(CODES!$A$12,CX24)),CODES!$A$12,IF(OR(ISNUMBER(FIND(CODES!$A$10,CX24)),ISNUMBER(FIND(CODES!$A$11,CX24))),CODES!$A$13,IF(OR(CX24&lt;CX$39,ISNUMBER(CX24)=FALSE),CX$40,CX24))))</f>
      </c>
      <c r="CY51" s="7">
        <f>IF(ISBLANK(CY24),"NO DATA",IF(ISNUMBER(FIND(CODES!$A$12,CY24)),CODES!$A$12,IF(OR(ISNUMBER(FIND(CODES!$A$10,CY24)),ISNUMBER(FIND(CODES!$A$11,CY24))),CODES!$A$13,IF(OR(CY24&lt;CY$39,ISNUMBER(CY24)=FALSE),CY$40,CY24))))</f>
      </c>
      <c r="CZ51" s="7" t="str">
        <f>IF(ISBLANK(CZ24),"NO DATA",IF(ISNUMBER(FIND(CODES!$A$12,CZ24)),CODES!$A$12,IF(OR(ISNUMBER(FIND(CODES!$A$10,CZ24)),ISNUMBER(FIND(CODES!$A$11,CZ24))),CODES!$A$13,IF(OR(CZ24&lt;CZ$39,ISNUMBER(CZ24)=FALSE),CZ$40,CZ24))))</f>
      </c>
      <c r="DA51" s="7" t="str">
        <f>IF(ISBLANK(DA24),"NO DATA",IF(ISNUMBER(FIND(CODES!$A$12,DA24)),CODES!$A$12,IF(OR(ISNUMBER(FIND(CODES!$A$10,DA24)),ISNUMBER(FIND(CODES!$A$11,DA24))),CODES!$A$13,IF(OR(DA24&lt;DA$39,ISNUMBER(DA24)=FALSE),DA$40,DA24))))</f>
      </c>
      <c r="DB51" s="7" t="str">
        <f>IF(ISBLANK(DB24),"NO DATA",IF(ISNUMBER(FIND(CODES!$A$12,DB24)),CODES!$A$12,IF(OR(ISNUMBER(FIND(CODES!$A$10,DB24)),ISNUMBER(FIND(CODES!$A$11,DB24))),CODES!$A$13,IF(OR(DB24&lt;DB$39,ISNUMBER(DB24)=FALSE),DB$40,DB24))))</f>
      </c>
      <c r="DC51" s="7" t="str">
        <f>IF(ISBLANK(DC24),"NO DATA",IF(ISNUMBER(FIND(CODES!$A$12,DC24)),CODES!$A$12,IF(OR(ISNUMBER(FIND(CODES!$A$10,DC24)),ISNUMBER(FIND(CODES!$A$11,DC24))),CODES!$A$13,IF(OR(DC24&lt;DC$39,ISNUMBER(DC24)=FALSE),DC$40,DC24))))</f>
      </c>
      <c r="DD51" s="7" t="str">
        <f>IF(ISBLANK(DD24),"NO DATA",IF(ISNUMBER(FIND(CODES!$A$12,DD24)),CODES!$A$12,IF(OR(ISNUMBER(FIND(CODES!$A$10,DD24)),ISNUMBER(FIND(CODES!$A$11,DD24))),CODES!$A$13,IF(OR(DD24&lt;DD$39,ISNUMBER(DD24)=FALSE),DD$40,DD24))))</f>
      </c>
      <c r="DE51" s="7" t="str">
        <f>IF(ISBLANK(DE24),"NO DATA",IF(ISNUMBER(FIND(CODES!$A$12,DE24)),CODES!$A$12,IF(OR(ISNUMBER(FIND(CODES!$A$10,DE24)),ISNUMBER(FIND(CODES!$A$11,DE24))),CODES!$A$13,IF(OR(DE24&lt;DE$39,ISNUMBER(DE24)=FALSE),DE$40,DE24))))</f>
      </c>
      <c r="DF51" s="7">
        <f>IF(ISBLANK(DF24),"NO DATA",IF(ISNUMBER(FIND(CODES!$A$12,DF24)),CODES!$A$12,IF(OR(ISNUMBER(FIND(CODES!$A$10,DF24)),ISNUMBER(FIND(CODES!$A$11,DF24))),CODES!$A$13,IF(OR(DF24&lt;DF$39,ISNUMBER(DF24)=FALSE),DF$40,DF24))))</f>
      </c>
      <c r="DG51" s="7">
        <f>IF(ISBLANK(DG24),"NO DATA",IF(ISNUMBER(FIND(CODES!$A$12,DG24)),CODES!$A$12,IF(OR(ISNUMBER(FIND(CODES!$A$10,DG24)),ISNUMBER(FIND(CODES!$A$11,DG24))),CODES!$A$13,IF(OR(DG24&lt;DG$39,ISNUMBER(DG24)=FALSE),DG$40,DG24))))</f>
      </c>
      <c r="DH51" s="7" t="str">
        <f>IF(ISBLANK(DH24),"NO DATA",IF(ISNUMBER(FIND(CODES!$A$12,DH24)),CODES!$A$12,IF(OR(ISNUMBER(FIND(CODES!$A$10,DH24)),ISNUMBER(FIND(CODES!$A$11,DH24))),CODES!$A$13,IF(OR(DH24&lt;DH$39,ISNUMBER(DH24)=FALSE),DH$40,DH24))))</f>
      </c>
      <c r="DI51" s="7" t="str">
        <f>IF(ISBLANK(DI24),"NO DATA",IF(ISNUMBER(FIND(CODES!$A$12,DI24)),CODES!$A$12,IF(OR(ISNUMBER(FIND(CODES!$A$10,DI24)),ISNUMBER(FIND(CODES!$A$11,DI24))),CODES!$A$13,IF(OR(DI24&lt;DI$39,ISNUMBER(DI24)=FALSE),DI$40,DI24))))</f>
      </c>
    </row>
    <row r="52" spans="1:113" x14ac:dyDescent="0.25">
      <c r="A52" s="16" t="str">
        <f t="shared" si="2"/>
      </c>
      <c r="B52" s="16" t="str">
        <f t="shared" si="2"/>
      </c>
      <c r="C52" s="7" t="str">
        <f>IF(ISBLANK(C25),"NO DATA",IF(ISNUMBER(FIND(CODES!$A$12,C25)),CODES!$A$12,IF(OR(ISNUMBER(FIND(CODES!$A$10,C25)),ISNUMBER(FIND(CODES!$A$11,C25))),CODES!$A$13,IF(OR(C25&lt;C$39,ISNUMBER(C25)=FALSE),C$40,C25))))</f>
      </c>
      <c r="D52" s="7" t="str">
        <f>IF(ISBLANK(D25),"NO DATA",IF(ISNUMBER(FIND(CODES!$A$12,D25)),CODES!$A$12,IF(OR(ISNUMBER(FIND(CODES!$A$10,D25)),ISNUMBER(FIND(CODES!$A$11,D25))),CODES!$A$13,IF(OR(D25&lt;D$39,ISNUMBER(D25)=FALSE),D$40,D25))))</f>
      </c>
      <c r="E52" s="7" t="str">
        <f>IF(ISBLANK(E25),"NO DATA",IF(ISNUMBER(FIND(CODES!$A$12,E25)),CODES!$A$12,IF(OR(ISNUMBER(FIND(CODES!$A$10,E25)),ISNUMBER(FIND(CODES!$A$11,E25))),CODES!$A$13,IF(OR(E25&lt;E$39,ISNUMBER(E25)=FALSE),E$40,E25))))</f>
      </c>
      <c r="F52" s="7" t="str">
        <f>IF(ISBLANK(F25),"NO DATA",IF(ISNUMBER(FIND(CODES!$A$12,F25)),CODES!$A$12,IF(OR(ISNUMBER(FIND(CODES!$A$10,F25)),ISNUMBER(FIND(CODES!$A$11,F25))),CODES!$A$13,IF(OR(F25&lt;F$39,ISNUMBER(F25)=FALSE),F$40,F25))))</f>
      </c>
      <c r="G52" s="7" t="str">
        <f>IF(ISBLANK(G25),"NO DATA",IF(ISNUMBER(FIND(CODES!$A$12,G25)),CODES!$A$12,IF(OR(ISNUMBER(FIND(CODES!$A$10,G25)),ISNUMBER(FIND(CODES!$A$11,G25))),CODES!$A$13,IF(OR(G25&lt;G$39,ISNUMBER(G25)=FALSE),G$40,G25))))</f>
      </c>
      <c r="H52" s="7">
        <f>IF(ISBLANK(H25),"NO DATA",IF(ISNUMBER(FIND(CODES!$A$12,H25)),CODES!$A$12,IF(OR(ISNUMBER(FIND(CODES!$A$10,H25)),ISNUMBER(FIND(CODES!$A$11,H25))),CODES!$A$13,IF(OR(H25&lt;H$39,ISNUMBER(H25)=FALSE),H$40,H25))))</f>
      </c>
      <c r="I52" s="7">
        <f>IF(ISBLANK(I25),"NO DATA",IF(ISNUMBER(FIND(CODES!$A$12,I25)),CODES!$A$12,IF(OR(ISNUMBER(FIND(CODES!$A$10,I25)),ISNUMBER(FIND(CODES!$A$11,I25))),CODES!$A$13,IF(OR(I25&lt;I$39,ISNUMBER(I25)=FALSE),I$40,I25))))</f>
      </c>
      <c r="J52" s="7">
        <f>IF(ISBLANK(J25),"NO DATA",IF(ISNUMBER(FIND(CODES!$A$12,J25)),CODES!$A$12,IF(OR(ISNUMBER(FIND(CODES!$A$10,J25)),ISNUMBER(FIND(CODES!$A$11,J25))),CODES!$A$13,IF(OR(J25&lt;J$39,ISNUMBER(J25)=FALSE),J$40,J25))))</f>
      </c>
      <c r="K52" s="7">
        <f>IF(ISBLANK(K25),"NO DATA",IF(ISNUMBER(FIND(CODES!$A$12,K25)),CODES!$A$12,IF(OR(ISNUMBER(FIND(CODES!$A$10,K25)),ISNUMBER(FIND(CODES!$A$11,K25))),CODES!$A$13,IF(OR(K25&lt;K$39,ISNUMBER(K25)=FALSE),K$40,K25))))</f>
      </c>
      <c r="L52" s="7" t="str">
        <f>IF(ISBLANK(L25),"NO DATA",IF(ISNUMBER(FIND(CODES!$A$12,L25)),CODES!$A$12,IF(OR(ISNUMBER(FIND(CODES!$A$10,L25)),ISNUMBER(FIND(CODES!$A$11,L25))),CODES!$A$13,IF(OR(L25&lt;L$39,ISNUMBER(L25)=FALSE),L$40,L25))))</f>
      </c>
      <c r="M52" s="7" t="str">
        <f>IF(ISBLANK(M25),"NO DATA",IF(ISNUMBER(FIND(CODES!$A$12,M25)),CODES!$A$12,IF(OR(ISNUMBER(FIND(CODES!$A$10,M25)),ISNUMBER(FIND(CODES!$A$11,M25))),CODES!$A$13,IF(OR(M25&lt;M$39,ISNUMBER(M25)=FALSE),M$40,M25))))</f>
      </c>
      <c r="N52" s="7" t="str">
        <f>IF(ISBLANK(N25),"NO DATA",IF(ISNUMBER(FIND(CODES!$A$12,N25)),CODES!$A$12,IF(OR(ISNUMBER(FIND(CODES!$A$10,N25)),ISNUMBER(FIND(CODES!$A$11,N25))),CODES!$A$13,IF(OR(N25&lt;N$39,ISNUMBER(N25)=FALSE),N$40,N25))))</f>
      </c>
      <c r="O52" s="7" t="str">
        <f>IF(ISBLANK(O25),"NO DATA",IF(ISNUMBER(FIND(CODES!$A$12,O25)),CODES!$A$12,IF(OR(ISNUMBER(FIND(CODES!$A$10,O25)),ISNUMBER(FIND(CODES!$A$11,O25))),CODES!$A$13,IF(OR(O25&lt;O$39,ISNUMBER(O25)=FALSE),O$40,O25))))</f>
      </c>
      <c r="P52" s="7">
        <f>IF(ISBLANK(P25),"NO DATA",IF(ISNUMBER(FIND(CODES!$A$12,P25)),CODES!$A$12,IF(OR(ISNUMBER(FIND(CODES!$A$10,P25)),ISNUMBER(FIND(CODES!$A$11,P25))),CODES!$A$13,IF(OR(P25&lt;P$39,ISNUMBER(P25)=FALSE),P$40,P25))))</f>
      </c>
      <c r="Q52" s="7">
        <f>IF(ISBLANK(Q25),"NO DATA",IF(ISNUMBER(FIND(CODES!$A$12,Q25)),CODES!$A$12,IF(OR(ISNUMBER(FIND(CODES!$A$10,Q25)),ISNUMBER(FIND(CODES!$A$11,Q25))),CODES!$A$13,IF(OR(Q25&lt;Q$39,ISNUMBER(Q25)=FALSE),Q$40,Q25))))</f>
      </c>
      <c r="R52" s="7" t="str">
        <f>IF(ISBLANK(R25),"NO DATA",IF(ISNUMBER(FIND(CODES!$A$12,R25)),CODES!$A$12,IF(OR(ISNUMBER(FIND(CODES!$A$10,R25)),ISNUMBER(FIND(CODES!$A$11,R25))),CODES!$A$13,IF(OR(R25&lt;R$39,ISNUMBER(R25)=FALSE),R$40,R25))))</f>
      </c>
      <c r="S52" s="7" t="str">
        <f>IF(ISBLANK(S25),"NO DATA",IF(ISNUMBER(FIND(CODES!$A$12,S25)),CODES!$A$12,IF(OR(ISNUMBER(FIND(CODES!$A$10,S25)),ISNUMBER(FIND(CODES!$A$11,S25))),CODES!$A$13,IF(OR(S25&lt;S$39,ISNUMBER(S25)=FALSE),S$40,S25))))</f>
      </c>
      <c r="T52" s="7" t="str">
        <f>IF(ISBLANK(T25),"NO DATA",IF(ISNUMBER(FIND(CODES!$A$12,T25)),CODES!$A$12,IF(OR(ISNUMBER(FIND(CODES!$A$10,T25)),ISNUMBER(FIND(CODES!$A$11,T25))),CODES!$A$13,IF(OR(T25&lt;T$39,ISNUMBER(T25)=FALSE),T$40,T25))))</f>
      </c>
      <c r="U52" s="7" t="str">
        <f>IF(ISBLANK(U25),"NO DATA",IF(ISNUMBER(FIND(CODES!$A$12,U25)),CODES!$A$12,IF(OR(ISNUMBER(FIND(CODES!$A$10,U25)),ISNUMBER(FIND(CODES!$A$11,U25))),CODES!$A$13,IF(OR(U25&lt;U$39,ISNUMBER(U25)=FALSE),U$40,U25))))</f>
      </c>
      <c r="V52" s="7" t="str">
        <f>IF(ISBLANK(V25),"NO DATA",IF(ISNUMBER(FIND(CODES!$A$12,V25)),CODES!$A$12,IF(OR(ISNUMBER(FIND(CODES!$A$10,V25)),ISNUMBER(FIND(CODES!$A$11,V25))),CODES!$A$13,IF(OR(V25&lt;V$39,ISNUMBER(V25)=FALSE),V$40,V25))))</f>
      </c>
      <c r="W52" s="7" t="str">
        <f>IF(ISBLANK(W25),"NO DATA",IF(ISNUMBER(FIND(CODES!$A$12,W25)),CODES!$A$12,IF(OR(ISNUMBER(FIND(CODES!$A$10,W25)),ISNUMBER(FIND(CODES!$A$11,W25))),CODES!$A$13,IF(OR(W25&lt;W$39,ISNUMBER(W25)=FALSE),W$40,W25))))</f>
      </c>
      <c r="X52" s="7" t="str">
        <f>IF(ISBLANK(X25),"NO DATA",IF(ISNUMBER(FIND(CODES!$A$12,X25)),CODES!$A$12,IF(OR(ISNUMBER(FIND(CODES!$A$10,X25)),ISNUMBER(FIND(CODES!$A$11,X25))),CODES!$A$13,IF(OR(X25&lt;X$39,ISNUMBER(X25)=FALSE),X$40,X25))))</f>
      </c>
      <c r="Y52" s="7" t="str">
        <f>IF(ISBLANK(Y25),"NO DATA",IF(ISNUMBER(FIND(CODES!$A$12,Y25)),CODES!$A$12,IF(OR(ISNUMBER(FIND(CODES!$A$10,Y25)),ISNUMBER(FIND(CODES!$A$11,Y25))),CODES!$A$13,IF(OR(Y25&lt;Y$39,ISNUMBER(Y25)=FALSE),Y$40,Y25))))</f>
      </c>
      <c r="Z52" s="7">
        <f>IF(ISBLANK(Z25),"NO DATA",IF(ISNUMBER(FIND(CODES!$A$12,Z25)),CODES!$A$12,IF(OR(ISNUMBER(FIND(CODES!$A$10,Z25)),ISNUMBER(FIND(CODES!$A$11,Z25))),CODES!$A$13,IF(OR(Z25&lt;Z$39,ISNUMBER(Z25)=FALSE),Z$40,Z25))))</f>
      </c>
      <c r="AA52" s="7" t="str">
        <f>IF(ISBLANK(AA25),"NO DATA",IF(ISNUMBER(FIND(CODES!$A$12,AA25)),CODES!$A$12,IF(OR(ISNUMBER(FIND(CODES!$A$10,AA25)),ISNUMBER(FIND(CODES!$A$11,AA25))),CODES!$A$13,IF(OR(AA25&lt;AA$39,ISNUMBER(AA25)=FALSE),AA$40,AA25))))</f>
      </c>
      <c r="AB52" s="7" t="str">
        <f>IF(ISBLANK(AB25),"NO DATA",IF(ISNUMBER(FIND(CODES!$A$12,AB25)),CODES!$A$12,IF(OR(ISNUMBER(FIND(CODES!$A$10,AB25)),ISNUMBER(FIND(CODES!$A$11,AB25))),CODES!$A$13,IF(OR(AB25&lt;AB$39,ISNUMBER(AB25)=FALSE),AB$40,AB25))))</f>
      </c>
      <c r="AC52" s="7" t="str">
        <f>IF(ISBLANK(AC25),"NO DATA",IF(ISNUMBER(FIND(CODES!$A$12,AC25)),CODES!$A$12,IF(OR(ISNUMBER(FIND(CODES!$A$10,AC25)),ISNUMBER(FIND(CODES!$A$11,AC25))),CODES!$A$13,IF(OR(AC25&lt;AC$39,ISNUMBER(AC25)=FALSE),AC$40,AC25))))</f>
      </c>
      <c r="AD52" s="7" t="str">
        <f>IF(ISBLANK(AD25),"NO DATA",IF(ISNUMBER(FIND(CODES!$A$12,AD25)),CODES!$A$12,IF(OR(ISNUMBER(FIND(CODES!$A$10,AD25)),ISNUMBER(FIND(CODES!$A$11,AD25))),CODES!$A$13,IF(OR(AD25&lt;AD$39,ISNUMBER(AD25)=FALSE),AD$40,AD25))))</f>
      </c>
      <c r="AE52" s="7" t="str">
        <f>IF(ISBLANK(AE25),"NO DATA",IF(ISNUMBER(FIND(CODES!$A$12,AE25)),CODES!$A$12,IF(OR(ISNUMBER(FIND(CODES!$A$10,AE25)),ISNUMBER(FIND(CODES!$A$11,AE25))),CODES!$A$13,IF(OR(AE25&lt;AE$39,ISNUMBER(AE25)=FALSE),AE$40,AE25))))</f>
      </c>
      <c r="AF52" s="7" t="str">
        <f>IF(ISBLANK(AF25),"NO DATA",IF(ISNUMBER(FIND(CODES!$A$12,AF25)),CODES!$A$12,IF(OR(ISNUMBER(FIND(CODES!$A$10,AF25)),ISNUMBER(FIND(CODES!$A$11,AF25))),CODES!$A$13,IF(OR(AF25&lt;AF$39,ISNUMBER(AF25)=FALSE),AF$40,AF25))))</f>
      </c>
      <c r="AG52" s="7">
        <f>IF(ISBLANK(AG25),"NO DATA",IF(ISNUMBER(FIND(CODES!$A$12,AG25)),CODES!$A$12,IF(OR(ISNUMBER(FIND(CODES!$A$10,AG25)),ISNUMBER(FIND(CODES!$A$11,AG25))),CODES!$A$13,IF(OR(AG25&lt;AG$39,ISNUMBER(AG25)=FALSE),AG$40,AG25))))</f>
      </c>
      <c r="AH52" s="7">
        <f>IF(ISBLANK(AH25),"NO DATA",IF(ISNUMBER(FIND(CODES!$A$12,AH25)),CODES!$A$12,IF(OR(ISNUMBER(FIND(CODES!$A$10,AH25)),ISNUMBER(FIND(CODES!$A$11,AH25))),CODES!$A$13,IF(OR(AH25&lt;AH$39,ISNUMBER(AH25)=FALSE),AH$40,AH25))))</f>
      </c>
      <c r="AI52" s="7" t="str">
        <f>IF(ISBLANK(AI25),"NO DATA",IF(ISNUMBER(FIND(CODES!$A$12,AI25)),CODES!$A$12,IF(OR(ISNUMBER(FIND(CODES!$A$10,AI25)),ISNUMBER(FIND(CODES!$A$11,AI25))),CODES!$A$13,IF(OR(AI25&lt;AI$39,ISNUMBER(AI25)=FALSE),AI$40,AI25))))</f>
      </c>
      <c r="AJ52" s="7" t="str">
        <f>IF(ISBLANK(AJ25),"NO DATA",IF(ISNUMBER(FIND(CODES!$A$12,AJ25)),CODES!$A$12,IF(OR(ISNUMBER(FIND(CODES!$A$10,AJ25)),ISNUMBER(FIND(CODES!$A$11,AJ25))),CODES!$A$13,IF(OR(AJ25&lt;AJ$39,ISNUMBER(AJ25)=FALSE),AJ$40,AJ25))))</f>
      </c>
      <c r="AK52" s="7">
        <f>IF(ISBLANK(AK25),"NO DATA",IF(ISNUMBER(FIND(CODES!$A$12,AK25)),CODES!$A$12,IF(OR(ISNUMBER(FIND(CODES!$A$10,AK25)),ISNUMBER(FIND(CODES!$A$11,AK25))),CODES!$A$13,IF(OR(AK25&lt;AK$39,ISNUMBER(AK25)=FALSE),AK$40,AK25))))</f>
      </c>
      <c r="AL52" s="7" t="str">
        <f>IF(ISBLANK(AL25),"NO DATA",IF(ISNUMBER(FIND(CODES!$A$12,AL25)),CODES!$A$12,IF(OR(ISNUMBER(FIND(CODES!$A$10,AL25)),ISNUMBER(FIND(CODES!$A$11,AL25))),CODES!$A$13,IF(OR(AL25&lt;AL$39,ISNUMBER(AL25)=FALSE),AL$40,AL25))))</f>
      </c>
      <c r="AM52" s="7" t="str">
        <f>IF(ISBLANK(AM25),"NO DATA",IF(ISNUMBER(FIND(CODES!$A$12,AM25)),CODES!$A$12,IF(OR(ISNUMBER(FIND(CODES!$A$10,AM25)),ISNUMBER(FIND(CODES!$A$11,AM25))),CODES!$A$13,IF(OR(AM25&lt;AM$39,ISNUMBER(AM25)=FALSE),AM$40,AM25))))</f>
      </c>
      <c r="AN52" s="7" t="str">
        <f>IF(ISBLANK(AN25),"NO DATA",IF(ISNUMBER(FIND(CODES!$A$12,AN25)),CODES!$A$12,IF(OR(ISNUMBER(FIND(CODES!$A$10,AN25)),ISNUMBER(FIND(CODES!$A$11,AN25))),CODES!$A$13,IF(OR(AN25&lt;AN$39,ISNUMBER(AN25)=FALSE),AN$40,AN25))))</f>
      </c>
      <c r="AO52" s="7" t="str">
        <f>IF(ISBLANK(AO25),"NO DATA",IF(ISNUMBER(FIND(CODES!$A$12,AO25)),CODES!$A$12,IF(OR(ISNUMBER(FIND(CODES!$A$10,AO25)),ISNUMBER(FIND(CODES!$A$11,AO25))),CODES!$A$13,IF(OR(AO25&lt;AO$39,ISNUMBER(AO25)=FALSE),AO$40,AO25))))</f>
      </c>
      <c r="AP52" s="7" t="str">
        <f>IF(ISBLANK(AP25),"NO DATA",IF(ISNUMBER(FIND(CODES!$A$12,AP25)),CODES!$A$12,IF(OR(ISNUMBER(FIND(CODES!$A$10,AP25)),ISNUMBER(FIND(CODES!$A$11,AP25))),CODES!$A$13,IF(OR(AP25&lt;AP$39,ISNUMBER(AP25)=FALSE),AP$40,AP25))))</f>
      </c>
      <c r="AQ52" s="7" t="str">
        <f>IF(ISBLANK(AQ25),"NO DATA",IF(ISNUMBER(FIND(CODES!$A$12,AQ25)),CODES!$A$12,IF(OR(ISNUMBER(FIND(CODES!$A$10,AQ25)),ISNUMBER(FIND(CODES!$A$11,AQ25))),CODES!$A$13,IF(OR(AQ25&lt;AQ$39,ISNUMBER(AQ25)=FALSE),AQ$40,AQ25))))</f>
      </c>
      <c r="AR52" s="7" t="str">
        <f>IF(ISBLANK(AR25),"NO DATA",IF(ISNUMBER(FIND(CODES!$A$12,AR25)),CODES!$A$12,IF(OR(ISNUMBER(FIND(CODES!$A$10,AR25)),ISNUMBER(FIND(CODES!$A$11,AR25))),CODES!$A$13,IF(OR(AR25&lt;AR$39,ISNUMBER(AR25)=FALSE),AR$40,AR25))))</f>
      </c>
      <c r="AS52" s="7">
        <f>IF(ISBLANK(AS25),"NO DATA",IF(ISNUMBER(FIND(CODES!$A$12,AS25)),CODES!$A$12,IF(OR(ISNUMBER(FIND(CODES!$A$10,AS25)),ISNUMBER(FIND(CODES!$A$11,AS25))),CODES!$A$13,IF(OR(AS25&lt;AS$39,ISNUMBER(AS25)=FALSE),AS$40,AS25))))</f>
      </c>
      <c r="AT52" s="7">
        <f>IF(ISBLANK(AT25),"NO DATA",IF(ISNUMBER(FIND(CODES!$A$12,AT25)),CODES!$A$12,IF(OR(ISNUMBER(FIND(CODES!$A$10,AT25)),ISNUMBER(FIND(CODES!$A$11,AT25))),CODES!$A$13,IF(OR(AT25&lt;AT$39,ISNUMBER(AT25)=FALSE),AT$40,AT25))))</f>
      </c>
      <c r="AU52" s="7" t="str">
        <f>IF(ISBLANK(AU25),"NO DATA",IF(ISNUMBER(FIND(CODES!$A$12,AU25)),CODES!$A$12,IF(OR(ISNUMBER(FIND(CODES!$A$10,AU25)),ISNUMBER(FIND(CODES!$A$11,AU25))),CODES!$A$13,IF(OR(AU25&lt;AU$39,ISNUMBER(AU25)=FALSE),AU$40,AU25))))</f>
      </c>
      <c r="AV52" s="7" t="str">
        <f>IF(ISBLANK(AV25),"NO DATA",IF(ISNUMBER(FIND(CODES!$A$12,AV25)),CODES!$A$12,IF(OR(ISNUMBER(FIND(CODES!$A$10,AV25)),ISNUMBER(FIND(CODES!$A$11,AV25))),CODES!$A$13,IF(OR(AV25&lt;AV$39,ISNUMBER(AV25)=FALSE),AV$40,AV25))))</f>
      </c>
      <c r="AW52" s="7" t="str">
        <f>IF(ISBLANK(AW25),"NO DATA",IF(ISNUMBER(FIND(CODES!$A$12,AW25)),CODES!$A$12,IF(OR(ISNUMBER(FIND(CODES!$A$10,AW25)),ISNUMBER(FIND(CODES!$A$11,AW25))),CODES!$A$13,IF(OR(AW25&lt;AW$39,ISNUMBER(AW25)=FALSE),AW$40,AW25))))</f>
      </c>
      <c r="AX52" s="7" t="str">
        <f>IF(ISBLANK(AX25),"NO DATA",IF(ISNUMBER(FIND(CODES!$A$12,AX25)),CODES!$A$12,IF(OR(ISNUMBER(FIND(CODES!$A$10,AX25)),ISNUMBER(FIND(CODES!$A$11,AX25))),CODES!$A$13,IF(OR(AX25&lt;AX$39,ISNUMBER(AX25)=FALSE),AX$40,AX25))))</f>
      </c>
      <c r="AY52" s="7" t="str">
        <f>IF(ISBLANK(AY25),"NO DATA",IF(ISNUMBER(FIND(CODES!$A$12,AY25)),CODES!$A$12,IF(OR(ISNUMBER(FIND(CODES!$A$10,AY25)),ISNUMBER(FIND(CODES!$A$11,AY25))),CODES!$A$13,IF(OR(AY25&lt;AY$39,ISNUMBER(AY25)=FALSE),AY$40,AY25))))</f>
      </c>
      <c r="AZ52" s="7">
        <f>IF(ISBLANK(AZ25),"NO DATA",IF(ISNUMBER(FIND(CODES!$A$12,AZ25)),CODES!$A$12,IF(OR(ISNUMBER(FIND(CODES!$A$10,AZ25)),ISNUMBER(FIND(CODES!$A$11,AZ25))),CODES!$A$13,IF(OR(AZ25&lt;AZ$39,ISNUMBER(AZ25)=FALSE),AZ$40,AZ25))))</f>
      </c>
      <c r="BA52" s="7">
        <f>IF(ISBLANK(BA25),"NO DATA",IF(ISNUMBER(FIND(CODES!$A$12,BA25)),CODES!$A$12,IF(OR(ISNUMBER(FIND(CODES!$A$10,BA25)),ISNUMBER(FIND(CODES!$A$11,BA25))),CODES!$A$13,IF(OR(BA25&lt;BA$39,ISNUMBER(BA25)=FALSE),BA$40,BA25))))</f>
      </c>
      <c r="BB52" s="36">
        <f>IF(ISBLANK(BB25),"NO DATA",IF(ISNUMBER(FIND(CODES!$A$12,BB25)),CODES!$A$12,IF(OR(ISNUMBER(FIND(CODES!$A$10,BB25)),ISNUMBER(FIND(CODES!$A$11,BB25))),CODES!$A$13,IF(OR(BB25&lt;BB$39,ISNUMBER(BB25)=FALSE),BB$40,BB25))))</f>
      </c>
      <c r="BC52" s="7">
        <f>IF(ISBLANK(BC25),"NO DATA",IF(ISNUMBER(FIND(CODES!$A$12,BC25)),CODES!$A$12,IF(OR(ISNUMBER(FIND(CODES!$A$10,BC25)),ISNUMBER(FIND(CODES!$A$11,BC25))),CODES!$A$13,IF(OR(BC25&lt;BC$39,ISNUMBER(BC25)=FALSE),BC$40,BC25))))</f>
      </c>
      <c r="BD52" s="7">
        <f>IF(ISBLANK(BD25),"NO DATA",IF(ISNUMBER(FIND(CODES!$A$12,BD25)),CODES!$A$12,IF(OR(ISNUMBER(FIND(CODES!$A$10,BD25)),ISNUMBER(FIND(CODES!$A$11,BD25))),CODES!$A$13,IF(OR(BD25&lt;BD$39,ISNUMBER(BD25)=FALSE),BD$40,BD25))))</f>
      </c>
      <c r="BE52" s="7">
        <f>IF(ISBLANK(BE25),"NO DATA",IF(ISNUMBER(FIND(CODES!$A$12,BE25)),CODES!$A$12,IF(OR(ISNUMBER(FIND(CODES!$A$10,BE25)),ISNUMBER(FIND(CODES!$A$11,BE25))),CODES!$A$13,IF(OR(BE25&lt;BE$39,ISNUMBER(BE25)=FALSE),BE$40,BE25))))</f>
      </c>
      <c r="BF52" s="7">
        <f>IF(ISBLANK(BF25),"NO DATA",IF(ISNUMBER(FIND(CODES!$A$12,BF25)),CODES!$A$12,IF(OR(ISNUMBER(FIND(CODES!$A$10,BF25)),ISNUMBER(FIND(CODES!$A$11,BF25))),CODES!$A$13,IF(OR(BF25&lt;BF$39,ISNUMBER(BF25)=FALSE),BF$40,BF25))))</f>
      </c>
      <c r="BG52" s="7">
        <f>IF(ISBLANK(BG25),"NO DATA",IF(ISNUMBER(FIND(CODES!$A$12,BG25)),CODES!$A$12,IF(OR(ISNUMBER(FIND(CODES!$A$10,BG25)),ISNUMBER(FIND(CODES!$A$11,BG25))),CODES!$A$13,IF(OR(BG25&lt;BG$39,ISNUMBER(BG25)=FALSE),BG$40,BG25))))</f>
      </c>
      <c r="BH52" s="7" t="str">
        <f>IF(ISBLANK(BH25),"NO DATA",IF(ISNUMBER(FIND(CODES!$A$12,BH25)),CODES!$A$12,IF(OR(ISNUMBER(FIND(CODES!$A$10,BH25)),ISNUMBER(FIND(CODES!$A$11,BH25))),CODES!$A$13,IF(OR(BH25&lt;BH$39,ISNUMBER(BH25)=FALSE),BH$40,BH25))))</f>
      </c>
      <c r="BI52" s="7" t="str">
        <f>IF(ISBLANK(BI25),"NO DATA",IF(ISNUMBER(FIND(CODES!$A$12,BI25)),CODES!$A$12,IF(OR(ISNUMBER(FIND(CODES!$A$10,BI25)),ISNUMBER(FIND(CODES!$A$11,BI25))),CODES!$A$13,IF(OR(BI25&lt;BI$39,ISNUMBER(BI25)=FALSE),BI$40,BI25))))</f>
      </c>
      <c r="BJ52" s="7" t="str">
        <f>IF(ISBLANK(BJ25),"NO DATA",IF(ISNUMBER(FIND(CODES!$A$12,BJ25)),CODES!$A$12,IF(OR(ISNUMBER(FIND(CODES!$A$10,BJ25)),ISNUMBER(FIND(CODES!$A$11,BJ25))),CODES!$A$13,IF(OR(BJ25&lt;BJ$39,ISNUMBER(BJ25)=FALSE),BJ$40,BJ25))))</f>
      </c>
      <c r="BK52" s="7" t="str">
        <f>IF(ISBLANK(BK25),"NO DATA",IF(ISNUMBER(FIND(CODES!$A$12,BK25)),CODES!$A$12,IF(OR(ISNUMBER(FIND(CODES!$A$10,BK25)),ISNUMBER(FIND(CODES!$A$11,BK25))),CODES!$A$13,IF(OR(BK25&lt;BK$39,ISNUMBER(BK25)=FALSE),BK$40,BK25))))</f>
      </c>
      <c r="BL52" s="7" t="str">
        <f>IF(ISBLANK(BL25),"NO DATA",IF(ISNUMBER(FIND(CODES!$A$12,BL25)),CODES!$A$12,IF(OR(ISNUMBER(FIND(CODES!$A$10,BL25)),ISNUMBER(FIND(CODES!$A$11,BL25))),CODES!$A$13,IF(OR(BL25&lt;BL$39,ISNUMBER(BL25)=FALSE),BL$40,BL25))))</f>
      </c>
      <c r="BM52" s="7" t="str">
        <f>IF(ISBLANK(BM25),"NO DATA",IF(ISNUMBER(FIND(CODES!$A$12,BM25)),CODES!$A$12,IF(OR(ISNUMBER(FIND(CODES!$A$10,BM25)),ISNUMBER(FIND(CODES!$A$11,BM25))),CODES!$A$13,IF(OR(BM25&lt;BM$39,ISNUMBER(BM25)=FALSE),BM$40,BM25))))</f>
      </c>
      <c r="BN52" s="7" t="str">
        <f>IF(ISBLANK(BN25),"NO DATA",IF(ISNUMBER(FIND(CODES!$A$12,BN25)),CODES!$A$12,IF(OR(ISNUMBER(FIND(CODES!$A$10,BN25)),ISNUMBER(FIND(CODES!$A$11,BN25))),CODES!$A$13,IF(OR(BN25&lt;BN$39,ISNUMBER(BN25)=FALSE),BN$40,BN25))))</f>
      </c>
      <c r="BO52" s="7" t="str">
        <f>IF(ISBLANK(BO25),"NO DATA",IF(ISNUMBER(FIND(CODES!$A$12,BO25)),CODES!$A$12,IF(OR(ISNUMBER(FIND(CODES!$A$10,BO25)),ISNUMBER(FIND(CODES!$A$11,BO25))),CODES!$A$13,IF(OR(BO25&lt;BO$39,ISNUMBER(BO25)=FALSE),BO$40,BO25))))</f>
      </c>
      <c r="BP52" s="7">
        <f>IF(ISBLANK(BP25),"NO DATA",IF(ISNUMBER(FIND(CODES!$A$12,BP25)),CODES!$A$12,IF(OR(ISNUMBER(FIND(CODES!$A$10,BP25)),ISNUMBER(FIND(CODES!$A$11,BP25))),CODES!$A$13,IF(OR(BP25&lt;BP$39,ISNUMBER(BP25)=FALSE),BP$40,BP25))))</f>
      </c>
      <c r="BQ52" s="7" t="str">
        <f>IF(ISBLANK(BQ25),"NO DATA",IF(ISNUMBER(FIND(CODES!$A$12,BQ25)),CODES!$A$12,IF(OR(ISNUMBER(FIND(CODES!$A$10,BQ25)),ISNUMBER(FIND(CODES!$A$11,BQ25))),CODES!$A$13,IF(OR(BQ25&lt;BQ$39,ISNUMBER(BQ25)=FALSE),BQ$40,BQ25))))</f>
      </c>
      <c r="BR52" s="7" t="str">
        <f>IF(ISBLANK(BR25),"NO DATA",IF(ISNUMBER(FIND(CODES!$A$12,BR25)),CODES!$A$12,IF(OR(ISNUMBER(FIND(CODES!$A$10,BR25)),ISNUMBER(FIND(CODES!$A$11,BR25))),CODES!$A$13,IF(OR(BR25&lt;BR$39,ISNUMBER(BR25)=FALSE),BR$40,BR25))))</f>
      </c>
      <c r="BS52" s="7">
        <f>IF(ISBLANK(BS25),"NO DATA",IF(ISNUMBER(FIND(CODES!$A$12,BS25)),CODES!$A$12,IF(OR(ISNUMBER(FIND(CODES!$A$10,BS25)),ISNUMBER(FIND(CODES!$A$11,BS25))),CODES!$A$13,IF(OR(BS25&lt;BS$39,ISNUMBER(BS25)=FALSE),BS$40,BS25))))</f>
      </c>
      <c r="BT52" s="7">
        <f>IF(ISBLANK(BT25),"NO DATA",IF(ISNUMBER(FIND(CODES!$A$12,BT25)),CODES!$A$12,IF(OR(ISNUMBER(FIND(CODES!$A$10,BT25)),ISNUMBER(FIND(CODES!$A$11,BT25))),CODES!$A$13,IF(OR(BT25&lt;BT$39,ISNUMBER(BT25)=FALSE),BT$40,BT25))))</f>
      </c>
      <c r="BU52" s="7" t="str">
        <f>IF(ISBLANK(BU25),"NO DATA",IF(ISNUMBER(FIND(CODES!$A$12,BU25)),CODES!$A$12,IF(OR(ISNUMBER(FIND(CODES!$A$10,BU25)),ISNUMBER(FIND(CODES!$A$11,BU25))),CODES!$A$13,IF(OR(BU25&lt;BU$39,ISNUMBER(BU25)=FALSE),BU$40,BU25))))</f>
      </c>
      <c r="BV52" s="7" t="str">
        <f>IF(ISBLANK(BV25),"NO DATA",IF(ISNUMBER(FIND(CODES!$A$12,BV25)),CODES!$A$12,IF(OR(ISNUMBER(FIND(CODES!$A$10,BV25)),ISNUMBER(FIND(CODES!$A$11,BV25))),CODES!$A$13,IF(OR(BV25&lt;BV$39,ISNUMBER(BV25)=FALSE),BV$40,BV25))))</f>
      </c>
      <c r="BW52" s="7" t="str">
        <f>IF(ISBLANK(BW25),"NO DATA",IF(ISNUMBER(FIND(CODES!$A$12,BW25)),CODES!$A$12,IF(OR(ISNUMBER(FIND(CODES!$A$10,BW25)),ISNUMBER(FIND(CODES!$A$11,BW25))),CODES!$A$13,IF(OR(BW25&lt;BW$39,ISNUMBER(BW25)=FALSE),BW$40,BW25))))</f>
      </c>
      <c r="BX52" s="7" t="str">
        <f>IF(ISBLANK(BX25),"NO DATA",IF(ISNUMBER(FIND(CODES!$A$12,BX25)),CODES!$A$12,IF(OR(ISNUMBER(FIND(CODES!$A$10,BX25)),ISNUMBER(FIND(CODES!$A$11,BX25))),CODES!$A$13,IF(OR(BX25&lt;BX$39,ISNUMBER(BX25)=FALSE),BX$40,BX25))))</f>
      </c>
      <c r="BY52" s="7" t="str">
        <f>IF(ISBLANK(BY25),"NO DATA",IF(ISNUMBER(FIND(CODES!$A$12,BY25)),CODES!$A$12,IF(OR(ISNUMBER(FIND(CODES!$A$10,BY25)),ISNUMBER(FIND(CODES!$A$11,BY25))),CODES!$A$13,IF(OR(BY25&lt;BY$39,ISNUMBER(BY25)=FALSE),BY$40,BY25))))</f>
      </c>
      <c r="BZ52" s="7" t="str">
        <f>IF(ISBLANK(BZ25),"NO DATA",IF(ISNUMBER(FIND(CODES!$A$12,BZ25)),CODES!$A$12,IF(OR(ISNUMBER(FIND(CODES!$A$10,BZ25)),ISNUMBER(FIND(CODES!$A$11,BZ25))),CODES!$A$13,IF(OR(BZ25&lt;BZ$39,ISNUMBER(BZ25)=FALSE),BZ$40,BZ25))))</f>
      </c>
      <c r="CA52" s="7" t="str">
        <f>IF(ISBLANK(CA25),"NO DATA",IF(ISNUMBER(FIND(CODES!$A$12,CA25)),CODES!$A$12,IF(OR(ISNUMBER(FIND(CODES!$A$10,CA25)),ISNUMBER(FIND(CODES!$A$11,CA25))),CODES!$A$13,IF(OR(CA25&lt;CA$39,ISNUMBER(CA25)=FALSE),CA$40,CA25))))</f>
      </c>
      <c r="CB52" s="7" t="str">
        <f>IF(ISBLANK(CB25),"NO DATA",IF(ISNUMBER(FIND(CODES!$A$12,CB25)),CODES!$A$12,IF(OR(ISNUMBER(FIND(CODES!$A$10,CB25)),ISNUMBER(FIND(CODES!$A$11,CB25))),CODES!$A$13,IF(OR(CB25&lt;CB$39,ISNUMBER(CB25)=FALSE),CB$40,CB25))))</f>
      </c>
      <c r="CC52" s="7" t="str">
        <f>IF(ISBLANK(CC25),"NO DATA",IF(ISNUMBER(FIND(CODES!$A$12,CC25)),CODES!$A$12,IF(OR(ISNUMBER(FIND(CODES!$A$10,CC25)),ISNUMBER(FIND(CODES!$A$11,CC25))),CODES!$A$13,IF(OR(CC25&lt;CC$39,ISNUMBER(CC25)=FALSE),CC$40,CC25))))</f>
      </c>
      <c r="CD52" s="7" t="str">
        <f>IF(ISBLANK(CD25),"NO DATA",IF(ISNUMBER(FIND(CODES!$A$12,CD25)),CODES!$A$12,IF(OR(ISNUMBER(FIND(CODES!$A$10,CD25)),ISNUMBER(FIND(CODES!$A$11,CD25))),CODES!$A$13,IF(OR(CD25&lt;CD$39,ISNUMBER(CD25)=FALSE),CD$40,CD25))))</f>
      </c>
      <c r="CE52" s="7" t="str">
        <f>IF(ISBLANK(CE25),"NO DATA",IF(ISNUMBER(FIND(CODES!$A$12,CE25)),CODES!$A$12,IF(OR(ISNUMBER(FIND(CODES!$A$10,CE25)),ISNUMBER(FIND(CODES!$A$11,CE25))),CODES!$A$13,IF(OR(CE25&lt;CE$39,ISNUMBER(CE25)=FALSE),CE$40,CE25))))</f>
      </c>
      <c r="CF52" s="7">
        <f>IF(ISBLANK(CF25),"NO DATA",IF(ISNUMBER(FIND(CODES!$A$12,CF25)),CODES!$A$12,IF(OR(ISNUMBER(FIND(CODES!$A$10,CF25)),ISNUMBER(FIND(CODES!$A$11,CF25))),CODES!$A$13,IF(OR(CF25&lt;CF$39,ISNUMBER(CF25)=FALSE),CF$40,CF25))))</f>
      </c>
      <c r="CG52" s="7">
        <f>IF(ISBLANK(CG25),"NO DATA",IF(ISNUMBER(FIND(CODES!$A$12,CG25)),CODES!$A$12,IF(OR(ISNUMBER(FIND(CODES!$A$10,CG25)),ISNUMBER(FIND(CODES!$A$11,CG25))),CODES!$A$13,IF(OR(CG25&lt;CG$39,ISNUMBER(CG25)=FALSE),CG$40,CG25))))</f>
      </c>
      <c r="CH52" s="7">
        <f>IF(ISBLANK(CH25),"NO DATA",IF(ISNUMBER(FIND(CODES!$A$12,CH25)),CODES!$A$12,IF(OR(ISNUMBER(FIND(CODES!$A$10,CH25)),ISNUMBER(FIND(CODES!$A$11,CH25))),CODES!$A$13,IF(OR(CH25&lt;CH$39,ISNUMBER(CH25)=FALSE),CH$40,CH25))))</f>
      </c>
      <c r="CI52" s="7" t="str">
        <f>IF(ISBLANK(CI25),"NO DATA",IF(ISNUMBER(FIND(CODES!$A$12,CI25)),CODES!$A$12,IF(OR(ISNUMBER(FIND(CODES!$A$10,CI25)),ISNUMBER(FIND(CODES!$A$11,CI25))),CODES!$A$13,IF(OR(CI25&lt;CI$39,ISNUMBER(CI25)=FALSE),CI$40,CI25))))</f>
      </c>
      <c r="CJ52" s="7" t="str">
        <f>IF(ISBLANK(CJ25),"NO DATA",IF(ISNUMBER(FIND(CODES!$A$12,CJ25)),CODES!$A$12,IF(OR(ISNUMBER(FIND(CODES!$A$10,CJ25)),ISNUMBER(FIND(CODES!$A$11,CJ25))),CODES!$A$13,IF(OR(CJ25&lt;CJ$39,ISNUMBER(CJ25)=FALSE),CJ$40,CJ25))))</f>
      </c>
      <c r="CK52" s="7" t="str">
        <f>IF(ISBLANK(CK25),"NO DATA",IF(ISNUMBER(FIND(CODES!$A$12,CK25)),CODES!$A$12,IF(OR(ISNUMBER(FIND(CODES!$A$10,CK25)),ISNUMBER(FIND(CODES!$A$11,CK25))),CODES!$A$13,IF(OR(CK25&lt;CK$39,ISNUMBER(CK25)=FALSE),CK$40,CK25))))</f>
      </c>
      <c r="CL52" s="7" t="str">
        <f>IF(ISBLANK(CL25),"NO DATA",IF(ISNUMBER(FIND(CODES!$A$12,CL25)),CODES!$A$12,IF(OR(ISNUMBER(FIND(CODES!$A$10,CL25)),ISNUMBER(FIND(CODES!$A$11,CL25))),CODES!$A$13,IF(OR(CL25&lt;CL$39,ISNUMBER(CL25)=FALSE),CL$40,CL25))))</f>
      </c>
      <c r="CM52" s="7" t="str">
        <f>IF(ISBLANK(CM25),"NO DATA",IF(ISNUMBER(FIND(CODES!$A$12,CM25)),CODES!$A$12,IF(OR(ISNUMBER(FIND(CODES!$A$10,CM25)),ISNUMBER(FIND(CODES!$A$11,CM25))),CODES!$A$13,IF(OR(CM25&lt;CM$39,ISNUMBER(CM25)=FALSE),CM$40,CM25))))</f>
      </c>
      <c r="CN52" s="7" t="str">
        <f>IF(ISBLANK(CN25),"NO DATA",IF(ISNUMBER(FIND(CODES!$A$12,CN25)),CODES!$A$12,IF(OR(ISNUMBER(FIND(CODES!$A$10,CN25)),ISNUMBER(FIND(CODES!$A$11,CN25))),CODES!$A$13,IF(OR(CN25&lt;CN$39,ISNUMBER(CN25)=FALSE),CN$40,CN25))))</f>
      </c>
      <c r="CO52" s="7" t="str">
        <f>IF(ISBLANK(CO25),"NO DATA",IF(ISNUMBER(FIND(CODES!$A$12,CO25)),CODES!$A$12,IF(OR(ISNUMBER(FIND(CODES!$A$10,CO25)),ISNUMBER(FIND(CODES!$A$11,CO25))),CODES!$A$13,IF(OR(CO25&lt;CO$39,ISNUMBER(CO25)=FALSE),CO$40,CO25))))</f>
      </c>
      <c r="CP52" s="7" t="str">
        <f>IF(ISBLANK(CP25),"NO DATA",IF(ISNUMBER(FIND(CODES!$A$12,CP25)),CODES!$A$12,IF(OR(ISNUMBER(FIND(CODES!$A$10,CP25)),ISNUMBER(FIND(CODES!$A$11,CP25))),CODES!$A$13,IF(OR(CP25&lt;CP$39,ISNUMBER(CP25)=FALSE),CP$40,CP25))))</f>
      </c>
      <c r="CQ52" s="7" t="str">
        <f>IF(ISBLANK(CQ25),"NO DATA",IF(ISNUMBER(FIND(CODES!$A$12,CQ25)),CODES!$A$12,IF(OR(ISNUMBER(FIND(CODES!$A$10,CQ25)),ISNUMBER(FIND(CODES!$A$11,CQ25))),CODES!$A$13,IF(OR(CQ25&lt;CQ$39,ISNUMBER(CQ25)=FALSE),CQ$40,CQ25))))</f>
      </c>
      <c r="CR52" s="7" t="str">
        <f>IF(ISBLANK(CR25),"NO DATA",IF(ISNUMBER(FIND(CODES!$A$12,CR25)),CODES!$A$12,IF(OR(ISNUMBER(FIND(CODES!$A$10,CR25)),ISNUMBER(FIND(CODES!$A$11,CR25))),CODES!$A$13,IF(OR(CR25&lt;CR$39,ISNUMBER(CR25)=FALSE),CR$40,CR25))))</f>
      </c>
      <c r="CS52" s="7" t="str">
        <f>IF(ISBLANK(CS25),"NO DATA",IF(ISNUMBER(FIND(CODES!$A$12,CS25)),CODES!$A$12,IF(OR(ISNUMBER(FIND(CODES!$A$10,CS25)),ISNUMBER(FIND(CODES!$A$11,CS25))),CODES!$A$13,IF(OR(CS25&lt;CS$39,ISNUMBER(CS25)=FALSE),CS$40,CS25))))</f>
      </c>
      <c r="CT52" s="7" t="str">
        <f>IF(ISBLANK(CT25),"NO DATA",IF(ISNUMBER(FIND(CODES!$A$12,CT25)),CODES!$A$12,IF(OR(ISNUMBER(FIND(CODES!$A$10,CT25)),ISNUMBER(FIND(CODES!$A$11,CT25))),CODES!$A$13,IF(OR(CT25&lt;CT$39,ISNUMBER(CT25)=FALSE),CT$40,CT25))))</f>
      </c>
      <c r="CU52" s="7" t="str">
        <f>IF(ISBLANK(CU25),"NO DATA",IF(ISNUMBER(FIND(CODES!$A$12,CU25)),CODES!$A$12,IF(OR(ISNUMBER(FIND(CODES!$A$10,CU25)),ISNUMBER(FIND(CODES!$A$11,CU25))),CODES!$A$13,IF(OR(CU25&lt;CU$39,ISNUMBER(CU25)=FALSE),CU$40,CU25))))</f>
      </c>
      <c r="CV52" s="7">
        <f>IF(ISBLANK(CV25),"NO DATA",IF(ISNUMBER(FIND(CODES!$A$12,CV25)),CODES!$A$12,IF(OR(ISNUMBER(FIND(CODES!$A$10,CV25)),ISNUMBER(FIND(CODES!$A$11,CV25))),CODES!$A$13,IF(OR(CV25&lt;CV$39,ISNUMBER(CV25)=FALSE),CV$40,CV25))))</f>
      </c>
      <c r="CW52" s="7" t="str">
        <f>IF(ISBLANK(CW25),"NO DATA",IF(ISNUMBER(FIND(CODES!$A$12,CW25)),CODES!$A$12,IF(OR(ISNUMBER(FIND(CODES!$A$10,CW25)),ISNUMBER(FIND(CODES!$A$11,CW25))),CODES!$A$13,IF(OR(CW25&lt;CW$39,ISNUMBER(CW25)=FALSE),CW$40,CW25))))</f>
      </c>
      <c r="CX52" s="7">
        <f>IF(ISBLANK(CX25),"NO DATA",IF(ISNUMBER(FIND(CODES!$A$12,CX25)),CODES!$A$12,IF(OR(ISNUMBER(FIND(CODES!$A$10,CX25)),ISNUMBER(FIND(CODES!$A$11,CX25))),CODES!$A$13,IF(OR(CX25&lt;CX$39,ISNUMBER(CX25)=FALSE),CX$40,CX25))))</f>
      </c>
      <c r="CY52" s="7">
        <f>IF(ISBLANK(CY25),"NO DATA",IF(ISNUMBER(FIND(CODES!$A$12,CY25)),CODES!$A$12,IF(OR(ISNUMBER(FIND(CODES!$A$10,CY25)),ISNUMBER(FIND(CODES!$A$11,CY25))),CODES!$A$13,IF(OR(CY25&lt;CY$39,ISNUMBER(CY25)=FALSE),CY$40,CY25))))</f>
      </c>
      <c r="CZ52" s="7" t="str">
        <f>IF(ISBLANK(CZ25),"NO DATA",IF(ISNUMBER(FIND(CODES!$A$12,CZ25)),CODES!$A$12,IF(OR(ISNUMBER(FIND(CODES!$A$10,CZ25)),ISNUMBER(FIND(CODES!$A$11,CZ25))),CODES!$A$13,IF(OR(CZ25&lt;CZ$39,ISNUMBER(CZ25)=FALSE),CZ$40,CZ25))))</f>
      </c>
      <c r="DA52" s="7" t="str">
        <f>IF(ISBLANK(DA25),"NO DATA",IF(ISNUMBER(FIND(CODES!$A$12,DA25)),CODES!$A$12,IF(OR(ISNUMBER(FIND(CODES!$A$10,DA25)),ISNUMBER(FIND(CODES!$A$11,DA25))),CODES!$A$13,IF(OR(DA25&lt;DA$39,ISNUMBER(DA25)=FALSE),DA$40,DA25))))</f>
      </c>
      <c r="DB52" s="7" t="str">
        <f>IF(ISBLANK(DB25),"NO DATA",IF(ISNUMBER(FIND(CODES!$A$12,DB25)),CODES!$A$12,IF(OR(ISNUMBER(FIND(CODES!$A$10,DB25)),ISNUMBER(FIND(CODES!$A$11,DB25))),CODES!$A$13,IF(OR(DB25&lt;DB$39,ISNUMBER(DB25)=FALSE),DB$40,DB25))))</f>
      </c>
      <c r="DC52" s="7" t="str">
        <f>IF(ISBLANK(DC25),"NO DATA",IF(ISNUMBER(FIND(CODES!$A$12,DC25)),CODES!$A$12,IF(OR(ISNUMBER(FIND(CODES!$A$10,DC25)),ISNUMBER(FIND(CODES!$A$11,DC25))),CODES!$A$13,IF(OR(DC25&lt;DC$39,ISNUMBER(DC25)=FALSE),DC$40,DC25))))</f>
      </c>
      <c r="DD52" s="7" t="str">
        <f>IF(ISBLANK(DD25),"NO DATA",IF(ISNUMBER(FIND(CODES!$A$12,DD25)),CODES!$A$12,IF(OR(ISNUMBER(FIND(CODES!$A$10,DD25)),ISNUMBER(FIND(CODES!$A$11,DD25))),CODES!$A$13,IF(OR(DD25&lt;DD$39,ISNUMBER(DD25)=FALSE),DD$40,DD25))))</f>
      </c>
      <c r="DE52" s="7" t="str">
        <f>IF(ISBLANK(DE25),"NO DATA",IF(ISNUMBER(FIND(CODES!$A$12,DE25)),CODES!$A$12,IF(OR(ISNUMBER(FIND(CODES!$A$10,DE25)),ISNUMBER(FIND(CODES!$A$11,DE25))),CODES!$A$13,IF(OR(DE25&lt;DE$39,ISNUMBER(DE25)=FALSE),DE$40,DE25))))</f>
      </c>
      <c r="DF52" s="7">
        <f>IF(ISBLANK(DF25),"NO DATA",IF(ISNUMBER(FIND(CODES!$A$12,DF25)),CODES!$A$12,IF(OR(ISNUMBER(FIND(CODES!$A$10,DF25)),ISNUMBER(FIND(CODES!$A$11,DF25))),CODES!$A$13,IF(OR(DF25&lt;DF$39,ISNUMBER(DF25)=FALSE),DF$40,DF25))))</f>
      </c>
      <c r="DG52" s="7">
        <f>IF(ISBLANK(DG25),"NO DATA",IF(ISNUMBER(FIND(CODES!$A$12,DG25)),CODES!$A$12,IF(OR(ISNUMBER(FIND(CODES!$A$10,DG25)),ISNUMBER(FIND(CODES!$A$11,DG25))),CODES!$A$13,IF(OR(DG25&lt;DG$39,ISNUMBER(DG25)=FALSE),DG$40,DG25))))</f>
      </c>
      <c r="DH52" s="7" t="str">
        <f>IF(ISBLANK(DH25),"NO DATA",IF(ISNUMBER(FIND(CODES!$A$12,DH25)),CODES!$A$12,IF(OR(ISNUMBER(FIND(CODES!$A$10,DH25)),ISNUMBER(FIND(CODES!$A$11,DH25))),CODES!$A$13,IF(OR(DH25&lt;DH$39,ISNUMBER(DH25)=FALSE),DH$40,DH25))))</f>
      </c>
      <c r="DI52" s="7" t="str">
        <f>IF(ISBLANK(DI25),"NO DATA",IF(ISNUMBER(FIND(CODES!$A$12,DI25)),CODES!$A$12,IF(OR(ISNUMBER(FIND(CODES!$A$10,DI25)),ISNUMBER(FIND(CODES!$A$11,DI25))),CODES!$A$13,IF(OR(DI25&lt;DI$39,ISNUMBER(DI25)=FALSE),DI$40,DI25))))</f>
      </c>
    </row>
    <row r="53" spans="1:113" x14ac:dyDescent="0.25">
      <c r="A53" s="16" t="str">
        <f t="shared" si="2"/>
      </c>
      <c r="B53" s="16" t="str">
        <f t="shared" si="2"/>
      </c>
      <c r="C53" s="7" t="str">
        <f>IF(ISBLANK(C26),"NO DATA",IF(ISNUMBER(FIND(CODES!$A$12,C26)),CODES!$A$12,IF(OR(ISNUMBER(FIND(CODES!$A$10,C26)),ISNUMBER(FIND(CODES!$A$11,C26))),CODES!$A$13,IF(OR(C26&lt;C$39,ISNUMBER(C26)=FALSE),C$40,C26))))</f>
      </c>
      <c r="D53" s="7" t="str">
        <f>IF(ISBLANK(D26),"NO DATA",IF(ISNUMBER(FIND(CODES!$A$12,D26)),CODES!$A$12,IF(OR(ISNUMBER(FIND(CODES!$A$10,D26)),ISNUMBER(FIND(CODES!$A$11,D26))),CODES!$A$13,IF(OR(D26&lt;D$39,ISNUMBER(D26)=FALSE),D$40,D26))))</f>
      </c>
      <c r="E53" s="7" t="str">
        <f>IF(ISBLANK(E26),"NO DATA",IF(ISNUMBER(FIND(CODES!$A$12,E26)),CODES!$A$12,IF(OR(ISNUMBER(FIND(CODES!$A$10,E26)),ISNUMBER(FIND(CODES!$A$11,E26))),CODES!$A$13,IF(OR(E26&lt;E$39,ISNUMBER(E26)=FALSE),E$40,E26))))</f>
      </c>
      <c r="F53" s="7" t="str">
        <f>IF(ISBLANK(F26),"NO DATA",IF(ISNUMBER(FIND(CODES!$A$12,F26)),CODES!$A$12,IF(OR(ISNUMBER(FIND(CODES!$A$10,F26)),ISNUMBER(FIND(CODES!$A$11,F26))),CODES!$A$13,IF(OR(F26&lt;F$39,ISNUMBER(F26)=FALSE),F$40,F26))))</f>
      </c>
      <c r="G53" s="7" t="str">
        <f>IF(ISBLANK(G26),"NO DATA",IF(ISNUMBER(FIND(CODES!$A$12,G26)),CODES!$A$12,IF(OR(ISNUMBER(FIND(CODES!$A$10,G26)),ISNUMBER(FIND(CODES!$A$11,G26))),CODES!$A$13,IF(OR(G26&lt;G$39,ISNUMBER(G26)=FALSE),G$40,G26))))</f>
      </c>
      <c r="H53" s="7" t="str">
        <f>IF(ISBLANK(H26),"NO DATA",IF(ISNUMBER(FIND(CODES!$A$12,H26)),CODES!$A$12,IF(OR(ISNUMBER(FIND(CODES!$A$10,H26)),ISNUMBER(FIND(CODES!$A$11,H26))),CODES!$A$13,IF(OR(H26&lt;H$39,ISNUMBER(H26)=FALSE),H$40,H26))))</f>
      </c>
      <c r="I53" s="7" t="str">
        <f>IF(ISBLANK(I26),"NO DATA",IF(ISNUMBER(FIND(CODES!$A$12,I26)),CODES!$A$12,IF(OR(ISNUMBER(FIND(CODES!$A$10,I26)),ISNUMBER(FIND(CODES!$A$11,I26))),CODES!$A$13,IF(OR(I26&lt;I$39,ISNUMBER(I26)=FALSE),I$40,I26))))</f>
      </c>
      <c r="J53" s="7">
        <f>IF(ISBLANK(J26),"NO DATA",IF(ISNUMBER(FIND(CODES!$A$12,J26)),CODES!$A$12,IF(OR(ISNUMBER(FIND(CODES!$A$10,J26)),ISNUMBER(FIND(CODES!$A$11,J26))),CODES!$A$13,IF(OR(J26&lt;J$39,ISNUMBER(J26)=FALSE),J$40,J26))))</f>
      </c>
      <c r="K53" s="7">
        <f>IF(ISBLANK(K26),"NO DATA",IF(ISNUMBER(FIND(CODES!$A$12,K26)),CODES!$A$12,IF(OR(ISNUMBER(FIND(CODES!$A$10,K26)),ISNUMBER(FIND(CODES!$A$11,K26))),CODES!$A$13,IF(OR(K26&lt;K$39,ISNUMBER(K26)=FALSE),K$40,K26))))</f>
      </c>
      <c r="L53" s="7" t="str">
        <f>IF(ISBLANK(L26),"NO DATA",IF(ISNUMBER(FIND(CODES!$A$12,L26)),CODES!$A$12,IF(OR(ISNUMBER(FIND(CODES!$A$10,L26)),ISNUMBER(FIND(CODES!$A$11,L26))),CODES!$A$13,IF(OR(L26&lt;L$39,ISNUMBER(L26)=FALSE),L$40,L26))))</f>
      </c>
      <c r="M53" s="7" t="str">
        <f>IF(ISBLANK(M26),"NO DATA",IF(ISNUMBER(FIND(CODES!$A$12,M26)),CODES!$A$12,IF(OR(ISNUMBER(FIND(CODES!$A$10,M26)),ISNUMBER(FIND(CODES!$A$11,M26))),CODES!$A$13,IF(OR(M26&lt;M$39,ISNUMBER(M26)=FALSE),M$40,M26))))</f>
      </c>
      <c r="N53" s="7" t="str">
        <f>IF(ISBLANK(N26),"NO DATA",IF(ISNUMBER(FIND(CODES!$A$12,N26)),CODES!$A$12,IF(OR(ISNUMBER(FIND(CODES!$A$10,N26)),ISNUMBER(FIND(CODES!$A$11,N26))),CODES!$A$13,IF(OR(N26&lt;N$39,ISNUMBER(N26)=FALSE),N$40,N26))))</f>
      </c>
      <c r="O53" s="7" t="str">
        <f>IF(ISBLANK(O26),"NO DATA",IF(ISNUMBER(FIND(CODES!$A$12,O26)),CODES!$A$12,IF(OR(ISNUMBER(FIND(CODES!$A$10,O26)),ISNUMBER(FIND(CODES!$A$11,O26))),CODES!$A$13,IF(OR(O26&lt;O$39,ISNUMBER(O26)=FALSE),O$40,O26))))</f>
      </c>
      <c r="P53" s="7">
        <f>IF(ISBLANK(P26),"NO DATA",IF(ISNUMBER(FIND(CODES!$A$12,P26)),CODES!$A$12,IF(OR(ISNUMBER(FIND(CODES!$A$10,P26)),ISNUMBER(FIND(CODES!$A$11,P26))),CODES!$A$13,IF(OR(P26&lt;P$39,ISNUMBER(P26)=FALSE),P$40,P26))))</f>
      </c>
      <c r="Q53" s="7">
        <f>IF(ISBLANK(Q26),"NO DATA",IF(ISNUMBER(FIND(CODES!$A$12,Q26)),CODES!$A$12,IF(OR(ISNUMBER(FIND(CODES!$A$10,Q26)),ISNUMBER(FIND(CODES!$A$11,Q26))),CODES!$A$13,IF(OR(Q26&lt;Q$39,ISNUMBER(Q26)=FALSE),Q$40,Q26))))</f>
      </c>
      <c r="R53" s="7" t="str">
        <f>IF(ISBLANK(R26),"NO DATA",IF(ISNUMBER(FIND(CODES!$A$12,R26)),CODES!$A$12,IF(OR(ISNUMBER(FIND(CODES!$A$10,R26)),ISNUMBER(FIND(CODES!$A$11,R26))),CODES!$A$13,IF(OR(R26&lt;R$39,ISNUMBER(R26)=FALSE),R$40,R26))))</f>
      </c>
      <c r="S53" s="7" t="str">
        <f>IF(ISBLANK(S26),"NO DATA",IF(ISNUMBER(FIND(CODES!$A$12,S26)),CODES!$A$12,IF(OR(ISNUMBER(FIND(CODES!$A$10,S26)),ISNUMBER(FIND(CODES!$A$11,S26))),CODES!$A$13,IF(OR(S26&lt;S$39,ISNUMBER(S26)=FALSE),S$40,S26))))</f>
      </c>
      <c r="T53" s="7" t="str">
        <f>IF(ISBLANK(T26),"NO DATA",IF(ISNUMBER(FIND(CODES!$A$12,T26)),CODES!$A$12,IF(OR(ISNUMBER(FIND(CODES!$A$10,T26)),ISNUMBER(FIND(CODES!$A$11,T26))),CODES!$A$13,IF(OR(T26&lt;T$39,ISNUMBER(T26)=FALSE),T$40,T26))))</f>
      </c>
      <c r="U53" s="7" t="str">
        <f>IF(ISBLANK(U26),"NO DATA",IF(ISNUMBER(FIND(CODES!$A$12,U26)),CODES!$A$12,IF(OR(ISNUMBER(FIND(CODES!$A$10,U26)),ISNUMBER(FIND(CODES!$A$11,U26))),CODES!$A$13,IF(OR(U26&lt;U$39,ISNUMBER(U26)=FALSE),U$40,U26))))</f>
      </c>
      <c r="V53" s="7" t="str">
        <f>IF(ISBLANK(V26),"NO DATA",IF(ISNUMBER(FIND(CODES!$A$12,V26)),CODES!$A$12,IF(OR(ISNUMBER(FIND(CODES!$A$10,V26)),ISNUMBER(FIND(CODES!$A$11,V26))),CODES!$A$13,IF(OR(V26&lt;V$39,ISNUMBER(V26)=FALSE),V$40,V26))))</f>
      </c>
      <c r="W53" s="7" t="str">
        <f>IF(ISBLANK(W26),"NO DATA",IF(ISNUMBER(FIND(CODES!$A$12,W26)),CODES!$A$12,IF(OR(ISNUMBER(FIND(CODES!$A$10,W26)),ISNUMBER(FIND(CODES!$A$11,W26))),CODES!$A$13,IF(OR(W26&lt;W$39,ISNUMBER(W26)=FALSE),W$40,W26))))</f>
      </c>
      <c r="X53" s="7" t="str">
        <f>IF(ISBLANK(X26),"NO DATA",IF(ISNUMBER(FIND(CODES!$A$12,X26)),CODES!$A$12,IF(OR(ISNUMBER(FIND(CODES!$A$10,X26)),ISNUMBER(FIND(CODES!$A$11,X26))),CODES!$A$13,IF(OR(X26&lt;X$39,ISNUMBER(X26)=FALSE),X$40,X26))))</f>
      </c>
      <c r="Y53" s="7" t="str">
        <f>IF(ISBLANK(Y26),"NO DATA",IF(ISNUMBER(FIND(CODES!$A$12,Y26)),CODES!$A$12,IF(OR(ISNUMBER(FIND(CODES!$A$10,Y26)),ISNUMBER(FIND(CODES!$A$11,Y26))),CODES!$A$13,IF(OR(Y26&lt;Y$39,ISNUMBER(Y26)=FALSE),Y$40,Y26))))</f>
      </c>
      <c r="Z53" s="7">
        <f>IF(ISBLANK(Z26),"NO DATA",IF(ISNUMBER(FIND(CODES!$A$12,Z26)),CODES!$A$12,IF(OR(ISNUMBER(FIND(CODES!$A$10,Z26)),ISNUMBER(FIND(CODES!$A$11,Z26))),CODES!$A$13,IF(OR(Z26&lt;Z$39,ISNUMBER(Z26)=FALSE),Z$40,Z26))))</f>
      </c>
      <c r="AA53" s="7" t="str">
        <f>IF(ISBLANK(AA26),"NO DATA",IF(ISNUMBER(FIND(CODES!$A$12,AA26)),CODES!$A$12,IF(OR(ISNUMBER(FIND(CODES!$A$10,AA26)),ISNUMBER(FIND(CODES!$A$11,AA26))),CODES!$A$13,IF(OR(AA26&lt;AA$39,ISNUMBER(AA26)=FALSE),AA$40,AA26))))</f>
      </c>
      <c r="AB53" s="7" t="str">
        <f>IF(ISBLANK(AB26),"NO DATA",IF(ISNUMBER(FIND(CODES!$A$12,AB26)),CODES!$A$12,IF(OR(ISNUMBER(FIND(CODES!$A$10,AB26)),ISNUMBER(FIND(CODES!$A$11,AB26))),CODES!$A$13,IF(OR(AB26&lt;AB$39,ISNUMBER(AB26)=FALSE),AB$40,AB26))))</f>
      </c>
      <c r="AC53" s="7" t="str">
        <f>IF(ISBLANK(AC26),"NO DATA",IF(ISNUMBER(FIND(CODES!$A$12,AC26)),CODES!$A$12,IF(OR(ISNUMBER(FIND(CODES!$A$10,AC26)),ISNUMBER(FIND(CODES!$A$11,AC26))),CODES!$A$13,IF(OR(AC26&lt;AC$39,ISNUMBER(AC26)=FALSE),AC$40,AC26))))</f>
      </c>
      <c r="AD53" s="7" t="str">
        <f>IF(ISBLANK(AD26),"NO DATA",IF(ISNUMBER(FIND(CODES!$A$12,AD26)),CODES!$A$12,IF(OR(ISNUMBER(FIND(CODES!$A$10,AD26)),ISNUMBER(FIND(CODES!$A$11,AD26))),CODES!$A$13,IF(OR(AD26&lt;AD$39,ISNUMBER(AD26)=FALSE),AD$40,AD26))))</f>
      </c>
      <c r="AE53" s="7" t="str">
        <f>IF(ISBLANK(AE26),"NO DATA",IF(ISNUMBER(FIND(CODES!$A$12,AE26)),CODES!$A$12,IF(OR(ISNUMBER(FIND(CODES!$A$10,AE26)),ISNUMBER(FIND(CODES!$A$11,AE26))),CODES!$A$13,IF(OR(AE26&lt;AE$39,ISNUMBER(AE26)=FALSE),AE$40,AE26))))</f>
      </c>
      <c r="AF53" s="7" t="str">
        <f>IF(ISBLANK(AF26),"NO DATA",IF(ISNUMBER(FIND(CODES!$A$12,AF26)),CODES!$A$12,IF(OR(ISNUMBER(FIND(CODES!$A$10,AF26)),ISNUMBER(FIND(CODES!$A$11,AF26))),CODES!$A$13,IF(OR(AF26&lt;AF$39,ISNUMBER(AF26)=FALSE),AF$40,AF26))))</f>
      </c>
      <c r="AG53" s="7" t="str">
        <f>IF(ISBLANK(AG26),"NO DATA",IF(ISNUMBER(FIND(CODES!$A$12,AG26)),CODES!$A$12,IF(OR(ISNUMBER(FIND(CODES!$A$10,AG26)),ISNUMBER(FIND(CODES!$A$11,AG26))),CODES!$A$13,IF(OR(AG26&lt;AG$39,ISNUMBER(AG26)=FALSE),AG$40,AG26))))</f>
      </c>
      <c r="AH53" s="7" t="str">
        <f>IF(ISBLANK(AH26),"NO DATA",IF(ISNUMBER(FIND(CODES!$A$12,AH26)),CODES!$A$12,IF(OR(ISNUMBER(FIND(CODES!$A$10,AH26)),ISNUMBER(FIND(CODES!$A$11,AH26))),CODES!$A$13,IF(OR(AH26&lt;AH$39,ISNUMBER(AH26)=FALSE),AH$40,AH26))))</f>
      </c>
      <c r="AI53" s="7" t="str">
        <f>IF(ISBLANK(AI26),"NO DATA",IF(ISNUMBER(FIND(CODES!$A$12,AI26)),CODES!$A$12,IF(OR(ISNUMBER(FIND(CODES!$A$10,AI26)),ISNUMBER(FIND(CODES!$A$11,AI26))),CODES!$A$13,IF(OR(AI26&lt;AI$39,ISNUMBER(AI26)=FALSE),AI$40,AI26))))</f>
      </c>
      <c r="AJ53" s="7" t="str">
        <f>IF(ISBLANK(AJ26),"NO DATA",IF(ISNUMBER(FIND(CODES!$A$12,AJ26)),CODES!$A$12,IF(OR(ISNUMBER(FIND(CODES!$A$10,AJ26)),ISNUMBER(FIND(CODES!$A$11,AJ26))),CODES!$A$13,IF(OR(AJ26&lt;AJ$39,ISNUMBER(AJ26)=FALSE),AJ$40,AJ26))))</f>
      </c>
      <c r="AK53" s="7" t="str">
        <f>IF(ISBLANK(AK26),"NO DATA",IF(ISNUMBER(FIND(CODES!$A$12,AK26)),CODES!$A$12,IF(OR(ISNUMBER(FIND(CODES!$A$10,AK26)),ISNUMBER(FIND(CODES!$A$11,AK26))),CODES!$A$13,IF(OR(AK26&lt;AK$39,ISNUMBER(AK26)=FALSE),AK$40,AK26))))</f>
      </c>
      <c r="AL53" s="7" t="str">
        <f>IF(ISBLANK(AL26),"NO DATA",IF(ISNUMBER(FIND(CODES!$A$12,AL26)),CODES!$A$12,IF(OR(ISNUMBER(FIND(CODES!$A$10,AL26)),ISNUMBER(FIND(CODES!$A$11,AL26))),CODES!$A$13,IF(OR(AL26&lt;AL$39,ISNUMBER(AL26)=FALSE),AL$40,AL26))))</f>
      </c>
      <c r="AM53" s="7" t="str">
        <f>IF(ISBLANK(AM26),"NO DATA",IF(ISNUMBER(FIND(CODES!$A$12,AM26)),CODES!$A$12,IF(OR(ISNUMBER(FIND(CODES!$A$10,AM26)),ISNUMBER(FIND(CODES!$A$11,AM26))),CODES!$A$13,IF(OR(AM26&lt;AM$39,ISNUMBER(AM26)=FALSE),AM$40,AM26))))</f>
      </c>
      <c r="AN53" s="7" t="str">
        <f>IF(ISBLANK(AN26),"NO DATA",IF(ISNUMBER(FIND(CODES!$A$12,AN26)),CODES!$A$12,IF(OR(ISNUMBER(FIND(CODES!$A$10,AN26)),ISNUMBER(FIND(CODES!$A$11,AN26))),CODES!$A$13,IF(OR(AN26&lt;AN$39,ISNUMBER(AN26)=FALSE),AN$40,AN26))))</f>
      </c>
      <c r="AO53" s="7" t="str">
        <f>IF(ISBLANK(AO26),"NO DATA",IF(ISNUMBER(FIND(CODES!$A$12,AO26)),CODES!$A$12,IF(OR(ISNUMBER(FIND(CODES!$A$10,AO26)),ISNUMBER(FIND(CODES!$A$11,AO26))),CODES!$A$13,IF(OR(AO26&lt;AO$39,ISNUMBER(AO26)=FALSE),AO$40,AO26))))</f>
      </c>
      <c r="AP53" s="7" t="str">
        <f>IF(ISBLANK(AP26),"NO DATA",IF(ISNUMBER(FIND(CODES!$A$12,AP26)),CODES!$A$12,IF(OR(ISNUMBER(FIND(CODES!$A$10,AP26)),ISNUMBER(FIND(CODES!$A$11,AP26))),CODES!$A$13,IF(OR(AP26&lt;AP$39,ISNUMBER(AP26)=FALSE),AP$40,AP26))))</f>
      </c>
      <c r="AQ53" s="7" t="str">
        <f>IF(ISBLANK(AQ26),"NO DATA",IF(ISNUMBER(FIND(CODES!$A$12,AQ26)),CODES!$A$12,IF(OR(ISNUMBER(FIND(CODES!$A$10,AQ26)),ISNUMBER(FIND(CODES!$A$11,AQ26))),CODES!$A$13,IF(OR(AQ26&lt;AQ$39,ISNUMBER(AQ26)=FALSE),AQ$40,AQ26))))</f>
      </c>
      <c r="AR53" s="7" t="str">
        <f>IF(ISBLANK(AR26),"NO DATA",IF(ISNUMBER(FIND(CODES!$A$12,AR26)),CODES!$A$12,IF(OR(ISNUMBER(FIND(CODES!$A$10,AR26)),ISNUMBER(FIND(CODES!$A$11,AR26))),CODES!$A$13,IF(OR(AR26&lt;AR$39,ISNUMBER(AR26)=FALSE),AR$40,AR26))))</f>
      </c>
      <c r="AS53" s="7">
        <f>IF(ISBLANK(AS26),"NO DATA",IF(ISNUMBER(FIND(CODES!$A$12,AS26)),CODES!$A$12,IF(OR(ISNUMBER(FIND(CODES!$A$10,AS26)),ISNUMBER(FIND(CODES!$A$11,AS26))),CODES!$A$13,IF(OR(AS26&lt;AS$39,ISNUMBER(AS26)=FALSE),AS$40,AS26))))</f>
      </c>
      <c r="AT53" s="7" t="str">
        <f>IF(ISBLANK(AT26),"NO DATA",IF(ISNUMBER(FIND(CODES!$A$12,AT26)),CODES!$A$12,IF(OR(ISNUMBER(FIND(CODES!$A$10,AT26)),ISNUMBER(FIND(CODES!$A$11,AT26))),CODES!$A$13,IF(OR(AT26&lt;AT$39,ISNUMBER(AT26)=FALSE),AT$40,AT26))))</f>
      </c>
      <c r="AU53" s="7" t="str">
        <f>IF(ISBLANK(AU26),"NO DATA",IF(ISNUMBER(FIND(CODES!$A$12,AU26)),CODES!$A$12,IF(OR(ISNUMBER(FIND(CODES!$A$10,AU26)),ISNUMBER(FIND(CODES!$A$11,AU26))),CODES!$A$13,IF(OR(AU26&lt;AU$39,ISNUMBER(AU26)=FALSE),AU$40,AU26))))</f>
      </c>
      <c r="AV53" s="7" t="str">
        <f>IF(ISBLANK(AV26),"NO DATA",IF(ISNUMBER(FIND(CODES!$A$12,AV26)),CODES!$A$12,IF(OR(ISNUMBER(FIND(CODES!$A$10,AV26)),ISNUMBER(FIND(CODES!$A$11,AV26))),CODES!$A$13,IF(OR(AV26&lt;AV$39,ISNUMBER(AV26)=FALSE),AV$40,AV26))))</f>
      </c>
      <c r="AW53" s="7" t="str">
        <f>IF(ISBLANK(AW26),"NO DATA",IF(ISNUMBER(FIND(CODES!$A$12,AW26)),CODES!$A$12,IF(OR(ISNUMBER(FIND(CODES!$A$10,AW26)),ISNUMBER(FIND(CODES!$A$11,AW26))),CODES!$A$13,IF(OR(AW26&lt;AW$39,ISNUMBER(AW26)=FALSE),AW$40,AW26))))</f>
      </c>
      <c r="AX53" s="7" t="str">
        <f>IF(ISBLANK(AX26),"NO DATA",IF(ISNUMBER(FIND(CODES!$A$12,AX26)),CODES!$A$12,IF(OR(ISNUMBER(FIND(CODES!$A$10,AX26)),ISNUMBER(FIND(CODES!$A$11,AX26))),CODES!$A$13,IF(OR(AX26&lt;AX$39,ISNUMBER(AX26)=FALSE),AX$40,AX26))))</f>
      </c>
      <c r="AY53" s="7" t="str">
        <f>IF(ISBLANK(AY26),"NO DATA",IF(ISNUMBER(FIND(CODES!$A$12,AY26)),CODES!$A$12,IF(OR(ISNUMBER(FIND(CODES!$A$10,AY26)),ISNUMBER(FIND(CODES!$A$11,AY26))),CODES!$A$13,IF(OR(AY26&lt;AY$39,ISNUMBER(AY26)=FALSE),AY$40,AY26))))</f>
      </c>
      <c r="AZ53" s="7">
        <f>IF(ISBLANK(AZ26),"NO DATA",IF(ISNUMBER(FIND(CODES!$A$12,AZ26)),CODES!$A$12,IF(OR(ISNUMBER(FIND(CODES!$A$10,AZ26)),ISNUMBER(FIND(CODES!$A$11,AZ26))),CODES!$A$13,IF(OR(AZ26&lt;AZ$39,ISNUMBER(AZ26)=FALSE),AZ$40,AZ26))))</f>
      </c>
      <c r="BA53" s="7">
        <f>IF(ISBLANK(BA26),"NO DATA",IF(ISNUMBER(FIND(CODES!$A$12,BA26)),CODES!$A$12,IF(OR(ISNUMBER(FIND(CODES!$A$10,BA26)),ISNUMBER(FIND(CODES!$A$11,BA26))),CODES!$A$13,IF(OR(BA26&lt;BA$39,ISNUMBER(BA26)=FALSE),BA$40,BA26))))</f>
      </c>
      <c r="BB53" s="7">
        <f>IF(ISBLANK(BB26),"NO DATA",IF(ISNUMBER(FIND(CODES!$A$12,BB26)),CODES!$A$12,IF(OR(ISNUMBER(FIND(CODES!$A$10,BB26)),ISNUMBER(FIND(CODES!$A$11,BB26))),CODES!$A$13,IF(OR(BB26&lt;BB$39,ISNUMBER(BB26)=FALSE),BB$40,BB26))))</f>
      </c>
      <c r="BC53" s="7" t="str">
        <f>IF(ISBLANK(BC26),"NO DATA",IF(ISNUMBER(FIND(CODES!$A$12,BC26)),CODES!$A$12,IF(OR(ISNUMBER(FIND(CODES!$A$10,BC26)),ISNUMBER(FIND(CODES!$A$11,BC26))),CODES!$A$13,IF(OR(BC26&lt;BC$39,ISNUMBER(BC26)=FALSE),BC$40,BC26))))</f>
      </c>
      <c r="BD53" s="7" t="str">
        <f>IF(ISBLANK(BD26),"NO DATA",IF(ISNUMBER(FIND(CODES!$A$12,BD26)),CODES!$A$12,IF(OR(ISNUMBER(FIND(CODES!$A$10,BD26)),ISNUMBER(FIND(CODES!$A$11,BD26))),CODES!$A$13,IF(OR(BD26&lt;BD$39,ISNUMBER(BD26)=FALSE),BD$40,BD26))))</f>
      </c>
      <c r="BE53" s="7" t="str">
        <f>IF(ISBLANK(BE26),"NO DATA",IF(ISNUMBER(FIND(CODES!$A$12,BE26)),CODES!$A$12,IF(OR(ISNUMBER(FIND(CODES!$A$10,BE26)),ISNUMBER(FIND(CODES!$A$11,BE26))),CODES!$A$13,IF(OR(BE26&lt;BE$39,ISNUMBER(BE26)=FALSE),BE$40,BE26))))</f>
      </c>
      <c r="BF53" s="7">
        <f>IF(ISBLANK(BF26),"NO DATA",IF(ISNUMBER(FIND(CODES!$A$12,BF26)),CODES!$A$12,IF(OR(ISNUMBER(FIND(CODES!$A$10,BF26)),ISNUMBER(FIND(CODES!$A$11,BF26))),CODES!$A$13,IF(OR(BF26&lt;BF$39,ISNUMBER(BF26)=FALSE),BF$40,BF26))))</f>
      </c>
      <c r="BG53" s="7">
        <f>IF(ISBLANK(BG26),"NO DATA",IF(ISNUMBER(FIND(CODES!$A$12,BG26)),CODES!$A$12,IF(OR(ISNUMBER(FIND(CODES!$A$10,BG26)),ISNUMBER(FIND(CODES!$A$11,BG26))),CODES!$A$13,IF(OR(BG26&lt;BG$39,ISNUMBER(BG26)=FALSE),BG$40,BG26))))</f>
      </c>
      <c r="BH53" s="7" t="str">
        <f>IF(ISBLANK(BH26),"NO DATA",IF(ISNUMBER(FIND(CODES!$A$12,BH26)),CODES!$A$12,IF(OR(ISNUMBER(FIND(CODES!$A$10,BH26)),ISNUMBER(FIND(CODES!$A$11,BH26))),CODES!$A$13,IF(OR(BH26&lt;BH$39,ISNUMBER(BH26)=FALSE),BH$40,BH26))))</f>
      </c>
      <c r="BI53" s="7" t="str">
        <f>IF(ISBLANK(BI26),"NO DATA",IF(ISNUMBER(FIND(CODES!$A$12,BI26)),CODES!$A$12,IF(OR(ISNUMBER(FIND(CODES!$A$10,BI26)),ISNUMBER(FIND(CODES!$A$11,BI26))),CODES!$A$13,IF(OR(BI26&lt;BI$39,ISNUMBER(BI26)=FALSE),BI$40,BI26))))</f>
      </c>
      <c r="BJ53" s="7" t="str">
        <f>IF(ISBLANK(BJ26),"NO DATA",IF(ISNUMBER(FIND(CODES!$A$12,BJ26)),CODES!$A$12,IF(OR(ISNUMBER(FIND(CODES!$A$10,BJ26)),ISNUMBER(FIND(CODES!$A$11,BJ26))),CODES!$A$13,IF(OR(BJ26&lt;BJ$39,ISNUMBER(BJ26)=FALSE),BJ$40,BJ26))))</f>
      </c>
      <c r="BK53" s="7" t="str">
        <f>IF(ISBLANK(BK26),"NO DATA",IF(ISNUMBER(FIND(CODES!$A$12,BK26)),CODES!$A$12,IF(OR(ISNUMBER(FIND(CODES!$A$10,BK26)),ISNUMBER(FIND(CODES!$A$11,BK26))),CODES!$A$13,IF(OR(BK26&lt;BK$39,ISNUMBER(BK26)=FALSE),BK$40,BK26))))</f>
      </c>
      <c r="BL53" s="7" t="str">
        <f>IF(ISBLANK(BL26),"NO DATA",IF(ISNUMBER(FIND(CODES!$A$12,BL26)),CODES!$A$12,IF(OR(ISNUMBER(FIND(CODES!$A$10,BL26)),ISNUMBER(FIND(CODES!$A$11,BL26))),CODES!$A$13,IF(OR(BL26&lt;BL$39,ISNUMBER(BL26)=FALSE),BL$40,BL26))))</f>
      </c>
      <c r="BM53" s="7" t="str">
        <f>IF(ISBLANK(BM26),"NO DATA",IF(ISNUMBER(FIND(CODES!$A$12,BM26)),CODES!$A$12,IF(OR(ISNUMBER(FIND(CODES!$A$10,BM26)),ISNUMBER(FIND(CODES!$A$11,BM26))),CODES!$A$13,IF(OR(BM26&lt;BM$39,ISNUMBER(BM26)=FALSE),BM$40,BM26))))</f>
      </c>
      <c r="BN53" s="7" t="str">
        <f>IF(ISBLANK(BN26),"NO DATA",IF(ISNUMBER(FIND(CODES!$A$12,BN26)),CODES!$A$12,IF(OR(ISNUMBER(FIND(CODES!$A$10,BN26)),ISNUMBER(FIND(CODES!$A$11,BN26))),CODES!$A$13,IF(OR(BN26&lt;BN$39,ISNUMBER(BN26)=FALSE),BN$40,BN26))))</f>
      </c>
      <c r="BO53" s="7" t="str">
        <f>IF(ISBLANK(BO26),"NO DATA",IF(ISNUMBER(FIND(CODES!$A$12,BO26)),CODES!$A$12,IF(OR(ISNUMBER(FIND(CODES!$A$10,BO26)),ISNUMBER(FIND(CODES!$A$11,BO26))),CODES!$A$13,IF(OR(BO26&lt;BO$39,ISNUMBER(BO26)=FALSE),BO$40,BO26))))</f>
      </c>
      <c r="BP53" s="7" t="str">
        <f>IF(ISBLANK(BP26),"NO DATA",IF(ISNUMBER(FIND(CODES!$A$12,BP26)),CODES!$A$12,IF(OR(ISNUMBER(FIND(CODES!$A$10,BP26)),ISNUMBER(FIND(CODES!$A$11,BP26))),CODES!$A$13,IF(OR(BP26&lt;BP$39,ISNUMBER(BP26)=FALSE),BP$40,BP26))))</f>
      </c>
      <c r="BQ53" s="7" t="str">
        <f>IF(ISBLANK(BQ26),"NO DATA",IF(ISNUMBER(FIND(CODES!$A$12,BQ26)),CODES!$A$12,IF(OR(ISNUMBER(FIND(CODES!$A$10,BQ26)),ISNUMBER(FIND(CODES!$A$11,BQ26))),CODES!$A$13,IF(OR(BQ26&lt;BQ$39,ISNUMBER(BQ26)=FALSE),BQ$40,BQ26))))</f>
      </c>
      <c r="BR53" s="7" t="str">
        <f>IF(ISBLANK(BR26),"NO DATA",IF(ISNUMBER(FIND(CODES!$A$12,BR26)),CODES!$A$12,IF(OR(ISNUMBER(FIND(CODES!$A$10,BR26)),ISNUMBER(FIND(CODES!$A$11,BR26))),CODES!$A$13,IF(OR(BR26&lt;BR$39,ISNUMBER(BR26)=FALSE),BR$40,BR26))))</f>
      </c>
      <c r="BS53" s="7">
        <f>IF(ISBLANK(BS26),"NO DATA",IF(ISNUMBER(FIND(CODES!$A$12,BS26)),CODES!$A$12,IF(OR(ISNUMBER(FIND(CODES!$A$10,BS26)),ISNUMBER(FIND(CODES!$A$11,BS26))),CODES!$A$13,IF(OR(BS26&lt;BS$39,ISNUMBER(BS26)=FALSE),BS$40,BS26))))</f>
      </c>
      <c r="BT53" s="7">
        <f>IF(ISBLANK(BT26),"NO DATA",IF(ISNUMBER(FIND(CODES!$A$12,BT26)),CODES!$A$12,IF(OR(ISNUMBER(FIND(CODES!$A$10,BT26)),ISNUMBER(FIND(CODES!$A$11,BT26))),CODES!$A$13,IF(OR(BT26&lt;BT$39,ISNUMBER(BT26)=FALSE),BT$40,BT26))))</f>
      </c>
      <c r="BU53" s="7" t="str">
        <f>IF(ISBLANK(BU26),"NO DATA",IF(ISNUMBER(FIND(CODES!$A$12,BU26)),CODES!$A$12,IF(OR(ISNUMBER(FIND(CODES!$A$10,BU26)),ISNUMBER(FIND(CODES!$A$11,BU26))),CODES!$A$13,IF(OR(BU26&lt;BU$39,ISNUMBER(BU26)=FALSE),BU$40,BU26))))</f>
      </c>
      <c r="BV53" s="7" t="str">
        <f>IF(ISBLANK(BV26),"NO DATA",IF(ISNUMBER(FIND(CODES!$A$12,BV26)),CODES!$A$12,IF(OR(ISNUMBER(FIND(CODES!$A$10,BV26)),ISNUMBER(FIND(CODES!$A$11,BV26))),CODES!$A$13,IF(OR(BV26&lt;BV$39,ISNUMBER(BV26)=FALSE),BV$40,BV26))))</f>
      </c>
      <c r="BW53" s="7" t="str">
        <f>IF(ISBLANK(BW26),"NO DATA",IF(ISNUMBER(FIND(CODES!$A$12,BW26)),CODES!$A$12,IF(OR(ISNUMBER(FIND(CODES!$A$10,BW26)),ISNUMBER(FIND(CODES!$A$11,BW26))),CODES!$A$13,IF(OR(BW26&lt;BW$39,ISNUMBER(BW26)=FALSE),BW$40,BW26))))</f>
      </c>
      <c r="BX53" s="7" t="str">
        <f>IF(ISBLANK(BX26),"NO DATA",IF(ISNUMBER(FIND(CODES!$A$12,BX26)),CODES!$A$12,IF(OR(ISNUMBER(FIND(CODES!$A$10,BX26)),ISNUMBER(FIND(CODES!$A$11,BX26))),CODES!$A$13,IF(OR(BX26&lt;BX$39,ISNUMBER(BX26)=FALSE),BX$40,BX26))))</f>
      </c>
      <c r="BY53" s="7" t="str">
        <f>IF(ISBLANK(BY26),"NO DATA",IF(ISNUMBER(FIND(CODES!$A$12,BY26)),CODES!$A$12,IF(OR(ISNUMBER(FIND(CODES!$A$10,BY26)),ISNUMBER(FIND(CODES!$A$11,BY26))),CODES!$A$13,IF(OR(BY26&lt;BY$39,ISNUMBER(BY26)=FALSE),BY$40,BY26))))</f>
      </c>
      <c r="BZ53" s="7" t="str">
        <f>IF(ISBLANK(BZ26),"NO DATA",IF(ISNUMBER(FIND(CODES!$A$12,BZ26)),CODES!$A$12,IF(OR(ISNUMBER(FIND(CODES!$A$10,BZ26)),ISNUMBER(FIND(CODES!$A$11,BZ26))),CODES!$A$13,IF(OR(BZ26&lt;BZ$39,ISNUMBER(BZ26)=FALSE),BZ$40,BZ26))))</f>
      </c>
      <c r="CA53" s="7">
        <f>IF(ISBLANK(CA26),"NO DATA",IF(ISNUMBER(FIND(CODES!$A$12,CA26)),CODES!$A$12,IF(OR(ISNUMBER(FIND(CODES!$A$10,CA26)),ISNUMBER(FIND(CODES!$A$11,CA26))),CODES!$A$13,IF(OR(CA26&lt;CA$39,ISNUMBER(CA26)=FALSE),CA$40,CA26))))</f>
      </c>
      <c r="CB53" s="7">
        <f>IF(ISBLANK(CB26),"NO DATA",IF(ISNUMBER(FIND(CODES!$A$12,CB26)),CODES!$A$12,IF(OR(ISNUMBER(FIND(CODES!$A$10,CB26)),ISNUMBER(FIND(CODES!$A$11,CB26))),CODES!$A$13,IF(OR(CB26&lt;CB$39,ISNUMBER(CB26)=FALSE),CB$40,CB26))))</f>
      </c>
      <c r="CC53" s="7" t="str">
        <f>IF(ISBLANK(CC26),"NO DATA",IF(ISNUMBER(FIND(CODES!$A$12,CC26)),CODES!$A$12,IF(OR(ISNUMBER(FIND(CODES!$A$10,CC26)),ISNUMBER(FIND(CODES!$A$11,CC26))),CODES!$A$13,IF(OR(CC26&lt;CC$39,ISNUMBER(CC26)=FALSE),CC$40,CC26))))</f>
      </c>
      <c r="CD53" s="7" t="str">
        <f>IF(ISBLANK(CD26),"NO DATA",IF(ISNUMBER(FIND(CODES!$A$12,CD26)),CODES!$A$12,IF(OR(ISNUMBER(FIND(CODES!$A$10,CD26)),ISNUMBER(FIND(CODES!$A$11,CD26))),CODES!$A$13,IF(OR(CD26&lt;CD$39,ISNUMBER(CD26)=FALSE),CD$40,CD26))))</f>
      </c>
      <c r="CE53" s="7" t="str">
        <f>IF(ISBLANK(CE26),"NO DATA",IF(ISNUMBER(FIND(CODES!$A$12,CE26)),CODES!$A$12,IF(OR(ISNUMBER(FIND(CODES!$A$10,CE26)),ISNUMBER(FIND(CODES!$A$11,CE26))),CODES!$A$13,IF(OR(CE26&lt;CE$39,ISNUMBER(CE26)=FALSE),CE$40,CE26))))</f>
      </c>
      <c r="CF53" s="7" t="str">
        <f>IF(ISBLANK(CF26),"NO DATA",IF(ISNUMBER(FIND(CODES!$A$12,CF26)),CODES!$A$12,IF(OR(ISNUMBER(FIND(CODES!$A$10,CF26)),ISNUMBER(FIND(CODES!$A$11,CF26))),CODES!$A$13,IF(OR(CF26&lt;CF$39,ISNUMBER(CF26)=FALSE),CF$40,CF26))))</f>
      </c>
      <c r="CG53" s="7">
        <f>IF(ISBLANK(CG26),"NO DATA",IF(ISNUMBER(FIND(CODES!$A$12,CG26)),CODES!$A$12,IF(OR(ISNUMBER(FIND(CODES!$A$10,CG26)),ISNUMBER(FIND(CODES!$A$11,CG26))),CODES!$A$13,IF(OR(CG26&lt;CG$39,ISNUMBER(CG26)=FALSE),CG$40,CG26))))</f>
      </c>
      <c r="CH53" s="7">
        <f>IF(ISBLANK(CH26),"NO DATA",IF(ISNUMBER(FIND(CODES!$A$12,CH26)),CODES!$A$12,IF(OR(ISNUMBER(FIND(CODES!$A$10,CH26)),ISNUMBER(FIND(CODES!$A$11,CH26))),CODES!$A$13,IF(OR(CH26&lt;CH$39,ISNUMBER(CH26)=FALSE),CH$40,CH26))))</f>
      </c>
      <c r="CI53" s="7" t="str">
        <f>IF(ISBLANK(CI26),"NO DATA",IF(ISNUMBER(FIND(CODES!$A$12,CI26)),CODES!$A$12,IF(OR(ISNUMBER(FIND(CODES!$A$10,CI26)),ISNUMBER(FIND(CODES!$A$11,CI26))),CODES!$A$13,IF(OR(CI26&lt;CI$39,ISNUMBER(CI26)=FALSE),CI$40,CI26))))</f>
      </c>
      <c r="CJ53" s="7" t="str">
        <f>IF(ISBLANK(CJ26),"NO DATA",IF(ISNUMBER(FIND(CODES!$A$12,CJ26)),CODES!$A$12,IF(OR(ISNUMBER(FIND(CODES!$A$10,CJ26)),ISNUMBER(FIND(CODES!$A$11,CJ26))),CODES!$A$13,IF(OR(CJ26&lt;CJ$39,ISNUMBER(CJ26)=FALSE),CJ$40,CJ26))))</f>
      </c>
      <c r="CK53" s="7" t="str">
        <f>IF(ISBLANK(CK26),"NO DATA",IF(ISNUMBER(FIND(CODES!$A$12,CK26)),CODES!$A$12,IF(OR(ISNUMBER(FIND(CODES!$A$10,CK26)),ISNUMBER(FIND(CODES!$A$11,CK26))),CODES!$A$13,IF(OR(CK26&lt;CK$39,ISNUMBER(CK26)=FALSE),CK$40,CK26))))</f>
      </c>
      <c r="CL53" s="7" t="str">
        <f>IF(ISBLANK(CL26),"NO DATA",IF(ISNUMBER(FIND(CODES!$A$12,CL26)),CODES!$A$12,IF(OR(ISNUMBER(FIND(CODES!$A$10,CL26)),ISNUMBER(FIND(CODES!$A$11,CL26))),CODES!$A$13,IF(OR(CL26&lt;CL$39,ISNUMBER(CL26)=FALSE),CL$40,CL26))))</f>
      </c>
      <c r="CM53" s="7" t="str">
        <f>IF(ISBLANK(CM26),"NO DATA",IF(ISNUMBER(FIND(CODES!$A$12,CM26)),CODES!$A$12,IF(OR(ISNUMBER(FIND(CODES!$A$10,CM26)),ISNUMBER(FIND(CODES!$A$11,CM26))),CODES!$A$13,IF(OR(CM26&lt;CM$39,ISNUMBER(CM26)=FALSE),CM$40,CM26))))</f>
      </c>
      <c r="CN53" s="7" t="str">
        <f>IF(ISBLANK(CN26),"NO DATA",IF(ISNUMBER(FIND(CODES!$A$12,CN26)),CODES!$A$12,IF(OR(ISNUMBER(FIND(CODES!$A$10,CN26)),ISNUMBER(FIND(CODES!$A$11,CN26))),CODES!$A$13,IF(OR(CN26&lt;CN$39,ISNUMBER(CN26)=FALSE),CN$40,CN26))))</f>
      </c>
      <c r="CO53" s="7" t="str">
        <f>IF(ISBLANK(CO26),"NO DATA",IF(ISNUMBER(FIND(CODES!$A$12,CO26)),CODES!$A$12,IF(OR(ISNUMBER(FIND(CODES!$A$10,CO26)),ISNUMBER(FIND(CODES!$A$11,CO26))),CODES!$A$13,IF(OR(CO26&lt;CO$39,ISNUMBER(CO26)=FALSE),CO$40,CO26))))</f>
      </c>
      <c r="CP53" s="7" t="str">
        <f>IF(ISBLANK(CP26),"NO DATA",IF(ISNUMBER(FIND(CODES!$A$12,CP26)),CODES!$A$12,IF(OR(ISNUMBER(FIND(CODES!$A$10,CP26)),ISNUMBER(FIND(CODES!$A$11,CP26))),CODES!$A$13,IF(OR(CP26&lt;CP$39,ISNUMBER(CP26)=FALSE),CP$40,CP26))))</f>
      </c>
      <c r="CQ53" s="7" t="str">
        <f>IF(ISBLANK(CQ26),"NO DATA",IF(ISNUMBER(FIND(CODES!$A$12,CQ26)),CODES!$A$12,IF(OR(ISNUMBER(FIND(CODES!$A$10,CQ26)),ISNUMBER(FIND(CODES!$A$11,CQ26))),CODES!$A$13,IF(OR(CQ26&lt;CQ$39,ISNUMBER(CQ26)=FALSE),CQ$40,CQ26))))</f>
      </c>
      <c r="CR53" s="7" t="str">
        <f>IF(ISBLANK(CR26),"NO DATA",IF(ISNUMBER(FIND(CODES!$A$12,CR26)),CODES!$A$12,IF(OR(ISNUMBER(FIND(CODES!$A$10,CR26)),ISNUMBER(FIND(CODES!$A$11,CR26))),CODES!$A$13,IF(OR(CR26&lt;CR$39,ISNUMBER(CR26)=FALSE),CR$40,CR26))))</f>
      </c>
      <c r="CS53" s="7" t="str">
        <f>IF(ISBLANK(CS26),"NO DATA",IF(ISNUMBER(FIND(CODES!$A$12,CS26)),CODES!$A$12,IF(OR(ISNUMBER(FIND(CODES!$A$10,CS26)),ISNUMBER(FIND(CODES!$A$11,CS26))),CODES!$A$13,IF(OR(CS26&lt;CS$39,ISNUMBER(CS26)=FALSE),CS$40,CS26))))</f>
      </c>
      <c r="CT53" s="7" t="str">
        <f>IF(ISBLANK(CT26),"NO DATA",IF(ISNUMBER(FIND(CODES!$A$12,CT26)),CODES!$A$12,IF(OR(ISNUMBER(FIND(CODES!$A$10,CT26)),ISNUMBER(FIND(CODES!$A$11,CT26))),CODES!$A$13,IF(OR(CT26&lt;CT$39,ISNUMBER(CT26)=FALSE),CT$40,CT26))))</f>
      </c>
      <c r="CU53" s="7" t="str">
        <f>IF(ISBLANK(CU26),"NO DATA",IF(ISNUMBER(FIND(CODES!$A$12,CU26)),CODES!$A$12,IF(OR(ISNUMBER(FIND(CODES!$A$10,CU26)),ISNUMBER(FIND(CODES!$A$11,CU26))),CODES!$A$13,IF(OR(CU26&lt;CU$39,ISNUMBER(CU26)=FALSE),CU$40,CU26))))</f>
      </c>
      <c r="CV53" s="7" t="str">
        <f>IF(ISBLANK(CV26),"NO DATA",IF(ISNUMBER(FIND(CODES!$A$12,CV26)),CODES!$A$12,IF(OR(ISNUMBER(FIND(CODES!$A$10,CV26)),ISNUMBER(FIND(CODES!$A$11,CV26))),CODES!$A$13,IF(OR(CV26&lt;CV$39,ISNUMBER(CV26)=FALSE),CV$40,CV26))))</f>
      </c>
      <c r="CW53" s="7" t="str">
        <f>IF(ISBLANK(CW26),"NO DATA",IF(ISNUMBER(FIND(CODES!$A$12,CW26)),CODES!$A$12,IF(OR(ISNUMBER(FIND(CODES!$A$10,CW26)),ISNUMBER(FIND(CODES!$A$11,CW26))),CODES!$A$13,IF(OR(CW26&lt;CW$39,ISNUMBER(CW26)=FALSE),CW$40,CW26))))</f>
      </c>
      <c r="CX53" s="7" t="str">
        <f>IF(ISBLANK(CX26),"NO DATA",IF(ISNUMBER(FIND(CODES!$A$12,CX26)),CODES!$A$12,IF(OR(ISNUMBER(FIND(CODES!$A$10,CX26)),ISNUMBER(FIND(CODES!$A$11,CX26))),CODES!$A$13,IF(OR(CX26&lt;CX$39,ISNUMBER(CX26)=FALSE),CX$40,CX26))))</f>
      </c>
      <c r="CY53" s="7" t="str">
        <f>IF(ISBLANK(CY26),"NO DATA",IF(ISNUMBER(FIND(CODES!$A$12,CY26)),CODES!$A$12,IF(OR(ISNUMBER(FIND(CODES!$A$10,CY26)),ISNUMBER(FIND(CODES!$A$11,CY26))),CODES!$A$13,IF(OR(CY26&lt;CY$39,ISNUMBER(CY26)=FALSE),CY$40,CY26))))</f>
      </c>
      <c r="CZ53" s="7" t="str">
        <f>IF(ISBLANK(CZ26),"NO DATA",IF(ISNUMBER(FIND(CODES!$A$12,CZ26)),CODES!$A$12,IF(OR(ISNUMBER(FIND(CODES!$A$10,CZ26)),ISNUMBER(FIND(CODES!$A$11,CZ26))),CODES!$A$13,IF(OR(CZ26&lt;CZ$39,ISNUMBER(CZ26)=FALSE),CZ$40,CZ26))))</f>
      </c>
      <c r="DA53" s="7" t="str">
        <f>IF(ISBLANK(DA26),"NO DATA",IF(ISNUMBER(FIND(CODES!$A$12,DA26)),CODES!$A$12,IF(OR(ISNUMBER(FIND(CODES!$A$10,DA26)),ISNUMBER(FIND(CODES!$A$11,DA26))),CODES!$A$13,IF(OR(DA26&lt;DA$39,ISNUMBER(DA26)=FALSE),DA$40,DA26))))</f>
      </c>
      <c r="DB53" s="7" t="str">
        <f>IF(ISBLANK(DB26),"NO DATA",IF(ISNUMBER(FIND(CODES!$A$12,DB26)),CODES!$A$12,IF(OR(ISNUMBER(FIND(CODES!$A$10,DB26)),ISNUMBER(FIND(CODES!$A$11,DB26))),CODES!$A$13,IF(OR(DB26&lt;DB$39,ISNUMBER(DB26)=FALSE),DB$40,DB26))))</f>
      </c>
      <c r="DC53" s="7" t="str">
        <f>IF(ISBLANK(DC26),"NO DATA",IF(ISNUMBER(FIND(CODES!$A$12,DC26)),CODES!$A$12,IF(OR(ISNUMBER(FIND(CODES!$A$10,DC26)),ISNUMBER(FIND(CODES!$A$11,DC26))),CODES!$A$13,IF(OR(DC26&lt;DC$39,ISNUMBER(DC26)=FALSE),DC$40,DC26))))</f>
      </c>
      <c r="DD53" s="7" t="str">
        <f>IF(ISBLANK(DD26),"NO DATA",IF(ISNUMBER(FIND(CODES!$A$12,DD26)),CODES!$A$12,IF(OR(ISNUMBER(FIND(CODES!$A$10,DD26)),ISNUMBER(FIND(CODES!$A$11,DD26))),CODES!$A$13,IF(OR(DD26&lt;DD$39,ISNUMBER(DD26)=FALSE),DD$40,DD26))))</f>
      </c>
      <c r="DE53" s="7" t="str">
        <f>IF(ISBLANK(DE26),"NO DATA",IF(ISNUMBER(FIND(CODES!$A$12,DE26)),CODES!$A$12,IF(OR(ISNUMBER(FIND(CODES!$A$10,DE26)),ISNUMBER(FIND(CODES!$A$11,DE26))),CODES!$A$13,IF(OR(DE26&lt;DE$39,ISNUMBER(DE26)=FALSE),DE$40,DE26))))</f>
      </c>
      <c r="DF53" s="7">
        <f>IF(ISBLANK(DF26),"NO DATA",IF(ISNUMBER(FIND(CODES!$A$12,DF26)),CODES!$A$12,IF(OR(ISNUMBER(FIND(CODES!$A$10,DF26)),ISNUMBER(FIND(CODES!$A$11,DF26))),CODES!$A$13,IF(OR(DF26&lt;DF$39,ISNUMBER(DF26)=FALSE),DF$40,DF26))))</f>
      </c>
      <c r="DG53" s="7">
        <f>IF(ISBLANK(DG26),"NO DATA",IF(ISNUMBER(FIND(CODES!$A$12,DG26)),CODES!$A$12,IF(OR(ISNUMBER(FIND(CODES!$A$10,DG26)),ISNUMBER(FIND(CODES!$A$11,DG26))),CODES!$A$13,IF(OR(DG26&lt;DG$39,ISNUMBER(DG26)=FALSE),DG$40,DG26))))</f>
      </c>
      <c r="DH53" s="7" t="str">
        <f>IF(ISBLANK(DH26),"NO DATA",IF(ISNUMBER(FIND(CODES!$A$12,DH26)),CODES!$A$12,IF(OR(ISNUMBER(FIND(CODES!$A$10,DH26)),ISNUMBER(FIND(CODES!$A$11,DH26))),CODES!$A$13,IF(OR(DH26&lt;DH$39,ISNUMBER(DH26)=FALSE),DH$40,DH26))))</f>
      </c>
      <c r="DI53" s="7" t="str">
        <f>IF(ISBLANK(DI26),"NO DATA",IF(ISNUMBER(FIND(CODES!$A$12,DI26)),CODES!$A$12,IF(OR(ISNUMBER(FIND(CODES!$A$10,DI26)),ISNUMBER(FIND(CODES!$A$11,DI26))),CODES!$A$13,IF(OR(DI26&lt;DI$39,ISNUMBER(DI26)=FALSE),DI$40,DI26))))</f>
      </c>
    </row>
    <row r="54" spans="1:113" x14ac:dyDescent="0.25">
      <c r="A54" s="16" t="str">
        <f t="shared" si="2"/>
      </c>
      <c r="B54" s="16" t="str">
        <f t="shared" si="2"/>
      </c>
      <c r="C54" s="7">
        <f>IF(ISBLANK(C27),"NO DATA",IF(ISNUMBER(FIND(CODES!$A$12,C27)),CODES!$A$12,IF(OR(ISNUMBER(FIND(CODES!$A$10,C27)),ISNUMBER(FIND(CODES!$A$11,C27))),CODES!$A$13,IF(OR(C27&lt;C$39,ISNUMBER(C27)=FALSE),C$40,C27))))</f>
      </c>
      <c r="D54" s="7">
        <f>IF(ISBLANK(D27),"NO DATA",IF(ISNUMBER(FIND(CODES!$A$12,D27)),CODES!$A$12,IF(OR(ISNUMBER(FIND(CODES!$A$10,D27)),ISNUMBER(FIND(CODES!$A$11,D27))),CODES!$A$13,IF(OR(D27&lt;D$39,ISNUMBER(D27)=FALSE),D$40,D27))))</f>
      </c>
      <c r="E54" s="7">
        <f>IF(ISBLANK(E27),"NO DATA",IF(ISNUMBER(FIND(CODES!$A$12,E27)),CODES!$A$12,IF(OR(ISNUMBER(FIND(CODES!$A$10,E27)),ISNUMBER(FIND(CODES!$A$11,E27))),CODES!$A$13,IF(OR(E27&lt;E$39,ISNUMBER(E27)=FALSE),E$40,E27))))</f>
      </c>
      <c r="F54" s="7">
        <f>IF(ISBLANK(F27),"NO DATA",IF(ISNUMBER(FIND(CODES!$A$12,F27)),CODES!$A$12,IF(OR(ISNUMBER(FIND(CODES!$A$10,F27)),ISNUMBER(FIND(CODES!$A$11,F27))),CODES!$A$13,IF(OR(F27&lt;F$39,ISNUMBER(F27)=FALSE),F$40,F27))))</f>
      </c>
      <c r="G54" s="7">
        <f>IF(ISBLANK(G27),"NO DATA",IF(ISNUMBER(FIND(CODES!$A$12,G27)),CODES!$A$12,IF(OR(ISNUMBER(FIND(CODES!$A$10,G27)),ISNUMBER(FIND(CODES!$A$11,G27))),CODES!$A$13,IF(OR(G27&lt;G$39,ISNUMBER(G27)=FALSE),G$40,G27))))</f>
      </c>
      <c r="H54" s="7">
        <f>IF(ISBLANK(H27),"NO DATA",IF(ISNUMBER(FIND(CODES!$A$12,H27)),CODES!$A$12,IF(OR(ISNUMBER(FIND(CODES!$A$10,H27)),ISNUMBER(FIND(CODES!$A$11,H27))),CODES!$A$13,IF(OR(H27&lt;H$39,ISNUMBER(H27)=FALSE),H$40,H27))))</f>
      </c>
      <c r="I54" s="7">
        <f>IF(ISBLANK(I27),"NO DATA",IF(ISNUMBER(FIND(CODES!$A$12,I27)),CODES!$A$12,IF(OR(ISNUMBER(FIND(CODES!$A$10,I27)),ISNUMBER(FIND(CODES!$A$11,I27))),CODES!$A$13,IF(OR(I27&lt;I$39,ISNUMBER(I27)=FALSE),I$40,I27))))</f>
      </c>
      <c r="J54" s="7">
        <f>IF(ISBLANK(J27),"NO DATA",IF(ISNUMBER(FIND(CODES!$A$12,J27)),CODES!$A$12,IF(OR(ISNUMBER(FIND(CODES!$A$10,J27)),ISNUMBER(FIND(CODES!$A$11,J27))),CODES!$A$13,IF(OR(J27&lt;J$39,ISNUMBER(J27)=FALSE),J$40,J27))))</f>
      </c>
      <c r="K54" s="7">
        <f>IF(ISBLANK(K27),"NO DATA",IF(ISNUMBER(FIND(CODES!$A$12,K27)),CODES!$A$12,IF(OR(ISNUMBER(FIND(CODES!$A$10,K27)),ISNUMBER(FIND(CODES!$A$11,K27))),CODES!$A$13,IF(OR(K27&lt;K$39,ISNUMBER(K27)=FALSE),K$40,K27))))</f>
      </c>
      <c r="L54" s="7">
        <f>IF(ISBLANK(L27),"NO DATA",IF(ISNUMBER(FIND(CODES!$A$12,L27)),CODES!$A$12,IF(OR(ISNUMBER(FIND(CODES!$A$10,L27)),ISNUMBER(FIND(CODES!$A$11,L27))),CODES!$A$13,IF(OR(L27&lt;L$39,ISNUMBER(L27)=FALSE),L$40,L27))))</f>
      </c>
      <c r="M54" s="7">
        <f>IF(ISBLANK(M27),"NO DATA",IF(ISNUMBER(FIND(CODES!$A$12,M27)),CODES!$A$12,IF(OR(ISNUMBER(FIND(CODES!$A$10,M27)),ISNUMBER(FIND(CODES!$A$11,M27))),CODES!$A$13,IF(OR(M27&lt;M$39,ISNUMBER(M27)=FALSE),M$40,M27))))</f>
      </c>
      <c r="N54" s="7" t="str">
        <f>IF(ISBLANK(N27),"NO DATA",IF(ISNUMBER(FIND(CODES!$A$12,N27)),CODES!$A$12,IF(OR(ISNUMBER(FIND(CODES!$A$10,N27)),ISNUMBER(FIND(CODES!$A$11,N27))),CODES!$A$13,IF(OR(N27&lt;N$39,ISNUMBER(N27)=FALSE),N$40,N27))))</f>
      </c>
      <c r="O54" s="7" t="str">
        <f>IF(ISBLANK(O27),"NO DATA",IF(ISNUMBER(FIND(CODES!$A$12,O27)),CODES!$A$12,IF(OR(ISNUMBER(FIND(CODES!$A$10,O27)),ISNUMBER(FIND(CODES!$A$11,O27))),CODES!$A$13,IF(OR(O27&lt;O$39,ISNUMBER(O27)=FALSE),O$40,O27))))</f>
      </c>
      <c r="P54" s="7">
        <f>IF(ISBLANK(P27),"NO DATA",IF(ISNUMBER(FIND(CODES!$A$12,P27)),CODES!$A$12,IF(OR(ISNUMBER(FIND(CODES!$A$10,P27)),ISNUMBER(FIND(CODES!$A$11,P27))),CODES!$A$13,IF(OR(P27&lt;P$39,ISNUMBER(P27)=FALSE),P$40,P27))))</f>
      </c>
      <c r="Q54" s="7">
        <f>IF(ISBLANK(Q27),"NO DATA",IF(ISNUMBER(FIND(CODES!$A$12,Q27)),CODES!$A$12,IF(OR(ISNUMBER(FIND(CODES!$A$10,Q27)),ISNUMBER(FIND(CODES!$A$11,Q27))),CODES!$A$13,IF(OR(Q27&lt;Q$39,ISNUMBER(Q27)=FALSE),Q$40,Q27))))</f>
      </c>
      <c r="R54" s="7">
        <f>IF(ISBLANK(R27),"NO DATA",IF(ISNUMBER(FIND(CODES!$A$12,R27)),CODES!$A$12,IF(OR(ISNUMBER(FIND(CODES!$A$10,R27)),ISNUMBER(FIND(CODES!$A$11,R27))),CODES!$A$13,IF(OR(R27&lt;R$39,ISNUMBER(R27)=FALSE),R$40,R27))))</f>
      </c>
      <c r="S54" s="7">
        <f>IF(ISBLANK(S27),"NO DATA",IF(ISNUMBER(FIND(CODES!$A$12,S27)),CODES!$A$12,IF(OR(ISNUMBER(FIND(CODES!$A$10,S27)),ISNUMBER(FIND(CODES!$A$11,S27))),CODES!$A$13,IF(OR(S27&lt;S$39,ISNUMBER(S27)=FALSE),S$40,S27))))</f>
      </c>
      <c r="T54" s="7">
        <f>IF(ISBLANK(T27),"NO DATA",IF(ISNUMBER(FIND(CODES!$A$12,T27)),CODES!$A$12,IF(OR(ISNUMBER(FIND(CODES!$A$10,T27)),ISNUMBER(FIND(CODES!$A$11,T27))),CODES!$A$13,IF(OR(T27&lt;T$39,ISNUMBER(T27)=FALSE),T$40,T27))))</f>
      </c>
      <c r="U54" s="7">
        <f>IF(ISBLANK(U27),"NO DATA",IF(ISNUMBER(FIND(CODES!$A$12,U27)),CODES!$A$12,IF(OR(ISNUMBER(FIND(CODES!$A$10,U27)),ISNUMBER(FIND(CODES!$A$11,U27))),CODES!$A$13,IF(OR(U27&lt;U$39,ISNUMBER(U27)=FALSE),U$40,U27))))</f>
      </c>
      <c r="V54" s="7">
        <f>IF(ISBLANK(V27),"NO DATA",IF(ISNUMBER(FIND(CODES!$A$12,V27)),CODES!$A$12,IF(OR(ISNUMBER(FIND(CODES!$A$10,V27)),ISNUMBER(FIND(CODES!$A$11,V27))),CODES!$A$13,IF(OR(V27&lt;V$39,ISNUMBER(V27)=FALSE),V$40,V27))))</f>
      </c>
      <c r="W54" s="7">
        <f>IF(ISBLANK(W27),"NO DATA",IF(ISNUMBER(FIND(CODES!$A$12,W27)),CODES!$A$12,IF(OR(ISNUMBER(FIND(CODES!$A$10,W27)),ISNUMBER(FIND(CODES!$A$11,W27))),CODES!$A$13,IF(OR(W27&lt;W$39,ISNUMBER(W27)=FALSE),W$40,W27))))</f>
      </c>
      <c r="X54" s="7">
        <f>IF(ISBLANK(X27),"NO DATA",IF(ISNUMBER(FIND(CODES!$A$12,X27)),CODES!$A$12,IF(OR(ISNUMBER(FIND(CODES!$A$10,X27)),ISNUMBER(FIND(CODES!$A$11,X27))),CODES!$A$13,IF(OR(X27&lt;X$39,ISNUMBER(X27)=FALSE),X$40,X27))))</f>
      </c>
      <c r="Y54" s="7">
        <f>IF(ISBLANK(Y27),"NO DATA",IF(ISNUMBER(FIND(CODES!$A$12,Y27)),CODES!$A$12,IF(OR(ISNUMBER(FIND(CODES!$A$10,Y27)),ISNUMBER(FIND(CODES!$A$11,Y27))),CODES!$A$13,IF(OR(Y27&lt;Y$39,ISNUMBER(Y27)=FALSE),Y$40,Y27))))</f>
      </c>
      <c r="Z54" s="7">
        <f>IF(ISBLANK(Z27),"NO DATA",IF(ISNUMBER(FIND(CODES!$A$12,Z27)),CODES!$A$12,IF(OR(ISNUMBER(FIND(CODES!$A$10,Z27)),ISNUMBER(FIND(CODES!$A$11,Z27))),CODES!$A$13,IF(OR(Z27&lt;Z$39,ISNUMBER(Z27)=FALSE),Z$40,Z27))))</f>
      </c>
      <c r="AA54" s="7">
        <f>IF(ISBLANK(AA27),"NO DATA",IF(ISNUMBER(FIND(CODES!$A$12,AA27)),CODES!$A$12,IF(OR(ISNUMBER(FIND(CODES!$A$10,AA27)),ISNUMBER(FIND(CODES!$A$11,AA27))),CODES!$A$13,IF(OR(AA27&lt;AA$39,ISNUMBER(AA27)=FALSE),AA$40,AA27))))</f>
      </c>
      <c r="AB54" s="7">
        <f>IF(ISBLANK(AB27),"NO DATA",IF(ISNUMBER(FIND(CODES!$A$12,AB27)),CODES!$A$12,IF(OR(ISNUMBER(FIND(CODES!$A$10,AB27)),ISNUMBER(FIND(CODES!$A$11,AB27))),CODES!$A$13,IF(OR(AB27&lt;AB$39,ISNUMBER(AB27)=FALSE),AB$40,AB27))))</f>
      </c>
      <c r="AC54" s="7">
        <f>IF(ISBLANK(AC27),"NO DATA",IF(ISNUMBER(FIND(CODES!$A$12,AC27)),CODES!$A$12,IF(OR(ISNUMBER(FIND(CODES!$A$10,AC27)),ISNUMBER(FIND(CODES!$A$11,AC27))),CODES!$A$13,IF(OR(AC27&lt;AC$39,ISNUMBER(AC27)=FALSE),AC$40,AC27))))</f>
      </c>
      <c r="AD54" s="7">
        <f>IF(ISBLANK(AD27),"NO DATA",IF(ISNUMBER(FIND(CODES!$A$12,AD27)),CODES!$A$12,IF(OR(ISNUMBER(FIND(CODES!$A$10,AD27)),ISNUMBER(FIND(CODES!$A$11,AD27))),CODES!$A$13,IF(OR(AD27&lt;AD$39,ISNUMBER(AD27)=FALSE),AD$40,AD27))))</f>
      </c>
      <c r="AE54" s="7">
        <f>IF(ISBLANK(AE27),"NO DATA",IF(ISNUMBER(FIND(CODES!$A$12,AE27)),CODES!$A$12,IF(OR(ISNUMBER(FIND(CODES!$A$10,AE27)),ISNUMBER(FIND(CODES!$A$11,AE27))),CODES!$A$13,IF(OR(AE27&lt;AE$39,ISNUMBER(AE27)=FALSE),AE$40,AE27))))</f>
      </c>
      <c r="AF54" s="7">
        <f>IF(ISBLANK(AF27),"NO DATA",IF(ISNUMBER(FIND(CODES!$A$12,AF27)),CODES!$A$12,IF(OR(ISNUMBER(FIND(CODES!$A$10,AF27)),ISNUMBER(FIND(CODES!$A$11,AF27))),CODES!$A$13,IF(OR(AF27&lt;AF$39,ISNUMBER(AF27)=FALSE),AF$40,AF27))))</f>
      </c>
      <c r="AG54" s="7">
        <f>IF(ISBLANK(AG27),"NO DATA",IF(ISNUMBER(FIND(CODES!$A$12,AG27)),CODES!$A$12,IF(OR(ISNUMBER(FIND(CODES!$A$10,AG27)),ISNUMBER(FIND(CODES!$A$11,AG27))),CODES!$A$13,IF(OR(AG27&lt;AG$39,ISNUMBER(AG27)=FALSE),AG$40,AG27))))</f>
      </c>
      <c r="AH54" s="7">
        <f>IF(ISBLANK(AH27),"NO DATA",IF(ISNUMBER(FIND(CODES!$A$12,AH27)),CODES!$A$12,IF(OR(ISNUMBER(FIND(CODES!$A$10,AH27)),ISNUMBER(FIND(CODES!$A$11,AH27))),CODES!$A$13,IF(OR(AH27&lt;AH$39,ISNUMBER(AH27)=FALSE),AH$40,AH27))))</f>
      </c>
      <c r="AI54" s="7">
        <f>IF(ISBLANK(AI27),"NO DATA",IF(ISNUMBER(FIND(CODES!$A$12,AI27)),CODES!$A$12,IF(OR(ISNUMBER(FIND(CODES!$A$10,AI27)),ISNUMBER(FIND(CODES!$A$11,AI27))),CODES!$A$13,IF(OR(AI27&lt;AI$39,ISNUMBER(AI27)=FALSE),AI$40,AI27))))</f>
      </c>
      <c r="AJ54" s="7">
        <f>IF(ISBLANK(AJ27),"NO DATA",IF(ISNUMBER(FIND(CODES!$A$12,AJ27)),CODES!$A$12,IF(OR(ISNUMBER(FIND(CODES!$A$10,AJ27)),ISNUMBER(FIND(CODES!$A$11,AJ27))),CODES!$A$13,IF(OR(AJ27&lt;AJ$39,ISNUMBER(AJ27)=FALSE),AJ$40,AJ27))))</f>
      </c>
      <c r="AK54" s="7">
        <f>IF(ISBLANK(AK27),"NO DATA",IF(ISNUMBER(FIND(CODES!$A$12,AK27)),CODES!$A$12,IF(OR(ISNUMBER(FIND(CODES!$A$10,AK27)),ISNUMBER(FIND(CODES!$A$11,AK27))),CODES!$A$13,IF(OR(AK27&lt;AK$39,ISNUMBER(AK27)=FALSE),AK$40,AK27))))</f>
      </c>
      <c r="AL54" s="7">
        <f>IF(ISBLANK(AL27),"NO DATA",IF(ISNUMBER(FIND(CODES!$A$12,AL27)),CODES!$A$12,IF(OR(ISNUMBER(FIND(CODES!$A$10,AL27)),ISNUMBER(FIND(CODES!$A$11,AL27))),CODES!$A$13,IF(OR(AL27&lt;AL$39,ISNUMBER(AL27)=FALSE),AL$40,AL27))))</f>
      </c>
      <c r="AM54" s="7">
        <f>IF(ISBLANK(AM27),"NO DATA",IF(ISNUMBER(FIND(CODES!$A$12,AM27)),CODES!$A$12,IF(OR(ISNUMBER(FIND(CODES!$A$10,AM27)),ISNUMBER(FIND(CODES!$A$11,AM27))),CODES!$A$13,IF(OR(AM27&lt;AM$39,ISNUMBER(AM27)=FALSE),AM$40,AM27))))</f>
      </c>
      <c r="AN54" s="7">
        <f>IF(ISBLANK(AN27),"NO DATA",IF(ISNUMBER(FIND(CODES!$A$12,AN27)),CODES!$A$12,IF(OR(ISNUMBER(FIND(CODES!$A$10,AN27)),ISNUMBER(FIND(CODES!$A$11,AN27))),CODES!$A$13,IF(OR(AN27&lt;AN$39,ISNUMBER(AN27)=FALSE),AN$40,AN27))))</f>
      </c>
      <c r="AO54" s="7">
        <f>IF(ISBLANK(AO27),"NO DATA",IF(ISNUMBER(FIND(CODES!$A$12,AO27)),CODES!$A$12,IF(OR(ISNUMBER(FIND(CODES!$A$10,AO27)),ISNUMBER(FIND(CODES!$A$11,AO27))),CODES!$A$13,IF(OR(AO27&lt;AO$39,ISNUMBER(AO27)=FALSE),AO$40,AO27))))</f>
      </c>
      <c r="AP54" s="7">
        <f>IF(ISBLANK(AP27),"NO DATA",IF(ISNUMBER(FIND(CODES!$A$12,AP27)),CODES!$A$12,IF(OR(ISNUMBER(FIND(CODES!$A$10,AP27)),ISNUMBER(FIND(CODES!$A$11,AP27))),CODES!$A$13,IF(OR(AP27&lt;AP$39,ISNUMBER(AP27)=FALSE),AP$40,AP27))))</f>
      </c>
      <c r="AQ54" s="7">
        <f>IF(ISBLANK(AQ27),"NO DATA",IF(ISNUMBER(FIND(CODES!$A$12,AQ27)),CODES!$A$12,IF(OR(ISNUMBER(FIND(CODES!$A$10,AQ27)),ISNUMBER(FIND(CODES!$A$11,AQ27))),CODES!$A$13,IF(OR(AQ27&lt;AQ$39,ISNUMBER(AQ27)=FALSE),AQ$40,AQ27))))</f>
      </c>
      <c r="AR54" s="7">
        <f>IF(ISBLANK(AR27),"NO DATA",IF(ISNUMBER(FIND(CODES!$A$12,AR27)),CODES!$A$12,IF(OR(ISNUMBER(FIND(CODES!$A$10,AR27)),ISNUMBER(FIND(CODES!$A$11,AR27))),CODES!$A$13,IF(OR(AR27&lt;AR$39,ISNUMBER(AR27)=FALSE),AR$40,AR27))))</f>
      </c>
      <c r="AS54" s="7">
        <f>IF(ISBLANK(AS27),"NO DATA",IF(ISNUMBER(FIND(CODES!$A$12,AS27)),CODES!$A$12,IF(OR(ISNUMBER(FIND(CODES!$A$10,AS27)),ISNUMBER(FIND(CODES!$A$11,AS27))),CODES!$A$13,IF(OR(AS27&lt;AS$39,ISNUMBER(AS27)=FALSE),AS$40,AS27))))</f>
      </c>
      <c r="AT54" s="7">
        <f>IF(ISBLANK(AT27),"NO DATA",IF(ISNUMBER(FIND(CODES!$A$12,AT27)),CODES!$A$12,IF(OR(ISNUMBER(FIND(CODES!$A$10,AT27)),ISNUMBER(FIND(CODES!$A$11,AT27))),CODES!$A$13,IF(OR(AT27&lt;AT$39,ISNUMBER(AT27)=FALSE),AT$40,AT27))))</f>
      </c>
      <c r="AU54" s="7">
        <f>IF(ISBLANK(AU27),"NO DATA",IF(ISNUMBER(FIND(CODES!$A$12,AU27)),CODES!$A$12,IF(OR(ISNUMBER(FIND(CODES!$A$10,AU27)),ISNUMBER(FIND(CODES!$A$11,AU27))),CODES!$A$13,IF(OR(AU27&lt;AU$39,ISNUMBER(AU27)=FALSE),AU$40,AU27))))</f>
      </c>
      <c r="AV54" s="7" t="str">
        <f>IF(ISBLANK(AV27),"NO DATA",IF(ISNUMBER(FIND(CODES!$A$12,AV27)),CODES!$A$12,IF(OR(ISNUMBER(FIND(CODES!$A$10,AV27)),ISNUMBER(FIND(CODES!$A$11,AV27))),CODES!$A$13,IF(OR(AV27&lt;AV$39,ISNUMBER(AV27)=FALSE),AV$40,AV27))))</f>
      </c>
      <c r="AW54" s="7" t="str">
        <f>IF(ISBLANK(AW27),"NO DATA",IF(ISNUMBER(FIND(CODES!$A$12,AW27)),CODES!$A$12,IF(OR(ISNUMBER(FIND(CODES!$A$10,AW27)),ISNUMBER(FIND(CODES!$A$11,AW27))),CODES!$A$13,IF(OR(AW27&lt;AW$39,ISNUMBER(AW27)=FALSE),AW$40,AW27))))</f>
      </c>
      <c r="AX54" s="7">
        <f>IF(ISBLANK(AX27),"NO DATA",IF(ISNUMBER(FIND(CODES!$A$12,AX27)),CODES!$A$12,IF(OR(ISNUMBER(FIND(CODES!$A$10,AX27)),ISNUMBER(FIND(CODES!$A$11,AX27))),CODES!$A$13,IF(OR(AX27&lt;AX$39,ISNUMBER(AX27)=FALSE),AX$40,AX27))))</f>
      </c>
      <c r="AY54" s="7">
        <f>IF(ISBLANK(AY27),"NO DATA",IF(ISNUMBER(FIND(CODES!$A$12,AY27)),CODES!$A$12,IF(OR(ISNUMBER(FIND(CODES!$A$10,AY27)),ISNUMBER(FIND(CODES!$A$11,AY27))),CODES!$A$13,IF(OR(AY27&lt;AY$39,ISNUMBER(AY27)=FALSE),AY$40,AY27))))</f>
      </c>
      <c r="AZ54" s="7">
        <f>IF(ISBLANK(AZ27),"NO DATA",IF(ISNUMBER(FIND(CODES!$A$12,AZ27)),CODES!$A$12,IF(OR(ISNUMBER(FIND(CODES!$A$10,AZ27)),ISNUMBER(FIND(CODES!$A$11,AZ27))),CODES!$A$13,IF(OR(AZ27&lt;AZ$39,ISNUMBER(AZ27)=FALSE),AZ$40,AZ27))))</f>
      </c>
      <c r="BA54" s="7">
        <f>IF(ISBLANK(BA27),"NO DATA",IF(ISNUMBER(FIND(CODES!$A$12,BA27)),CODES!$A$12,IF(OR(ISNUMBER(FIND(CODES!$A$10,BA27)),ISNUMBER(FIND(CODES!$A$11,BA27))),CODES!$A$13,IF(OR(BA27&lt;BA$39,ISNUMBER(BA27)=FALSE),BA$40,BA27))))</f>
      </c>
      <c r="BB54" s="7">
        <f>IF(ISBLANK(BB27),"NO DATA",IF(ISNUMBER(FIND(CODES!$A$12,BB27)),CODES!$A$12,IF(OR(ISNUMBER(FIND(CODES!$A$10,BB27)),ISNUMBER(FIND(CODES!$A$11,BB27))),CODES!$A$13,IF(OR(BB27&lt;BB$39,ISNUMBER(BB27)=FALSE),BB$40,BB27))))</f>
      </c>
      <c r="BC54" s="7">
        <f>IF(ISBLANK(BC27),"NO DATA",IF(ISNUMBER(FIND(CODES!$A$12,BC27)),CODES!$A$12,IF(OR(ISNUMBER(FIND(CODES!$A$10,BC27)),ISNUMBER(FIND(CODES!$A$11,BC27))),CODES!$A$13,IF(OR(BC27&lt;BC$39,ISNUMBER(BC27)=FALSE),BC$40,BC27))))</f>
      </c>
      <c r="BD54" s="7">
        <f>IF(ISBLANK(BD27),"NO DATA",IF(ISNUMBER(FIND(CODES!$A$12,BD27)),CODES!$A$12,IF(OR(ISNUMBER(FIND(CODES!$A$10,BD27)),ISNUMBER(FIND(CODES!$A$11,BD27))),CODES!$A$13,IF(OR(BD27&lt;BD$39,ISNUMBER(BD27)=FALSE),BD$40,BD27))))</f>
      </c>
      <c r="BE54" s="7">
        <f>IF(ISBLANK(BE27),"NO DATA",IF(ISNUMBER(FIND(CODES!$A$12,BE27)),CODES!$A$12,IF(OR(ISNUMBER(FIND(CODES!$A$10,BE27)),ISNUMBER(FIND(CODES!$A$11,BE27))),CODES!$A$13,IF(OR(BE27&lt;BE$39,ISNUMBER(BE27)=FALSE),BE$40,BE27))))</f>
      </c>
      <c r="BF54" s="7">
        <f>IF(ISBLANK(BF27),"NO DATA",IF(ISNUMBER(FIND(CODES!$A$12,BF27)),CODES!$A$12,IF(OR(ISNUMBER(FIND(CODES!$A$10,BF27)),ISNUMBER(FIND(CODES!$A$11,BF27))),CODES!$A$13,IF(OR(BF27&lt;BF$39,ISNUMBER(BF27)=FALSE),BF$40,BF27))))</f>
      </c>
      <c r="BG54" s="7">
        <f>IF(ISBLANK(BG27),"NO DATA",IF(ISNUMBER(FIND(CODES!$A$12,BG27)),CODES!$A$12,IF(OR(ISNUMBER(FIND(CODES!$A$10,BG27)),ISNUMBER(FIND(CODES!$A$11,BG27))),CODES!$A$13,IF(OR(BG27&lt;BG$39,ISNUMBER(BG27)=FALSE),BG$40,BG27))))</f>
      </c>
      <c r="BH54" s="7">
        <f>IF(ISBLANK(BH27),"NO DATA",IF(ISNUMBER(FIND(CODES!$A$12,BH27)),CODES!$A$12,IF(OR(ISNUMBER(FIND(CODES!$A$10,BH27)),ISNUMBER(FIND(CODES!$A$11,BH27))),CODES!$A$13,IF(OR(BH27&lt;BH$39,ISNUMBER(BH27)=FALSE),BH$40,BH27))))</f>
      </c>
      <c r="BI54" s="7">
        <f>IF(ISBLANK(BI27),"NO DATA",IF(ISNUMBER(FIND(CODES!$A$12,BI27)),CODES!$A$12,IF(OR(ISNUMBER(FIND(CODES!$A$10,BI27)),ISNUMBER(FIND(CODES!$A$11,BI27))),CODES!$A$13,IF(OR(BI27&lt;BI$39,ISNUMBER(BI27)=FALSE),BI$40,BI27))))</f>
      </c>
      <c r="BJ54" s="7">
        <f>IF(ISBLANK(BJ27),"NO DATA",IF(ISNUMBER(FIND(CODES!$A$12,BJ27)),CODES!$A$12,IF(OR(ISNUMBER(FIND(CODES!$A$10,BJ27)),ISNUMBER(FIND(CODES!$A$11,BJ27))),CODES!$A$13,IF(OR(BJ27&lt;BJ$39,ISNUMBER(BJ27)=FALSE),BJ$40,BJ27))))</f>
      </c>
      <c r="BK54" s="7">
        <f>IF(ISBLANK(BK27),"NO DATA",IF(ISNUMBER(FIND(CODES!$A$12,BK27)),CODES!$A$12,IF(OR(ISNUMBER(FIND(CODES!$A$10,BK27)),ISNUMBER(FIND(CODES!$A$11,BK27))),CODES!$A$13,IF(OR(BK27&lt;BK$39,ISNUMBER(BK27)=FALSE),BK$40,BK27))))</f>
      </c>
      <c r="BL54" s="7">
        <f>IF(ISBLANK(BL27),"NO DATA",IF(ISNUMBER(FIND(CODES!$A$12,BL27)),CODES!$A$12,IF(OR(ISNUMBER(FIND(CODES!$A$10,BL27)),ISNUMBER(FIND(CODES!$A$11,BL27))),CODES!$A$13,IF(OR(BL27&lt;BL$39,ISNUMBER(BL27)=FALSE),BL$40,BL27))))</f>
      </c>
      <c r="BM54" s="7">
        <f>IF(ISBLANK(BM27),"NO DATA",IF(ISNUMBER(FIND(CODES!$A$12,BM27)),CODES!$A$12,IF(OR(ISNUMBER(FIND(CODES!$A$10,BM27)),ISNUMBER(FIND(CODES!$A$11,BM27))),CODES!$A$13,IF(OR(BM27&lt;BM$39,ISNUMBER(BM27)=FALSE),BM$40,BM27))))</f>
      </c>
      <c r="BN54" s="7" t="str">
        <f>IF(ISBLANK(BN27),"NO DATA",IF(ISNUMBER(FIND(CODES!$A$12,BN27)),CODES!$A$12,IF(OR(ISNUMBER(FIND(CODES!$A$10,BN27)),ISNUMBER(FIND(CODES!$A$11,BN27))),CODES!$A$13,IF(OR(BN27&lt;BN$39,ISNUMBER(BN27)=FALSE),BN$40,BN27))))</f>
      </c>
      <c r="BO54" s="7" t="str">
        <f>IF(ISBLANK(BO27),"NO DATA",IF(ISNUMBER(FIND(CODES!$A$12,BO27)),CODES!$A$12,IF(OR(ISNUMBER(FIND(CODES!$A$10,BO27)),ISNUMBER(FIND(CODES!$A$11,BO27))),CODES!$A$13,IF(OR(BO27&lt;BO$39,ISNUMBER(BO27)=FALSE),BO$40,BO27))))</f>
      </c>
      <c r="BP54" s="7">
        <f>IF(ISBLANK(BP27),"NO DATA",IF(ISNUMBER(FIND(CODES!$A$12,BP27)),CODES!$A$12,IF(OR(ISNUMBER(FIND(CODES!$A$10,BP27)),ISNUMBER(FIND(CODES!$A$11,BP27))),CODES!$A$13,IF(OR(BP27&lt;BP$39,ISNUMBER(BP27)=FALSE),BP$40,BP27))))</f>
      </c>
      <c r="BQ54" s="7">
        <f>IF(ISBLANK(BQ27),"NO DATA",IF(ISNUMBER(FIND(CODES!$A$12,BQ27)),CODES!$A$12,IF(OR(ISNUMBER(FIND(CODES!$A$10,BQ27)),ISNUMBER(FIND(CODES!$A$11,BQ27))),CODES!$A$13,IF(OR(BQ27&lt;BQ$39,ISNUMBER(BQ27)=FALSE),BQ$40,BQ27))))</f>
      </c>
      <c r="BR54" s="7">
        <f>IF(ISBLANK(BR27),"NO DATA",IF(ISNUMBER(FIND(CODES!$A$12,BR27)),CODES!$A$12,IF(OR(ISNUMBER(FIND(CODES!$A$10,BR27)),ISNUMBER(FIND(CODES!$A$11,BR27))),CODES!$A$13,IF(OR(BR27&lt;BR$39,ISNUMBER(BR27)=FALSE),BR$40,BR27))))</f>
      </c>
      <c r="BS54" s="7">
        <f>IF(ISBLANK(BS27),"NO DATA",IF(ISNUMBER(FIND(CODES!$A$12,BS27)),CODES!$A$12,IF(OR(ISNUMBER(FIND(CODES!$A$10,BS27)),ISNUMBER(FIND(CODES!$A$11,BS27))),CODES!$A$13,IF(OR(BS27&lt;BS$39,ISNUMBER(BS27)=FALSE),BS$40,BS27))))</f>
      </c>
      <c r="BT54" s="7">
        <f>IF(ISBLANK(BT27),"NO DATA",IF(ISNUMBER(FIND(CODES!$A$12,BT27)),CODES!$A$12,IF(OR(ISNUMBER(FIND(CODES!$A$10,BT27)),ISNUMBER(FIND(CODES!$A$11,BT27))),CODES!$A$13,IF(OR(BT27&lt;BT$39,ISNUMBER(BT27)=FALSE),BT$40,BT27))))</f>
      </c>
      <c r="BU54" s="7">
        <f>IF(ISBLANK(BU27),"NO DATA",IF(ISNUMBER(FIND(CODES!$A$12,BU27)),CODES!$A$12,IF(OR(ISNUMBER(FIND(CODES!$A$10,BU27)),ISNUMBER(FIND(CODES!$A$11,BU27))),CODES!$A$13,IF(OR(BU27&lt;BU$39,ISNUMBER(BU27)=FALSE),BU$40,BU27))))</f>
      </c>
      <c r="BV54" s="7">
        <f>IF(ISBLANK(BV27),"NO DATA",IF(ISNUMBER(FIND(CODES!$A$12,BV27)),CODES!$A$12,IF(OR(ISNUMBER(FIND(CODES!$A$10,BV27)),ISNUMBER(FIND(CODES!$A$11,BV27))),CODES!$A$13,IF(OR(BV27&lt;BV$39,ISNUMBER(BV27)=FALSE),BV$40,BV27))))</f>
      </c>
      <c r="BW54" s="7" t="str">
        <f>IF(ISBLANK(BW27),"NO DATA",IF(ISNUMBER(FIND(CODES!$A$12,BW27)),CODES!$A$12,IF(OR(ISNUMBER(FIND(CODES!$A$10,BW27)),ISNUMBER(FIND(CODES!$A$11,BW27))),CODES!$A$13,IF(OR(BW27&lt;BW$39,ISNUMBER(BW27)=FALSE),BW$40,BW27))))</f>
      </c>
      <c r="BX54" s="7" t="str">
        <f>IF(ISBLANK(BX27),"NO DATA",IF(ISNUMBER(FIND(CODES!$A$12,BX27)),CODES!$A$12,IF(OR(ISNUMBER(FIND(CODES!$A$10,BX27)),ISNUMBER(FIND(CODES!$A$11,BX27))),CODES!$A$13,IF(OR(BX27&lt;BX$39,ISNUMBER(BX27)=FALSE),BX$40,BX27))))</f>
      </c>
      <c r="BY54" s="7">
        <f>IF(ISBLANK(BY27),"NO DATA",IF(ISNUMBER(FIND(CODES!$A$12,BY27)),CODES!$A$12,IF(OR(ISNUMBER(FIND(CODES!$A$10,BY27)),ISNUMBER(FIND(CODES!$A$11,BY27))),CODES!$A$13,IF(OR(BY27&lt;BY$39,ISNUMBER(BY27)=FALSE),BY$40,BY27))))</f>
      </c>
      <c r="BZ54" s="7">
        <f>IF(ISBLANK(BZ27),"NO DATA",IF(ISNUMBER(FIND(CODES!$A$12,BZ27)),CODES!$A$12,IF(OR(ISNUMBER(FIND(CODES!$A$10,BZ27)),ISNUMBER(FIND(CODES!$A$11,BZ27))),CODES!$A$13,IF(OR(BZ27&lt;BZ$39,ISNUMBER(BZ27)=FALSE),BZ$40,BZ27))))</f>
      </c>
      <c r="CA54" s="7">
        <f>IF(ISBLANK(CA27),"NO DATA",IF(ISNUMBER(FIND(CODES!$A$12,CA27)),CODES!$A$12,IF(OR(ISNUMBER(FIND(CODES!$A$10,CA27)),ISNUMBER(FIND(CODES!$A$11,CA27))),CODES!$A$13,IF(OR(CA27&lt;CA$39,ISNUMBER(CA27)=FALSE),CA$40,CA27))))</f>
      </c>
      <c r="CB54" s="7">
        <f>IF(ISBLANK(CB27),"NO DATA",IF(ISNUMBER(FIND(CODES!$A$12,CB27)),CODES!$A$12,IF(OR(ISNUMBER(FIND(CODES!$A$10,CB27)),ISNUMBER(FIND(CODES!$A$11,CB27))),CODES!$A$13,IF(OR(CB27&lt;CB$39,ISNUMBER(CB27)=FALSE),CB$40,CB27))))</f>
      </c>
      <c r="CC54" s="7">
        <f>IF(ISBLANK(CC27),"NO DATA",IF(ISNUMBER(FIND(CODES!$A$12,CC27)),CODES!$A$12,IF(OR(ISNUMBER(FIND(CODES!$A$10,CC27)),ISNUMBER(FIND(CODES!$A$11,CC27))),CODES!$A$13,IF(OR(CC27&lt;CC$39,ISNUMBER(CC27)=FALSE),CC$40,CC27))))</f>
      </c>
      <c r="CD54" s="7">
        <f>IF(ISBLANK(CD27),"NO DATA",IF(ISNUMBER(FIND(CODES!$A$12,CD27)),CODES!$A$12,IF(OR(ISNUMBER(FIND(CODES!$A$10,CD27)),ISNUMBER(FIND(CODES!$A$11,CD27))),CODES!$A$13,IF(OR(CD27&lt;CD$39,ISNUMBER(CD27)=FALSE),CD$40,CD27))))</f>
      </c>
      <c r="CE54" s="7">
        <f>IF(ISBLANK(CE27),"NO DATA",IF(ISNUMBER(FIND(CODES!$A$12,CE27)),CODES!$A$12,IF(OR(ISNUMBER(FIND(CODES!$A$10,CE27)),ISNUMBER(FIND(CODES!$A$11,CE27))),CODES!$A$13,IF(OR(CE27&lt;CE$39,ISNUMBER(CE27)=FALSE),CE$40,CE27))))</f>
      </c>
      <c r="CF54" s="7">
        <f>IF(ISBLANK(CF27),"NO DATA",IF(ISNUMBER(FIND(CODES!$A$12,CF27)),CODES!$A$12,IF(OR(ISNUMBER(FIND(CODES!$A$10,CF27)),ISNUMBER(FIND(CODES!$A$11,CF27))),CODES!$A$13,IF(OR(CF27&lt;CF$39,ISNUMBER(CF27)=FALSE),CF$40,CF27))))</f>
      </c>
      <c r="CG54" s="7">
        <f>IF(ISBLANK(CG27),"NO DATA",IF(ISNUMBER(FIND(CODES!$A$12,CG27)),CODES!$A$12,IF(OR(ISNUMBER(FIND(CODES!$A$10,CG27)),ISNUMBER(FIND(CODES!$A$11,CG27))),CODES!$A$13,IF(OR(CG27&lt;CG$39,ISNUMBER(CG27)=FALSE),CG$40,CG27))))</f>
      </c>
      <c r="CH54" s="7">
        <f>IF(ISBLANK(CH27),"NO DATA",IF(ISNUMBER(FIND(CODES!$A$12,CH27)),CODES!$A$12,IF(OR(ISNUMBER(FIND(CODES!$A$10,CH27)),ISNUMBER(FIND(CODES!$A$11,CH27))),CODES!$A$13,IF(OR(CH27&lt;CH$39,ISNUMBER(CH27)=FALSE),CH$40,CH27))))</f>
      </c>
      <c r="CI54" s="7">
        <f>IF(ISBLANK(CI27),"NO DATA",IF(ISNUMBER(FIND(CODES!$A$12,CI27)),CODES!$A$12,IF(OR(ISNUMBER(FIND(CODES!$A$10,CI27)),ISNUMBER(FIND(CODES!$A$11,CI27))),CODES!$A$13,IF(OR(CI27&lt;CI$39,ISNUMBER(CI27)=FALSE),CI$40,CI27))))</f>
      </c>
      <c r="CJ54" s="7">
        <f>IF(ISBLANK(CJ27),"NO DATA",IF(ISNUMBER(FIND(CODES!$A$12,CJ27)),CODES!$A$12,IF(OR(ISNUMBER(FIND(CODES!$A$10,CJ27)),ISNUMBER(FIND(CODES!$A$11,CJ27))),CODES!$A$13,IF(OR(CJ27&lt;CJ$39,ISNUMBER(CJ27)=FALSE),CJ$40,CJ27))))</f>
      </c>
      <c r="CK54" s="7" t="str">
        <f>IF(ISBLANK(CK27),"NO DATA",IF(ISNUMBER(FIND(CODES!$A$12,CK27)),CODES!$A$12,IF(OR(ISNUMBER(FIND(CODES!$A$10,CK27)),ISNUMBER(FIND(CODES!$A$11,CK27))),CODES!$A$13,IF(OR(CK27&lt;CK$39,ISNUMBER(CK27)=FALSE),CK$40,CK27))))</f>
      </c>
      <c r="CL54" s="7">
        <f>IF(ISBLANK(CL27),"NO DATA",IF(ISNUMBER(FIND(CODES!$A$12,CL27)),CODES!$A$12,IF(OR(ISNUMBER(FIND(CODES!$A$10,CL27)),ISNUMBER(FIND(CODES!$A$11,CL27))),CODES!$A$13,IF(OR(CL27&lt;CL$39,ISNUMBER(CL27)=FALSE),CL$40,CL27))))</f>
      </c>
      <c r="CM54" s="7">
        <f>IF(ISBLANK(CM27),"NO DATA",IF(ISNUMBER(FIND(CODES!$A$12,CM27)),CODES!$A$12,IF(OR(ISNUMBER(FIND(CODES!$A$10,CM27)),ISNUMBER(FIND(CODES!$A$11,CM27))),CODES!$A$13,IF(OR(CM27&lt;CM$39,ISNUMBER(CM27)=FALSE),CM$40,CM27))))</f>
      </c>
      <c r="CN54" s="7">
        <f>IF(ISBLANK(CN27),"NO DATA",IF(ISNUMBER(FIND(CODES!$A$12,CN27)),CODES!$A$12,IF(OR(ISNUMBER(FIND(CODES!$A$10,CN27)),ISNUMBER(FIND(CODES!$A$11,CN27))),CODES!$A$13,IF(OR(CN27&lt;CN$39,ISNUMBER(CN27)=FALSE),CN$40,CN27))))</f>
      </c>
      <c r="CO54" s="7">
        <f>IF(ISBLANK(CO27),"NO DATA",IF(ISNUMBER(FIND(CODES!$A$12,CO27)),CODES!$A$12,IF(OR(ISNUMBER(FIND(CODES!$A$10,CO27)),ISNUMBER(FIND(CODES!$A$11,CO27))),CODES!$A$13,IF(OR(CO27&lt;CO$39,ISNUMBER(CO27)=FALSE),CO$40,CO27))))</f>
      </c>
      <c r="CP54" s="7">
        <f>IF(ISBLANK(CP27),"NO DATA",IF(ISNUMBER(FIND(CODES!$A$12,CP27)),CODES!$A$12,IF(OR(ISNUMBER(FIND(CODES!$A$10,CP27)),ISNUMBER(FIND(CODES!$A$11,CP27))),CODES!$A$13,IF(OR(CP27&lt;CP$39,ISNUMBER(CP27)=FALSE),CP$40,CP27))))</f>
      </c>
      <c r="CQ54" s="7">
        <f>IF(ISBLANK(CQ27),"NO DATA",IF(ISNUMBER(FIND(CODES!$A$12,CQ27)),CODES!$A$12,IF(OR(ISNUMBER(FIND(CODES!$A$10,CQ27)),ISNUMBER(FIND(CODES!$A$11,CQ27))),CODES!$A$13,IF(OR(CQ27&lt;CQ$39,ISNUMBER(CQ27)=FALSE),CQ$40,CQ27))))</f>
      </c>
      <c r="CR54" s="7">
        <f>IF(ISBLANK(CR27),"NO DATA",IF(ISNUMBER(FIND(CODES!$A$12,CR27)),CODES!$A$12,IF(OR(ISNUMBER(FIND(CODES!$A$10,CR27)),ISNUMBER(FIND(CODES!$A$11,CR27))),CODES!$A$13,IF(OR(CR27&lt;CR$39,ISNUMBER(CR27)=FALSE),CR$40,CR27))))</f>
      </c>
      <c r="CS54" s="7">
        <f>IF(ISBLANK(CS27),"NO DATA",IF(ISNUMBER(FIND(CODES!$A$12,CS27)),CODES!$A$12,IF(OR(ISNUMBER(FIND(CODES!$A$10,CS27)),ISNUMBER(FIND(CODES!$A$11,CS27))),CODES!$A$13,IF(OR(CS27&lt;CS$39,ISNUMBER(CS27)=FALSE),CS$40,CS27))))</f>
      </c>
      <c r="CT54" s="7">
        <f>IF(ISBLANK(CT27),"NO DATA",IF(ISNUMBER(FIND(CODES!$A$12,CT27)),CODES!$A$12,IF(OR(ISNUMBER(FIND(CODES!$A$10,CT27)),ISNUMBER(FIND(CODES!$A$11,CT27))),CODES!$A$13,IF(OR(CT27&lt;CT$39,ISNUMBER(CT27)=FALSE),CT$40,CT27))))</f>
      </c>
      <c r="CU54" s="7">
        <f>IF(ISBLANK(CU27),"NO DATA",IF(ISNUMBER(FIND(CODES!$A$12,CU27)),CODES!$A$12,IF(OR(ISNUMBER(FIND(CODES!$A$10,CU27)),ISNUMBER(FIND(CODES!$A$11,CU27))),CODES!$A$13,IF(OR(CU27&lt;CU$39,ISNUMBER(CU27)=FALSE),CU$40,CU27))))</f>
      </c>
      <c r="CV54" s="7">
        <f>IF(ISBLANK(CV27),"NO DATA",IF(ISNUMBER(FIND(CODES!$A$12,CV27)),CODES!$A$12,IF(OR(ISNUMBER(FIND(CODES!$A$10,CV27)),ISNUMBER(FIND(CODES!$A$11,CV27))),CODES!$A$13,IF(OR(CV27&lt;CV$39,ISNUMBER(CV27)=FALSE),CV$40,CV27))))</f>
      </c>
      <c r="CW54" s="7">
        <f>IF(ISBLANK(CW27),"NO DATA",IF(ISNUMBER(FIND(CODES!$A$12,CW27)),CODES!$A$12,IF(OR(ISNUMBER(FIND(CODES!$A$10,CW27)),ISNUMBER(FIND(CODES!$A$11,CW27))),CODES!$A$13,IF(OR(CW27&lt;CW$39,ISNUMBER(CW27)=FALSE),CW$40,CW27))))</f>
      </c>
      <c r="CX54" s="7">
        <f>IF(ISBLANK(CX27),"NO DATA",IF(ISNUMBER(FIND(CODES!$A$12,CX27)),CODES!$A$12,IF(OR(ISNUMBER(FIND(CODES!$A$10,CX27)),ISNUMBER(FIND(CODES!$A$11,CX27))),CODES!$A$13,IF(OR(CX27&lt;CX$39,ISNUMBER(CX27)=FALSE),CX$40,CX27))))</f>
      </c>
      <c r="CY54" s="7">
        <f>IF(ISBLANK(CY27),"NO DATA",IF(ISNUMBER(FIND(CODES!$A$12,CY27)),CODES!$A$12,IF(OR(ISNUMBER(FIND(CODES!$A$10,CY27)),ISNUMBER(FIND(CODES!$A$11,CY27))),CODES!$A$13,IF(OR(CY27&lt;CY$39,ISNUMBER(CY27)=FALSE),CY$40,CY27))))</f>
      </c>
      <c r="CZ54" s="7">
        <f>IF(ISBLANK(CZ27),"NO DATA",IF(ISNUMBER(FIND(CODES!$A$12,CZ27)),CODES!$A$12,IF(OR(ISNUMBER(FIND(CODES!$A$10,CZ27)),ISNUMBER(FIND(CODES!$A$11,CZ27))),CODES!$A$13,IF(OR(CZ27&lt;CZ$39,ISNUMBER(CZ27)=FALSE),CZ$40,CZ27))))</f>
      </c>
      <c r="DA54" s="7">
        <f>IF(ISBLANK(DA27),"NO DATA",IF(ISNUMBER(FIND(CODES!$A$12,DA27)),CODES!$A$12,IF(OR(ISNUMBER(FIND(CODES!$A$10,DA27)),ISNUMBER(FIND(CODES!$A$11,DA27))),CODES!$A$13,IF(OR(DA27&lt;DA$39,ISNUMBER(DA27)=FALSE),DA$40,DA27))))</f>
      </c>
      <c r="DB54" s="7" t="str">
        <f>IF(ISBLANK(DB27),"NO DATA",IF(ISNUMBER(FIND(CODES!$A$12,DB27)),CODES!$A$12,IF(OR(ISNUMBER(FIND(CODES!$A$10,DB27)),ISNUMBER(FIND(CODES!$A$11,DB27))),CODES!$A$13,IF(OR(DB27&lt;DB$39,ISNUMBER(DB27)=FALSE),DB$40,DB27))))</f>
      </c>
      <c r="DC54" s="7" t="str">
        <f>IF(ISBLANK(DC27),"NO DATA",IF(ISNUMBER(FIND(CODES!$A$12,DC27)),CODES!$A$12,IF(OR(ISNUMBER(FIND(CODES!$A$10,DC27)),ISNUMBER(FIND(CODES!$A$11,DC27))),CODES!$A$13,IF(OR(DC27&lt;DC$39,ISNUMBER(DC27)=FALSE),DC$40,DC27))))</f>
      </c>
      <c r="DD54" s="7">
        <f>IF(ISBLANK(DD27),"NO DATA",IF(ISNUMBER(FIND(CODES!$A$12,DD27)),CODES!$A$12,IF(OR(ISNUMBER(FIND(CODES!$A$10,DD27)),ISNUMBER(FIND(CODES!$A$11,DD27))),CODES!$A$13,IF(OR(DD27&lt;DD$39,ISNUMBER(DD27)=FALSE),DD$40,DD27))))</f>
      </c>
      <c r="DE54" s="7">
        <f>IF(ISBLANK(DE27),"NO DATA",IF(ISNUMBER(FIND(CODES!$A$12,DE27)),CODES!$A$12,IF(OR(ISNUMBER(FIND(CODES!$A$10,DE27)),ISNUMBER(FIND(CODES!$A$11,DE27))),CODES!$A$13,IF(OR(DE27&lt;DE$39,ISNUMBER(DE27)=FALSE),DE$40,DE27))))</f>
      </c>
      <c r="DF54" s="7">
        <f>IF(ISBLANK(DF27),"NO DATA",IF(ISNUMBER(FIND(CODES!$A$12,DF27)),CODES!$A$12,IF(OR(ISNUMBER(FIND(CODES!$A$10,DF27)),ISNUMBER(FIND(CODES!$A$11,DF27))),CODES!$A$13,IF(OR(DF27&lt;DF$39,ISNUMBER(DF27)=FALSE),DF$40,DF27))))</f>
      </c>
      <c r="DG54" s="7">
        <f>IF(ISBLANK(DG27),"NO DATA",IF(ISNUMBER(FIND(CODES!$A$12,DG27)),CODES!$A$12,IF(OR(ISNUMBER(FIND(CODES!$A$10,DG27)),ISNUMBER(FIND(CODES!$A$11,DG27))),CODES!$A$13,IF(OR(DG27&lt;DG$39,ISNUMBER(DG27)=FALSE),DG$40,DG27))))</f>
      </c>
      <c r="DH54" s="7">
        <f>IF(ISBLANK(DH27),"NO DATA",IF(ISNUMBER(FIND(CODES!$A$12,DH27)),CODES!$A$12,IF(OR(ISNUMBER(FIND(CODES!$A$10,DH27)),ISNUMBER(FIND(CODES!$A$11,DH27))),CODES!$A$13,IF(OR(DH27&lt;DH$39,ISNUMBER(DH27)=FALSE),DH$40,DH27))))</f>
      </c>
      <c r="DI54" s="7">
        <f>IF(ISBLANK(DI27),"NO DATA",IF(ISNUMBER(FIND(CODES!$A$12,DI27)),CODES!$A$12,IF(OR(ISNUMBER(FIND(CODES!$A$10,DI27)),ISNUMBER(FIND(CODES!$A$11,DI27))),CODES!$A$13,IF(OR(DI27&lt;DI$39,ISNUMBER(DI27)=FALSE),DI$40,DI27))))</f>
      </c>
    </row>
    <row r="55" spans="1:113" x14ac:dyDescent="0.25">
      <c r="A55" s="16" t="str">
        <f t="shared" si="2"/>
      </c>
      <c r="B55" s="16" t="str">
        <f t="shared" si="2"/>
      </c>
      <c r="C55" s="7">
        <f>IF(ISBLANK(C28),"NO DATA",IF(ISNUMBER(FIND(CODES!$A$12,C28)),CODES!$A$12,IF(OR(ISNUMBER(FIND(CODES!$A$10,C28)),ISNUMBER(FIND(CODES!$A$11,C28))),CODES!$A$13,IF(OR(C28&lt;C$39,ISNUMBER(C28)=FALSE),C$40,C28))))</f>
      </c>
      <c r="D55" s="7">
        <f>IF(ISBLANK(D28),"NO DATA",IF(ISNUMBER(FIND(CODES!$A$12,D28)),CODES!$A$12,IF(OR(ISNUMBER(FIND(CODES!$A$10,D28)),ISNUMBER(FIND(CODES!$A$11,D28))),CODES!$A$13,IF(OR(D28&lt;D$39,ISNUMBER(D28)=FALSE),D$40,D28))))</f>
      </c>
      <c r="E55" s="7">
        <f>IF(ISBLANK(E28),"NO DATA",IF(ISNUMBER(FIND(CODES!$A$12,E28)),CODES!$A$12,IF(OR(ISNUMBER(FIND(CODES!$A$10,E28)),ISNUMBER(FIND(CODES!$A$11,E28))),CODES!$A$13,IF(OR(E28&lt;E$39,ISNUMBER(E28)=FALSE),E$40,E28))))</f>
      </c>
      <c r="F55" s="7">
        <f>IF(ISBLANK(F28),"NO DATA",IF(ISNUMBER(FIND(CODES!$A$12,F28)),CODES!$A$12,IF(OR(ISNUMBER(FIND(CODES!$A$10,F28)),ISNUMBER(FIND(CODES!$A$11,F28))),CODES!$A$13,IF(OR(F28&lt;F$39,ISNUMBER(F28)=FALSE),F$40,F28))))</f>
      </c>
      <c r="G55" s="7">
        <f>IF(ISBLANK(G28),"NO DATA",IF(ISNUMBER(FIND(CODES!$A$12,G28)),CODES!$A$12,IF(OR(ISNUMBER(FIND(CODES!$A$10,G28)),ISNUMBER(FIND(CODES!$A$11,G28))),CODES!$A$13,IF(OR(G28&lt;G$39,ISNUMBER(G28)=FALSE),G$40,G28))))</f>
      </c>
      <c r="H55" s="7">
        <f>IF(ISBLANK(H28),"NO DATA",IF(ISNUMBER(FIND(CODES!$A$12,H28)),CODES!$A$12,IF(OR(ISNUMBER(FIND(CODES!$A$10,H28)),ISNUMBER(FIND(CODES!$A$11,H28))),CODES!$A$13,IF(OR(H28&lt;H$39,ISNUMBER(H28)=FALSE),H$40,H28))))</f>
      </c>
      <c r="I55" s="7">
        <f>IF(ISBLANK(I28),"NO DATA",IF(ISNUMBER(FIND(CODES!$A$12,I28)),CODES!$A$12,IF(OR(ISNUMBER(FIND(CODES!$A$10,I28)),ISNUMBER(FIND(CODES!$A$11,I28))),CODES!$A$13,IF(OR(I28&lt;I$39,ISNUMBER(I28)=FALSE),I$40,I28))))</f>
      </c>
      <c r="J55" s="7">
        <f>IF(ISBLANK(J28),"NO DATA",IF(ISNUMBER(FIND(CODES!$A$12,J28)),CODES!$A$12,IF(OR(ISNUMBER(FIND(CODES!$A$10,J28)),ISNUMBER(FIND(CODES!$A$11,J28))),CODES!$A$13,IF(OR(J28&lt;J$39,ISNUMBER(J28)=FALSE),J$40,J28))))</f>
      </c>
      <c r="K55" s="7">
        <f>IF(ISBLANK(K28),"NO DATA",IF(ISNUMBER(FIND(CODES!$A$12,K28)),CODES!$A$12,IF(OR(ISNUMBER(FIND(CODES!$A$10,K28)),ISNUMBER(FIND(CODES!$A$11,K28))),CODES!$A$13,IF(OR(K28&lt;K$39,ISNUMBER(K28)=FALSE),K$40,K28))))</f>
      </c>
      <c r="L55" s="7">
        <f>IF(ISBLANK(L28),"NO DATA",IF(ISNUMBER(FIND(CODES!$A$12,L28)),CODES!$A$12,IF(OR(ISNUMBER(FIND(CODES!$A$10,L28)),ISNUMBER(FIND(CODES!$A$11,L28))),CODES!$A$13,IF(OR(L28&lt;L$39,ISNUMBER(L28)=FALSE),L$40,L28))))</f>
      </c>
      <c r="M55" s="7">
        <f>IF(ISBLANK(M28),"NO DATA",IF(ISNUMBER(FIND(CODES!$A$12,M28)),CODES!$A$12,IF(OR(ISNUMBER(FIND(CODES!$A$10,M28)),ISNUMBER(FIND(CODES!$A$11,M28))),CODES!$A$13,IF(OR(M28&lt;M$39,ISNUMBER(M28)=FALSE),M$40,M28))))</f>
      </c>
      <c r="N55" s="7" t="str">
        <f>IF(ISBLANK(N28),"NO DATA",IF(ISNUMBER(FIND(CODES!$A$12,N28)),CODES!$A$12,IF(OR(ISNUMBER(FIND(CODES!$A$10,N28)),ISNUMBER(FIND(CODES!$A$11,N28))),CODES!$A$13,IF(OR(N28&lt;N$39,ISNUMBER(N28)=FALSE),N$40,N28))))</f>
      </c>
      <c r="O55" s="7" t="str">
        <f>IF(ISBLANK(O28),"NO DATA",IF(ISNUMBER(FIND(CODES!$A$12,O28)),CODES!$A$12,IF(OR(ISNUMBER(FIND(CODES!$A$10,O28)),ISNUMBER(FIND(CODES!$A$11,O28))),CODES!$A$13,IF(OR(O28&lt;O$39,ISNUMBER(O28)=FALSE),O$40,O28))))</f>
      </c>
      <c r="P55" s="7">
        <f>IF(ISBLANK(P28),"NO DATA",IF(ISNUMBER(FIND(CODES!$A$12,P28)),CODES!$A$12,IF(OR(ISNUMBER(FIND(CODES!$A$10,P28)),ISNUMBER(FIND(CODES!$A$11,P28))),CODES!$A$13,IF(OR(P28&lt;P$39,ISNUMBER(P28)=FALSE),P$40,P28))))</f>
      </c>
      <c r="Q55" s="7">
        <f>IF(ISBLANK(Q28),"NO DATA",IF(ISNUMBER(FIND(CODES!$A$12,Q28)),CODES!$A$12,IF(OR(ISNUMBER(FIND(CODES!$A$10,Q28)),ISNUMBER(FIND(CODES!$A$11,Q28))),CODES!$A$13,IF(OR(Q28&lt;Q$39,ISNUMBER(Q28)=FALSE),Q$40,Q28))))</f>
      </c>
      <c r="R55" s="7">
        <f>IF(ISBLANK(R28),"NO DATA",IF(ISNUMBER(FIND(CODES!$A$12,R28)),CODES!$A$12,IF(OR(ISNUMBER(FIND(CODES!$A$10,R28)),ISNUMBER(FIND(CODES!$A$11,R28))),CODES!$A$13,IF(OR(R28&lt;R$39,ISNUMBER(R28)=FALSE),R$40,R28))))</f>
      </c>
      <c r="S55" s="7">
        <f>IF(ISBLANK(S28),"NO DATA",IF(ISNUMBER(FIND(CODES!$A$12,S28)),CODES!$A$12,IF(OR(ISNUMBER(FIND(CODES!$A$10,S28)),ISNUMBER(FIND(CODES!$A$11,S28))),CODES!$A$13,IF(OR(S28&lt;S$39,ISNUMBER(S28)=FALSE),S$40,S28))))</f>
      </c>
      <c r="T55" s="7">
        <f>IF(ISBLANK(T28),"NO DATA",IF(ISNUMBER(FIND(CODES!$A$12,T28)),CODES!$A$12,IF(OR(ISNUMBER(FIND(CODES!$A$10,T28)),ISNUMBER(FIND(CODES!$A$11,T28))),CODES!$A$13,IF(OR(T28&lt;T$39,ISNUMBER(T28)=FALSE),T$40,T28))))</f>
      </c>
      <c r="U55" s="7">
        <f>IF(ISBLANK(U28),"NO DATA",IF(ISNUMBER(FIND(CODES!$A$12,U28)),CODES!$A$12,IF(OR(ISNUMBER(FIND(CODES!$A$10,U28)),ISNUMBER(FIND(CODES!$A$11,U28))),CODES!$A$13,IF(OR(U28&lt;U$39,ISNUMBER(U28)=FALSE),U$40,U28))))</f>
      </c>
      <c r="V55" s="7">
        <f>IF(ISBLANK(V28),"NO DATA",IF(ISNUMBER(FIND(CODES!$A$12,V28)),CODES!$A$12,IF(OR(ISNUMBER(FIND(CODES!$A$10,V28)),ISNUMBER(FIND(CODES!$A$11,V28))),CODES!$A$13,IF(OR(V28&lt;V$39,ISNUMBER(V28)=FALSE),V$40,V28))))</f>
      </c>
      <c r="W55" s="7">
        <f>IF(ISBLANK(W28),"NO DATA",IF(ISNUMBER(FIND(CODES!$A$12,W28)),CODES!$A$12,IF(OR(ISNUMBER(FIND(CODES!$A$10,W28)),ISNUMBER(FIND(CODES!$A$11,W28))),CODES!$A$13,IF(OR(W28&lt;W$39,ISNUMBER(W28)=FALSE),W$40,W28))))</f>
      </c>
      <c r="X55" s="7">
        <f>IF(ISBLANK(X28),"NO DATA",IF(ISNUMBER(FIND(CODES!$A$12,X28)),CODES!$A$12,IF(OR(ISNUMBER(FIND(CODES!$A$10,X28)),ISNUMBER(FIND(CODES!$A$11,X28))),CODES!$A$13,IF(OR(X28&lt;X$39,ISNUMBER(X28)=FALSE),X$40,X28))))</f>
      </c>
      <c r="Y55" s="7">
        <f>IF(ISBLANK(Y28),"NO DATA",IF(ISNUMBER(FIND(CODES!$A$12,Y28)),CODES!$A$12,IF(OR(ISNUMBER(FIND(CODES!$A$10,Y28)),ISNUMBER(FIND(CODES!$A$11,Y28))),CODES!$A$13,IF(OR(Y28&lt;Y$39,ISNUMBER(Y28)=FALSE),Y$40,Y28))))</f>
      </c>
      <c r="Z55" s="7">
        <f>IF(ISBLANK(Z28),"NO DATA",IF(ISNUMBER(FIND(CODES!$A$12,Z28)),CODES!$A$12,IF(OR(ISNUMBER(FIND(CODES!$A$10,Z28)),ISNUMBER(FIND(CODES!$A$11,Z28))),CODES!$A$13,IF(OR(Z28&lt;Z$39,ISNUMBER(Z28)=FALSE),Z$40,Z28))))</f>
      </c>
      <c r="AA55" s="7">
        <f>IF(ISBLANK(AA28),"NO DATA",IF(ISNUMBER(FIND(CODES!$A$12,AA28)),CODES!$A$12,IF(OR(ISNUMBER(FIND(CODES!$A$10,AA28)),ISNUMBER(FIND(CODES!$A$11,AA28))),CODES!$A$13,IF(OR(AA28&lt;AA$39,ISNUMBER(AA28)=FALSE),AA$40,AA28))))</f>
      </c>
      <c r="AB55" s="7">
        <f>IF(ISBLANK(AB28),"NO DATA",IF(ISNUMBER(FIND(CODES!$A$12,AB28)),CODES!$A$12,IF(OR(ISNUMBER(FIND(CODES!$A$10,AB28)),ISNUMBER(FIND(CODES!$A$11,AB28))),CODES!$A$13,IF(OR(AB28&lt;AB$39,ISNUMBER(AB28)=FALSE),AB$40,AB28))))</f>
      </c>
      <c r="AC55" s="7">
        <f>IF(ISBLANK(AC28),"NO DATA",IF(ISNUMBER(FIND(CODES!$A$12,AC28)),CODES!$A$12,IF(OR(ISNUMBER(FIND(CODES!$A$10,AC28)),ISNUMBER(FIND(CODES!$A$11,AC28))),CODES!$A$13,IF(OR(AC28&lt;AC$39,ISNUMBER(AC28)=FALSE),AC$40,AC28))))</f>
      </c>
      <c r="AD55" s="7">
        <f>IF(ISBLANK(AD28),"NO DATA",IF(ISNUMBER(FIND(CODES!$A$12,AD28)),CODES!$A$12,IF(OR(ISNUMBER(FIND(CODES!$A$10,AD28)),ISNUMBER(FIND(CODES!$A$11,AD28))),CODES!$A$13,IF(OR(AD28&lt;AD$39,ISNUMBER(AD28)=FALSE),AD$40,AD28))))</f>
      </c>
      <c r="AE55" s="7">
        <f>IF(ISBLANK(AE28),"NO DATA",IF(ISNUMBER(FIND(CODES!$A$12,AE28)),CODES!$A$12,IF(OR(ISNUMBER(FIND(CODES!$A$10,AE28)),ISNUMBER(FIND(CODES!$A$11,AE28))),CODES!$A$13,IF(OR(AE28&lt;AE$39,ISNUMBER(AE28)=FALSE),AE$40,AE28))))</f>
      </c>
      <c r="AF55" s="7">
        <f>IF(ISBLANK(AF28),"NO DATA",IF(ISNUMBER(FIND(CODES!$A$12,AF28)),CODES!$A$12,IF(OR(ISNUMBER(FIND(CODES!$A$10,AF28)),ISNUMBER(FIND(CODES!$A$11,AF28))),CODES!$A$13,IF(OR(AF28&lt;AF$39,ISNUMBER(AF28)=FALSE),AF$40,AF28))))</f>
      </c>
      <c r="AG55" s="7">
        <f>IF(ISBLANK(AG28),"NO DATA",IF(ISNUMBER(FIND(CODES!$A$12,AG28)),CODES!$A$12,IF(OR(ISNUMBER(FIND(CODES!$A$10,AG28)),ISNUMBER(FIND(CODES!$A$11,AG28))),CODES!$A$13,IF(OR(AG28&lt;AG$39,ISNUMBER(AG28)=FALSE),AG$40,AG28))))</f>
      </c>
      <c r="AH55" s="7">
        <f>IF(ISBLANK(AH28),"NO DATA",IF(ISNUMBER(FIND(CODES!$A$12,AH28)),CODES!$A$12,IF(OR(ISNUMBER(FIND(CODES!$A$10,AH28)),ISNUMBER(FIND(CODES!$A$11,AH28))),CODES!$A$13,IF(OR(AH28&lt;AH$39,ISNUMBER(AH28)=FALSE),AH$40,AH28))))</f>
      </c>
      <c r="AI55" s="7">
        <f>IF(ISBLANK(AI28),"NO DATA",IF(ISNUMBER(FIND(CODES!$A$12,AI28)),CODES!$A$12,IF(OR(ISNUMBER(FIND(CODES!$A$10,AI28)),ISNUMBER(FIND(CODES!$A$11,AI28))),CODES!$A$13,IF(OR(AI28&lt;AI$39,ISNUMBER(AI28)=FALSE),AI$40,AI28))))</f>
      </c>
      <c r="AJ55" s="7">
        <f>IF(ISBLANK(AJ28),"NO DATA",IF(ISNUMBER(FIND(CODES!$A$12,AJ28)),CODES!$A$12,IF(OR(ISNUMBER(FIND(CODES!$A$10,AJ28)),ISNUMBER(FIND(CODES!$A$11,AJ28))),CODES!$A$13,IF(OR(AJ28&lt;AJ$39,ISNUMBER(AJ28)=FALSE),AJ$40,AJ28))))</f>
      </c>
      <c r="AK55" s="7">
        <f>IF(ISBLANK(AK28),"NO DATA",IF(ISNUMBER(FIND(CODES!$A$12,AK28)),CODES!$A$12,IF(OR(ISNUMBER(FIND(CODES!$A$10,AK28)),ISNUMBER(FIND(CODES!$A$11,AK28))),CODES!$A$13,IF(OR(AK28&lt;AK$39,ISNUMBER(AK28)=FALSE),AK$40,AK28))))</f>
      </c>
      <c r="AL55" s="7">
        <f>IF(ISBLANK(AL28),"NO DATA",IF(ISNUMBER(FIND(CODES!$A$12,AL28)),CODES!$A$12,IF(OR(ISNUMBER(FIND(CODES!$A$10,AL28)),ISNUMBER(FIND(CODES!$A$11,AL28))),CODES!$A$13,IF(OR(AL28&lt;AL$39,ISNUMBER(AL28)=FALSE),AL$40,AL28))))</f>
      </c>
      <c r="AM55" s="7">
        <f>IF(ISBLANK(AM28),"NO DATA",IF(ISNUMBER(FIND(CODES!$A$12,AM28)),CODES!$A$12,IF(OR(ISNUMBER(FIND(CODES!$A$10,AM28)),ISNUMBER(FIND(CODES!$A$11,AM28))),CODES!$A$13,IF(OR(AM28&lt;AM$39,ISNUMBER(AM28)=FALSE),AM$40,AM28))))</f>
      </c>
      <c r="AN55" s="7">
        <f>IF(ISBLANK(AN28),"NO DATA",IF(ISNUMBER(FIND(CODES!$A$12,AN28)),CODES!$A$12,IF(OR(ISNUMBER(FIND(CODES!$A$10,AN28)),ISNUMBER(FIND(CODES!$A$11,AN28))),CODES!$A$13,IF(OR(AN28&lt;AN$39,ISNUMBER(AN28)=FALSE),AN$40,AN28))))</f>
      </c>
      <c r="AO55" s="7">
        <f>IF(ISBLANK(AO28),"NO DATA",IF(ISNUMBER(FIND(CODES!$A$12,AO28)),CODES!$A$12,IF(OR(ISNUMBER(FIND(CODES!$A$10,AO28)),ISNUMBER(FIND(CODES!$A$11,AO28))),CODES!$A$13,IF(OR(AO28&lt;AO$39,ISNUMBER(AO28)=FALSE),AO$40,AO28))))</f>
      </c>
      <c r="AP55" s="7">
        <f>IF(ISBLANK(AP28),"NO DATA",IF(ISNUMBER(FIND(CODES!$A$12,AP28)),CODES!$A$12,IF(OR(ISNUMBER(FIND(CODES!$A$10,AP28)),ISNUMBER(FIND(CODES!$A$11,AP28))),CODES!$A$13,IF(OR(AP28&lt;AP$39,ISNUMBER(AP28)=FALSE),AP$40,AP28))))</f>
      </c>
      <c r="AQ55" s="7">
        <f>IF(ISBLANK(AQ28),"NO DATA",IF(ISNUMBER(FIND(CODES!$A$12,AQ28)),CODES!$A$12,IF(OR(ISNUMBER(FIND(CODES!$A$10,AQ28)),ISNUMBER(FIND(CODES!$A$11,AQ28))),CODES!$A$13,IF(OR(AQ28&lt;AQ$39,ISNUMBER(AQ28)=FALSE),AQ$40,AQ28))))</f>
      </c>
      <c r="AR55" s="7">
        <f>IF(ISBLANK(AR28),"NO DATA",IF(ISNUMBER(FIND(CODES!$A$12,AR28)),CODES!$A$12,IF(OR(ISNUMBER(FIND(CODES!$A$10,AR28)),ISNUMBER(FIND(CODES!$A$11,AR28))),CODES!$A$13,IF(OR(AR28&lt;AR$39,ISNUMBER(AR28)=FALSE),AR$40,AR28))))</f>
      </c>
      <c r="AS55" s="7">
        <f>IF(ISBLANK(AS28),"NO DATA",IF(ISNUMBER(FIND(CODES!$A$12,AS28)),CODES!$A$12,IF(OR(ISNUMBER(FIND(CODES!$A$10,AS28)),ISNUMBER(FIND(CODES!$A$11,AS28))),CODES!$A$13,IF(OR(AS28&lt;AS$39,ISNUMBER(AS28)=FALSE),AS$40,AS28))))</f>
      </c>
      <c r="AT55" s="7">
        <f>IF(ISBLANK(AT28),"NO DATA",IF(ISNUMBER(FIND(CODES!$A$12,AT28)),CODES!$A$12,IF(OR(ISNUMBER(FIND(CODES!$A$10,AT28)),ISNUMBER(FIND(CODES!$A$11,AT28))),CODES!$A$13,IF(OR(AT28&lt;AT$39,ISNUMBER(AT28)=FALSE),AT$40,AT28))))</f>
      </c>
      <c r="AU55" s="7">
        <f>IF(ISBLANK(AU28),"NO DATA",IF(ISNUMBER(FIND(CODES!$A$12,AU28)),CODES!$A$12,IF(OR(ISNUMBER(FIND(CODES!$A$10,AU28)),ISNUMBER(FIND(CODES!$A$11,AU28))),CODES!$A$13,IF(OR(AU28&lt;AU$39,ISNUMBER(AU28)=FALSE),AU$40,AU28))))</f>
      </c>
      <c r="AV55" s="7" t="str">
        <f>IF(ISBLANK(AV28),"NO DATA",IF(ISNUMBER(FIND(CODES!$A$12,AV28)),CODES!$A$12,IF(OR(ISNUMBER(FIND(CODES!$A$10,AV28)),ISNUMBER(FIND(CODES!$A$11,AV28))),CODES!$A$13,IF(OR(AV28&lt;AV$39,ISNUMBER(AV28)=FALSE),AV$40,AV28))))</f>
      </c>
      <c r="AW55" s="7" t="str">
        <f>IF(ISBLANK(AW28),"NO DATA",IF(ISNUMBER(FIND(CODES!$A$12,AW28)),CODES!$A$12,IF(OR(ISNUMBER(FIND(CODES!$A$10,AW28)),ISNUMBER(FIND(CODES!$A$11,AW28))),CODES!$A$13,IF(OR(AW28&lt;AW$39,ISNUMBER(AW28)=FALSE),AW$40,AW28))))</f>
      </c>
      <c r="AX55" s="7">
        <f>IF(ISBLANK(AX28),"NO DATA",IF(ISNUMBER(FIND(CODES!$A$12,AX28)),CODES!$A$12,IF(OR(ISNUMBER(FIND(CODES!$A$10,AX28)),ISNUMBER(FIND(CODES!$A$11,AX28))),CODES!$A$13,IF(OR(AX28&lt;AX$39,ISNUMBER(AX28)=FALSE),AX$40,AX28))))</f>
      </c>
      <c r="AY55" s="7">
        <f>IF(ISBLANK(AY28),"NO DATA",IF(ISNUMBER(FIND(CODES!$A$12,AY28)),CODES!$A$12,IF(OR(ISNUMBER(FIND(CODES!$A$10,AY28)),ISNUMBER(FIND(CODES!$A$11,AY28))),CODES!$A$13,IF(OR(AY28&lt;AY$39,ISNUMBER(AY28)=FALSE),AY$40,AY28))))</f>
      </c>
      <c r="AZ55" s="7">
        <f>IF(ISBLANK(AZ28),"NO DATA",IF(ISNUMBER(FIND(CODES!$A$12,AZ28)),CODES!$A$12,IF(OR(ISNUMBER(FIND(CODES!$A$10,AZ28)),ISNUMBER(FIND(CODES!$A$11,AZ28))),CODES!$A$13,IF(OR(AZ28&lt;AZ$39,ISNUMBER(AZ28)=FALSE),AZ$40,AZ28))))</f>
      </c>
      <c r="BA55" s="7">
        <f>IF(ISBLANK(BA28),"NO DATA",IF(ISNUMBER(FIND(CODES!$A$12,BA28)),CODES!$A$12,IF(OR(ISNUMBER(FIND(CODES!$A$10,BA28)),ISNUMBER(FIND(CODES!$A$11,BA28))),CODES!$A$13,IF(OR(BA28&lt;BA$39,ISNUMBER(BA28)=FALSE),BA$40,BA28))))</f>
      </c>
      <c r="BB55" s="7">
        <f>IF(ISBLANK(BB28),"NO DATA",IF(ISNUMBER(FIND(CODES!$A$12,BB28)),CODES!$A$12,IF(OR(ISNUMBER(FIND(CODES!$A$10,BB28)),ISNUMBER(FIND(CODES!$A$11,BB28))),CODES!$A$13,IF(OR(BB28&lt;BB$39,ISNUMBER(BB28)=FALSE),BB$40,BB28))))</f>
      </c>
      <c r="BC55" s="7">
        <f>IF(ISBLANK(BC28),"NO DATA",IF(ISNUMBER(FIND(CODES!$A$12,BC28)),CODES!$A$12,IF(OR(ISNUMBER(FIND(CODES!$A$10,BC28)),ISNUMBER(FIND(CODES!$A$11,BC28))),CODES!$A$13,IF(OR(BC28&lt;BC$39,ISNUMBER(BC28)=FALSE),BC$40,BC28))))</f>
      </c>
      <c r="BD55" s="7">
        <f>IF(ISBLANK(BD28),"NO DATA",IF(ISNUMBER(FIND(CODES!$A$12,BD28)),CODES!$A$12,IF(OR(ISNUMBER(FIND(CODES!$A$10,BD28)),ISNUMBER(FIND(CODES!$A$11,BD28))),CODES!$A$13,IF(OR(BD28&lt;BD$39,ISNUMBER(BD28)=FALSE),BD$40,BD28))))</f>
      </c>
      <c r="BE55" s="7">
        <f>IF(ISBLANK(BE28),"NO DATA",IF(ISNUMBER(FIND(CODES!$A$12,BE28)),CODES!$A$12,IF(OR(ISNUMBER(FIND(CODES!$A$10,BE28)),ISNUMBER(FIND(CODES!$A$11,BE28))),CODES!$A$13,IF(OR(BE28&lt;BE$39,ISNUMBER(BE28)=FALSE),BE$40,BE28))))</f>
      </c>
      <c r="BF55" s="7">
        <f>IF(ISBLANK(BF28),"NO DATA",IF(ISNUMBER(FIND(CODES!$A$12,BF28)),CODES!$A$12,IF(OR(ISNUMBER(FIND(CODES!$A$10,BF28)),ISNUMBER(FIND(CODES!$A$11,BF28))),CODES!$A$13,IF(OR(BF28&lt;BF$39,ISNUMBER(BF28)=FALSE),BF$40,BF28))))</f>
      </c>
      <c r="BG55" s="7">
        <f>IF(ISBLANK(BG28),"NO DATA",IF(ISNUMBER(FIND(CODES!$A$12,BG28)),CODES!$A$12,IF(OR(ISNUMBER(FIND(CODES!$A$10,BG28)),ISNUMBER(FIND(CODES!$A$11,BG28))),CODES!$A$13,IF(OR(BG28&lt;BG$39,ISNUMBER(BG28)=FALSE),BG$40,BG28))))</f>
      </c>
      <c r="BH55" s="7" t="str">
        <f>IF(ISBLANK(BH28),"NO DATA",IF(ISNUMBER(FIND(CODES!$A$12,BH28)),CODES!$A$12,IF(OR(ISNUMBER(FIND(CODES!$A$10,BH28)),ISNUMBER(FIND(CODES!$A$11,BH28))),CODES!$A$13,IF(OR(BH28&lt;BH$39,ISNUMBER(BH28)=FALSE),BH$40,BH28))))</f>
      </c>
      <c r="BI55" s="7" t="str">
        <f>IF(ISBLANK(BI28),"NO DATA",IF(ISNUMBER(FIND(CODES!$A$12,BI28)),CODES!$A$12,IF(OR(ISNUMBER(FIND(CODES!$A$10,BI28)),ISNUMBER(FIND(CODES!$A$11,BI28))),CODES!$A$13,IF(OR(BI28&lt;BI$39,ISNUMBER(BI28)=FALSE),BI$40,BI28))))</f>
      </c>
      <c r="BJ55" s="7">
        <f>IF(ISBLANK(BJ28),"NO DATA",IF(ISNUMBER(FIND(CODES!$A$12,BJ28)),CODES!$A$12,IF(OR(ISNUMBER(FIND(CODES!$A$10,BJ28)),ISNUMBER(FIND(CODES!$A$11,BJ28))),CODES!$A$13,IF(OR(BJ28&lt;BJ$39,ISNUMBER(BJ28)=FALSE),BJ$40,BJ28))))</f>
      </c>
      <c r="BK55" s="7">
        <f>IF(ISBLANK(BK28),"NO DATA",IF(ISNUMBER(FIND(CODES!$A$12,BK28)),CODES!$A$12,IF(OR(ISNUMBER(FIND(CODES!$A$10,BK28)),ISNUMBER(FIND(CODES!$A$11,BK28))),CODES!$A$13,IF(OR(BK28&lt;BK$39,ISNUMBER(BK28)=FALSE),BK$40,BK28))))</f>
      </c>
      <c r="BL55" s="7">
        <f>IF(ISBLANK(BL28),"NO DATA",IF(ISNUMBER(FIND(CODES!$A$12,BL28)),CODES!$A$12,IF(OR(ISNUMBER(FIND(CODES!$A$10,BL28)),ISNUMBER(FIND(CODES!$A$11,BL28))),CODES!$A$13,IF(OR(BL28&lt;BL$39,ISNUMBER(BL28)=FALSE),BL$40,BL28))))</f>
      </c>
      <c r="BM55" s="7">
        <f>IF(ISBLANK(BM28),"NO DATA",IF(ISNUMBER(FIND(CODES!$A$12,BM28)),CODES!$A$12,IF(OR(ISNUMBER(FIND(CODES!$A$10,BM28)),ISNUMBER(FIND(CODES!$A$11,BM28))),CODES!$A$13,IF(OR(BM28&lt;BM$39,ISNUMBER(BM28)=FALSE),BM$40,BM28))))</f>
      </c>
      <c r="BN55" s="7" t="str">
        <f>IF(ISBLANK(BN28),"NO DATA",IF(ISNUMBER(FIND(CODES!$A$12,BN28)),CODES!$A$12,IF(OR(ISNUMBER(FIND(CODES!$A$10,BN28)),ISNUMBER(FIND(CODES!$A$11,BN28))),CODES!$A$13,IF(OR(BN28&lt;BN$39,ISNUMBER(BN28)=FALSE),BN$40,BN28))))</f>
      </c>
      <c r="BO55" s="7" t="str">
        <f>IF(ISBLANK(BO28),"NO DATA",IF(ISNUMBER(FIND(CODES!$A$12,BO28)),CODES!$A$12,IF(OR(ISNUMBER(FIND(CODES!$A$10,BO28)),ISNUMBER(FIND(CODES!$A$11,BO28))),CODES!$A$13,IF(OR(BO28&lt;BO$39,ISNUMBER(BO28)=FALSE),BO$40,BO28))))</f>
      </c>
      <c r="BP55" s="7">
        <f>IF(ISBLANK(BP28),"NO DATA",IF(ISNUMBER(FIND(CODES!$A$12,BP28)),CODES!$A$12,IF(OR(ISNUMBER(FIND(CODES!$A$10,BP28)),ISNUMBER(FIND(CODES!$A$11,BP28))),CODES!$A$13,IF(OR(BP28&lt;BP$39,ISNUMBER(BP28)=FALSE),BP$40,BP28))))</f>
      </c>
      <c r="BQ55" s="7">
        <f>IF(ISBLANK(BQ28),"NO DATA",IF(ISNUMBER(FIND(CODES!$A$12,BQ28)),CODES!$A$12,IF(OR(ISNUMBER(FIND(CODES!$A$10,BQ28)),ISNUMBER(FIND(CODES!$A$11,BQ28))),CODES!$A$13,IF(OR(BQ28&lt;BQ$39,ISNUMBER(BQ28)=FALSE),BQ$40,BQ28))))</f>
      </c>
      <c r="BR55" s="7">
        <f>IF(ISBLANK(BR28),"NO DATA",IF(ISNUMBER(FIND(CODES!$A$12,BR28)),CODES!$A$12,IF(OR(ISNUMBER(FIND(CODES!$A$10,BR28)),ISNUMBER(FIND(CODES!$A$11,BR28))),CODES!$A$13,IF(OR(BR28&lt;BR$39,ISNUMBER(BR28)=FALSE),BR$40,BR28))))</f>
      </c>
      <c r="BS55" s="7">
        <f>IF(ISBLANK(BS28),"NO DATA",IF(ISNUMBER(FIND(CODES!$A$12,BS28)),CODES!$A$12,IF(OR(ISNUMBER(FIND(CODES!$A$10,BS28)),ISNUMBER(FIND(CODES!$A$11,BS28))),CODES!$A$13,IF(OR(BS28&lt;BS$39,ISNUMBER(BS28)=FALSE),BS$40,BS28))))</f>
      </c>
      <c r="BT55" s="7">
        <f>IF(ISBLANK(BT28),"NO DATA",IF(ISNUMBER(FIND(CODES!$A$12,BT28)),CODES!$A$12,IF(OR(ISNUMBER(FIND(CODES!$A$10,BT28)),ISNUMBER(FIND(CODES!$A$11,BT28))),CODES!$A$13,IF(OR(BT28&lt;BT$39,ISNUMBER(BT28)=FALSE),BT$40,BT28))))</f>
      </c>
      <c r="BU55" s="7">
        <f>IF(ISBLANK(BU28),"NO DATA",IF(ISNUMBER(FIND(CODES!$A$12,BU28)),CODES!$A$12,IF(OR(ISNUMBER(FIND(CODES!$A$10,BU28)),ISNUMBER(FIND(CODES!$A$11,BU28))),CODES!$A$13,IF(OR(BU28&lt;BU$39,ISNUMBER(BU28)=FALSE),BU$40,BU28))))</f>
      </c>
      <c r="BV55" s="7">
        <f>IF(ISBLANK(BV28),"NO DATA",IF(ISNUMBER(FIND(CODES!$A$12,BV28)),CODES!$A$12,IF(OR(ISNUMBER(FIND(CODES!$A$10,BV28)),ISNUMBER(FIND(CODES!$A$11,BV28))),CODES!$A$13,IF(OR(BV28&lt;BV$39,ISNUMBER(BV28)=FALSE),BV$40,BV28))))</f>
      </c>
      <c r="BW55" s="7" t="str">
        <f>IF(ISBLANK(BW28),"NO DATA",IF(ISNUMBER(FIND(CODES!$A$12,BW28)),CODES!$A$12,IF(OR(ISNUMBER(FIND(CODES!$A$10,BW28)),ISNUMBER(FIND(CODES!$A$11,BW28))),CODES!$A$13,IF(OR(BW28&lt;BW$39,ISNUMBER(BW28)=FALSE),BW$40,BW28))))</f>
      </c>
      <c r="BX55" s="7" t="str">
        <f>IF(ISBLANK(BX28),"NO DATA",IF(ISNUMBER(FIND(CODES!$A$12,BX28)),CODES!$A$12,IF(OR(ISNUMBER(FIND(CODES!$A$10,BX28)),ISNUMBER(FIND(CODES!$A$11,BX28))),CODES!$A$13,IF(OR(BX28&lt;BX$39,ISNUMBER(BX28)=FALSE),BX$40,BX28))))</f>
      </c>
      <c r="BY55" s="7">
        <f>IF(ISBLANK(BY28),"NO DATA",IF(ISNUMBER(FIND(CODES!$A$12,BY28)),CODES!$A$12,IF(OR(ISNUMBER(FIND(CODES!$A$10,BY28)),ISNUMBER(FIND(CODES!$A$11,BY28))),CODES!$A$13,IF(OR(BY28&lt;BY$39,ISNUMBER(BY28)=FALSE),BY$40,BY28))))</f>
      </c>
      <c r="BZ55" s="7">
        <f>IF(ISBLANK(BZ28),"NO DATA",IF(ISNUMBER(FIND(CODES!$A$12,BZ28)),CODES!$A$12,IF(OR(ISNUMBER(FIND(CODES!$A$10,BZ28)),ISNUMBER(FIND(CODES!$A$11,BZ28))),CODES!$A$13,IF(OR(BZ28&lt;BZ$39,ISNUMBER(BZ28)=FALSE),BZ$40,BZ28))))</f>
      </c>
      <c r="CA55" s="7">
        <f>IF(ISBLANK(CA28),"NO DATA",IF(ISNUMBER(FIND(CODES!$A$12,CA28)),CODES!$A$12,IF(OR(ISNUMBER(FIND(CODES!$A$10,CA28)),ISNUMBER(FIND(CODES!$A$11,CA28))),CODES!$A$13,IF(OR(CA28&lt;CA$39,ISNUMBER(CA28)=FALSE),CA$40,CA28))))</f>
      </c>
      <c r="CB55" s="7">
        <f>IF(ISBLANK(CB28),"NO DATA",IF(ISNUMBER(FIND(CODES!$A$12,CB28)),CODES!$A$12,IF(OR(ISNUMBER(FIND(CODES!$A$10,CB28)),ISNUMBER(FIND(CODES!$A$11,CB28))),CODES!$A$13,IF(OR(CB28&lt;CB$39,ISNUMBER(CB28)=FALSE),CB$40,CB28))))</f>
      </c>
      <c r="CC55" s="7">
        <f>IF(ISBLANK(CC28),"NO DATA",IF(ISNUMBER(FIND(CODES!$A$12,CC28)),CODES!$A$12,IF(OR(ISNUMBER(FIND(CODES!$A$10,CC28)),ISNUMBER(FIND(CODES!$A$11,CC28))),CODES!$A$13,IF(OR(CC28&lt;CC$39,ISNUMBER(CC28)=FALSE),CC$40,CC28))))</f>
      </c>
      <c r="CD55" s="7">
        <f>IF(ISBLANK(CD28),"NO DATA",IF(ISNUMBER(FIND(CODES!$A$12,CD28)),CODES!$A$12,IF(OR(ISNUMBER(FIND(CODES!$A$10,CD28)),ISNUMBER(FIND(CODES!$A$11,CD28))),CODES!$A$13,IF(OR(CD28&lt;CD$39,ISNUMBER(CD28)=FALSE),CD$40,CD28))))</f>
      </c>
      <c r="CE55" s="7">
        <f>IF(ISBLANK(CE28),"NO DATA",IF(ISNUMBER(FIND(CODES!$A$12,CE28)),CODES!$A$12,IF(OR(ISNUMBER(FIND(CODES!$A$10,CE28)),ISNUMBER(FIND(CODES!$A$11,CE28))),CODES!$A$13,IF(OR(CE28&lt;CE$39,ISNUMBER(CE28)=FALSE),CE$40,CE28))))</f>
      </c>
      <c r="CF55" s="7">
        <f>IF(ISBLANK(CF28),"NO DATA",IF(ISNUMBER(FIND(CODES!$A$12,CF28)),CODES!$A$12,IF(OR(ISNUMBER(FIND(CODES!$A$10,CF28)),ISNUMBER(FIND(CODES!$A$11,CF28))),CODES!$A$13,IF(OR(CF28&lt;CF$39,ISNUMBER(CF28)=FALSE),CF$40,CF28))))</f>
      </c>
      <c r="CG55" s="7">
        <f>IF(ISBLANK(CG28),"NO DATA",IF(ISNUMBER(FIND(CODES!$A$12,CG28)),CODES!$A$12,IF(OR(ISNUMBER(FIND(CODES!$A$10,CG28)),ISNUMBER(FIND(CODES!$A$11,CG28))),CODES!$A$13,IF(OR(CG28&lt;CG$39,ISNUMBER(CG28)=FALSE),CG$40,CG28))))</f>
      </c>
      <c r="CH55" s="7">
        <f>IF(ISBLANK(CH28),"NO DATA",IF(ISNUMBER(FIND(CODES!$A$12,CH28)),CODES!$A$12,IF(OR(ISNUMBER(FIND(CODES!$A$10,CH28)),ISNUMBER(FIND(CODES!$A$11,CH28))),CODES!$A$13,IF(OR(CH28&lt;CH$39,ISNUMBER(CH28)=FALSE),CH$40,CH28))))</f>
      </c>
      <c r="CI55" s="7">
        <f>IF(ISBLANK(CI28),"NO DATA",IF(ISNUMBER(FIND(CODES!$A$12,CI28)),CODES!$A$12,IF(OR(ISNUMBER(FIND(CODES!$A$10,CI28)),ISNUMBER(FIND(CODES!$A$11,CI28))),CODES!$A$13,IF(OR(CI28&lt;CI$39,ISNUMBER(CI28)=FALSE),CI$40,CI28))))</f>
      </c>
      <c r="CJ55" s="7">
        <f>IF(ISBLANK(CJ28),"NO DATA",IF(ISNUMBER(FIND(CODES!$A$12,CJ28)),CODES!$A$12,IF(OR(ISNUMBER(FIND(CODES!$A$10,CJ28)),ISNUMBER(FIND(CODES!$A$11,CJ28))),CODES!$A$13,IF(OR(CJ28&lt;CJ$39,ISNUMBER(CJ28)=FALSE),CJ$40,CJ28))))</f>
      </c>
      <c r="CK55" s="7">
        <f>IF(ISBLANK(CK28),"NO DATA",IF(ISNUMBER(FIND(CODES!$A$12,CK28)),CODES!$A$12,IF(OR(ISNUMBER(FIND(CODES!$A$10,CK28)),ISNUMBER(FIND(CODES!$A$11,CK28))),CODES!$A$13,IF(OR(CK28&lt;CK$39,ISNUMBER(CK28)=FALSE),CK$40,CK28))))</f>
      </c>
      <c r="CL55" s="7">
        <f>IF(ISBLANK(CL28),"NO DATA",IF(ISNUMBER(FIND(CODES!$A$12,CL28)),CODES!$A$12,IF(OR(ISNUMBER(FIND(CODES!$A$10,CL28)),ISNUMBER(FIND(CODES!$A$11,CL28))),CODES!$A$13,IF(OR(CL28&lt;CL$39,ISNUMBER(CL28)=FALSE),CL$40,CL28))))</f>
      </c>
      <c r="CM55" s="7">
        <f>IF(ISBLANK(CM28),"NO DATA",IF(ISNUMBER(FIND(CODES!$A$12,CM28)),CODES!$A$12,IF(OR(ISNUMBER(FIND(CODES!$A$10,CM28)),ISNUMBER(FIND(CODES!$A$11,CM28))),CODES!$A$13,IF(OR(CM28&lt;CM$39,ISNUMBER(CM28)=FALSE),CM$40,CM28))))</f>
      </c>
      <c r="CN55" s="7">
        <f>IF(ISBLANK(CN28),"NO DATA",IF(ISNUMBER(FIND(CODES!$A$12,CN28)),CODES!$A$12,IF(OR(ISNUMBER(FIND(CODES!$A$10,CN28)),ISNUMBER(FIND(CODES!$A$11,CN28))),CODES!$A$13,IF(OR(CN28&lt;CN$39,ISNUMBER(CN28)=FALSE),CN$40,CN28))))</f>
      </c>
      <c r="CO55" s="7">
        <f>IF(ISBLANK(CO28),"NO DATA",IF(ISNUMBER(FIND(CODES!$A$12,CO28)),CODES!$A$12,IF(OR(ISNUMBER(FIND(CODES!$A$10,CO28)),ISNUMBER(FIND(CODES!$A$11,CO28))),CODES!$A$13,IF(OR(CO28&lt;CO$39,ISNUMBER(CO28)=FALSE),CO$40,CO28))))</f>
      </c>
      <c r="CP55" s="7">
        <f>IF(ISBLANK(CP28),"NO DATA",IF(ISNUMBER(FIND(CODES!$A$12,CP28)),CODES!$A$12,IF(OR(ISNUMBER(FIND(CODES!$A$10,CP28)),ISNUMBER(FIND(CODES!$A$11,CP28))),CODES!$A$13,IF(OR(CP28&lt;CP$39,ISNUMBER(CP28)=FALSE),CP$40,CP28))))</f>
      </c>
      <c r="CQ55" s="7">
        <f>IF(ISBLANK(CQ28),"NO DATA",IF(ISNUMBER(FIND(CODES!$A$12,CQ28)),CODES!$A$12,IF(OR(ISNUMBER(FIND(CODES!$A$10,CQ28)),ISNUMBER(FIND(CODES!$A$11,CQ28))),CODES!$A$13,IF(OR(CQ28&lt;CQ$39,ISNUMBER(CQ28)=FALSE),CQ$40,CQ28))))</f>
      </c>
      <c r="CR55" s="7">
        <f>IF(ISBLANK(CR28),"NO DATA",IF(ISNUMBER(FIND(CODES!$A$12,CR28)),CODES!$A$12,IF(OR(ISNUMBER(FIND(CODES!$A$10,CR28)),ISNUMBER(FIND(CODES!$A$11,CR28))),CODES!$A$13,IF(OR(CR28&lt;CR$39,ISNUMBER(CR28)=FALSE),CR$40,CR28))))</f>
      </c>
      <c r="CS55" s="7">
        <f>IF(ISBLANK(CS28),"NO DATA",IF(ISNUMBER(FIND(CODES!$A$12,CS28)),CODES!$A$12,IF(OR(ISNUMBER(FIND(CODES!$A$10,CS28)),ISNUMBER(FIND(CODES!$A$11,CS28))),CODES!$A$13,IF(OR(CS28&lt;CS$39,ISNUMBER(CS28)=FALSE),CS$40,CS28))))</f>
      </c>
      <c r="CT55" s="7">
        <f>IF(ISBLANK(CT28),"NO DATA",IF(ISNUMBER(FIND(CODES!$A$12,CT28)),CODES!$A$12,IF(OR(ISNUMBER(FIND(CODES!$A$10,CT28)),ISNUMBER(FIND(CODES!$A$11,CT28))),CODES!$A$13,IF(OR(CT28&lt;CT$39,ISNUMBER(CT28)=FALSE),CT$40,CT28))))</f>
      </c>
      <c r="CU55" s="7">
        <f>IF(ISBLANK(CU28),"NO DATA",IF(ISNUMBER(FIND(CODES!$A$12,CU28)),CODES!$A$12,IF(OR(ISNUMBER(FIND(CODES!$A$10,CU28)),ISNUMBER(FIND(CODES!$A$11,CU28))),CODES!$A$13,IF(OR(CU28&lt;CU$39,ISNUMBER(CU28)=FALSE),CU$40,CU28))))</f>
      </c>
      <c r="CV55" s="7">
        <f>IF(ISBLANK(CV28),"NO DATA",IF(ISNUMBER(FIND(CODES!$A$12,CV28)),CODES!$A$12,IF(OR(ISNUMBER(FIND(CODES!$A$10,CV28)),ISNUMBER(FIND(CODES!$A$11,CV28))),CODES!$A$13,IF(OR(CV28&lt;CV$39,ISNUMBER(CV28)=FALSE),CV$40,CV28))))</f>
      </c>
      <c r="CW55" s="7">
        <f>IF(ISBLANK(CW28),"NO DATA",IF(ISNUMBER(FIND(CODES!$A$12,CW28)),CODES!$A$12,IF(OR(ISNUMBER(FIND(CODES!$A$10,CW28)),ISNUMBER(FIND(CODES!$A$11,CW28))),CODES!$A$13,IF(OR(CW28&lt;CW$39,ISNUMBER(CW28)=FALSE),CW$40,CW28))))</f>
      </c>
      <c r="CX55" s="7">
        <f>IF(ISBLANK(CX28),"NO DATA",IF(ISNUMBER(FIND(CODES!$A$12,CX28)),CODES!$A$12,IF(OR(ISNUMBER(FIND(CODES!$A$10,CX28)),ISNUMBER(FIND(CODES!$A$11,CX28))),CODES!$A$13,IF(OR(CX28&lt;CX$39,ISNUMBER(CX28)=FALSE),CX$40,CX28))))</f>
      </c>
      <c r="CY55" s="7">
        <f>IF(ISBLANK(CY28),"NO DATA",IF(ISNUMBER(FIND(CODES!$A$12,CY28)),CODES!$A$12,IF(OR(ISNUMBER(FIND(CODES!$A$10,CY28)),ISNUMBER(FIND(CODES!$A$11,CY28))),CODES!$A$13,IF(OR(CY28&lt;CY$39,ISNUMBER(CY28)=FALSE),CY$40,CY28))))</f>
      </c>
      <c r="CZ55" s="7">
        <f>IF(ISBLANK(CZ28),"NO DATA",IF(ISNUMBER(FIND(CODES!$A$12,CZ28)),CODES!$A$12,IF(OR(ISNUMBER(FIND(CODES!$A$10,CZ28)),ISNUMBER(FIND(CODES!$A$11,CZ28))),CODES!$A$13,IF(OR(CZ28&lt;CZ$39,ISNUMBER(CZ28)=FALSE),CZ$40,CZ28))))</f>
      </c>
      <c r="DA55" s="7">
        <f>IF(ISBLANK(DA28),"NO DATA",IF(ISNUMBER(FIND(CODES!$A$12,DA28)),CODES!$A$12,IF(OR(ISNUMBER(FIND(CODES!$A$10,DA28)),ISNUMBER(FIND(CODES!$A$11,DA28))),CODES!$A$13,IF(OR(DA28&lt;DA$39,ISNUMBER(DA28)=FALSE),DA$40,DA28))))</f>
      </c>
      <c r="DB55" s="7" t="str">
        <f>IF(ISBLANK(DB28),"NO DATA",IF(ISNUMBER(FIND(CODES!$A$12,DB28)),CODES!$A$12,IF(OR(ISNUMBER(FIND(CODES!$A$10,DB28)),ISNUMBER(FIND(CODES!$A$11,DB28))),CODES!$A$13,IF(OR(DB28&lt;DB$39,ISNUMBER(DB28)=FALSE),DB$40,DB28))))</f>
      </c>
      <c r="DC55" s="7" t="str">
        <f>IF(ISBLANK(DC28),"NO DATA",IF(ISNUMBER(FIND(CODES!$A$12,DC28)),CODES!$A$12,IF(OR(ISNUMBER(FIND(CODES!$A$10,DC28)),ISNUMBER(FIND(CODES!$A$11,DC28))),CODES!$A$13,IF(OR(DC28&lt;DC$39,ISNUMBER(DC28)=FALSE),DC$40,DC28))))</f>
      </c>
      <c r="DD55" s="7">
        <f>IF(ISBLANK(DD28),"NO DATA",IF(ISNUMBER(FIND(CODES!$A$12,DD28)),CODES!$A$12,IF(OR(ISNUMBER(FIND(CODES!$A$10,DD28)),ISNUMBER(FIND(CODES!$A$11,DD28))),CODES!$A$13,IF(OR(DD28&lt;DD$39,ISNUMBER(DD28)=FALSE),DD$40,DD28))))</f>
      </c>
      <c r="DE55" s="7">
        <f>IF(ISBLANK(DE28),"NO DATA",IF(ISNUMBER(FIND(CODES!$A$12,DE28)),CODES!$A$12,IF(OR(ISNUMBER(FIND(CODES!$A$10,DE28)),ISNUMBER(FIND(CODES!$A$11,DE28))),CODES!$A$13,IF(OR(DE28&lt;DE$39,ISNUMBER(DE28)=FALSE),DE$40,DE28))))</f>
      </c>
      <c r="DF55" s="7">
        <f>IF(ISBLANK(DF28),"NO DATA",IF(ISNUMBER(FIND(CODES!$A$12,DF28)),CODES!$A$12,IF(OR(ISNUMBER(FIND(CODES!$A$10,DF28)),ISNUMBER(FIND(CODES!$A$11,DF28))),CODES!$A$13,IF(OR(DF28&lt;DF$39,ISNUMBER(DF28)=FALSE),DF$40,DF28))))</f>
      </c>
      <c r="DG55" s="7">
        <f>IF(ISBLANK(DG28),"NO DATA",IF(ISNUMBER(FIND(CODES!$A$12,DG28)),CODES!$A$12,IF(OR(ISNUMBER(FIND(CODES!$A$10,DG28)),ISNUMBER(FIND(CODES!$A$11,DG28))),CODES!$A$13,IF(OR(DG28&lt;DG$39,ISNUMBER(DG28)=FALSE),DG$40,DG28))))</f>
      </c>
      <c r="DH55" s="7">
        <f>IF(ISBLANK(DH28),"NO DATA",IF(ISNUMBER(FIND(CODES!$A$12,DH28)),CODES!$A$12,IF(OR(ISNUMBER(FIND(CODES!$A$10,DH28)),ISNUMBER(FIND(CODES!$A$11,DH28))),CODES!$A$13,IF(OR(DH28&lt;DH$39,ISNUMBER(DH28)=FALSE),DH$40,DH28))))</f>
      </c>
      <c r="DI55" s="7">
        <f>IF(ISBLANK(DI28),"NO DATA",IF(ISNUMBER(FIND(CODES!$A$12,DI28)),CODES!$A$12,IF(OR(ISNUMBER(FIND(CODES!$A$10,DI28)),ISNUMBER(FIND(CODES!$A$11,DI28))),CODES!$A$13,IF(OR(DI28&lt;DI$39,ISNUMBER(DI28)=FALSE),DI$40,DI28))))</f>
      </c>
    </row>
    <row r="56" spans="1:113" x14ac:dyDescent="0.25">
      <c r="A56" s="16" t="str">
        <f t="shared" si="2"/>
      </c>
      <c r="B56" s="16" t="str">
        <f t="shared" si="2"/>
      </c>
      <c r="C56" s="7">
        <f>IF(ISBLANK(C29),"NO DATA",IF(ISNUMBER(FIND(CODES!$A$12,C29)),CODES!$A$12,IF(OR(ISNUMBER(FIND(CODES!$A$10,C29)),ISNUMBER(FIND(CODES!$A$11,C29))),CODES!$A$13,IF(OR(C29&lt;C$39,ISNUMBER(C29)=FALSE),C$40,C29))))</f>
      </c>
      <c r="D56" s="7">
        <f>IF(ISBLANK(D29),"NO DATA",IF(ISNUMBER(FIND(CODES!$A$12,D29)),CODES!$A$12,IF(OR(ISNUMBER(FIND(CODES!$A$10,D29)),ISNUMBER(FIND(CODES!$A$11,D29))),CODES!$A$13,IF(OR(D29&lt;D$39,ISNUMBER(D29)=FALSE),D$40,D29))))</f>
      </c>
      <c r="E56" s="7" t="str">
        <f>IF(ISBLANK(E29),"NO DATA",IF(ISNUMBER(FIND(CODES!$A$12,E29)),CODES!$A$12,IF(OR(ISNUMBER(FIND(CODES!$A$10,E29)),ISNUMBER(FIND(CODES!$A$11,E29))),CODES!$A$13,IF(OR(E29&lt;E$39,ISNUMBER(E29)=FALSE),E$40,E29))))</f>
      </c>
      <c r="F56" s="7">
        <f>IF(ISBLANK(F29),"NO DATA",IF(ISNUMBER(FIND(CODES!$A$12,F29)),CODES!$A$12,IF(OR(ISNUMBER(FIND(CODES!$A$10,F29)),ISNUMBER(FIND(CODES!$A$11,F29))),CODES!$A$13,IF(OR(F29&lt;F$39,ISNUMBER(F29)=FALSE),F$40,F29))))</f>
      </c>
      <c r="G56" s="7">
        <f>IF(ISBLANK(G29),"NO DATA",IF(ISNUMBER(FIND(CODES!$A$12,G29)),CODES!$A$12,IF(OR(ISNUMBER(FIND(CODES!$A$10,G29)),ISNUMBER(FIND(CODES!$A$11,G29))),CODES!$A$13,IF(OR(G29&lt;G$39,ISNUMBER(G29)=FALSE),G$40,G29))))</f>
      </c>
      <c r="H56" s="7">
        <f>IF(ISBLANK(H29),"NO DATA",IF(ISNUMBER(FIND(CODES!$A$12,H29)),CODES!$A$12,IF(OR(ISNUMBER(FIND(CODES!$A$10,H29)),ISNUMBER(FIND(CODES!$A$11,H29))),CODES!$A$13,IF(OR(H29&lt;H$39,ISNUMBER(H29)=FALSE),H$40,H29))))</f>
      </c>
      <c r="I56" s="7">
        <f>IF(ISBLANK(I29),"NO DATA",IF(ISNUMBER(FIND(CODES!$A$12,I29)),CODES!$A$12,IF(OR(ISNUMBER(FIND(CODES!$A$10,I29)),ISNUMBER(FIND(CODES!$A$11,I29))),CODES!$A$13,IF(OR(I29&lt;I$39,ISNUMBER(I29)=FALSE),I$40,I29))))</f>
      </c>
      <c r="J56" s="7">
        <f>IF(ISBLANK(J29),"NO DATA",IF(ISNUMBER(FIND(CODES!$A$12,J29)),CODES!$A$12,IF(OR(ISNUMBER(FIND(CODES!$A$10,J29)),ISNUMBER(FIND(CODES!$A$11,J29))),CODES!$A$13,IF(OR(J29&lt;J$39,ISNUMBER(J29)=FALSE),J$40,J29))))</f>
      </c>
      <c r="K56" s="7">
        <f>IF(ISBLANK(K29),"NO DATA",IF(ISNUMBER(FIND(CODES!$A$12,K29)),CODES!$A$12,IF(OR(ISNUMBER(FIND(CODES!$A$10,K29)),ISNUMBER(FIND(CODES!$A$11,K29))),CODES!$A$13,IF(OR(K29&lt;K$39,ISNUMBER(K29)=FALSE),K$40,K29))))</f>
      </c>
      <c r="L56" s="7">
        <f>IF(ISBLANK(L29),"NO DATA",IF(ISNUMBER(FIND(CODES!$A$12,L29)),CODES!$A$12,IF(OR(ISNUMBER(FIND(CODES!$A$10,L29)),ISNUMBER(FIND(CODES!$A$11,L29))),CODES!$A$13,IF(OR(L29&lt;L$39,ISNUMBER(L29)=FALSE),L$40,L29))))</f>
      </c>
      <c r="M56" s="7">
        <f>IF(ISBLANK(M29),"NO DATA",IF(ISNUMBER(FIND(CODES!$A$12,M29)),CODES!$A$12,IF(OR(ISNUMBER(FIND(CODES!$A$10,M29)),ISNUMBER(FIND(CODES!$A$11,M29))),CODES!$A$13,IF(OR(M29&lt;M$39,ISNUMBER(M29)=FALSE),M$40,M29))))</f>
      </c>
      <c r="N56" s="7" t="str">
        <f>IF(ISBLANK(N29),"NO DATA",IF(ISNUMBER(FIND(CODES!$A$12,N29)),CODES!$A$12,IF(OR(ISNUMBER(FIND(CODES!$A$10,N29)),ISNUMBER(FIND(CODES!$A$11,N29))),CODES!$A$13,IF(OR(N29&lt;N$39,ISNUMBER(N29)=FALSE),N$40,N29))))</f>
      </c>
      <c r="O56" s="7" t="str">
        <f>IF(ISBLANK(O29),"NO DATA",IF(ISNUMBER(FIND(CODES!$A$12,O29)),CODES!$A$12,IF(OR(ISNUMBER(FIND(CODES!$A$10,O29)),ISNUMBER(FIND(CODES!$A$11,O29))),CODES!$A$13,IF(OR(O29&lt;O$39,ISNUMBER(O29)=FALSE),O$40,O29))))</f>
      </c>
      <c r="P56" s="7">
        <f>IF(ISBLANK(P29),"NO DATA",IF(ISNUMBER(FIND(CODES!$A$12,P29)),CODES!$A$12,IF(OR(ISNUMBER(FIND(CODES!$A$10,P29)),ISNUMBER(FIND(CODES!$A$11,P29))),CODES!$A$13,IF(OR(P29&lt;P$39,ISNUMBER(P29)=FALSE),P$40,P29))))</f>
      </c>
      <c r="Q56" s="7">
        <f>IF(ISBLANK(Q29),"NO DATA",IF(ISNUMBER(FIND(CODES!$A$12,Q29)),CODES!$A$12,IF(OR(ISNUMBER(FIND(CODES!$A$10,Q29)),ISNUMBER(FIND(CODES!$A$11,Q29))),CODES!$A$13,IF(OR(Q29&lt;Q$39,ISNUMBER(Q29)=FALSE),Q$40,Q29))))</f>
      </c>
      <c r="R56" s="7">
        <f>IF(ISBLANK(R29),"NO DATA",IF(ISNUMBER(FIND(CODES!$A$12,R29)),CODES!$A$12,IF(OR(ISNUMBER(FIND(CODES!$A$10,R29)),ISNUMBER(FIND(CODES!$A$11,R29))),CODES!$A$13,IF(OR(R29&lt;R$39,ISNUMBER(R29)=FALSE),R$40,R29))))</f>
      </c>
      <c r="S56" s="7">
        <f>IF(ISBLANK(S29),"NO DATA",IF(ISNUMBER(FIND(CODES!$A$12,S29)),CODES!$A$12,IF(OR(ISNUMBER(FIND(CODES!$A$10,S29)),ISNUMBER(FIND(CODES!$A$11,S29))),CODES!$A$13,IF(OR(S29&lt;S$39,ISNUMBER(S29)=FALSE),S$40,S29))))</f>
      </c>
      <c r="T56" s="7">
        <f>IF(ISBLANK(T29),"NO DATA",IF(ISNUMBER(FIND(CODES!$A$12,T29)),CODES!$A$12,IF(OR(ISNUMBER(FIND(CODES!$A$10,T29)),ISNUMBER(FIND(CODES!$A$11,T29))),CODES!$A$13,IF(OR(T29&lt;T$39,ISNUMBER(T29)=FALSE),T$40,T29))))</f>
      </c>
      <c r="U56" s="7">
        <f>IF(ISBLANK(U29),"NO DATA",IF(ISNUMBER(FIND(CODES!$A$12,U29)),CODES!$A$12,IF(OR(ISNUMBER(FIND(CODES!$A$10,U29)),ISNUMBER(FIND(CODES!$A$11,U29))),CODES!$A$13,IF(OR(U29&lt;U$39,ISNUMBER(U29)=FALSE),U$40,U29))))</f>
      </c>
      <c r="V56" s="7">
        <f>IF(ISBLANK(V29),"NO DATA",IF(ISNUMBER(FIND(CODES!$A$12,V29)),CODES!$A$12,IF(OR(ISNUMBER(FIND(CODES!$A$10,V29)),ISNUMBER(FIND(CODES!$A$11,V29))),CODES!$A$13,IF(OR(V29&lt;V$39,ISNUMBER(V29)=FALSE),V$40,V29))))</f>
      </c>
      <c r="W56" s="7">
        <f>IF(ISBLANK(W29),"NO DATA",IF(ISNUMBER(FIND(CODES!$A$12,W29)),CODES!$A$12,IF(OR(ISNUMBER(FIND(CODES!$A$10,W29)),ISNUMBER(FIND(CODES!$A$11,W29))),CODES!$A$13,IF(OR(W29&lt;W$39,ISNUMBER(W29)=FALSE),W$40,W29))))</f>
      </c>
      <c r="X56" s="7">
        <f>IF(ISBLANK(X29),"NO DATA",IF(ISNUMBER(FIND(CODES!$A$12,X29)),CODES!$A$12,IF(OR(ISNUMBER(FIND(CODES!$A$10,X29)),ISNUMBER(FIND(CODES!$A$11,X29))),CODES!$A$13,IF(OR(X29&lt;X$39,ISNUMBER(X29)=FALSE),X$40,X29))))</f>
      </c>
      <c r="Y56" s="7">
        <f>IF(ISBLANK(Y29),"NO DATA",IF(ISNUMBER(FIND(CODES!$A$12,Y29)),CODES!$A$12,IF(OR(ISNUMBER(FIND(CODES!$A$10,Y29)),ISNUMBER(FIND(CODES!$A$11,Y29))),CODES!$A$13,IF(OR(Y29&lt;Y$39,ISNUMBER(Y29)=FALSE),Y$40,Y29))))</f>
      </c>
      <c r="Z56" s="7">
        <f>IF(ISBLANK(Z29),"NO DATA",IF(ISNUMBER(FIND(CODES!$A$12,Z29)),CODES!$A$12,IF(OR(ISNUMBER(FIND(CODES!$A$10,Z29)),ISNUMBER(FIND(CODES!$A$11,Z29))),CODES!$A$13,IF(OR(Z29&lt;Z$39,ISNUMBER(Z29)=FALSE),Z$40,Z29))))</f>
      </c>
      <c r="AA56" s="7">
        <f>IF(ISBLANK(AA29),"NO DATA",IF(ISNUMBER(FIND(CODES!$A$12,AA29)),CODES!$A$12,IF(OR(ISNUMBER(FIND(CODES!$A$10,AA29)),ISNUMBER(FIND(CODES!$A$11,AA29))),CODES!$A$13,IF(OR(AA29&lt;AA$39,ISNUMBER(AA29)=FALSE),AA$40,AA29))))</f>
      </c>
      <c r="AB56" s="7">
        <f>IF(ISBLANK(AB29),"NO DATA",IF(ISNUMBER(FIND(CODES!$A$12,AB29)),CODES!$A$12,IF(OR(ISNUMBER(FIND(CODES!$A$10,AB29)),ISNUMBER(FIND(CODES!$A$11,AB29))),CODES!$A$13,IF(OR(AB29&lt;AB$39,ISNUMBER(AB29)=FALSE),AB$40,AB29))))</f>
      </c>
      <c r="AC56" s="7">
        <f>IF(ISBLANK(AC29),"NO DATA",IF(ISNUMBER(FIND(CODES!$A$12,AC29)),CODES!$A$12,IF(OR(ISNUMBER(FIND(CODES!$A$10,AC29)),ISNUMBER(FIND(CODES!$A$11,AC29))),CODES!$A$13,IF(OR(AC29&lt;AC$39,ISNUMBER(AC29)=FALSE),AC$40,AC29))))</f>
      </c>
      <c r="AD56" s="7">
        <f>IF(ISBLANK(AD29),"NO DATA",IF(ISNUMBER(FIND(CODES!$A$12,AD29)),CODES!$A$12,IF(OR(ISNUMBER(FIND(CODES!$A$10,AD29)),ISNUMBER(FIND(CODES!$A$11,AD29))),CODES!$A$13,IF(OR(AD29&lt;AD$39,ISNUMBER(AD29)=FALSE),AD$40,AD29))))</f>
      </c>
      <c r="AE56" s="7">
        <f>IF(ISBLANK(AE29),"NO DATA",IF(ISNUMBER(FIND(CODES!$A$12,AE29)),CODES!$A$12,IF(OR(ISNUMBER(FIND(CODES!$A$10,AE29)),ISNUMBER(FIND(CODES!$A$11,AE29))),CODES!$A$13,IF(OR(AE29&lt;AE$39,ISNUMBER(AE29)=FALSE),AE$40,AE29))))</f>
      </c>
      <c r="AF56" s="7">
        <f>IF(ISBLANK(AF29),"NO DATA",IF(ISNUMBER(FIND(CODES!$A$12,AF29)),CODES!$A$12,IF(OR(ISNUMBER(FIND(CODES!$A$10,AF29)),ISNUMBER(FIND(CODES!$A$11,AF29))),CODES!$A$13,IF(OR(AF29&lt;AF$39,ISNUMBER(AF29)=FALSE),AF$40,AF29))))</f>
      </c>
      <c r="AG56" s="7" t="str">
        <f>IF(ISBLANK(AG29),"NO DATA",IF(ISNUMBER(FIND(CODES!$A$12,AG29)),CODES!$A$12,IF(OR(ISNUMBER(FIND(CODES!$A$10,AG29)),ISNUMBER(FIND(CODES!$A$11,AG29))),CODES!$A$13,IF(OR(AG29&lt;AG$39,ISNUMBER(AG29)=FALSE),AG$40,AG29))))</f>
      </c>
      <c r="AH56" s="7" t="str">
        <f>IF(ISBLANK(AH29),"NO DATA",IF(ISNUMBER(FIND(CODES!$A$12,AH29)),CODES!$A$12,IF(OR(ISNUMBER(FIND(CODES!$A$10,AH29)),ISNUMBER(FIND(CODES!$A$11,AH29))),CODES!$A$13,IF(OR(AH29&lt;AH$39,ISNUMBER(AH29)=FALSE),AH$40,AH29))))</f>
      </c>
      <c r="AI56" s="7">
        <f>IF(ISBLANK(AI29),"NO DATA",IF(ISNUMBER(FIND(CODES!$A$12,AI29)),CODES!$A$12,IF(OR(ISNUMBER(FIND(CODES!$A$10,AI29)),ISNUMBER(FIND(CODES!$A$11,AI29))),CODES!$A$13,IF(OR(AI29&lt;AI$39,ISNUMBER(AI29)=FALSE),AI$40,AI29))))</f>
      </c>
      <c r="AJ56" s="7">
        <f>IF(ISBLANK(AJ29),"NO DATA",IF(ISNUMBER(FIND(CODES!$A$12,AJ29)),CODES!$A$12,IF(OR(ISNUMBER(FIND(CODES!$A$10,AJ29)),ISNUMBER(FIND(CODES!$A$11,AJ29))),CODES!$A$13,IF(OR(AJ29&lt;AJ$39,ISNUMBER(AJ29)=FALSE),AJ$40,AJ29))))</f>
      </c>
      <c r="AK56" s="7">
        <f>IF(ISBLANK(AK29),"NO DATA",IF(ISNUMBER(FIND(CODES!$A$12,AK29)),CODES!$A$12,IF(OR(ISNUMBER(FIND(CODES!$A$10,AK29)),ISNUMBER(FIND(CODES!$A$11,AK29))),CODES!$A$13,IF(OR(AK29&lt;AK$39,ISNUMBER(AK29)=FALSE),AK$40,AK29))))</f>
      </c>
      <c r="AL56" s="7">
        <f>IF(ISBLANK(AL29),"NO DATA",IF(ISNUMBER(FIND(CODES!$A$12,AL29)),CODES!$A$12,IF(OR(ISNUMBER(FIND(CODES!$A$10,AL29)),ISNUMBER(FIND(CODES!$A$11,AL29))),CODES!$A$13,IF(OR(AL29&lt;AL$39,ISNUMBER(AL29)=FALSE),AL$40,AL29))))</f>
      </c>
      <c r="AM56" s="7">
        <f>IF(ISBLANK(AM29),"NO DATA",IF(ISNUMBER(FIND(CODES!$A$12,AM29)),CODES!$A$12,IF(OR(ISNUMBER(FIND(CODES!$A$10,AM29)),ISNUMBER(FIND(CODES!$A$11,AM29))),CODES!$A$13,IF(OR(AM29&lt;AM$39,ISNUMBER(AM29)=FALSE),AM$40,AM29))))</f>
      </c>
      <c r="AN56" s="7">
        <f>IF(ISBLANK(AN29),"NO DATA",IF(ISNUMBER(FIND(CODES!$A$12,AN29)),CODES!$A$12,IF(OR(ISNUMBER(FIND(CODES!$A$10,AN29)),ISNUMBER(FIND(CODES!$A$11,AN29))),CODES!$A$13,IF(OR(AN29&lt;AN$39,ISNUMBER(AN29)=FALSE),AN$40,AN29))))</f>
      </c>
      <c r="AO56" s="7">
        <f>IF(ISBLANK(AO29),"NO DATA",IF(ISNUMBER(FIND(CODES!$A$12,AO29)),CODES!$A$12,IF(OR(ISNUMBER(FIND(CODES!$A$10,AO29)),ISNUMBER(FIND(CODES!$A$11,AO29))),CODES!$A$13,IF(OR(AO29&lt;AO$39,ISNUMBER(AO29)=FALSE),AO$40,AO29))))</f>
      </c>
      <c r="AP56" s="7">
        <f>IF(ISBLANK(AP29),"NO DATA",IF(ISNUMBER(FIND(CODES!$A$12,AP29)),CODES!$A$12,IF(OR(ISNUMBER(FIND(CODES!$A$10,AP29)),ISNUMBER(FIND(CODES!$A$11,AP29))),CODES!$A$13,IF(OR(AP29&lt;AP$39,ISNUMBER(AP29)=FALSE),AP$40,AP29))))</f>
      </c>
      <c r="AQ56" s="7">
        <f>IF(ISBLANK(AQ29),"NO DATA",IF(ISNUMBER(FIND(CODES!$A$12,AQ29)),CODES!$A$12,IF(OR(ISNUMBER(FIND(CODES!$A$10,AQ29)),ISNUMBER(FIND(CODES!$A$11,AQ29))),CODES!$A$13,IF(OR(AQ29&lt;AQ$39,ISNUMBER(AQ29)=FALSE),AQ$40,AQ29))))</f>
      </c>
      <c r="AR56" s="7">
        <f>IF(ISBLANK(AR29),"NO DATA",IF(ISNUMBER(FIND(CODES!$A$12,AR29)),CODES!$A$12,IF(OR(ISNUMBER(FIND(CODES!$A$10,AR29)),ISNUMBER(FIND(CODES!$A$11,AR29))),CODES!$A$13,IF(OR(AR29&lt;AR$39,ISNUMBER(AR29)=FALSE),AR$40,AR29))))</f>
      </c>
      <c r="AS56" s="7">
        <f>IF(ISBLANK(AS29),"NO DATA",IF(ISNUMBER(FIND(CODES!$A$12,AS29)),CODES!$A$12,IF(OR(ISNUMBER(FIND(CODES!$A$10,AS29)),ISNUMBER(FIND(CODES!$A$11,AS29))),CODES!$A$13,IF(OR(AS29&lt;AS$39,ISNUMBER(AS29)=FALSE),AS$40,AS29))))</f>
      </c>
      <c r="AT56" s="7">
        <f>IF(ISBLANK(AT29),"NO DATA",IF(ISNUMBER(FIND(CODES!$A$12,AT29)),CODES!$A$12,IF(OR(ISNUMBER(FIND(CODES!$A$10,AT29)),ISNUMBER(FIND(CODES!$A$11,AT29))),CODES!$A$13,IF(OR(AT29&lt;AT$39,ISNUMBER(AT29)=FALSE),AT$40,AT29))))</f>
      </c>
      <c r="AU56" s="7">
        <f>IF(ISBLANK(AU29),"NO DATA",IF(ISNUMBER(FIND(CODES!$A$12,AU29)),CODES!$A$12,IF(OR(ISNUMBER(FIND(CODES!$A$10,AU29)),ISNUMBER(FIND(CODES!$A$11,AU29))),CODES!$A$13,IF(OR(AU29&lt;AU$39,ISNUMBER(AU29)=FALSE),AU$40,AU29))))</f>
      </c>
      <c r="AV56" s="7" t="str">
        <f>IF(ISBLANK(AV29),"NO DATA",IF(ISNUMBER(FIND(CODES!$A$12,AV29)),CODES!$A$12,IF(OR(ISNUMBER(FIND(CODES!$A$10,AV29)),ISNUMBER(FIND(CODES!$A$11,AV29))),CODES!$A$13,IF(OR(AV29&lt;AV$39,ISNUMBER(AV29)=FALSE),AV$40,AV29))))</f>
      </c>
      <c r="AW56" s="7" t="str">
        <f>IF(ISBLANK(AW29),"NO DATA",IF(ISNUMBER(FIND(CODES!$A$12,AW29)),CODES!$A$12,IF(OR(ISNUMBER(FIND(CODES!$A$10,AW29)),ISNUMBER(FIND(CODES!$A$11,AW29))),CODES!$A$13,IF(OR(AW29&lt;AW$39,ISNUMBER(AW29)=FALSE),AW$40,AW29))))</f>
      </c>
      <c r="AX56" s="7">
        <f>IF(ISBLANK(AX29),"NO DATA",IF(ISNUMBER(FIND(CODES!$A$12,AX29)),CODES!$A$12,IF(OR(ISNUMBER(FIND(CODES!$A$10,AX29)),ISNUMBER(FIND(CODES!$A$11,AX29))),CODES!$A$13,IF(OR(AX29&lt;AX$39,ISNUMBER(AX29)=FALSE),AX$40,AX29))))</f>
      </c>
      <c r="AY56" s="7">
        <f>IF(ISBLANK(AY29),"NO DATA",IF(ISNUMBER(FIND(CODES!$A$12,AY29)),CODES!$A$12,IF(OR(ISNUMBER(FIND(CODES!$A$10,AY29)),ISNUMBER(FIND(CODES!$A$11,AY29))),CODES!$A$13,IF(OR(AY29&lt;AY$39,ISNUMBER(AY29)=FALSE),AY$40,AY29))))</f>
      </c>
      <c r="AZ56" s="7">
        <f>IF(ISBLANK(AZ29),"NO DATA",IF(ISNUMBER(FIND(CODES!$A$12,AZ29)),CODES!$A$12,IF(OR(ISNUMBER(FIND(CODES!$A$10,AZ29)),ISNUMBER(FIND(CODES!$A$11,AZ29))),CODES!$A$13,IF(OR(AZ29&lt;AZ$39,ISNUMBER(AZ29)=FALSE),AZ$40,AZ29))))</f>
      </c>
      <c r="BA56" s="7">
        <f>IF(ISBLANK(BA29),"NO DATA",IF(ISNUMBER(FIND(CODES!$A$12,BA29)),CODES!$A$12,IF(OR(ISNUMBER(FIND(CODES!$A$10,BA29)),ISNUMBER(FIND(CODES!$A$11,BA29))),CODES!$A$13,IF(OR(BA29&lt;BA$39,ISNUMBER(BA29)=FALSE),BA$40,BA29))))</f>
      </c>
      <c r="BB56" s="7">
        <f>IF(ISBLANK(BB29),"NO DATA",IF(ISNUMBER(FIND(CODES!$A$12,BB29)),CODES!$A$12,IF(OR(ISNUMBER(FIND(CODES!$A$10,BB29)),ISNUMBER(FIND(CODES!$A$11,BB29))),CODES!$A$13,IF(OR(BB29&lt;BB$39,ISNUMBER(BB29)=FALSE),BB$40,BB29))))</f>
      </c>
      <c r="BC56" s="7">
        <f>IF(ISBLANK(BC29),"NO DATA",IF(ISNUMBER(FIND(CODES!$A$12,BC29)),CODES!$A$12,IF(OR(ISNUMBER(FIND(CODES!$A$10,BC29)),ISNUMBER(FIND(CODES!$A$11,BC29))),CODES!$A$13,IF(OR(BC29&lt;BC$39,ISNUMBER(BC29)=FALSE),BC$40,BC29))))</f>
      </c>
      <c r="BD56" s="7">
        <f>IF(ISBLANK(BD29),"NO DATA",IF(ISNUMBER(FIND(CODES!$A$12,BD29)),CODES!$A$12,IF(OR(ISNUMBER(FIND(CODES!$A$10,BD29)),ISNUMBER(FIND(CODES!$A$11,BD29))),CODES!$A$13,IF(OR(BD29&lt;BD$39,ISNUMBER(BD29)=FALSE),BD$40,BD29))))</f>
      </c>
      <c r="BE56" s="7">
        <f>IF(ISBLANK(BE29),"NO DATA",IF(ISNUMBER(FIND(CODES!$A$12,BE29)),CODES!$A$12,IF(OR(ISNUMBER(FIND(CODES!$A$10,BE29)),ISNUMBER(FIND(CODES!$A$11,BE29))),CODES!$A$13,IF(OR(BE29&lt;BE$39,ISNUMBER(BE29)=FALSE),BE$40,BE29))))</f>
      </c>
      <c r="BF56" s="7">
        <f>IF(ISBLANK(BF29),"NO DATA",IF(ISNUMBER(FIND(CODES!$A$12,BF29)),CODES!$A$12,IF(OR(ISNUMBER(FIND(CODES!$A$10,BF29)),ISNUMBER(FIND(CODES!$A$11,BF29))),CODES!$A$13,IF(OR(BF29&lt;BF$39,ISNUMBER(BF29)=FALSE),BF$40,BF29))))</f>
      </c>
      <c r="BG56" s="7">
        <f>IF(ISBLANK(BG29),"NO DATA",IF(ISNUMBER(FIND(CODES!$A$12,BG29)),CODES!$A$12,IF(OR(ISNUMBER(FIND(CODES!$A$10,BG29)),ISNUMBER(FIND(CODES!$A$11,BG29))),CODES!$A$13,IF(OR(BG29&lt;BG$39,ISNUMBER(BG29)=FALSE),BG$40,BG29))))</f>
      </c>
      <c r="BH56" s="7" t="str">
        <f>IF(ISBLANK(BH29),"NO DATA",IF(ISNUMBER(FIND(CODES!$A$12,BH29)),CODES!$A$12,IF(OR(ISNUMBER(FIND(CODES!$A$10,BH29)),ISNUMBER(FIND(CODES!$A$11,BH29))),CODES!$A$13,IF(OR(BH29&lt;BH$39,ISNUMBER(BH29)=FALSE),BH$40,BH29))))</f>
      </c>
      <c r="BI56" s="7" t="str">
        <f>IF(ISBLANK(BI29),"NO DATA",IF(ISNUMBER(FIND(CODES!$A$12,BI29)),CODES!$A$12,IF(OR(ISNUMBER(FIND(CODES!$A$10,BI29)),ISNUMBER(FIND(CODES!$A$11,BI29))),CODES!$A$13,IF(OR(BI29&lt;BI$39,ISNUMBER(BI29)=FALSE),BI$40,BI29))))</f>
      </c>
      <c r="BJ56" s="7">
        <f>IF(ISBLANK(BJ29),"NO DATA",IF(ISNUMBER(FIND(CODES!$A$12,BJ29)),CODES!$A$12,IF(OR(ISNUMBER(FIND(CODES!$A$10,BJ29)),ISNUMBER(FIND(CODES!$A$11,BJ29))),CODES!$A$13,IF(OR(BJ29&lt;BJ$39,ISNUMBER(BJ29)=FALSE),BJ$40,BJ29))))</f>
      </c>
      <c r="BK56" s="7">
        <f>IF(ISBLANK(BK29),"NO DATA",IF(ISNUMBER(FIND(CODES!$A$12,BK29)),CODES!$A$12,IF(OR(ISNUMBER(FIND(CODES!$A$10,BK29)),ISNUMBER(FIND(CODES!$A$11,BK29))),CODES!$A$13,IF(OR(BK29&lt;BK$39,ISNUMBER(BK29)=FALSE),BK$40,BK29))))</f>
      </c>
      <c r="BL56" s="7" t="str">
        <f>IF(ISBLANK(BL29),"NO DATA",IF(ISNUMBER(FIND(CODES!$A$12,BL29)),CODES!$A$12,IF(OR(ISNUMBER(FIND(CODES!$A$10,BL29)),ISNUMBER(FIND(CODES!$A$11,BL29))),CODES!$A$13,IF(OR(BL29&lt;BL$39,ISNUMBER(BL29)=FALSE),BL$40,BL29))))</f>
      </c>
      <c r="BM56" s="7" t="str">
        <f>IF(ISBLANK(BM29),"NO DATA",IF(ISNUMBER(FIND(CODES!$A$12,BM29)),CODES!$A$12,IF(OR(ISNUMBER(FIND(CODES!$A$10,BM29)),ISNUMBER(FIND(CODES!$A$11,BM29))),CODES!$A$13,IF(OR(BM29&lt;BM$39,ISNUMBER(BM29)=FALSE),BM$40,BM29))))</f>
      </c>
      <c r="BN56" s="7" t="str">
        <f>IF(ISBLANK(BN29),"NO DATA",IF(ISNUMBER(FIND(CODES!$A$12,BN29)),CODES!$A$12,IF(OR(ISNUMBER(FIND(CODES!$A$10,BN29)),ISNUMBER(FIND(CODES!$A$11,BN29))),CODES!$A$13,IF(OR(BN29&lt;BN$39,ISNUMBER(BN29)=FALSE),BN$40,BN29))))</f>
      </c>
      <c r="BO56" s="7" t="str">
        <f>IF(ISBLANK(BO29),"NO DATA",IF(ISNUMBER(FIND(CODES!$A$12,BO29)),CODES!$A$12,IF(OR(ISNUMBER(FIND(CODES!$A$10,BO29)),ISNUMBER(FIND(CODES!$A$11,BO29))),CODES!$A$13,IF(OR(BO29&lt;BO$39,ISNUMBER(BO29)=FALSE),BO$40,BO29))))</f>
      </c>
      <c r="BP56" s="7">
        <f>IF(ISBLANK(BP29),"NO DATA",IF(ISNUMBER(FIND(CODES!$A$12,BP29)),CODES!$A$12,IF(OR(ISNUMBER(FIND(CODES!$A$10,BP29)),ISNUMBER(FIND(CODES!$A$11,BP29))),CODES!$A$13,IF(OR(BP29&lt;BP$39,ISNUMBER(BP29)=FALSE),BP$40,BP29))))</f>
      </c>
      <c r="BQ56" s="7">
        <f>IF(ISBLANK(BQ29),"NO DATA",IF(ISNUMBER(FIND(CODES!$A$12,BQ29)),CODES!$A$12,IF(OR(ISNUMBER(FIND(CODES!$A$10,BQ29)),ISNUMBER(FIND(CODES!$A$11,BQ29))),CODES!$A$13,IF(OR(BQ29&lt;BQ$39,ISNUMBER(BQ29)=FALSE),BQ$40,BQ29))))</f>
      </c>
      <c r="BR56" s="7">
        <f>IF(ISBLANK(BR29),"NO DATA",IF(ISNUMBER(FIND(CODES!$A$12,BR29)),CODES!$A$12,IF(OR(ISNUMBER(FIND(CODES!$A$10,BR29)),ISNUMBER(FIND(CODES!$A$11,BR29))),CODES!$A$13,IF(OR(BR29&lt;BR$39,ISNUMBER(BR29)=FALSE),BR$40,BR29))))</f>
      </c>
      <c r="BS56" s="7">
        <f>IF(ISBLANK(BS29),"NO DATA",IF(ISNUMBER(FIND(CODES!$A$12,BS29)),CODES!$A$12,IF(OR(ISNUMBER(FIND(CODES!$A$10,BS29)),ISNUMBER(FIND(CODES!$A$11,BS29))),CODES!$A$13,IF(OR(BS29&lt;BS$39,ISNUMBER(BS29)=FALSE),BS$40,BS29))))</f>
      </c>
      <c r="BT56" s="7">
        <f>IF(ISBLANK(BT29),"NO DATA",IF(ISNUMBER(FIND(CODES!$A$12,BT29)),CODES!$A$12,IF(OR(ISNUMBER(FIND(CODES!$A$10,BT29)),ISNUMBER(FIND(CODES!$A$11,BT29))),CODES!$A$13,IF(OR(BT29&lt;BT$39,ISNUMBER(BT29)=FALSE),BT$40,BT29))))</f>
      </c>
      <c r="BU56" s="7">
        <f>IF(ISBLANK(BU29),"NO DATA",IF(ISNUMBER(FIND(CODES!$A$12,BU29)),CODES!$A$12,IF(OR(ISNUMBER(FIND(CODES!$A$10,BU29)),ISNUMBER(FIND(CODES!$A$11,BU29))),CODES!$A$13,IF(OR(BU29&lt;BU$39,ISNUMBER(BU29)=FALSE),BU$40,BU29))))</f>
      </c>
      <c r="BV56" s="7">
        <f>IF(ISBLANK(BV29),"NO DATA",IF(ISNUMBER(FIND(CODES!$A$12,BV29)),CODES!$A$12,IF(OR(ISNUMBER(FIND(CODES!$A$10,BV29)),ISNUMBER(FIND(CODES!$A$11,BV29))),CODES!$A$13,IF(OR(BV29&lt;BV$39,ISNUMBER(BV29)=FALSE),BV$40,BV29))))</f>
      </c>
      <c r="BW56" s="7" t="str">
        <f>IF(ISBLANK(BW29),"NO DATA",IF(ISNUMBER(FIND(CODES!$A$12,BW29)),CODES!$A$12,IF(OR(ISNUMBER(FIND(CODES!$A$10,BW29)),ISNUMBER(FIND(CODES!$A$11,BW29))),CODES!$A$13,IF(OR(BW29&lt;BW$39,ISNUMBER(BW29)=FALSE),BW$40,BW29))))</f>
      </c>
      <c r="BX56" s="7" t="str">
        <f>IF(ISBLANK(BX29),"NO DATA",IF(ISNUMBER(FIND(CODES!$A$12,BX29)),CODES!$A$12,IF(OR(ISNUMBER(FIND(CODES!$A$10,BX29)),ISNUMBER(FIND(CODES!$A$11,BX29))),CODES!$A$13,IF(OR(BX29&lt;BX$39,ISNUMBER(BX29)=FALSE),BX$40,BX29))))</f>
      </c>
      <c r="BY56" s="7">
        <f>IF(ISBLANK(BY29),"NO DATA",IF(ISNUMBER(FIND(CODES!$A$12,BY29)),CODES!$A$12,IF(OR(ISNUMBER(FIND(CODES!$A$10,BY29)),ISNUMBER(FIND(CODES!$A$11,BY29))),CODES!$A$13,IF(OR(BY29&lt;BY$39,ISNUMBER(BY29)=FALSE),BY$40,BY29))))</f>
      </c>
      <c r="BZ56" s="7">
        <f>IF(ISBLANK(BZ29),"NO DATA",IF(ISNUMBER(FIND(CODES!$A$12,BZ29)),CODES!$A$12,IF(OR(ISNUMBER(FIND(CODES!$A$10,BZ29)),ISNUMBER(FIND(CODES!$A$11,BZ29))),CODES!$A$13,IF(OR(BZ29&lt;BZ$39,ISNUMBER(BZ29)=FALSE),BZ$40,BZ29))))</f>
      </c>
      <c r="CA56" s="7">
        <f>IF(ISBLANK(CA29),"NO DATA",IF(ISNUMBER(FIND(CODES!$A$12,CA29)),CODES!$A$12,IF(OR(ISNUMBER(FIND(CODES!$A$10,CA29)),ISNUMBER(FIND(CODES!$A$11,CA29))),CODES!$A$13,IF(OR(CA29&lt;CA$39,ISNUMBER(CA29)=FALSE),CA$40,CA29))))</f>
      </c>
      <c r="CB56" s="7">
        <f>IF(ISBLANK(CB29),"NO DATA",IF(ISNUMBER(FIND(CODES!$A$12,CB29)),CODES!$A$12,IF(OR(ISNUMBER(FIND(CODES!$A$10,CB29)),ISNUMBER(FIND(CODES!$A$11,CB29))),CODES!$A$13,IF(OR(CB29&lt;CB$39,ISNUMBER(CB29)=FALSE),CB$40,CB29))))</f>
      </c>
      <c r="CC56" s="7">
        <f>IF(ISBLANK(CC29),"NO DATA",IF(ISNUMBER(FIND(CODES!$A$12,CC29)),CODES!$A$12,IF(OR(ISNUMBER(FIND(CODES!$A$10,CC29)),ISNUMBER(FIND(CODES!$A$11,CC29))),CODES!$A$13,IF(OR(CC29&lt;CC$39,ISNUMBER(CC29)=FALSE),CC$40,CC29))))</f>
      </c>
      <c r="CD56" s="7">
        <f>IF(ISBLANK(CD29),"NO DATA",IF(ISNUMBER(FIND(CODES!$A$12,CD29)),CODES!$A$12,IF(OR(ISNUMBER(FIND(CODES!$A$10,CD29)),ISNUMBER(FIND(CODES!$A$11,CD29))),CODES!$A$13,IF(OR(CD29&lt;CD$39,ISNUMBER(CD29)=FALSE),CD$40,CD29))))</f>
      </c>
      <c r="CE56" s="7">
        <f>IF(ISBLANK(CE29),"NO DATA",IF(ISNUMBER(FIND(CODES!$A$12,CE29)),CODES!$A$12,IF(OR(ISNUMBER(FIND(CODES!$A$10,CE29)),ISNUMBER(FIND(CODES!$A$11,CE29))),CODES!$A$13,IF(OR(CE29&lt;CE$39,ISNUMBER(CE29)=FALSE),CE$40,CE29))))</f>
      </c>
      <c r="CF56" s="7">
        <f>IF(ISBLANK(CF29),"NO DATA",IF(ISNUMBER(FIND(CODES!$A$12,CF29)),CODES!$A$12,IF(OR(ISNUMBER(FIND(CODES!$A$10,CF29)),ISNUMBER(FIND(CODES!$A$11,CF29))),CODES!$A$13,IF(OR(CF29&lt;CF$39,ISNUMBER(CF29)=FALSE),CF$40,CF29))))</f>
      </c>
      <c r="CG56" s="7">
        <f>IF(ISBLANK(CG29),"NO DATA",IF(ISNUMBER(FIND(CODES!$A$12,CG29)),CODES!$A$12,IF(OR(ISNUMBER(FIND(CODES!$A$10,CG29)),ISNUMBER(FIND(CODES!$A$11,CG29))),CODES!$A$13,IF(OR(CG29&lt;CG$39,ISNUMBER(CG29)=FALSE),CG$40,CG29))))</f>
      </c>
      <c r="CH56" s="7">
        <f>IF(ISBLANK(CH29),"NO DATA",IF(ISNUMBER(FIND(CODES!$A$12,CH29)),CODES!$A$12,IF(OR(ISNUMBER(FIND(CODES!$A$10,CH29)),ISNUMBER(FIND(CODES!$A$11,CH29))),CODES!$A$13,IF(OR(CH29&lt;CH$39,ISNUMBER(CH29)=FALSE),CH$40,CH29))))</f>
      </c>
      <c r="CI56" s="7">
        <f>IF(ISBLANK(CI29),"NO DATA",IF(ISNUMBER(FIND(CODES!$A$12,CI29)),CODES!$A$12,IF(OR(ISNUMBER(FIND(CODES!$A$10,CI29)),ISNUMBER(FIND(CODES!$A$11,CI29))),CODES!$A$13,IF(OR(CI29&lt;CI$39,ISNUMBER(CI29)=FALSE),CI$40,CI29))))</f>
      </c>
      <c r="CJ56" s="7">
        <f>IF(ISBLANK(CJ29),"NO DATA",IF(ISNUMBER(FIND(CODES!$A$12,CJ29)),CODES!$A$12,IF(OR(ISNUMBER(FIND(CODES!$A$10,CJ29)),ISNUMBER(FIND(CODES!$A$11,CJ29))),CODES!$A$13,IF(OR(CJ29&lt;CJ$39,ISNUMBER(CJ29)=FALSE),CJ$40,CJ29))))</f>
      </c>
      <c r="CK56" s="7" t="str">
        <f>IF(ISBLANK(CK29),"NO DATA",IF(ISNUMBER(FIND(CODES!$A$12,CK29)),CODES!$A$12,IF(OR(ISNUMBER(FIND(CODES!$A$10,CK29)),ISNUMBER(FIND(CODES!$A$11,CK29))),CODES!$A$13,IF(OR(CK29&lt;CK$39,ISNUMBER(CK29)=FALSE),CK$40,CK29))))</f>
      </c>
      <c r="CL56" s="7">
        <f>IF(ISBLANK(CL29),"NO DATA",IF(ISNUMBER(FIND(CODES!$A$12,CL29)),CODES!$A$12,IF(OR(ISNUMBER(FIND(CODES!$A$10,CL29)),ISNUMBER(FIND(CODES!$A$11,CL29))),CODES!$A$13,IF(OR(CL29&lt;CL$39,ISNUMBER(CL29)=FALSE),CL$40,CL29))))</f>
      </c>
      <c r="CM56" s="7" t="str">
        <f>IF(ISBLANK(CM29),"NO DATA",IF(ISNUMBER(FIND(CODES!$A$12,CM29)),CODES!$A$12,IF(OR(ISNUMBER(FIND(CODES!$A$10,CM29)),ISNUMBER(FIND(CODES!$A$11,CM29))),CODES!$A$13,IF(OR(CM29&lt;CM$39,ISNUMBER(CM29)=FALSE),CM$40,CM29))))</f>
      </c>
      <c r="CN56" s="7">
        <f>IF(ISBLANK(CN29),"NO DATA",IF(ISNUMBER(FIND(CODES!$A$12,CN29)),CODES!$A$12,IF(OR(ISNUMBER(FIND(CODES!$A$10,CN29)),ISNUMBER(FIND(CODES!$A$11,CN29))),CODES!$A$13,IF(OR(CN29&lt;CN$39,ISNUMBER(CN29)=FALSE),CN$40,CN29))))</f>
      </c>
      <c r="CO56" s="7">
        <f>IF(ISBLANK(CO29),"NO DATA",IF(ISNUMBER(FIND(CODES!$A$12,CO29)),CODES!$A$12,IF(OR(ISNUMBER(FIND(CODES!$A$10,CO29)),ISNUMBER(FIND(CODES!$A$11,CO29))),CODES!$A$13,IF(OR(CO29&lt;CO$39,ISNUMBER(CO29)=FALSE),CO$40,CO29))))</f>
      </c>
      <c r="CP56" s="7">
        <f>IF(ISBLANK(CP29),"NO DATA",IF(ISNUMBER(FIND(CODES!$A$12,CP29)),CODES!$A$12,IF(OR(ISNUMBER(FIND(CODES!$A$10,CP29)),ISNUMBER(FIND(CODES!$A$11,CP29))),CODES!$A$13,IF(OR(CP29&lt;CP$39,ISNUMBER(CP29)=FALSE),CP$40,CP29))))</f>
      </c>
      <c r="CQ56" s="7">
        <f>IF(ISBLANK(CQ29),"NO DATA",IF(ISNUMBER(FIND(CODES!$A$12,CQ29)),CODES!$A$12,IF(OR(ISNUMBER(FIND(CODES!$A$10,CQ29)),ISNUMBER(FIND(CODES!$A$11,CQ29))),CODES!$A$13,IF(OR(CQ29&lt;CQ$39,ISNUMBER(CQ29)=FALSE),CQ$40,CQ29))))</f>
      </c>
      <c r="CR56" s="7">
        <f>IF(ISBLANK(CR29),"NO DATA",IF(ISNUMBER(FIND(CODES!$A$12,CR29)),CODES!$A$12,IF(OR(ISNUMBER(FIND(CODES!$A$10,CR29)),ISNUMBER(FIND(CODES!$A$11,CR29))),CODES!$A$13,IF(OR(CR29&lt;CR$39,ISNUMBER(CR29)=FALSE),CR$40,CR29))))</f>
      </c>
      <c r="CS56" s="7">
        <f>IF(ISBLANK(CS29),"NO DATA",IF(ISNUMBER(FIND(CODES!$A$12,CS29)),CODES!$A$12,IF(OR(ISNUMBER(FIND(CODES!$A$10,CS29)),ISNUMBER(FIND(CODES!$A$11,CS29))),CODES!$A$13,IF(OR(CS29&lt;CS$39,ISNUMBER(CS29)=FALSE),CS$40,CS29))))</f>
      </c>
      <c r="CT56" s="7">
        <f>IF(ISBLANK(CT29),"NO DATA",IF(ISNUMBER(FIND(CODES!$A$12,CT29)),CODES!$A$12,IF(OR(ISNUMBER(FIND(CODES!$A$10,CT29)),ISNUMBER(FIND(CODES!$A$11,CT29))),CODES!$A$13,IF(OR(CT29&lt;CT$39,ISNUMBER(CT29)=FALSE),CT$40,CT29))))</f>
      </c>
      <c r="CU56" s="7">
        <f>IF(ISBLANK(CU29),"NO DATA",IF(ISNUMBER(FIND(CODES!$A$12,CU29)),CODES!$A$12,IF(OR(ISNUMBER(FIND(CODES!$A$10,CU29)),ISNUMBER(FIND(CODES!$A$11,CU29))),CODES!$A$13,IF(OR(CU29&lt;CU$39,ISNUMBER(CU29)=FALSE),CU$40,CU29))))</f>
      </c>
      <c r="CV56" s="7">
        <f>IF(ISBLANK(CV29),"NO DATA",IF(ISNUMBER(FIND(CODES!$A$12,CV29)),CODES!$A$12,IF(OR(ISNUMBER(FIND(CODES!$A$10,CV29)),ISNUMBER(FIND(CODES!$A$11,CV29))),CODES!$A$13,IF(OR(CV29&lt;CV$39,ISNUMBER(CV29)=FALSE),CV$40,CV29))))</f>
      </c>
      <c r="CW56" s="7">
        <f>IF(ISBLANK(CW29),"NO DATA",IF(ISNUMBER(FIND(CODES!$A$12,CW29)),CODES!$A$12,IF(OR(ISNUMBER(FIND(CODES!$A$10,CW29)),ISNUMBER(FIND(CODES!$A$11,CW29))),CODES!$A$13,IF(OR(CW29&lt;CW$39,ISNUMBER(CW29)=FALSE),CW$40,CW29))))</f>
      </c>
      <c r="CX56" s="7">
        <f>IF(ISBLANK(CX29),"NO DATA",IF(ISNUMBER(FIND(CODES!$A$12,CX29)),CODES!$A$12,IF(OR(ISNUMBER(FIND(CODES!$A$10,CX29)),ISNUMBER(FIND(CODES!$A$11,CX29))),CODES!$A$13,IF(OR(CX29&lt;CX$39,ISNUMBER(CX29)=FALSE),CX$40,CX29))))</f>
      </c>
      <c r="CY56" s="7">
        <f>IF(ISBLANK(CY29),"NO DATA",IF(ISNUMBER(FIND(CODES!$A$12,CY29)),CODES!$A$12,IF(OR(ISNUMBER(FIND(CODES!$A$10,CY29)),ISNUMBER(FIND(CODES!$A$11,CY29))),CODES!$A$13,IF(OR(CY29&lt;CY$39,ISNUMBER(CY29)=FALSE),CY$40,CY29))))</f>
      </c>
      <c r="CZ56" s="7">
        <f>IF(ISBLANK(CZ29),"NO DATA",IF(ISNUMBER(FIND(CODES!$A$12,CZ29)),CODES!$A$12,IF(OR(ISNUMBER(FIND(CODES!$A$10,CZ29)),ISNUMBER(FIND(CODES!$A$11,CZ29))),CODES!$A$13,IF(OR(CZ29&lt;CZ$39,ISNUMBER(CZ29)=FALSE),CZ$40,CZ29))))</f>
      </c>
      <c r="DA56" s="7">
        <f>IF(ISBLANK(DA29),"NO DATA",IF(ISNUMBER(FIND(CODES!$A$12,DA29)),CODES!$A$12,IF(OR(ISNUMBER(FIND(CODES!$A$10,DA29)),ISNUMBER(FIND(CODES!$A$11,DA29))),CODES!$A$13,IF(OR(DA29&lt;DA$39,ISNUMBER(DA29)=FALSE),DA$40,DA29))))</f>
      </c>
      <c r="DB56" s="7" t="str">
        <f>IF(ISBLANK(DB29),"NO DATA",IF(ISNUMBER(FIND(CODES!$A$12,DB29)),CODES!$A$12,IF(OR(ISNUMBER(FIND(CODES!$A$10,DB29)),ISNUMBER(FIND(CODES!$A$11,DB29))),CODES!$A$13,IF(OR(DB29&lt;DB$39,ISNUMBER(DB29)=FALSE),DB$40,DB29))))</f>
      </c>
      <c r="DC56" s="7" t="str">
        <f>IF(ISBLANK(DC29),"NO DATA",IF(ISNUMBER(FIND(CODES!$A$12,DC29)),CODES!$A$12,IF(OR(ISNUMBER(FIND(CODES!$A$10,DC29)),ISNUMBER(FIND(CODES!$A$11,DC29))),CODES!$A$13,IF(OR(DC29&lt;DC$39,ISNUMBER(DC29)=FALSE),DC$40,DC29))))</f>
      </c>
      <c r="DD56" s="7">
        <f>IF(ISBLANK(DD29),"NO DATA",IF(ISNUMBER(FIND(CODES!$A$12,DD29)),CODES!$A$12,IF(OR(ISNUMBER(FIND(CODES!$A$10,DD29)),ISNUMBER(FIND(CODES!$A$11,DD29))),CODES!$A$13,IF(OR(DD29&lt;DD$39,ISNUMBER(DD29)=FALSE),DD$40,DD29))))</f>
      </c>
      <c r="DE56" s="7">
        <f>IF(ISBLANK(DE29),"NO DATA",IF(ISNUMBER(FIND(CODES!$A$12,DE29)),CODES!$A$12,IF(OR(ISNUMBER(FIND(CODES!$A$10,DE29)),ISNUMBER(FIND(CODES!$A$11,DE29))),CODES!$A$13,IF(OR(DE29&lt;DE$39,ISNUMBER(DE29)=FALSE),DE$40,DE29))))</f>
      </c>
      <c r="DF56" s="7">
        <f>IF(ISBLANK(DF29),"NO DATA",IF(ISNUMBER(FIND(CODES!$A$12,DF29)),CODES!$A$12,IF(OR(ISNUMBER(FIND(CODES!$A$10,DF29)),ISNUMBER(FIND(CODES!$A$11,DF29))),CODES!$A$13,IF(OR(DF29&lt;DF$39,ISNUMBER(DF29)=FALSE),DF$40,DF29))))</f>
      </c>
      <c r="DG56" s="7">
        <f>IF(ISBLANK(DG29),"NO DATA",IF(ISNUMBER(FIND(CODES!$A$12,DG29)),CODES!$A$12,IF(OR(ISNUMBER(FIND(CODES!$A$10,DG29)),ISNUMBER(FIND(CODES!$A$11,DG29))),CODES!$A$13,IF(OR(DG29&lt;DG$39,ISNUMBER(DG29)=FALSE),DG$40,DG29))))</f>
      </c>
      <c r="DH56" s="7">
        <f>IF(ISBLANK(DH29),"NO DATA",IF(ISNUMBER(FIND(CODES!$A$12,DH29)),CODES!$A$12,IF(OR(ISNUMBER(FIND(CODES!$A$10,DH29)),ISNUMBER(FIND(CODES!$A$11,DH29))),CODES!$A$13,IF(OR(DH29&lt;DH$39,ISNUMBER(DH29)=FALSE),DH$40,DH29))))</f>
      </c>
      <c r="DI56" s="7">
        <f>IF(ISBLANK(DI29),"NO DATA",IF(ISNUMBER(FIND(CODES!$A$12,DI29)),CODES!$A$12,IF(OR(ISNUMBER(FIND(CODES!$A$10,DI29)),ISNUMBER(FIND(CODES!$A$11,DI29))),CODES!$A$13,IF(OR(DI29&lt;DI$39,ISNUMBER(DI29)=FALSE),DI$40,DI29))))</f>
      </c>
    </row>
    <row r="57" spans="1:113" x14ac:dyDescent="0.25">
      <c r="A57" s="16" t="str">
        <f t="shared" si="2"/>
      </c>
      <c r="B57" s="16" t="str">
        <f t="shared" si="2"/>
      </c>
      <c r="C57" s="7">
        <f>IF(ISBLANK(C30),"NO DATA",IF(ISNUMBER(FIND(CODES!$A$12,C30)),CODES!$A$12,IF(OR(ISNUMBER(FIND(CODES!$A$10,C30)),ISNUMBER(FIND(CODES!$A$11,C30))),CODES!$A$13,IF(OR(C30&lt;C$39,ISNUMBER(C30)=FALSE),C$40,C30))))</f>
      </c>
      <c r="D57" s="7">
        <f>IF(ISBLANK(D30),"NO DATA",IF(ISNUMBER(FIND(CODES!$A$12,D30)),CODES!$A$12,IF(OR(ISNUMBER(FIND(CODES!$A$10,D30)),ISNUMBER(FIND(CODES!$A$11,D30))),CODES!$A$13,IF(OR(D30&lt;D$39,ISNUMBER(D30)=FALSE),D$40,D30))))</f>
      </c>
      <c r="E57" s="7">
        <f>IF(ISBLANK(E30),"NO DATA",IF(ISNUMBER(FIND(CODES!$A$12,E30)),CODES!$A$12,IF(OR(ISNUMBER(FIND(CODES!$A$10,E30)),ISNUMBER(FIND(CODES!$A$11,E30))),CODES!$A$13,IF(OR(E30&lt;E$39,ISNUMBER(E30)=FALSE),E$40,E30))))</f>
      </c>
      <c r="F57" s="7">
        <f>IF(ISBLANK(F30),"NO DATA",IF(ISNUMBER(FIND(CODES!$A$12,F30)),CODES!$A$12,IF(OR(ISNUMBER(FIND(CODES!$A$10,F30)),ISNUMBER(FIND(CODES!$A$11,F30))),CODES!$A$13,IF(OR(F30&lt;F$39,ISNUMBER(F30)=FALSE),F$40,F30))))</f>
      </c>
      <c r="G57" s="7">
        <f>IF(ISBLANK(G30),"NO DATA",IF(ISNUMBER(FIND(CODES!$A$12,G30)),CODES!$A$12,IF(OR(ISNUMBER(FIND(CODES!$A$10,G30)),ISNUMBER(FIND(CODES!$A$11,G30))),CODES!$A$13,IF(OR(G30&lt;G$39,ISNUMBER(G30)=FALSE),G$40,G30))))</f>
      </c>
      <c r="H57" s="7">
        <f>IF(ISBLANK(H30),"NO DATA",IF(ISNUMBER(FIND(CODES!$A$12,H30)),CODES!$A$12,IF(OR(ISNUMBER(FIND(CODES!$A$10,H30)),ISNUMBER(FIND(CODES!$A$11,H30))),CODES!$A$13,IF(OR(H30&lt;H$39,ISNUMBER(H30)=FALSE),H$40,H30))))</f>
      </c>
      <c r="I57" s="7">
        <f>IF(ISBLANK(I30),"NO DATA",IF(ISNUMBER(FIND(CODES!$A$12,I30)),CODES!$A$12,IF(OR(ISNUMBER(FIND(CODES!$A$10,I30)),ISNUMBER(FIND(CODES!$A$11,I30))),CODES!$A$13,IF(OR(I30&lt;I$39,ISNUMBER(I30)=FALSE),I$40,I30))))</f>
      </c>
      <c r="J57" s="7">
        <f>IF(ISBLANK(J30),"NO DATA",IF(ISNUMBER(FIND(CODES!$A$12,J30)),CODES!$A$12,IF(OR(ISNUMBER(FIND(CODES!$A$10,J30)),ISNUMBER(FIND(CODES!$A$11,J30))),CODES!$A$13,IF(OR(J30&lt;J$39,ISNUMBER(J30)=FALSE),J$40,J30))))</f>
      </c>
      <c r="K57" s="7">
        <f>IF(ISBLANK(K30),"NO DATA",IF(ISNUMBER(FIND(CODES!$A$12,K30)),CODES!$A$12,IF(OR(ISNUMBER(FIND(CODES!$A$10,K30)),ISNUMBER(FIND(CODES!$A$11,K30))),CODES!$A$13,IF(OR(K30&lt;K$39,ISNUMBER(K30)=FALSE),K$40,K30))))</f>
      </c>
      <c r="L57" s="7">
        <f>IF(ISBLANK(L30),"NO DATA",IF(ISNUMBER(FIND(CODES!$A$12,L30)),CODES!$A$12,IF(OR(ISNUMBER(FIND(CODES!$A$10,L30)),ISNUMBER(FIND(CODES!$A$11,L30))),CODES!$A$13,IF(OR(L30&lt;L$39,ISNUMBER(L30)=FALSE),L$40,L30))))</f>
      </c>
      <c r="M57" s="7">
        <f>IF(ISBLANK(M30),"NO DATA",IF(ISNUMBER(FIND(CODES!$A$12,M30)),CODES!$A$12,IF(OR(ISNUMBER(FIND(CODES!$A$10,M30)),ISNUMBER(FIND(CODES!$A$11,M30))),CODES!$A$13,IF(OR(M30&lt;M$39,ISNUMBER(M30)=FALSE),M$40,M30))))</f>
      </c>
      <c r="N57" s="7" t="str">
        <f>IF(ISBLANK(N30),"NO DATA",IF(ISNUMBER(FIND(CODES!$A$12,N30)),CODES!$A$12,IF(OR(ISNUMBER(FIND(CODES!$A$10,N30)),ISNUMBER(FIND(CODES!$A$11,N30))),CODES!$A$13,IF(OR(N30&lt;N$39,ISNUMBER(N30)=FALSE),N$40,N30))))</f>
      </c>
      <c r="O57" s="7" t="str">
        <f>IF(ISBLANK(O30),"NO DATA",IF(ISNUMBER(FIND(CODES!$A$12,O30)),CODES!$A$12,IF(OR(ISNUMBER(FIND(CODES!$A$10,O30)),ISNUMBER(FIND(CODES!$A$11,O30))),CODES!$A$13,IF(OR(O30&lt;O$39,ISNUMBER(O30)=FALSE),O$40,O30))))</f>
      </c>
      <c r="P57" s="7">
        <f>IF(ISBLANK(P30),"NO DATA",IF(ISNUMBER(FIND(CODES!$A$12,P30)),CODES!$A$12,IF(OR(ISNUMBER(FIND(CODES!$A$10,P30)),ISNUMBER(FIND(CODES!$A$11,P30))),CODES!$A$13,IF(OR(P30&lt;P$39,ISNUMBER(P30)=FALSE),P$40,P30))))</f>
      </c>
      <c r="Q57" s="7">
        <f>IF(ISBLANK(Q30),"NO DATA",IF(ISNUMBER(FIND(CODES!$A$12,Q30)),CODES!$A$12,IF(OR(ISNUMBER(FIND(CODES!$A$10,Q30)),ISNUMBER(FIND(CODES!$A$11,Q30))),CODES!$A$13,IF(OR(Q30&lt;Q$39,ISNUMBER(Q30)=FALSE),Q$40,Q30))))</f>
      </c>
      <c r="R57" s="7">
        <f>IF(ISBLANK(R30),"NO DATA",IF(ISNUMBER(FIND(CODES!$A$12,R30)),CODES!$A$12,IF(OR(ISNUMBER(FIND(CODES!$A$10,R30)),ISNUMBER(FIND(CODES!$A$11,R30))),CODES!$A$13,IF(OR(R30&lt;R$39,ISNUMBER(R30)=FALSE),R$40,R30))))</f>
      </c>
      <c r="S57" s="7">
        <f>IF(ISBLANK(S30),"NO DATA",IF(ISNUMBER(FIND(CODES!$A$12,S30)),CODES!$A$12,IF(OR(ISNUMBER(FIND(CODES!$A$10,S30)),ISNUMBER(FIND(CODES!$A$11,S30))),CODES!$A$13,IF(OR(S30&lt;S$39,ISNUMBER(S30)=FALSE),S$40,S30))))</f>
      </c>
      <c r="T57" s="7">
        <f>IF(ISBLANK(T30),"NO DATA",IF(ISNUMBER(FIND(CODES!$A$12,T30)),CODES!$A$12,IF(OR(ISNUMBER(FIND(CODES!$A$10,T30)),ISNUMBER(FIND(CODES!$A$11,T30))),CODES!$A$13,IF(OR(T30&lt;T$39,ISNUMBER(T30)=FALSE),T$40,T30))))</f>
      </c>
      <c r="U57" s="7">
        <f>IF(ISBLANK(U30),"NO DATA",IF(ISNUMBER(FIND(CODES!$A$12,U30)),CODES!$A$12,IF(OR(ISNUMBER(FIND(CODES!$A$10,U30)),ISNUMBER(FIND(CODES!$A$11,U30))),CODES!$A$13,IF(OR(U30&lt;U$39,ISNUMBER(U30)=FALSE),U$40,U30))))</f>
      </c>
      <c r="V57" s="7">
        <f>IF(ISBLANK(V30),"NO DATA",IF(ISNUMBER(FIND(CODES!$A$12,V30)),CODES!$A$12,IF(OR(ISNUMBER(FIND(CODES!$A$10,V30)),ISNUMBER(FIND(CODES!$A$11,V30))),CODES!$A$13,IF(OR(V30&lt;V$39,ISNUMBER(V30)=FALSE),V$40,V30))))</f>
      </c>
      <c r="W57" s="7">
        <f>IF(ISBLANK(W30),"NO DATA",IF(ISNUMBER(FIND(CODES!$A$12,W30)),CODES!$A$12,IF(OR(ISNUMBER(FIND(CODES!$A$10,W30)),ISNUMBER(FIND(CODES!$A$11,W30))),CODES!$A$13,IF(OR(W30&lt;W$39,ISNUMBER(W30)=FALSE),W$40,W30))))</f>
      </c>
      <c r="X57" s="7">
        <f>IF(ISBLANK(X30),"NO DATA",IF(ISNUMBER(FIND(CODES!$A$12,X30)),CODES!$A$12,IF(OR(ISNUMBER(FIND(CODES!$A$10,X30)),ISNUMBER(FIND(CODES!$A$11,X30))),CODES!$A$13,IF(OR(X30&lt;X$39,ISNUMBER(X30)=FALSE),X$40,X30))))</f>
      </c>
      <c r="Y57" s="7">
        <f>IF(ISBLANK(Y30),"NO DATA",IF(ISNUMBER(FIND(CODES!$A$12,Y30)),CODES!$A$12,IF(OR(ISNUMBER(FIND(CODES!$A$10,Y30)),ISNUMBER(FIND(CODES!$A$11,Y30))),CODES!$A$13,IF(OR(Y30&lt;Y$39,ISNUMBER(Y30)=FALSE),Y$40,Y30))))</f>
      </c>
      <c r="Z57" s="7">
        <f>IF(ISBLANK(Z30),"NO DATA",IF(ISNUMBER(FIND(CODES!$A$12,Z30)),CODES!$A$12,IF(OR(ISNUMBER(FIND(CODES!$A$10,Z30)),ISNUMBER(FIND(CODES!$A$11,Z30))),CODES!$A$13,IF(OR(Z30&lt;Z$39,ISNUMBER(Z30)=FALSE),Z$40,Z30))))</f>
      </c>
      <c r="AA57" s="7">
        <f>IF(ISBLANK(AA30),"NO DATA",IF(ISNUMBER(FIND(CODES!$A$12,AA30)),CODES!$A$12,IF(OR(ISNUMBER(FIND(CODES!$A$10,AA30)),ISNUMBER(FIND(CODES!$A$11,AA30))),CODES!$A$13,IF(OR(AA30&lt;AA$39,ISNUMBER(AA30)=FALSE),AA$40,AA30))))</f>
      </c>
      <c r="AB57" s="7">
        <f>IF(ISBLANK(AB30),"NO DATA",IF(ISNUMBER(FIND(CODES!$A$12,AB30)),CODES!$A$12,IF(OR(ISNUMBER(FIND(CODES!$A$10,AB30)),ISNUMBER(FIND(CODES!$A$11,AB30))),CODES!$A$13,IF(OR(AB30&lt;AB$39,ISNUMBER(AB30)=FALSE),AB$40,AB30))))</f>
      </c>
      <c r="AC57" s="7">
        <f>IF(ISBLANK(AC30),"NO DATA",IF(ISNUMBER(FIND(CODES!$A$12,AC30)),CODES!$A$12,IF(OR(ISNUMBER(FIND(CODES!$A$10,AC30)),ISNUMBER(FIND(CODES!$A$11,AC30))),CODES!$A$13,IF(OR(AC30&lt;AC$39,ISNUMBER(AC30)=FALSE),AC$40,AC30))))</f>
      </c>
      <c r="AD57" s="7">
        <f>IF(ISBLANK(AD30),"NO DATA",IF(ISNUMBER(FIND(CODES!$A$12,AD30)),CODES!$A$12,IF(OR(ISNUMBER(FIND(CODES!$A$10,AD30)),ISNUMBER(FIND(CODES!$A$11,AD30))),CODES!$A$13,IF(OR(AD30&lt;AD$39,ISNUMBER(AD30)=FALSE),AD$40,AD30))))</f>
      </c>
      <c r="AE57" s="7">
        <f>IF(ISBLANK(AE30),"NO DATA",IF(ISNUMBER(FIND(CODES!$A$12,AE30)),CODES!$A$12,IF(OR(ISNUMBER(FIND(CODES!$A$10,AE30)),ISNUMBER(FIND(CODES!$A$11,AE30))),CODES!$A$13,IF(OR(AE30&lt;AE$39,ISNUMBER(AE30)=FALSE),AE$40,AE30))))</f>
      </c>
      <c r="AF57" s="7">
        <f>IF(ISBLANK(AF30),"NO DATA",IF(ISNUMBER(FIND(CODES!$A$12,AF30)),CODES!$A$12,IF(OR(ISNUMBER(FIND(CODES!$A$10,AF30)),ISNUMBER(FIND(CODES!$A$11,AF30))),CODES!$A$13,IF(OR(AF30&lt;AF$39,ISNUMBER(AF30)=FALSE),AF$40,AF30))))</f>
      </c>
      <c r="AG57" s="7">
        <f>IF(ISBLANK(AG30),"NO DATA",IF(ISNUMBER(FIND(CODES!$A$12,AG30)),CODES!$A$12,IF(OR(ISNUMBER(FIND(CODES!$A$10,AG30)),ISNUMBER(FIND(CODES!$A$11,AG30))),CODES!$A$13,IF(OR(AG30&lt;AG$39,ISNUMBER(AG30)=FALSE),AG$40,AG30))))</f>
      </c>
      <c r="AH57" s="7">
        <f>IF(ISBLANK(AH30),"NO DATA",IF(ISNUMBER(FIND(CODES!$A$12,AH30)),CODES!$A$12,IF(OR(ISNUMBER(FIND(CODES!$A$10,AH30)),ISNUMBER(FIND(CODES!$A$11,AH30))),CODES!$A$13,IF(OR(AH30&lt;AH$39,ISNUMBER(AH30)=FALSE),AH$40,AH30))))</f>
      </c>
      <c r="AI57" s="7">
        <f>IF(ISBLANK(AI30),"NO DATA",IF(ISNUMBER(FIND(CODES!$A$12,AI30)),CODES!$A$12,IF(OR(ISNUMBER(FIND(CODES!$A$10,AI30)),ISNUMBER(FIND(CODES!$A$11,AI30))),CODES!$A$13,IF(OR(AI30&lt;AI$39,ISNUMBER(AI30)=FALSE),AI$40,AI30))))</f>
      </c>
      <c r="AJ57" s="7">
        <f>IF(ISBLANK(AJ30),"NO DATA",IF(ISNUMBER(FIND(CODES!$A$12,AJ30)),CODES!$A$12,IF(OR(ISNUMBER(FIND(CODES!$A$10,AJ30)),ISNUMBER(FIND(CODES!$A$11,AJ30))),CODES!$A$13,IF(OR(AJ30&lt;AJ$39,ISNUMBER(AJ30)=FALSE),AJ$40,AJ30))))</f>
      </c>
      <c r="AK57" s="7">
        <f>IF(ISBLANK(AK30),"NO DATA",IF(ISNUMBER(FIND(CODES!$A$12,AK30)),CODES!$A$12,IF(OR(ISNUMBER(FIND(CODES!$A$10,AK30)),ISNUMBER(FIND(CODES!$A$11,AK30))),CODES!$A$13,IF(OR(AK30&lt;AK$39,ISNUMBER(AK30)=FALSE),AK$40,AK30))))</f>
      </c>
      <c r="AL57" s="7">
        <f>IF(ISBLANK(AL30),"NO DATA",IF(ISNUMBER(FIND(CODES!$A$12,AL30)),CODES!$A$12,IF(OR(ISNUMBER(FIND(CODES!$A$10,AL30)),ISNUMBER(FIND(CODES!$A$11,AL30))),CODES!$A$13,IF(OR(AL30&lt;AL$39,ISNUMBER(AL30)=FALSE),AL$40,AL30))))</f>
      </c>
      <c r="AM57" s="7">
        <f>IF(ISBLANK(AM30),"NO DATA",IF(ISNUMBER(FIND(CODES!$A$12,AM30)),CODES!$A$12,IF(OR(ISNUMBER(FIND(CODES!$A$10,AM30)),ISNUMBER(FIND(CODES!$A$11,AM30))),CODES!$A$13,IF(OR(AM30&lt;AM$39,ISNUMBER(AM30)=FALSE),AM$40,AM30))))</f>
      </c>
      <c r="AN57" s="7">
        <f>IF(ISBLANK(AN30),"NO DATA",IF(ISNUMBER(FIND(CODES!$A$12,AN30)),CODES!$A$12,IF(OR(ISNUMBER(FIND(CODES!$A$10,AN30)),ISNUMBER(FIND(CODES!$A$11,AN30))),CODES!$A$13,IF(OR(AN30&lt;AN$39,ISNUMBER(AN30)=FALSE),AN$40,AN30))))</f>
      </c>
      <c r="AO57" s="7">
        <f>IF(ISBLANK(AO30),"NO DATA",IF(ISNUMBER(FIND(CODES!$A$12,AO30)),CODES!$A$12,IF(OR(ISNUMBER(FIND(CODES!$A$10,AO30)),ISNUMBER(FIND(CODES!$A$11,AO30))),CODES!$A$13,IF(OR(AO30&lt;AO$39,ISNUMBER(AO30)=FALSE),AO$40,AO30))))</f>
      </c>
      <c r="AP57" s="7">
        <f>IF(ISBLANK(AP30),"NO DATA",IF(ISNUMBER(FIND(CODES!$A$12,AP30)),CODES!$A$12,IF(OR(ISNUMBER(FIND(CODES!$A$10,AP30)),ISNUMBER(FIND(CODES!$A$11,AP30))),CODES!$A$13,IF(OR(AP30&lt;AP$39,ISNUMBER(AP30)=FALSE),AP$40,AP30))))</f>
      </c>
      <c r="AQ57" s="7">
        <f>IF(ISBLANK(AQ30),"NO DATA",IF(ISNUMBER(FIND(CODES!$A$12,AQ30)),CODES!$A$12,IF(OR(ISNUMBER(FIND(CODES!$A$10,AQ30)),ISNUMBER(FIND(CODES!$A$11,AQ30))),CODES!$A$13,IF(OR(AQ30&lt;AQ$39,ISNUMBER(AQ30)=FALSE),AQ$40,AQ30))))</f>
      </c>
      <c r="AR57" s="7">
        <f>IF(ISBLANK(AR30),"NO DATA",IF(ISNUMBER(FIND(CODES!$A$12,AR30)),CODES!$A$12,IF(OR(ISNUMBER(FIND(CODES!$A$10,AR30)),ISNUMBER(FIND(CODES!$A$11,AR30))),CODES!$A$13,IF(OR(AR30&lt;AR$39,ISNUMBER(AR30)=FALSE),AR$40,AR30))))</f>
      </c>
      <c r="AS57" s="7">
        <f>IF(ISBLANK(AS30),"NO DATA",IF(ISNUMBER(FIND(CODES!$A$12,AS30)),CODES!$A$12,IF(OR(ISNUMBER(FIND(CODES!$A$10,AS30)),ISNUMBER(FIND(CODES!$A$11,AS30))),CODES!$A$13,IF(OR(AS30&lt;AS$39,ISNUMBER(AS30)=FALSE),AS$40,AS30))))</f>
      </c>
      <c r="AT57" s="7">
        <f>IF(ISBLANK(AT30),"NO DATA",IF(ISNUMBER(FIND(CODES!$A$12,AT30)),CODES!$A$12,IF(OR(ISNUMBER(FIND(CODES!$A$10,AT30)),ISNUMBER(FIND(CODES!$A$11,AT30))),CODES!$A$13,IF(OR(AT30&lt;AT$39,ISNUMBER(AT30)=FALSE),AT$40,AT30))))</f>
      </c>
      <c r="AU57" s="7">
        <f>IF(ISBLANK(AU30),"NO DATA",IF(ISNUMBER(FIND(CODES!$A$12,AU30)),CODES!$A$12,IF(OR(ISNUMBER(FIND(CODES!$A$10,AU30)),ISNUMBER(FIND(CODES!$A$11,AU30))),CODES!$A$13,IF(OR(AU30&lt;AU$39,ISNUMBER(AU30)=FALSE),AU$40,AU30))))</f>
      </c>
      <c r="AV57" s="7" t="str">
        <f>IF(ISBLANK(AV30),"NO DATA",IF(ISNUMBER(FIND(CODES!$A$12,AV30)),CODES!$A$12,IF(OR(ISNUMBER(FIND(CODES!$A$10,AV30)),ISNUMBER(FIND(CODES!$A$11,AV30))),CODES!$A$13,IF(OR(AV30&lt;AV$39,ISNUMBER(AV30)=FALSE),AV$40,AV30))))</f>
      </c>
      <c r="AW57" s="7" t="str">
        <f>IF(ISBLANK(AW30),"NO DATA",IF(ISNUMBER(FIND(CODES!$A$12,AW30)),CODES!$A$12,IF(OR(ISNUMBER(FIND(CODES!$A$10,AW30)),ISNUMBER(FIND(CODES!$A$11,AW30))),CODES!$A$13,IF(OR(AW30&lt;AW$39,ISNUMBER(AW30)=FALSE),AW$40,AW30))))</f>
      </c>
      <c r="AX57" s="7">
        <f>IF(ISBLANK(AX30),"NO DATA",IF(ISNUMBER(FIND(CODES!$A$12,AX30)),CODES!$A$12,IF(OR(ISNUMBER(FIND(CODES!$A$10,AX30)),ISNUMBER(FIND(CODES!$A$11,AX30))),CODES!$A$13,IF(OR(AX30&lt;AX$39,ISNUMBER(AX30)=FALSE),AX$40,AX30))))</f>
      </c>
      <c r="AY57" s="7">
        <f>IF(ISBLANK(AY30),"NO DATA",IF(ISNUMBER(FIND(CODES!$A$12,AY30)),CODES!$A$12,IF(OR(ISNUMBER(FIND(CODES!$A$10,AY30)),ISNUMBER(FIND(CODES!$A$11,AY30))),CODES!$A$13,IF(OR(AY30&lt;AY$39,ISNUMBER(AY30)=FALSE),AY$40,AY30))))</f>
      </c>
      <c r="AZ57" s="7">
        <f>IF(ISBLANK(AZ30),"NO DATA",IF(ISNUMBER(FIND(CODES!$A$12,AZ30)),CODES!$A$12,IF(OR(ISNUMBER(FIND(CODES!$A$10,AZ30)),ISNUMBER(FIND(CODES!$A$11,AZ30))),CODES!$A$13,IF(OR(AZ30&lt;AZ$39,ISNUMBER(AZ30)=FALSE),AZ$40,AZ30))))</f>
      </c>
      <c r="BA57" s="7">
        <f>IF(ISBLANK(BA30),"NO DATA",IF(ISNUMBER(FIND(CODES!$A$12,BA30)),CODES!$A$12,IF(OR(ISNUMBER(FIND(CODES!$A$10,BA30)),ISNUMBER(FIND(CODES!$A$11,BA30))),CODES!$A$13,IF(OR(BA30&lt;BA$39,ISNUMBER(BA30)=FALSE),BA$40,BA30))))</f>
      </c>
      <c r="BB57" s="7">
        <f>IF(ISBLANK(BB30),"NO DATA",IF(ISNUMBER(FIND(CODES!$A$12,BB30)),CODES!$A$12,IF(OR(ISNUMBER(FIND(CODES!$A$10,BB30)),ISNUMBER(FIND(CODES!$A$11,BB30))),CODES!$A$13,IF(OR(BB30&lt;BB$39,ISNUMBER(BB30)=FALSE),BB$40,BB30))))</f>
      </c>
      <c r="BC57" s="7">
        <f>IF(ISBLANK(BC30),"NO DATA",IF(ISNUMBER(FIND(CODES!$A$12,BC30)),CODES!$A$12,IF(OR(ISNUMBER(FIND(CODES!$A$10,BC30)),ISNUMBER(FIND(CODES!$A$11,BC30))),CODES!$A$13,IF(OR(BC30&lt;BC$39,ISNUMBER(BC30)=FALSE),BC$40,BC30))))</f>
      </c>
      <c r="BD57" s="7">
        <f>IF(ISBLANK(BD30),"NO DATA",IF(ISNUMBER(FIND(CODES!$A$12,BD30)),CODES!$A$12,IF(OR(ISNUMBER(FIND(CODES!$A$10,BD30)),ISNUMBER(FIND(CODES!$A$11,BD30))),CODES!$A$13,IF(OR(BD30&lt;BD$39,ISNUMBER(BD30)=FALSE),BD$40,BD30))))</f>
      </c>
      <c r="BE57" s="7">
        <f>IF(ISBLANK(BE30),"NO DATA",IF(ISNUMBER(FIND(CODES!$A$12,BE30)),CODES!$A$12,IF(OR(ISNUMBER(FIND(CODES!$A$10,BE30)),ISNUMBER(FIND(CODES!$A$11,BE30))),CODES!$A$13,IF(OR(BE30&lt;BE$39,ISNUMBER(BE30)=FALSE),BE$40,BE30))))</f>
      </c>
      <c r="BF57" s="7">
        <f>IF(ISBLANK(BF30),"NO DATA",IF(ISNUMBER(FIND(CODES!$A$12,BF30)),CODES!$A$12,IF(OR(ISNUMBER(FIND(CODES!$A$10,BF30)),ISNUMBER(FIND(CODES!$A$11,BF30))),CODES!$A$13,IF(OR(BF30&lt;BF$39,ISNUMBER(BF30)=FALSE),BF$40,BF30))))</f>
      </c>
      <c r="BG57" s="7">
        <f>IF(ISBLANK(BG30),"NO DATA",IF(ISNUMBER(FIND(CODES!$A$12,BG30)),CODES!$A$12,IF(OR(ISNUMBER(FIND(CODES!$A$10,BG30)),ISNUMBER(FIND(CODES!$A$11,BG30))),CODES!$A$13,IF(OR(BG30&lt;BG$39,ISNUMBER(BG30)=FALSE),BG$40,BG30))))</f>
      </c>
      <c r="BH57" s="7" t="str">
        <f>IF(ISBLANK(BH30),"NO DATA",IF(ISNUMBER(FIND(CODES!$A$12,BH30)),CODES!$A$12,IF(OR(ISNUMBER(FIND(CODES!$A$10,BH30)),ISNUMBER(FIND(CODES!$A$11,BH30))),CODES!$A$13,IF(OR(BH30&lt;BH$39,ISNUMBER(BH30)=FALSE),BH$40,BH30))))</f>
      </c>
      <c r="BI57" s="7" t="str">
        <f>IF(ISBLANK(BI30),"NO DATA",IF(ISNUMBER(FIND(CODES!$A$12,BI30)),CODES!$A$12,IF(OR(ISNUMBER(FIND(CODES!$A$10,BI30)),ISNUMBER(FIND(CODES!$A$11,BI30))),CODES!$A$13,IF(OR(BI30&lt;BI$39,ISNUMBER(BI30)=FALSE),BI$40,BI30))))</f>
      </c>
      <c r="BJ57" s="7">
        <f>IF(ISBLANK(BJ30),"NO DATA",IF(ISNUMBER(FIND(CODES!$A$12,BJ30)),CODES!$A$12,IF(OR(ISNUMBER(FIND(CODES!$A$10,BJ30)),ISNUMBER(FIND(CODES!$A$11,BJ30))),CODES!$A$13,IF(OR(BJ30&lt;BJ$39,ISNUMBER(BJ30)=FALSE),BJ$40,BJ30))))</f>
      </c>
      <c r="BK57" s="7">
        <f>IF(ISBLANK(BK30),"NO DATA",IF(ISNUMBER(FIND(CODES!$A$12,BK30)),CODES!$A$12,IF(OR(ISNUMBER(FIND(CODES!$A$10,BK30)),ISNUMBER(FIND(CODES!$A$11,BK30))),CODES!$A$13,IF(OR(BK30&lt;BK$39,ISNUMBER(BK30)=FALSE),BK$40,BK30))))</f>
      </c>
      <c r="BL57" s="7">
        <f>IF(ISBLANK(BL30),"NO DATA",IF(ISNUMBER(FIND(CODES!$A$12,BL30)),CODES!$A$12,IF(OR(ISNUMBER(FIND(CODES!$A$10,BL30)),ISNUMBER(FIND(CODES!$A$11,BL30))),CODES!$A$13,IF(OR(BL30&lt;BL$39,ISNUMBER(BL30)=FALSE),BL$40,BL30))))</f>
      </c>
      <c r="BM57" s="7">
        <f>IF(ISBLANK(BM30),"NO DATA",IF(ISNUMBER(FIND(CODES!$A$12,BM30)),CODES!$A$12,IF(OR(ISNUMBER(FIND(CODES!$A$10,BM30)),ISNUMBER(FIND(CODES!$A$11,BM30))),CODES!$A$13,IF(OR(BM30&lt;BM$39,ISNUMBER(BM30)=FALSE),BM$40,BM30))))</f>
      </c>
      <c r="BN57" s="7" t="str">
        <f>IF(ISBLANK(BN30),"NO DATA",IF(ISNUMBER(FIND(CODES!$A$12,BN30)),CODES!$A$12,IF(OR(ISNUMBER(FIND(CODES!$A$10,BN30)),ISNUMBER(FIND(CODES!$A$11,BN30))),CODES!$A$13,IF(OR(BN30&lt;BN$39,ISNUMBER(BN30)=FALSE),BN$40,BN30))))</f>
      </c>
      <c r="BO57" s="7" t="str">
        <f>IF(ISBLANK(BO30),"NO DATA",IF(ISNUMBER(FIND(CODES!$A$12,BO30)),CODES!$A$12,IF(OR(ISNUMBER(FIND(CODES!$A$10,BO30)),ISNUMBER(FIND(CODES!$A$11,BO30))),CODES!$A$13,IF(OR(BO30&lt;BO$39,ISNUMBER(BO30)=FALSE),BO$40,BO30))))</f>
      </c>
      <c r="BP57" s="7">
        <f>IF(ISBLANK(BP30),"NO DATA",IF(ISNUMBER(FIND(CODES!$A$12,BP30)),CODES!$A$12,IF(OR(ISNUMBER(FIND(CODES!$A$10,BP30)),ISNUMBER(FIND(CODES!$A$11,BP30))),CODES!$A$13,IF(OR(BP30&lt;BP$39,ISNUMBER(BP30)=FALSE),BP$40,BP30))))</f>
      </c>
      <c r="BQ57" s="7">
        <f>IF(ISBLANK(BQ30),"NO DATA",IF(ISNUMBER(FIND(CODES!$A$12,BQ30)),CODES!$A$12,IF(OR(ISNUMBER(FIND(CODES!$A$10,BQ30)),ISNUMBER(FIND(CODES!$A$11,BQ30))),CODES!$A$13,IF(OR(BQ30&lt;BQ$39,ISNUMBER(BQ30)=FALSE),BQ$40,BQ30))))</f>
      </c>
      <c r="BR57" s="7">
        <f>IF(ISBLANK(BR30),"NO DATA",IF(ISNUMBER(FIND(CODES!$A$12,BR30)),CODES!$A$12,IF(OR(ISNUMBER(FIND(CODES!$A$10,BR30)),ISNUMBER(FIND(CODES!$A$11,BR30))),CODES!$A$13,IF(OR(BR30&lt;BR$39,ISNUMBER(BR30)=FALSE),BR$40,BR30))))</f>
      </c>
      <c r="BS57" s="7">
        <f>IF(ISBLANK(BS30),"NO DATA",IF(ISNUMBER(FIND(CODES!$A$12,BS30)),CODES!$A$12,IF(OR(ISNUMBER(FIND(CODES!$A$10,BS30)),ISNUMBER(FIND(CODES!$A$11,BS30))),CODES!$A$13,IF(OR(BS30&lt;BS$39,ISNUMBER(BS30)=FALSE),BS$40,BS30))))</f>
      </c>
      <c r="BT57" s="7">
        <f>IF(ISBLANK(BT30),"NO DATA",IF(ISNUMBER(FIND(CODES!$A$12,BT30)),CODES!$A$12,IF(OR(ISNUMBER(FIND(CODES!$A$10,BT30)),ISNUMBER(FIND(CODES!$A$11,BT30))),CODES!$A$13,IF(OR(BT30&lt;BT$39,ISNUMBER(BT30)=FALSE),BT$40,BT30))))</f>
      </c>
      <c r="BU57" s="7">
        <f>IF(ISBLANK(BU30),"NO DATA",IF(ISNUMBER(FIND(CODES!$A$12,BU30)),CODES!$A$12,IF(OR(ISNUMBER(FIND(CODES!$A$10,BU30)),ISNUMBER(FIND(CODES!$A$11,BU30))),CODES!$A$13,IF(OR(BU30&lt;BU$39,ISNUMBER(BU30)=FALSE),BU$40,BU30))))</f>
      </c>
      <c r="BV57" s="7">
        <f>IF(ISBLANK(BV30),"NO DATA",IF(ISNUMBER(FIND(CODES!$A$12,BV30)),CODES!$A$12,IF(OR(ISNUMBER(FIND(CODES!$A$10,BV30)),ISNUMBER(FIND(CODES!$A$11,BV30))),CODES!$A$13,IF(OR(BV30&lt;BV$39,ISNUMBER(BV30)=FALSE),BV$40,BV30))))</f>
      </c>
      <c r="BW57" s="7" t="str">
        <f>IF(ISBLANK(BW30),"NO DATA",IF(ISNUMBER(FIND(CODES!$A$12,BW30)),CODES!$A$12,IF(OR(ISNUMBER(FIND(CODES!$A$10,BW30)),ISNUMBER(FIND(CODES!$A$11,BW30))),CODES!$A$13,IF(OR(BW30&lt;BW$39,ISNUMBER(BW30)=FALSE),BW$40,BW30))))</f>
      </c>
      <c r="BX57" s="7" t="str">
        <f>IF(ISBLANK(BX30),"NO DATA",IF(ISNUMBER(FIND(CODES!$A$12,BX30)),CODES!$A$12,IF(OR(ISNUMBER(FIND(CODES!$A$10,BX30)),ISNUMBER(FIND(CODES!$A$11,BX30))),CODES!$A$13,IF(OR(BX30&lt;BX$39,ISNUMBER(BX30)=FALSE),BX$40,BX30))))</f>
      </c>
      <c r="BY57" s="7">
        <f>IF(ISBLANK(BY30),"NO DATA",IF(ISNUMBER(FIND(CODES!$A$12,BY30)),CODES!$A$12,IF(OR(ISNUMBER(FIND(CODES!$A$10,BY30)),ISNUMBER(FIND(CODES!$A$11,BY30))),CODES!$A$13,IF(OR(BY30&lt;BY$39,ISNUMBER(BY30)=FALSE),BY$40,BY30))))</f>
      </c>
      <c r="BZ57" s="7">
        <f>IF(ISBLANK(BZ30),"NO DATA",IF(ISNUMBER(FIND(CODES!$A$12,BZ30)),CODES!$A$12,IF(OR(ISNUMBER(FIND(CODES!$A$10,BZ30)),ISNUMBER(FIND(CODES!$A$11,BZ30))),CODES!$A$13,IF(OR(BZ30&lt;BZ$39,ISNUMBER(BZ30)=FALSE),BZ$40,BZ30))))</f>
      </c>
      <c r="CA57" s="7">
        <f>IF(ISBLANK(CA30),"NO DATA",IF(ISNUMBER(FIND(CODES!$A$12,CA30)),CODES!$A$12,IF(OR(ISNUMBER(FIND(CODES!$A$10,CA30)),ISNUMBER(FIND(CODES!$A$11,CA30))),CODES!$A$13,IF(OR(CA30&lt;CA$39,ISNUMBER(CA30)=FALSE),CA$40,CA30))))</f>
      </c>
      <c r="CB57" s="7">
        <f>IF(ISBLANK(CB30),"NO DATA",IF(ISNUMBER(FIND(CODES!$A$12,CB30)),CODES!$A$12,IF(OR(ISNUMBER(FIND(CODES!$A$10,CB30)),ISNUMBER(FIND(CODES!$A$11,CB30))),CODES!$A$13,IF(OR(CB30&lt;CB$39,ISNUMBER(CB30)=FALSE),CB$40,CB30))))</f>
      </c>
      <c r="CC57" s="7">
        <f>IF(ISBLANK(CC30),"NO DATA",IF(ISNUMBER(FIND(CODES!$A$12,CC30)),CODES!$A$12,IF(OR(ISNUMBER(FIND(CODES!$A$10,CC30)),ISNUMBER(FIND(CODES!$A$11,CC30))),CODES!$A$13,IF(OR(CC30&lt;CC$39,ISNUMBER(CC30)=FALSE),CC$40,CC30))))</f>
      </c>
      <c r="CD57" s="7">
        <f>IF(ISBLANK(CD30),"NO DATA",IF(ISNUMBER(FIND(CODES!$A$12,CD30)),CODES!$A$12,IF(OR(ISNUMBER(FIND(CODES!$A$10,CD30)),ISNUMBER(FIND(CODES!$A$11,CD30))),CODES!$A$13,IF(OR(CD30&lt;CD$39,ISNUMBER(CD30)=FALSE),CD$40,CD30))))</f>
      </c>
      <c r="CE57" s="7">
        <f>IF(ISBLANK(CE30),"NO DATA",IF(ISNUMBER(FIND(CODES!$A$12,CE30)),CODES!$A$12,IF(OR(ISNUMBER(FIND(CODES!$A$10,CE30)),ISNUMBER(FIND(CODES!$A$11,CE30))),CODES!$A$13,IF(OR(CE30&lt;CE$39,ISNUMBER(CE30)=FALSE),CE$40,CE30))))</f>
      </c>
      <c r="CF57" s="7">
        <f>IF(ISBLANK(CF30),"NO DATA",IF(ISNUMBER(FIND(CODES!$A$12,CF30)),CODES!$A$12,IF(OR(ISNUMBER(FIND(CODES!$A$10,CF30)),ISNUMBER(FIND(CODES!$A$11,CF30))),CODES!$A$13,IF(OR(CF30&lt;CF$39,ISNUMBER(CF30)=FALSE),CF$40,CF30))))</f>
      </c>
      <c r="CG57" s="7">
        <f>IF(ISBLANK(CG30),"NO DATA",IF(ISNUMBER(FIND(CODES!$A$12,CG30)),CODES!$A$12,IF(OR(ISNUMBER(FIND(CODES!$A$10,CG30)),ISNUMBER(FIND(CODES!$A$11,CG30))),CODES!$A$13,IF(OR(CG30&lt;CG$39,ISNUMBER(CG30)=FALSE),CG$40,CG30))))</f>
      </c>
      <c r="CH57" s="7">
        <f>IF(ISBLANK(CH30),"NO DATA",IF(ISNUMBER(FIND(CODES!$A$12,CH30)),CODES!$A$12,IF(OR(ISNUMBER(FIND(CODES!$A$10,CH30)),ISNUMBER(FIND(CODES!$A$11,CH30))),CODES!$A$13,IF(OR(CH30&lt;CH$39,ISNUMBER(CH30)=FALSE),CH$40,CH30))))</f>
      </c>
      <c r="CI57" s="7">
        <f>IF(ISBLANK(CI30),"NO DATA",IF(ISNUMBER(FIND(CODES!$A$12,CI30)),CODES!$A$12,IF(OR(ISNUMBER(FIND(CODES!$A$10,CI30)),ISNUMBER(FIND(CODES!$A$11,CI30))),CODES!$A$13,IF(OR(CI30&lt;CI$39,ISNUMBER(CI30)=FALSE),CI$40,CI30))))</f>
      </c>
      <c r="CJ57" s="7">
        <f>IF(ISBLANK(CJ30),"NO DATA",IF(ISNUMBER(FIND(CODES!$A$12,CJ30)),CODES!$A$12,IF(OR(ISNUMBER(FIND(CODES!$A$10,CJ30)),ISNUMBER(FIND(CODES!$A$11,CJ30))),CODES!$A$13,IF(OR(CJ30&lt;CJ$39,ISNUMBER(CJ30)=FALSE),CJ$40,CJ30))))</f>
      </c>
      <c r="CK57" s="7">
        <f>IF(ISBLANK(CK30),"NO DATA",IF(ISNUMBER(FIND(CODES!$A$12,CK30)),CODES!$A$12,IF(OR(ISNUMBER(FIND(CODES!$A$10,CK30)),ISNUMBER(FIND(CODES!$A$11,CK30))),CODES!$A$13,IF(OR(CK30&lt;CK$39,ISNUMBER(CK30)=FALSE),CK$40,CK30))))</f>
      </c>
      <c r="CL57" s="7">
        <f>IF(ISBLANK(CL30),"NO DATA",IF(ISNUMBER(FIND(CODES!$A$12,CL30)),CODES!$A$12,IF(OR(ISNUMBER(FIND(CODES!$A$10,CL30)),ISNUMBER(FIND(CODES!$A$11,CL30))),CODES!$A$13,IF(OR(CL30&lt;CL$39,ISNUMBER(CL30)=FALSE),CL$40,CL30))))</f>
      </c>
      <c r="CM57" s="7">
        <f>IF(ISBLANK(CM30),"NO DATA",IF(ISNUMBER(FIND(CODES!$A$12,CM30)),CODES!$A$12,IF(OR(ISNUMBER(FIND(CODES!$A$10,CM30)),ISNUMBER(FIND(CODES!$A$11,CM30))),CODES!$A$13,IF(OR(CM30&lt;CM$39,ISNUMBER(CM30)=FALSE),CM$40,CM30))))</f>
      </c>
      <c r="CN57" s="7">
        <f>IF(ISBLANK(CN30),"NO DATA",IF(ISNUMBER(FIND(CODES!$A$12,CN30)),CODES!$A$12,IF(OR(ISNUMBER(FIND(CODES!$A$10,CN30)),ISNUMBER(FIND(CODES!$A$11,CN30))),CODES!$A$13,IF(OR(CN30&lt;CN$39,ISNUMBER(CN30)=FALSE),CN$40,CN30))))</f>
      </c>
      <c r="CO57" s="7">
        <f>IF(ISBLANK(CO30),"NO DATA",IF(ISNUMBER(FIND(CODES!$A$12,CO30)),CODES!$A$12,IF(OR(ISNUMBER(FIND(CODES!$A$10,CO30)),ISNUMBER(FIND(CODES!$A$11,CO30))),CODES!$A$13,IF(OR(CO30&lt;CO$39,ISNUMBER(CO30)=FALSE),CO$40,CO30))))</f>
      </c>
      <c r="CP57" s="7">
        <f>IF(ISBLANK(CP30),"NO DATA",IF(ISNUMBER(FIND(CODES!$A$12,CP30)),CODES!$A$12,IF(OR(ISNUMBER(FIND(CODES!$A$10,CP30)),ISNUMBER(FIND(CODES!$A$11,CP30))),CODES!$A$13,IF(OR(CP30&lt;CP$39,ISNUMBER(CP30)=FALSE),CP$40,CP30))))</f>
      </c>
      <c r="CQ57" s="7">
        <f>IF(ISBLANK(CQ30),"NO DATA",IF(ISNUMBER(FIND(CODES!$A$12,CQ30)),CODES!$A$12,IF(OR(ISNUMBER(FIND(CODES!$A$10,CQ30)),ISNUMBER(FIND(CODES!$A$11,CQ30))),CODES!$A$13,IF(OR(CQ30&lt;CQ$39,ISNUMBER(CQ30)=FALSE),CQ$40,CQ30))))</f>
      </c>
      <c r="CR57" s="7">
        <f>IF(ISBLANK(CR30),"NO DATA",IF(ISNUMBER(FIND(CODES!$A$12,CR30)),CODES!$A$12,IF(OR(ISNUMBER(FIND(CODES!$A$10,CR30)),ISNUMBER(FIND(CODES!$A$11,CR30))),CODES!$A$13,IF(OR(CR30&lt;CR$39,ISNUMBER(CR30)=FALSE),CR$40,CR30))))</f>
      </c>
      <c r="CS57" s="7">
        <f>IF(ISBLANK(CS30),"NO DATA",IF(ISNUMBER(FIND(CODES!$A$12,CS30)),CODES!$A$12,IF(OR(ISNUMBER(FIND(CODES!$A$10,CS30)),ISNUMBER(FIND(CODES!$A$11,CS30))),CODES!$A$13,IF(OR(CS30&lt;CS$39,ISNUMBER(CS30)=FALSE),CS$40,CS30))))</f>
      </c>
      <c r="CT57" s="7">
        <f>IF(ISBLANK(CT30),"NO DATA",IF(ISNUMBER(FIND(CODES!$A$12,CT30)),CODES!$A$12,IF(OR(ISNUMBER(FIND(CODES!$A$10,CT30)),ISNUMBER(FIND(CODES!$A$11,CT30))),CODES!$A$13,IF(OR(CT30&lt;CT$39,ISNUMBER(CT30)=FALSE),CT$40,CT30))))</f>
      </c>
      <c r="CU57" s="7">
        <f>IF(ISBLANK(CU30),"NO DATA",IF(ISNUMBER(FIND(CODES!$A$12,CU30)),CODES!$A$12,IF(OR(ISNUMBER(FIND(CODES!$A$10,CU30)),ISNUMBER(FIND(CODES!$A$11,CU30))),CODES!$A$13,IF(OR(CU30&lt;CU$39,ISNUMBER(CU30)=FALSE),CU$40,CU30))))</f>
      </c>
      <c r="CV57" s="7">
        <f>IF(ISBLANK(CV30),"NO DATA",IF(ISNUMBER(FIND(CODES!$A$12,CV30)),CODES!$A$12,IF(OR(ISNUMBER(FIND(CODES!$A$10,CV30)),ISNUMBER(FIND(CODES!$A$11,CV30))),CODES!$A$13,IF(OR(CV30&lt;CV$39,ISNUMBER(CV30)=FALSE),CV$40,CV30))))</f>
      </c>
      <c r="CW57" s="7">
        <f>IF(ISBLANK(CW30),"NO DATA",IF(ISNUMBER(FIND(CODES!$A$12,CW30)),CODES!$A$12,IF(OR(ISNUMBER(FIND(CODES!$A$10,CW30)),ISNUMBER(FIND(CODES!$A$11,CW30))),CODES!$A$13,IF(OR(CW30&lt;CW$39,ISNUMBER(CW30)=FALSE),CW$40,CW30))))</f>
      </c>
      <c r="CX57" s="7">
        <f>IF(ISBLANK(CX30),"NO DATA",IF(ISNUMBER(FIND(CODES!$A$12,CX30)),CODES!$A$12,IF(OR(ISNUMBER(FIND(CODES!$A$10,CX30)),ISNUMBER(FIND(CODES!$A$11,CX30))),CODES!$A$13,IF(OR(CX30&lt;CX$39,ISNUMBER(CX30)=FALSE),CX$40,CX30))))</f>
      </c>
      <c r="CY57" s="7">
        <f>IF(ISBLANK(CY30),"NO DATA",IF(ISNUMBER(FIND(CODES!$A$12,CY30)),CODES!$A$12,IF(OR(ISNUMBER(FIND(CODES!$A$10,CY30)),ISNUMBER(FIND(CODES!$A$11,CY30))),CODES!$A$13,IF(OR(CY30&lt;CY$39,ISNUMBER(CY30)=FALSE),CY$40,CY30))))</f>
      </c>
      <c r="CZ57" s="7">
        <f>IF(ISBLANK(CZ30),"NO DATA",IF(ISNUMBER(FIND(CODES!$A$12,CZ30)),CODES!$A$12,IF(OR(ISNUMBER(FIND(CODES!$A$10,CZ30)),ISNUMBER(FIND(CODES!$A$11,CZ30))),CODES!$A$13,IF(OR(CZ30&lt;CZ$39,ISNUMBER(CZ30)=FALSE),CZ$40,CZ30))))</f>
      </c>
      <c r="DA57" s="7">
        <f>IF(ISBLANK(DA30),"NO DATA",IF(ISNUMBER(FIND(CODES!$A$12,DA30)),CODES!$A$12,IF(OR(ISNUMBER(FIND(CODES!$A$10,DA30)),ISNUMBER(FIND(CODES!$A$11,DA30))),CODES!$A$13,IF(OR(DA30&lt;DA$39,ISNUMBER(DA30)=FALSE),DA$40,DA30))))</f>
      </c>
      <c r="DB57" s="7" t="str">
        <f>IF(ISBLANK(DB30),"NO DATA",IF(ISNUMBER(FIND(CODES!$A$12,DB30)),CODES!$A$12,IF(OR(ISNUMBER(FIND(CODES!$A$10,DB30)),ISNUMBER(FIND(CODES!$A$11,DB30))),CODES!$A$13,IF(OR(DB30&lt;DB$39,ISNUMBER(DB30)=FALSE),DB$40,DB30))))</f>
      </c>
      <c r="DC57" s="7" t="str">
        <f>IF(ISBLANK(DC30),"NO DATA",IF(ISNUMBER(FIND(CODES!$A$12,DC30)),CODES!$A$12,IF(OR(ISNUMBER(FIND(CODES!$A$10,DC30)),ISNUMBER(FIND(CODES!$A$11,DC30))),CODES!$A$13,IF(OR(DC30&lt;DC$39,ISNUMBER(DC30)=FALSE),DC$40,DC30))))</f>
      </c>
      <c r="DD57" s="7">
        <f>IF(ISBLANK(DD30),"NO DATA",IF(ISNUMBER(FIND(CODES!$A$12,DD30)),CODES!$A$12,IF(OR(ISNUMBER(FIND(CODES!$A$10,DD30)),ISNUMBER(FIND(CODES!$A$11,DD30))),CODES!$A$13,IF(OR(DD30&lt;DD$39,ISNUMBER(DD30)=FALSE),DD$40,DD30))))</f>
      </c>
      <c r="DE57" s="7">
        <f>IF(ISBLANK(DE30),"NO DATA",IF(ISNUMBER(FIND(CODES!$A$12,DE30)),CODES!$A$12,IF(OR(ISNUMBER(FIND(CODES!$A$10,DE30)),ISNUMBER(FIND(CODES!$A$11,DE30))),CODES!$A$13,IF(OR(DE30&lt;DE$39,ISNUMBER(DE30)=FALSE),DE$40,DE30))))</f>
      </c>
      <c r="DF57" s="7">
        <f>IF(ISBLANK(DF30),"NO DATA",IF(ISNUMBER(FIND(CODES!$A$12,DF30)),CODES!$A$12,IF(OR(ISNUMBER(FIND(CODES!$A$10,DF30)),ISNUMBER(FIND(CODES!$A$11,DF30))),CODES!$A$13,IF(OR(DF30&lt;DF$39,ISNUMBER(DF30)=FALSE),DF$40,DF30))))</f>
      </c>
      <c r="DG57" s="7">
        <f>IF(ISBLANK(DG30),"NO DATA",IF(ISNUMBER(FIND(CODES!$A$12,DG30)),CODES!$A$12,IF(OR(ISNUMBER(FIND(CODES!$A$10,DG30)),ISNUMBER(FIND(CODES!$A$11,DG30))),CODES!$A$13,IF(OR(DG30&lt;DG$39,ISNUMBER(DG30)=FALSE),DG$40,DG30))))</f>
      </c>
      <c r="DH57" s="7">
        <f>IF(ISBLANK(DH30),"NO DATA",IF(ISNUMBER(FIND(CODES!$A$12,DH30)),CODES!$A$12,IF(OR(ISNUMBER(FIND(CODES!$A$10,DH30)),ISNUMBER(FIND(CODES!$A$11,DH30))),CODES!$A$13,IF(OR(DH30&lt;DH$39,ISNUMBER(DH30)=FALSE),DH$40,DH30))))</f>
      </c>
      <c r="DI57" s="7">
        <f>IF(ISBLANK(DI30),"NO DATA",IF(ISNUMBER(FIND(CODES!$A$12,DI30)),CODES!$A$12,IF(OR(ISNUMBER(FIND(CODES!$A$10,DI30)),ISNUMBER(FIND(CODES!$A$11,DI30))),CODES!$A$13,IF(OR(DI30&lt;DI$39,ISNUMBER(DI30)=FALSE),DI$40,DI30))))</f>
      </c>
    </row>
    <row r="58" spans="1:113" x14ac:dyDescent="0.25">
      <c r="A58" s="16" t="str">
        <f t="shared" si="2"/>
      </c>
      <c r="B58" s="16" t="str">
        <f t="shared" si="2"/>
      </c>
      <c r="C58" s="7" t="str">
        <f>IF(ISBLANK(C31),"NO DATA",IF(ISNUMBER(FIND(CODES!$A$12,C31)),CODES!$A$12,IF(OR(ISNUMBER(FIND(CODES!$A$10,C31)),ISNUMBER(FIND(CODES!$A$11,C31))),CODES!$A$13,IF(OR(C31&lt;C$39,ISNUMBER(C31)=FALSE),C$40,C31))))</f>
      </c>
      <c r="D58" s="7" t="str">
        <f>IF(ISBLANK(D31),"NO DATA",IF(ISNUMBER(FIND(CODES!$A$12,D31)),CODES!$A$12,IF(OR(ISNUMBER(FIND(CODES!$A$10,D31)),ISNUMBER(FIND(CODES!$A$11,D31))),CODES!$A$13,IF(OR(D31&lt;D$39,ISNUMBER(D31)=FALSE),D$40,D31))))</f>
      </c>
      <c r="E58" s="7" t="str">
        <f>IF(ISBLANK(E31),"NO DATA",IF(ISNUMBER(FIND(CODES!$A$12,E31)),CODES!$A$12,IF(OR(ISNUMBER(FIND(CODES!$A$10,E31)),ISNUMBER(FIND(CODES!$A$11,E31))),CODES!$A$13,IF(OR(E31&lt;E$39,ISNUMBER(E31)=FALSE),E$40,E31))))</f>
      </c>
      <c r="F58" s="7" t="str">
        <f>IF(ISBLANK(F31),"NO DATA",IF(ISNUMBER(FIND(CODES!$A$12,F31)),CODES!$A$12,IF(OR(ISNUMBER(FIND(CODES!$A$10,F31)),ISNUMBER(FIND(CODES!$A$11,F31))),CODES!$A$13,IF(OR(F31&lt;F$39,ISNUMBER(F31)=FALSE),F$40,F31))))</f>
      </c>
      <c r="G58" s="7" t="str">
        <f>IF(ISBLANK(G31),"NO DATA",IF(ISNUMBER(FIND(CODES!$A$12,G31)),CODES!$A$12,IF(OR(ISNUMBER(FIND(CODES!$A$10,G31)),ISNUMBER(FIND(CODES!$A$11,G31))),CODES!$A$13,IF(OR(G31&lt;G$39,ISNUMBER(G31)=FALSE),G$40,G31))))</f>
      </c>
      <c r="H58" s="7" t="str">
        <f>IF(ISBLANK(H31),"NO DATA",IF(ISNUMBER(FIND(CODES!$A$12,H31)),CODES!$A$12,IF(OR(ISNUMBER(FIND(CODES!$A$10,H31)),ISNUMBER(FIND(CODES!$A$11,H31))),CODES!$A$13,IF(OR(H31&lt;H$39,ISNUMBER(H31)=FALSE),H$40,H31))))</f>
      </c>
      <c r="I58" s="7" t="str">
        <f>IF(ISBLANK(I31),"NO DATA",IF(ISNUMBER(FIND(CODES!$A$12,I31)),CODES!$A$12,IF(OR(ISNUMBER(FIND(CODES!$A$10,I31)),ISNUMBER(FIND(CODES!$A$11,I31))),CODES!$A$13,IF(OR(I31&lt;I$39,ISNUMBER(I31)=FALSE),I$40,I31))))</f>
      </c>
      <c r="J58" s="7" t="str">
        <f>IF(ISBLANK(J31),"NO DATA",IF(ISNUMBER(FIND(CODES!$A$12,J31)),CODES!$A$12,IF(OR(ISNUMBER(FIND(CODES!$A$10,J31)),ISNUMBER(FIND(CODES!$A$11,J31))),CODES!$A$13,IF(OR(J31&lt;J$39,ISNUMBER(J31)=FALSE),J$40,J31))))</f>
      </c>
      <c r="K58" s="7" t="str">
        <f>IF(ISBLANK(K31),"NO DATA",IF(ISNUMBER(FIND(CODES!$A$12,K31)),CODES!$A$12,IF(OR(ISNUMBER(FIND(CODES!$A$10,K31)),ISNUMBER(FIND(CODES!$A$11,K31))),CODES!$A$13,IF(OR(K31&lt;K$39,ISNUMBER(K31)=FALSE),K$40,K31))))</f>
      </c>
      <c r="L58" s="7" t="str">
        <f>IF(ISBLANK(L31),"NO DATA",IF(ISNUMBER(FIND(CODES!$A$12,L31)),CODES!$A$12,IF(OR(ISNUMBER(FIND(CODES!$A$10,L31)),ISNUMBER(FIND(CODES!$A$11,L31))),CODES!$A$13,IF(OR(L31&lt;L$39,ISNUMBER(L31)=FALSE),L$40,L31))))</f>
      </c>
      <c r="M58" s="7" t="str">
        <f>IF(ISBLANK(M31),"NO DATA",IF(ISNUMBER(FIND(CODES!$A$12,M31)),CODES!$A$12,IF(OR(ISNUMBER(FIND(CODES!$A$10,M31)),ISNUMBER(FIND(CODES!$A$11,M31))),CODES!$A$13,IF(OR(M31&lt;M$39,ISNUMBER(M31)=FALSE),M$40,M31))))</f>
      </c>
      <c r="N58" s="7" t="str">
        <f>IF(ISBLANK(N31),"NO DATA",IF(ISNUMBER(FIND(CODES!$A$12,N31)),CODES!$A$12,IF(OR(ISNUMBER(FIND(CODES!$A$10,N31)),ISNUMBER(FIND(CODES!$A$11,N31))),CODES!$A$13,IF(OR(N31&lt;N$39,ISNUMBER(N31)=FALSE),N$40,N31))))</f>
      </c>
      <c r="O58" s="7" t="str">
        <f>IF(ISBLANK(O31),"NO DATA",IF(ISNUMBER(FIND(CODES!$A$12,O31)),CODES!$A$12,IF(OR(ISNUMBER(FIND(CODES!$A$10,O31)),ISNUMBER(FIND(CODES!$A$11,O31))),CODES!$A$13,IF(OR(O31&lt;O$39,ISNUMBER(O31)=FALSE),O$40,O31))))</f>
      </c>
      <c r="P58" s="7" t="str">
        <f>IF(ISBLANK(P31),"NO DATA",IF(ISNUMBER(FIND(CODES!$A$12,P31)),CODES!$A$12,IF(OR(ISNUMBER(FIND(CODES!$A$10,P31)),ISNUMBER(FIND(CODES!$A$11,P31))),CODES!$A$13,IF(OR(P31&lt;P$39,ISNUMBER(P31)=FALSE),P$40,P31))))</f>
      </c>
      <c r="Q58" s="7" t="str">
        <f>IF(ISBLANK(Q31),"NO DATA",IF(ISNUMBER(FIND(CODES!$A$12,Q31)),CODES!$A$12,IF(OR(ISNUMBER(FIND(CODES!$A$10,Q31)),ISNUMBER(FIND(CODES!$A$11,Q31))),CODES!$A$13,IF(OR(Q31&lt;Q$39,ISNUMBER(Q31)=FALSE),Q$40,Q31))))</f>
      </c>
      <c r="R58" s="7" t="str">
        <f>IF(ISBLANK(R31),"NO DATA",IF(ISNUMBER(FIND(CODES!$A$12,R31)),CODES!$A$12,IF(OR(ISNUMBER(FIND(CODES!$A$10,R31)),ISNUMBER(FIND(CODES!$A$11,R31))),CODES!$A$13,IF(OR(R31&lt;R$39,ISNUMBER(R31)=FALSE),R$40,R31))))</f>
      </c>
      <c r="S58" s="7" t="str">
        <f>IF(ISBLANK(S31),"NO DATA",IF(ISNUMBER(FIND(CODES!$A$12,S31)),CODES!$A$12,IF(OR(ISNUMBER(FIND(CODES!$A$10,S31)),ISNUMBER(FIND(CODES!$A$11,S31))),CODES!$A$13,IF(OR(S31&lt;S$39,ISNUMBER(S31)=FALSE),S$40,S31))))</f>
      </c>
      <c r="T58" s="7" t="str">
        <f>IF(ISBLANK(T31),"NO DATA",IF(ISNUMBER(FIND(CODES!$A$12,T31)),CODES!$A$12,IF(OR(ISNUMBER(FIND(CODES!$A$10,T31)),ISNUMBER(FIND(CODES!$A$11,T31))),CODES!$A$13,IF(OR(T31&lt;T$39,ISNUMBER(T31)=FALSE),T$40,T31))))</f>
      </c>
      <c r="U58" s="7" t="str">
        <f>IF(ISBLANK(U31),"NO DATA",IF(ISNUMBER(FIND(CODES!$A$12,U31)),CODES!$A$12,IF(OR(ISNUMBER(FIND(CODES!$A$10,U31)),ISNUMBER(FIND(CODES!$A$11,U31))),CODES!$A$13,IF(OR(U31&lt;U$39,ISNUMBER(U31)=FALSE),U$40,U31))))</f>
      </c>
      <c r="V58" s="7" t="str">
        <f>IF(ISBLANK(V31),"NO DATA",IF(ISNUMBER(FIND(CODES!$A$12,V31)),CODES!$A$12,IF(OR(ISNUMBER(FIND(CODES!$A$10,V31)),ISNUMBER(FIND(CODES!$A$11,V31))),CODES!$A$13,IF(OR(V31&lt;V$39,ISNUMBER(V31)=FALSE),V$40,V31))))</f>
      </c>
      <c r="W58" s="7" t="str">
        <f>IF(ISBLANK(W31),"NO DATA",IF(ISNUMBER(FIND(CODES!$A$12,W31)),CODES!$A$12,IF(OR(ISNUMBER(FIND(CODES!$A$10,W31)),ISNUMBER(FIND(CODES!$A$11,W31))),CODES!$A$13,IF(OR(W31&lt;W$39,ISNUMBER(W31)=FALSE),W$40,W31))))</f>
      </c>
      <c r="X58" s="7" t="str">
        <f>IF(ISBLANK(X31),"NO DATA",IF(ISNUMBER(FIND(CODES!$A$12,X31)),CODES!$A$12,IF(OR(ISNUMBER(FIND(CODES!$A$10,X31)),ISNUMBER(FIND(CODES!$A$11,X31))),CODES!$A$13,IF(OR(X31&lt;X$39,ISNUMBER(X31)=FALSE),X$40,X31))))</f>
      </c>
      <c r="Y58" s="7" t="str">
        <f>IF(ISBLANK(Y31),"NO DATA",IF(ISNUMBER(FIND(CODES!$A$12,Y31)),CODES!$A$12,IF(OR(ISNUMBER(FIND(CODES!$A$10,Y31)),ISNUMBER(FIND(CODES!$A$11,Y31))),CODES!$A$13,IF(OR(Y31&lt;Y$39,ISNUMBER(Y31)=FALSE),Y$40,Y31))))</f>
      </c>
      <c r="Z58" s="7" t="str">
        <f>IF(ISBLANK(Z31),"NO DATA",IF(ISNUMBER(FIND(CODES!$A$12,Z31)),CODES!$A$12,IF(OR(ISNUMBER(FIND(CODES!$A$10,Z31)),ISNUMBER(FIND(CODES!$A$11,Z31))),CODES!$A$13,IF(OR(Z31&lt;Z$39,ISNUMBER(Z31)=FALSE),Z$40,Z31))))</f>
      </c>
      <c r="AA58" s="7" t="str">
        <f>IF(ISBLANK(AA31),"NO DATA",IF(ISNUMBER(FIND(CODES!$A$12,AA31)),CODES!$A$12,IF(OR(ISNUMBER(FIND(CODES!$A$10,AA31)),ISNUMBER(FIND(CODES!$A$11,AA31))),CODES!$A$13,IF(OR(AA31&lt;AA$39,ISNUMBER(AA31)=FALSE),AA$40,AA31))))</f>
      </c>
      <c r="AB58" s="7" t="str">
        <f>IF(ISBLANK(AB31),"NO DATA",IF(ISNUMBER(FIND(CODES!$A$12,AB31)),CODES!$A$12,IF(OR(ISNUMBER(FIND(CODES!$A$10,AB31)),ISNUMBER(FIND(CODES!$A$11,AB31))),CODES!$A$13,IF(OR(AB31&lt;AB$39,ISNUMBER(AB31)=FALSE),AB$40,AB31))))</f>
      </c>
      <c r="AC58" s="7" t="str">
        <f>IF(ISBLANK(AC31),"NO DATA",IF(ISNUMBER(FIND(CODES!$A$12,AC31)),CODES!$A$12,IF(OR(ISNUMBER(FIND(CODES!$A$10,AC31)),ISNUMBER(FIND(CODES!$A$11,AC31))),CODES!$A$13,IF(OR(AC31&lt;AC$39,ISNUMBER(AC31)=FALSE),AC$40,AC31))))</f>
      </c>
      <c r="AD58" s="7" t="str">
        <f>IF(ISBLANK(AD31),"NO DATA",IF(ISNUMBER(FIND(CODES!$A$12,AD31)),CODES!$A$12,IF(OR(ISNUMBER(FIND(CODES!$A$10,AD31)),ISNUMBER(FIND(CODES!$A$11,AD31))),CODES!$A$13,IF(OR(AD31&lt;AD$39,ISNUMBER(AD31)=FALSE),AD$40,AD31))))</f>
      </c>
      <c r="AE58" s="7" t="str">
        <f>IF(ISBLANK(AE31),"NO DATA",IF(ISNUMBER(FIND(CODES!$A$12,AE31)),CODES!$A$12,IF(OR(ISNUMBER(FIND(CODES!$A$10,AE31)),ISNUMBER(FIND(CODES!$A$11,AE31))),CODES!$A$13,IF(OR(AE31&lt;AE$39,ISNUMBER(AE31)=FALSE),AE$40,AE31))))</f>
      </c>
      <c r="AF58" s="7" t="str">
        <f>IF(ISBLANK(AF31),"NO DATA",IF(ISNUMBER(FIND(CODES!$A$12,AF31)),CODES!$A$12,IF(OR(ISNUMBER(FIND(CODES!$A$10,AF31)),ISNUMBER(FIND(CODES!$A$11,AF31))),CODES!$A$13,IF(OR(AF31&lt;AF$39,ISNUMBER(AF31)=FALSE),AF$40,AF31))))</f>
      </c>
      <c r="AG58" s="7" t="str">
        <f>IF(ISBLANK(AG31),"NO DATA",IF(ISNUMBER(FIND(CODES!$A$12,AG31)),CODES!$A$12,IF(OR(ISNUMBER(FIND(CODES!$A$10,AG31)),ISNUMBER(FIND(CODES!$A$11,AG31))),CODES!$A$13,IF(OR(AG31&lt;AG$39,ISNUMBER(AG31)=FALSE),AG$40,AG31))))</f>
      </c>
      <c r="AH58" s="7" t="str">
        <f>IF(ISBLANK(AH31),"NO DATA",IF(ISNUMBER(FIND(CODES!$A$12,AH31)),CODES!$A$12,IF(OR(ISNUMBER(FIND(CODES!$A$10,AH31)),ISNUMBER(FIND(CODES!$A$11,AH31))),CODES!$A$13,IF(OR(AH31&lt;AH$39,ISNUMBER(AH31)=FALSE),AH$40,AH31))))</f>
      </c>
      <c r="AI58" s="7" t="str">
        <f>IF(ISBLANK(AI31),"NO DATA",IF(ISNUMBER(FIND(CODES!$A$12,AI31)),CODES!$A$12,IF(OR(ISNUMBER(FIND(CODES!$A$10,AI31)),ISNUMBER(FIND(CODES!$A$11,AI31))),CODES!$A$13,IF(OR(AI31&lt;AI$39,ISNUMBER(AI31)=FALSE),AI$40,AI31))))</f>
      </c>
      <c r="AJ58" s="7" t="str">
        <f>IF(ISBLANK(AJ31),"NO DATA",IF(ISNUMBER(FIND(CODES!$A$12,AJ31)),CODES!$A$12,IF(OR(ISNUMBER(FIND(CODES!$A$10,AJ31)),ISNUMBER(FIND(CODES!$A$11,AJ31))),CODES!$A$13,IF(OR(AJ31&lt;AJ$39,ISNUMBER(AJ31)=FALSE),AJ$40,AJ31))))</f>
      </c>
      <c r="AK58" s="7" t="str">
        <f>IF(ISBLANK(AK31),"NO DATA",IF(ISNUMBER(FIND(CODES!$A$12,AK31)),CODES!$A$12,IF(OR(ISNUMBER(FIND(CODES!$A$10,AK31)),ISNUMBER(FIND(CODES!$A$11,AK31))),CODES!$A$13,IF(OR(AK31&lt;AK$39,ISNUMBER(AK31)=FALSE),AK$40,AK31))))</f>
      </c>
      <c r="AL58" s="7" t="str">
        <f>IF(ISBLANK(AL31),"NO DATA",IF(ISNUMBER(FIND(CODES!$A$12,AL31)),CODES!$A$12,IF(OR(ISNUMBER(FIND(CODES!$A$10,AL31)),ISNUMBER(FIND(CODES!$A$11,AL31))),CODES!$A$13,IF(OR(AL31&lt;AL$39,ISNUMBER(AL31)=FALSE),AL$40,AL31))))</f>
      </c>
      <c r="AM58" s="7" t="str">
        <f>IF(ISBLANK(AM31),"NO DATA",IF(ISNUMBER(FIND(CODES!$A$12,AM31)),CODES!$A$12,IF(OR(ISNUMBER(FIND(CODES!$A$10,AM31)),ISNUMBER(FIND(CODES!$A$11,AM31))),CODES!$A$13,IF(OR(AM31&lt;AM$39,ISNUMBER(AM31)=FALSE),AM$40,AM31))))</f>
      </c>
      <c r="AN58" s="7" t="str">
        <f>IF(ISBLANK(AN31),"NO DATA",IF(ISNUMBER(FIND(CODES!$A$12,AN31)),CODES!$A$12,IF(OR(ISNUMBER(FIND(CODES!$A$10,AN31)),ISNUMBER(FIND(CODES!$A$11,AN31))),CODES!$A$13,IF(OR(AN31&lt;AN$39,ISNUMBER(AN31)=FALSE),AN$40,AN31))))</f>
      </c>
      <c r="AO58" s="7" t="str">
        <f>IF(ISBLANK(AO31),"NO DATA",IF(ISNUMBER(FIND(CODES!$A$12,AO31)),CODES!$A$12,IF(OR(ISNUMBER(FIND(CODES!$A$10,AO31)),ISNUMBER(FIND(CODES!$A$11,AO31))),CODES!$A$13,IF(OR(AO31&lt;AO$39,ISNUMBER(AO31)=FALSE),AO$40,AO31))))</f>
      </c>
      <c r="AP58" s="7" t="str">
        <f>IF(ISBLANK(AP31),"NO DATA",IF(ISNUMBER(FIND(CODES!$A$12,AP31)),CODES!$A$12,IF(OR(ISNUMBER(FIND(CODES!$A$10,AP31)),ISNUMBER(FIND(CODES!$A$11,AP31))),CODES!$A$13,IF(OR(AP31&lt;AP$39,ISNUMBER(AP31)=FALSE),AP$40,AP31))))</f>
      </c>
      <c r="AQ58" s="7" t="str">
        <f>IF(ISBLANK(AQ31),"NO DATA",IF(ISNUMBER(FIND(CODES!$A$12,AQ31)),CODES!$A$12,IF(OR(ISNUMBER(FIND(CODES!$A$10,AQ31)),ISNUMBER(FIND(CODES!$A$11,AQ31))),CODES!$A$13,IF(OR(AQ31&lt;AQ$39,ISNUMBER(AQ31)=FALSE),AQ$40,AQ31))))</f>
      </c>
      <c r="AR58" s="7" t="str">
        <f>IF(ISBLANK(AR31),"NO DATA",IF(ISNUMBER(FIND(CODES!$A$12,AR31)),CODES!$A$12,IF(OR(ISNUMBER(FIND(CODES!$A$10,AR31)),ISNUMBER(FIND(CODES!$A$11,AR31))),CODES!$A$13,IF(OR(AR31&lt;AR$39,ISNUMBER(AR31)=FALSE),AR$40,AR31))))</f>
      </c>
      <c r="AS58" s="7" t="str">
        <f>IF(ISBLANK(AS31),"NO DATA",IF(ISNUMBER(FIND(CODES!$A$12,AS31)),CODES!$A$12,IF(OR(ISNUMBER(FIND(CODES!$A$10,AS31)),ISNUMBER(FIND(CODES!$A$11,AS31))),CODES!$A$13,IF(OR(AS31&lt;AS$39,ISNUMBER(AS31)=FALSE),AS$40,AS31))))</f>
      </c>
      <c r="AT58" s="7" t="str">
        <f>IF(ISBLANK(AT31),"NO DATA",IF(ISNUMBER(FIND(CODES!$A$12,AT31)),CODES!$A$12,IF(OR(ISNUMBER(FIND(CODES!$A$10,AT31)),ISNUMBER(FIND(CODES!$A$11,AT31))),CODES!$A$13,IF(OR(AT31&lt;AT$39,ISNUMBER(AT31)=FALSE),AT$40,AT31))))</f>
      </c>
      <c r="AU58" s="7" t="str">
        <f>IF(ISBLANK(AU31),"NO DATA",IF(ISNUMBER(FIND(CODES!$A$12,AU31)),CODES!$A$12,IF(OR(ISNUMBER(FIND(CODES!$A$10,AU31)),ISNUMBER(FIND(CODES!$A$11,AU31))),CODES!$A$13,IF(OR(AU31&lt;AU$39,ISNUMBER(AU31)=FALSE),AU$40,AU31))))</f>
      </c>
      <c r="AV58" s="7" t="str">
        <f>IF(ISBLANK(AV31),"NO DATA",IF(ISNUMBER(FIND(CODES!$A$12,AV31)),CODES!$A$12,IF(OR(ISNUMBER(FIND(CODES!$A$10,AV31)),ISNUMBER(FIND(CODES!$A$11,AV31))),CODES!$A$13,IF(OR(AV31&lt;AV$39,ISNUMBER(AV31)=FALSE),AV$40,AV31))))</f>
      </c>
      <c r="AW58" s="7" t="str">
        <f>IF(ISBLANK(AW31),"NO DATA",IF(ISNUMBER(FIND(CODES!$A$12,AW31)),CODES!$A$12,IF(OR(ISNUMBER(FIND(CODES!$A$10,AW31)),ISNUMBER(FIND(CODES!$A$11,AW31))),CODES!$A$13,IF(OR(AW31&lt;AW$39,ISNUMBER(AW31)=FALSE),AW$40,AW31))))</f>
      </c>
      <c r="AX58" s="7" t="str">
        <f>IF(ISBLANK(AX31),"NO DATA",IF(ISNUMBER(FIND(CODES!$A$12,AX31)),CODES!$A$12,IF(OR(ISNUMBER(FIND(CODES!$A$10,AX31)),ISNUMBER(FIND(CODES!$A$11,AX31))),CODES!$A$13,IF(OR(AX31&lt;AX$39,ISNUMBER(AX31)=FALSE),AX$40,AX31))))</f>
      </c>
      <c r="AY58" s="7" t="str">
        <f>IF(ISBLANK(AY31),"NO DATA",IF(ISNUMBER(FIND(CODES!$A$12,AY31)),CODES!$A$12,IF(OR(ISNUMBER(FIND(CODES!$A$10,AY31)),ISNUMBER(FIND(CODES!$A$11,AY31))),CODES!$A$13,IF(OR(AY31&lt;AY$39,ISNUMBER(AY31)=FALSE),AY$40,AY31))))</f>
      </c>
      <c r="AZ58" s="7" t="str">
        <f>IF(ISBLANK(AZ31),"NO DATA",IF(ISNUMBER(FIND(CODES!$A$12,AZ31)),CODES!$A$12,IF(OR(ISNUMBER(FIND(CODES!$A$10,AZ31)),ISNUMBER(FIND(CODES!$A$11,AZ31))),CODES!$A$13,IF(OR(AZ31&lt;AZ$39,ISNUMBER(AZ31)=FALSE),AZ$40,AZ31))))</f>
      </c>
      <c r="BA58" s="7" t="str">
        <f>IF(ISBLANK(BA31),"NO DATA",IF(ISNUMBER(FIND(CODES!$A$12,BA31)),CODES!$A$12,IF(OR(ISNUMBER(FIND(CODES!$A$10,BA31)),ISNUMBER(FIND(CODES!$A$11,BA31))),CODES!$A$13,IF(OR(BA31&lt;BA$39,ISNUMBER(BA31)=FALSE),BA$40,BA31))))</f>
      </c>
      <c r="BB58" s="7" t="str">
        <f>IF(ISBLANK(BB31),"NO DATA",IF(ISNUMBER(FIND(CODES!$A$12,BB31)),CODES!$A$12,IF(OR(ISNUMBER(FIND(CODES!$A$10,BB31)),ISNUMBER(FIND(CODES!$A$11,BB31))),CODES!$A$13,IF(OR(BB31&lt;BB$39,ISNUMBER(BB31)=FALSE),BB$40,BB31))))</f>
      </c>
      <c r="BC58" s="7" t="str">
        <f>IF(ISBLANK(BC31),"NO DATA",IF(ISNUMBER(FIND(CODES!$A$12,BC31)),CODES!$A$12,IF(OR(ISNUMBER(FIND(CODES!$A$10,BC31)),ISNUMBER(FIND(CODES!$A$11,BC31))),CODES!$A$13,IF(OR(BC31&lt;BC$39,ISNUMBER(BC31)=FALSE),BC$40,BC31))))</f>
      </c>
      <c r="BD58" s="7" t="str">
        <f>IF(ISBLANK(BD31),"NO DATA",IF(ISNUMBER(FIND(CODES!$A$12,BD31)),CODES!$A$12,IF(OR(ISNUMBER(FIND(CODES!$A$10,BD31)),ISNUMBER(FIND(CODES!$A$11,BD31))),CODES!$A$13,IF(OR(BD31&lt;BD$39,ISNUMBER(BD31)=FALSE),BD$40,BD31))))</f>
      </c>
      <c r="BE58" s="7" t="str">
        <f>IF(ISBLANK(BE31),"NO DATA",IF(ISNUMBER(FIND(CODES!$A$12,BE31)),CODES!$A$12,IF(OR(ISNUMBER(FIND(CODES!$A$10,BE31)),ISNUMBER(FIND(CODES!$A$11,BE31))),CODES!$A$13,IF(OR(BE31&lt;BE$39,ISNUMBER(BE31)=FALSE),BE$40,BE31))))</f>
      </c>
      <c r="BF58" s="7" t="str">
        <f>IF(ISBLANK(BF31),"NO DATA",IF(ISNUMBER(FIND(CODES!$A$12,BF31)),CODES!$A$12,IF(OR(ISNUMBER(FIND(CODES!$A$10,BF31)),ISNUMBER(FIND(CODES!$A$11,BF31))),CODES!$A$13,IF(OR(BF31&lt;BF$39,ISNUMBER(BF31)=FALSE),BF$40,BF31))))</f>
      </c>
      <c r="BG58" s="7" t="str">
        <f>IF(ISBLANK(BG31),"NO DATA",IF(ISNUMBER(FIND(CODES!$A$12,BG31)),CODES!$A$12,IF(OR(ISNUMBER(FIND(CODES!$A$10,BG31)),ISNUMBER(FIND(CODES!$A$11,BG31))),CODES!$A$13,IF(OR(BG31&lt;BG$39,ISNUMBER(BG31)=FALSE),BG$40,BG31))))</f>
      </c>
      <c r="BH58" s="7" t="str">
        <f>IF(ISBLANK(BH31),"NO DATA",IF(ISNUMBER(FIND(CODES!$A$12,BH31)),CODES!$A$12,IF(OR(ISNUMBER(FIND(CODES!$A$10,BH31)),ISNUMBER(FIND(CODES!$A$11,BH31))),CODES!$A$13,IF(OR(BH31&lt;BH$39,ISNUMBER(BH31)=FALSE),BH$40,BH31))))</f>
      </c>
      <c r="BI58" s="7" t="str">
        <f>IF(ISBLANK(BI31),"NO DATA",IF(ISNUMBER(FIND(CODES!$A$12,BI31)),CODES!$A$12,IF(OR(ISNUMBER(FIND(CODES!$A$10,BI31)),ISNUMBER(FIND(CODES!$A$11,BI31))),CODES!$A$13,IF(OR(BI31&lt;BI$39,ISNUMBER(BI31)=FALSE),BI$40,BI31))))</f>
      </c>
      <c r="BJ58" s="7" t="str">
        <f>IF(ISBLANK(BJ31),"NO DATA",IF(ISNUMBER(FIND(CODES!$A$12,BJ31)),CODES!$A$12,IF(OR(ISNUMBER(FIND(CODES!$A$10,BJ31)),ISNUMBER(FIND(CODES!$A$11,BJ31))),CODES!$A$13,IF(OR(BJ31&lt;BJ$39,ISNUMBER(BJ31)=FALSE),BJ$40,BJ31))))</f>
      </c>
      <c r="BK58" s="7" t="str">
        <f>IF(ISBLANK(BK31),"NO DATA",IF(ISNUMBER(FIND(CODES!$A$12,BK31)),CODES!$A$12,IF(OR(ISNUMBER(FIND(CODES!$A$10,BK31)),ISNUMBER(FIND(CODES!$A$11,BK31))),CODES!$A$13,IF(OR(BK31&lt;BK$39,ISNUMBER(BK31)=FALSE),BK$40,BK31))))</f>
      </c>
      <c r="BL58" s="7" t="str">
        <f>IF(ISBLANK(BL31),"NO DATA",IF(ISNUMBER(FIND(CODES!$A$12,BL31)),CODES!$A$12,IF(OR(ISNUMBER(FIND(CODES!$A$10,BL31)),ISNUMBER(FIND(CODES!$A$11,BL31))),CODES!$A$13,IF(OR(BL31&lt;BL$39,ISNUMBER(BL31)=FALSE),BL$40,BL31))))</f>
      </c>
      <c r="BM58" s="7" t="str">
        <f>IF(ISBLANK(BM31),"NO DATA",IF(ISNUMBER(FIND(CODES!$A$12,BM31)),CODES!$A$12,IF(OR(ISNUMBER(FIND(CODES!$A$10,BM31)),ISNUMBER(FIND(CODES!$A$11,BM31))),CODES!$A$13,IF(OR(BM31&lt;BM$39,ISNUMBER(BM31)=FALSE),BM$40,BM31))))</f>
      </c>
      <c r="BN58" s="7" t="str">
        <f>IF(ISBLANK(BN31),"NO DATA",IF(ISNUMBER(FIND(CODES!$A$12,BN31)),CODES!$A$12,IF(OR(ISNUMBER(FIND(CODES!$A$10,BN31)),ISNUMBER(FIND(CODES!$A$11,BN31))),CODES!$A$13,IF(OR(BN31&lt;BN$39,ISNUMBER(BN31)=FALSE),BN$40,BN31))))</f>
      </c>
      <c r="BO58" s="7" t="str">
        <f>IF(ISBLANK(BO31),"NO DATA",IF(ISNUMBER(FIND(CODES!$A$12,BO31)),CODES!$A$12,IF(OR(ISNUMBER(FIND(CODES!$A$10,BO31)),ISNUMBER(FIND(CODES!$A$11,BO31))),CODES!$A$13,IF(OR(BO31&lt;BO$39,ISNUMBER(BO31)=FALSE),BO$40,BO31))))</f>
      </c>
      <c r="BP58" s="7" t="str">
        <f>IF(ISBLANK(BP31),"NO DATA",IF(ISNUMBER(FIND(CODES!$A$12,BP31)),CODES!$A$12,IF(OR(ISNUMBER(FIND(CODES!$A$10,BP31)),ISNUMBER(FIND(CODES!$A$11,BP31))),CODES!$A$13,IF(OR(BP31&lt;BP$39,ISNUMBER(BP31)=FALSE),BP$40,BP31))))</f>
      </c>
      <c r="BQ58" s="7" t="str">
        <f>IF(ISBLANK(BQ31),"NO DATA",IF(ISNUMBER(FIND(CODES!$A$12,BQ31)),CODES!$A$12,IF(OR(ISNUMBER(FIND(CODES!$A$10,BQ31)),ISNUMBER(FIND(CODES!$A$11,BQ31))),CODES!$A$13,IF(OR(BQ31&lt;BQ$39,ISNUMBER(BQ31)=FALSE),BQ$40,BQ31))))</f>
      </c>
      <c r="BR58" s="7" t="str">
        <f>IF(ISBLANK(BR31),"NO DATA",IF(ISNUMBER(FIND(CODES!$A$12,BR31)),CODES!$A$12,IF(OR(ISNUMBER(FIND(CODES!$A$10,BR31)),ISNUMBER(FIND(CODES!$A$11,BR31))),CODES!$A$13,IF(OR(BR31&lt;BR$39,ISNUMBER(BR31)=FALSE),BR$40,BR31))))</f>
      </c>
      <c r="BS58" s="7" t="str">
        <f>IF(ISBLANK(BS31),"NO DATA",IF(ISNUMBER(FIND(CODES!$A$12,BS31)),CODES!$A$12,IF(OR(ISNUMBER(FIND(CODES!$A$10,BS31)),ISNUMBER(FIND(CODES!$A$11,BS31))),CODES!$A$13,IF(OR(BS31&lt;BS$39,ISNUMBER(BS31)=FALSE),BS$40,BS31))))</f>
      </c>
      <c r="BT58" s="7" t="str">
        <f>IF(ISBLANK(BT31),"NO DATA",IF(ISNUMBER(FIND(CODES!$A$12,BT31)),CODES!$A$12,IF(OR(ISNUMBER(FIND(CODES!$A$10,BT31)),ISNUMBER(FIND(CODES!$A$11,BT31))),CODES!$A$13,IF(OR(BT31&lt;BT$39,ISNUMBER(BT31)=FALSE),BT$40,BT31))))</f>
      </c>
      <c r="BU58" s="7" t="str">
        <f>IF(ISBLANK(BU31),"NO DATA",IF(ISNUMBER(FIND(CODES!$A$12,BU31)),CODES!$A$12,IF(OR(ISNUMBER(FIND(CODES!$A$10,BU31)),ISNUMBER(FIND(CODES!$A$11,BU31))),CODES!$A$13,IF(OR(BU31&lt;BU$39,ISNUMBER(BU31)=FALSE),BU$40,BU31))))</f>
      </c>
      <c r="BV58" s="7" t="str">
        <f>IF(ISBLANK(BV31),"NO DATA",IF(ISNUMBER(FIND(CODES!$A$12,BV31)),CODES!$A$12,IF(OR(ISNUMBER(FIND(CODES!$A$10,BV31)),ISNUMBER(FIND(CODES!$A$11,BV31))),CODES!$A$13,IF(OR(BV31&lt;BV$39,ISNUMBER(BV31)=FALSE),BV$40,BV31))))</f>
      </c>
      <c r="BW58" s="7" t="str">
        <f>IF(ISBLANK(BW31),"NO DATA",IF(ISNUMBER(FIND(CODES!$A$12,BW31)),CODES!$A$12,IF(OR(ISNUMBER(FIND(CODES!$A$10,BW31)),ISNUMBER(FIND(CODES!$A$11,BW31))),CODES!$A$13,IF(OR(BW31&lt;BW$39,ISNUMBER(BW31)=FALSE),BW$40,BW31))))</f>
      </c>
      <c r="BX58" s="7" t="str">
        <f>IF(ISBLANK(BX31),"NO DATA",IF(ISNUMBER(FIND(CODES!$A$12,BX31)),CODES!$A$12,IF(OR(ISNUMBER(FIND(CODES!$A$10,BX31)),ISNUMBER(FIND(CODES!$A$11,BX31))),CODES!$A$13,IF(OR(BX31&lt;BX$39,ISNUMBER(BX31)=FALSE),BX$40,BX31))))</f>
      </c>
      <c r="BY58" s="7" t="str">
        <f>IF(ISBLANK(BY31),"NO DATA",IF(ISNUMBER(FIND(CODES!$A$12,BY31)),CODES!$A$12,IF(OR(ISNUMBER(FIND(CODES!$A$10,BY31)),ISNUMBER(FIND(CODES!$A$11,BY31))),CODES!$A$13,IF(OR(BY31&lt;BY$39,ISNUMBER(BY31)=FALSE),BY$40,BY31))))</f>
      </c>
      <c r="BZ58" s="7" t="str">
        <f>IF(ISBLANK(BZ31),"NO DATA",IF(ISNUMBER(FIND(CODES!$A$12,BZ31)),CODES!$A$12,IF(OR(ISNUMBER(FIND(CODES!$A$10,BZ31)),ISNUMBER(FIND(CODES!$A$11,BZ31))),CODES!$A$13,IF(OR(BZ31&lt;BZ$39,ISNUMBER(BZ31)=FALSE),BZ$40,BZ31))))</f>
      </c>
      <c r="CA58" s="7" t="str">
        <f>IF(ISBLANK(CA31),"NO DATA",IF(ISNUMBER(FIND(CODES!$A$12,CA31)),CODES!$A$12,IF(OR(ISNUMBER(FIND(CODES!$A$10,CA31)),ISNUMBER(FIND(CODES!$A$11,CA31))),CODES!$A$13,IF(OR(CA31&lt;CA$39,ISNUMBER(CA31)=FALSE),CA$40,CA31))))</f>
      </c>
      <c r="CB58" s="7" t="str">
        <f>IF(ISBLANK(CB31),"NO DATA",IF(ISNUMBER(FIND(CODES!$A$12,CB31)),CODES!$A$12,IF(OR(ISNUMBER(FIND(CODES!$A$10,CB31)),ISNUMBER(FIND(CODES!$A$11,CB31))),CODES!$A$13,IF(OR(CB31&lt;CB$39,ISNUMBER(CB31)=FALSE),CB$40,CB31))))</f>
      </c>
      <c r="CC58" s="7" t="str">
        <f>IF(ISBLANK(CC31),"NO DATA",IF(ISNUMBER(FIND(CODES!$A$12,CC31)),CODES!$A$12,IF(OR(ISNUMBER(FIND(CODES!$A$10,CC31)),ISNUMBER(FIND(CODES!$A$11,CC31))),CODES!$A$13,IF(OR(CC31&lt;CC$39,ISNUMBER(CC31)=FALSE),CC$40,CC31))))</f>
      </c>
      <c r="CD58" s="7" t="str">
        <f>IF(ISBLANK(CD31),"NO DATA",IF(ISNUMBER(FIND(CODES!$A$12,CD31)),CODES!$A$12,IF(OR(ISNUMBER(FIND(CODES!$A$10,CD31)),ISNUMBER(FIND(CODES!$A$11,CD31))),CODES!$A$13,IF(OR(CD31&lt;CD$39,ISNUMBER(CD31)=FALSE),CD$40,CD31))))</f>
      </c>
      <c r="CE58" s="7" t="str">
        <f>IF(ISBLANK(CE31),"NO DATA",IF(ISNUMBER(FIND(CODES!$A$12,CE31)),CODES!$A$12,IF(OR(ISNUMBER(FIND(CODES!$A$10,CE31)),ISNUMBER(FIND(CODES!$A$11,CE31))),CODES!$A$13,IF(OR(CE31&lt;CE$39,ISNUMBER(CE31)=FALSE),CE$40,CE31))))</f>
      </c>
      <c r="CF58" s="7" t="str">
        <f>IF(ISBLANK(CF31),"NO DATA",IF(ISNUMBER(FIND(CODES!$A$12,CF31)),CODES!$A$12,IF(OR(ISNUMBER(FIND(CODES!$A$10,CF31)),ISNUMBER(FIND(CODES!$A$11,CF31))),CODES!$A$13,IF(OR(CF31&lt;CF$39,ISNUMBER(CF31)=FALSE),CF$40,CF31))))</f>
      </c>
      <c r="CG58" s="7" t="str">
        <f>IF(ISBLANK(CG31),"NO DATA",IF(ISNUMBER(FIND(CODES!$A$12,CG31)),CODES!$A$12,IF(OR(ISNUMBER(FIND(CODES!$A$10,CG31)),ISNUMBER(FIND(CODES!$A$11,CG31))),CODES!$A$13,IF(OR(CG31&lt;CG$39,ISNUMBER(CG31)=FALSE),CG$40,CG31))))</f>
      </c>
      <c r="CH58" s="7" t="str">
        <f>IF(ISBLANK(CH31),"NO DATA",IF(ISNUMBER(FIND(CODES!$A$12,CH31)),CODES!$A$12,IF(OR(ISNUMBER(FIND(CODES!$A$10,CH31)),ISNUMBER(FIND(CODES!$A$11,CH31))),CODES!$A$13,IF(OR(CH31&lt;CH$39,ISNUMBER(CH31)=FALSE),CH$40,CH31))))</f>
      </c>
      <c r="CI58" s="7" t="str">
        <f>IF(ISBLANK(CI31),"NO DATA",IF(ISNUMBER(FIND(CODES!$A$12,CI31)),CODES!$A$12,IF(OR(ISNUMBER(FIND(CODES!$A$10,CI31)),ISNUMBER(FIND(CODES!$A$11,CI31))),CODES!$A$13,IF(OR(CI31&lt;CI$39,ISNUMBER(CI31)=FALSE),CI$40,CI31))))</f>
      </c>
      <c r="CJ58" s="7" t="str">
        <f>IF(ISBLANK(CJ31),"NO DATA",IF(ISNUMBER(FIND(CODES!$A$12,CJ31)),CODES!$A$12,IF(OR(ISNUMBER(FIND(CODES!$A$10,CJ31)),ISNUMBER(FIND(CODES!$A$11,CJ31))),CODES!$A$13,IF(OR(CJ31&lt;CJ$39,ISNUMBER(CJ31)=FALSE),CJ$40,CJ31))))</f>
      </c>
      <c r="CK58" s="7" t="str">
        <f>IF(ISBLANK(CK31),"NO DATA",IF(ISNUMBER(FIND(CODES!$A$12,CK31)),CODES!$A$12,IF(OR(ISNUMBER(FIND(CODES!$A$10,CK31)),ISNUMBER(FIND(CODES!$A$11,CK31))),CODES!$A$13,IF(OR(CK31&lt;CK$39,ISNUMBER(CK31)=FALSE),CK$40,CK31))))</f>
      </c>
      <c r="CL58" s="7" t="str">
        <f>IF(ISBLANK(CL31),"NO DATA",IF(ISNUMBER(FIND(CODES!$A$12,CL31)),CODES!$A$12,IF(OR(ISNUMBER(FIND(CODES!$A$10,CL31)),ISNUMBER(FIND(CODES!$A$11,CL31))),CODES!$A$13,IF(OR(CL31&lt;CL$39,ISNUMBER(CL31)=FALSE),CL$40,CL31))))</f>
      </c>
      <c r="CM58" s="7" t="str">
        <f>IF(ISBLANK(CM31),"NO DATA",IF(ISNUMBER(FIND(CODES!$A$12,CM31)),CODES!$A$12,IF(OR(ISNUMBER(FIND(CODES!$A$10,CM31)),ISNUMBER(FIND(CODES!$A$11,CM31))),CODES!$A$13,IF(OR(CM31&lt;CM$39,ISNUMBER(CM31)=FALSE),CM$40,CM31))))</f>
      </c>
      <c r="CN58" s="7" t="str">
        <f>IF(ISBLANK(CN31),"NO DATA",IF(ISNUMBER(FIND(CODES!$A$12,CN31)),CODES!$A$12,IF(OR(ISNUMBER(FIND(CODES!$A$10,CN31)),ISNUMBER(FIND(CODES!$A$11,CN31))),CODES!$A$13,IF(OR(CN31&lt;CN$39,ISNUMBER(CN31)=FALSE),CN$40,CN31))))</f>
      </c>
      <c r="CO58" s="7" t="str">
        <f>IF(ISBLANK(CO31),"NO DATA",IF(ISNUMBER(FIND(CODES!$A$12,CO31)),CODES!$A$12,IF(OR(ISNUMBER(FIND(CODES!$A$10,CO31)),ISNUMBER(FIND(CODES!$A$11,CO31))),CODES!$A$13,IF(OR(CO31&lt;CO$39,ISNUMBER(CO31)=FALSE),CO$40,CO31))))</f>
      </c>
      <c r="CP58" s="7" t="str">
        <f>IF(ISBLANK(CP31),"NO DATA",IF(ISNUMBER(FIND(CODES!$A$12,CP31)),CODES!$A$12,IF(OR(ISNUMBER(FIND(CODES!$A$10,CP31)),ISNUMBER(FIND(CODES!$A$11,CP31))),CODES!$A$13,IF(OR(CP31&lt;CP$39,ISNUMBER(CP31)=FALSE),CP$40,CP31))))</f>
      </c>
      <c r="CQ58" s="7" t="str">
        <f>IF(ISBLANK(CQ31),"NO DATA",IF(ISNUMBER(FIND(CODES!$A$12,CQ31)),CODES!$A$12,IF(OR(ISNUMBER(FIND(CODES!$A$10,CQ31)),ISNUMBER(FIND(CODES!$A$11,CQ31))),CODES!$A$13,IF(OR(CQ31&lt;CQ$39,ISNUMBER(CQ31)=FALSE),CQ$40,CQ31))))</f>
      </c>
      <c r="CR58" s="7" t="str">
        <f>IF(ISBLANK(CR31),"NO DATA",IF(ISNUMBER(FIND(CODES!$A$12,CR31)),CODES!$A$12,IF(OR(ISNUMBER(FIND(CODES!$A$10,CR31)),ISNUMBER(FIND(CODES!$A$11,CR31))),CODES!$A$13,IF(OR(CR31&lt;CR$39,ISNUMBER(CR31)=FALSE),CR$40,CR31))))</f>
      </c>
      <c r="CS58" s="7" t="str">
        <f>IF(ISBLANK(CS31),"NO DATA",IF(ISNUMBER(FIND(CODES!$A$12,CS31)),CODES!$A$12,IF(OR(ISNUMBER(FIND(CODES!$A$10,CS31)),ISNUMBER(FIND(CODES!$A$11,CS31))),CODES!$A$13,IF(OR(CS31&lt;CS$39,ISNUMBER(CS31)=FALSE),CS$40,CS31))))</f>
      </c>
      <c r="CT58" s="7" t="str">
        <f>IF(ISBLANK(CT31),"NO DATA",IF(ISNUMBER(FIND(CODES!$A$12,CT31)),CODES!$A$12,IF(OR(ISNUMBER(FIND(CODES!$A$10,CT31)),ISNUMBER(FIND(CODES!$A$11,CT31))),CODES!$A$13,IF(OR(CT31&lt;CT$39,ISNUMBER(CT31)=FALSE),CT$40,CT31))))</f>
      </c>
      <c r="CU58" s="7" t="str">
        <f>IF(ISBLANK(CU31),"NO DATA",IF(ISNUMBER(FIND(CODES!$A$12,CU31)),CODES!$A$12,IF(OR(ISNUMBER(FIND(CODES!$A$10,CU31)),ISNUMBER(FIND(CODES!$A$11,CU31))),CODES!$A$13,IF(OR(CU31&lt;CU$39,ISNUMBER(CU31)=FALSE),CU$40,CU31))))</f>
      </c>
      <c r="CV58" s="7" t="str">
        <f>IF(ISBLANK(CV31),"NO DATA",IF(ISNUMBER(FIND(CODES!$A$12,CV31)),CODES!$A$12,IF(OR(ISNUMBER(FIND(CODES!$A$10,CV31)),ISNUMBER(FIND(CODES!$A$11,CV31))),CODES!$A$13,IF(OR(CV31&lt;CV$39,ISNUMBER(CV31)=FALSE),CV$40,CV31))))</f>
      </c>
      <c r="CW58" s="7" t="str">
        <f>IF(ISBLANK(CW31),"NO DATA",IF(ISNUMBER(FIND(CODES!$A$12,CW31)),CODES!$A$12,IF(OR(ISNUMBER(FIND(CODES!$A$10,CW31)),ISNUMBER(FIND(CODES!$A$11,CW31))),CODES!$A$13,IF(OR(CW31&lt;CW$39,ISNUMBER(CW31)=FALSE),CW$40,CW31))))</f>
      </c>
      <c r="CX58" s="7" t="str">
        <f>IF(ISBLANK(CX31),"NO DATA",IF(ISNUMBER(FIND(CODES!$A$12,CX31)),CODES!$A$12,IF(OR(ISNUMBER(FIND(CODES!$A$10,CX31)),ISNUMBER(FIND(CODES!$A$11,CX31))),CODES!$A$13,IF(OR(CX31&lt;CX$39,ISNUMBER(CX31)=FALSE),CX$40,CX31))))</f>
      </c>
      <c r="CY58" s="7" t="str">
        <f>IF(ISBLANK(CY31),"NO DATA",IF(ISNUMBER(FIND(CODES!$A$12,CY31)),CODES!$A$12,IF(OR(ISNUMBER(FIND(CODES!$A$10,CY31)),ISNUMBER(FIND(CODES!$A$11,CY31))),CODES!$A$13,IF(OR(CY31&lt;CY$39,ISNUMBER(CY31)=FALSE),CY$40,CY31))))</f>
      </c>
      <c r="CZ58" s="7" t="str">
        <f>IF(ISBLANK(CZ31),"NO DATA",IF(ISNUMBER(FIND(CODES!$A$12,CZ31)),CODES!$A$12,IF(OR(ISNUMBER(FIND(CODES!$A$10,CZ31)),ISNUMBER(FIND(CODES!$A$11,CZ31))),CODES!$A$13,IF(OR(CZ31&lt;CZ$39,ISNUMBER(CZ31)=FALSE),CZ$40,CZ31))))</f>
      </c>
      <c r="DA58" s="7" t="str">
        <f>IF(ISBLANK(DA31),"NO DATA",IF(ISNUMBER(FIND(CODES!$A$12,DA31)),CODES!$A$12,IF(OR(ISNUMBER(FIND(CODES!$A$10,DA31)),ISNUMBER(FIND(CODES!$A$11,DA31))),CODES!$A$13,IF(OR(DA31&lt;DA$39,ISNUMBER(DA31)=FALSE),DA$40,DA31))))</f>
      </c>
      <c r="DB58" s="7" t="str">
        <f>IF(ISBLANK(DB31),"NO DATA",IF(ISNUMBER(FIND(CODES!$A$12,DB31)),CODES!$A$12,IF(OR(ISNUMBER(FIND(CODES!$A$10,DB31)),ISNUMBER(FIND(CODES!$A$11,DB31))),CODES!$A$13,IF(OR(DB31&lt;DB$39,ISNUMBER(DB31)=FALSE),DB$40,DB31))))</f>
      </c>
      <c r="DC58" s="7" t="str">
        <f>IF(ISBLANK(DC31),"NO DATA",IF(ISNUMBER(FIND(CODES!$A$12,DC31)),CODES!$A$12,IF(OR(ISNUMBER(FIND(CODES!$A$10,DC31)),ISNUMBER(FIND(CODES!$A$11,DC31))),CODES!$A$13,IF(OR(DC31&lt;DC$39,ISNUMBER(DC31)=FALSE),DC$40,DC31))))</f>
      </c>
      <c r="DD58" s="7" t="str">
        <f>IF(ISBLANK(DD31),"NO DATA",IF(ISNUMBER(FIND(CODES!$A$12,DD31)),CODES!$A$12,IF(OR(ISNUMBER(FIND(CODES!$A$10,DD31)),ISNUMBER(FIND(CODES!$A$11,DD31))),CODES!$A$13,IF(OR(DD31&lt;DD$39,ISNUMBER(DD31)=FALSE),DD$40,DD31))))</f>
      </c>
      <c r="DE58" s="7" t="str">
        <f>IF(ISBLANK(DE31),"NO DATA",IF(ISNUMBER(FIND(CODES!$A$12,DE31)),CODES!$A$12,IF(OR(ISNUMBER(FIND(CODES!$A$10,DE31)),ISNUMBER(FIND(CODES!$A$11,DE31))),CODES!$A$13,IF(OR(DE31&lt;DE$39,ISNUMBER(DE31)=FALSE),DE$40,DE31))))</f>
      </c>
      <c r="DF58" s="7" t="str">
        <f>IF(ISBLANK(DF31),"NO DATA",IF(ISNUMBER(FIND(CODES!$A$12,DF31)),CODES!$A$12,IF(OR(ISNUMBER(FIND(CODES!$A$10,DF31)),ISNUMBER(FIND(CODES!$A$11,DF31))),CODES!$A$13,IF(OR(DF31&lt;DF$39,ISNUMBER(DF31)=FALSE),DF$40,DF31))))</f>
      </c>
      <c r="DG58" s="7" t="str">
        <f>IF(ISBLANK(DG31),"NO DATA",IF(ISNUMBER(FIND(CODES!$A$12,DG31)),CODES!$A$12,IF(OR(ISNUMBER(FIND(CODES!$A$10,DG31)),ISNUMBER(FIND(CODES!$A$11,DG31))),CODES!$A$13,IF(OR(DG31&lt;DG$39,ISNUMBER(DG31)=FALSE),DG$40,DG31))))</f>
      </c>
      <c r="DH58" s="7" t="str">
        <f>IF(ISBLANK(DH31),"NO DATA",IF(ISNUMBER(FIND(CODES!$A$12,DH31)),CODES!$A$12,IF(OR(ISNUMBER(FIND(CODES!$A$10,DH31)),ISNUMBER(FIND(CODES!$A$11,DH31))),CODES!$A$13,IF(OR(DH31&lt;DH$39,ISNUMBER(DH31)=FALSE),DH$40,DH31))))</f>
      </c>
      <c r="DI58" s="7" t="str">
        <f>IF(ISBLANK(DI31),"NO DATA",IF(ISNUMBER(FIND(CODES!$A$12,DI31)),CODES!$A$12,IF(OR(ISNUMBER(FIND(CODES!$A$10,DI31)),ISNUMBER(FIND(CODES!$A$11,DI31))),CODES!$A$13,IF(OR(DI31&lt;DI$39,ISNUMBER(DI31)=FALSE),DI$40,DI31))))</f>
      </c>
    </row>
    <row r="59" spans="1:113" x14ac:dyDescent="0.25">
      <c r="A59" s="16" t="str">
        <f t="shared" si="2"/>
      </c>
      <c r="B59" s="16" t="str">
        <f t="shared" si="2"/>
      </c>
      <c r="C59" s="7" t="str">
        <f>IF(ISBLANK(C32),"NO DATA",IF(ISNUMBER(FIND(CODES!$A$12,C32)),CODES!$A$12,IF(OR(ISNUMBER(FIND(CODES!$A$10,C32)),ISNUMBER(FIND(CODES!$A$11,C32))),CODES!$A$13,IF(OR(C32&lt;C$39,ISNUMBER(C32)=FALSE),C$40,C32))))</f>
      </c>
      <c r="D59" s="7" t="str">
        <f>IF(ISBLANK(D32),"NO DATA",IF(ISNUMBER(FIND(CODES!$A$12,D32)),CODES!$A$12,IF(OR(ISNUMBER(FIND(CODES!$A$10,D32)),ISNUMBER(FIND(CODES!$A$11,D32))),CODES!$A$13,IF(OR(D32&lt;D$39,ISNUMBER(D32)=FALSE),D$40,D32))))</f>
      </c>
      <c r="E59" s="7" t="str">
        <f>IF(ISBLANK(E32),"NO DATA",IF(ISNUMBER(FIND(CODES!$A$12,E32)),CODES!$A$12,IF(OR(ISNUMBER(FIND(CODES!$A$10,E32)),ISNUMBER(FIND(CODES!$A$11,E32))),CODES!$A$13,IF(OR(E32&lt;E$39,ISNUMBER(E32)=FALSE),E$40,E32))))</f>
      </c>
      <c r="F59" s="7" t="str">
        <f>IF(ISBLANK(F32),"NO DATA",IF(ISNUMBER(FIND(CODES!$A$12,F32)),CODES!$A$12,IF(OR(ISNUMBER(FIND(CODES!$A$10,F32)),ISNUMBER(FIND(CODES!$A$11,F32))),CODES!$A$13,IF(OR(F32&lt;F$39,ISNUMBER(F32)=FALSE),F$40,F32))))</f>
      </c>
      <c r="G59" s="7" t="str">
        <f>IF(ISBLANK(G32),"NO DATA",IF(ISNUMBER(FIND(CODES!$A$12,G32)),CODES!$A$12,IF(OR(ISNUMBER(FIND(CODES!$A$10,G32)),ISNUMBER(FIND(CODES!$A$11,G32))),CODES!$A$13,IF(OR(G32&lt;G$39,ISNUMBER(G32)=FALSE),G$40,G32))))</f>
      </c>
      <c r="H59" s="7" t="str">
        <f>IF(ISBLANK(H32),"NO DATA",IF(ISNUMBER(FIND(CODES!$A$12,H32)),CODES!$A$12,IF(OR(ISNUMBER(FIND(CODES!$A$10,H32)),ISNUMBER(FIND(CODES!$A$11,H32))),CODES!$A$13,IF(OR(H32&lt;H$39,ISNUMBER(H32)=FALSE),H$40,H32))))</f>
      </c>
      <c r="I59" s="7" t="str">
        <f>IF(ISBLANK(I32),"NO DATA",IF(ISNUMBER(FIND(CODES!$A$12,I32)),CODES!$A$12,IF(OR(ISNUMBER(FIND(CODES!$A$10,I32)),ISNUMBER(FIND(CODES!$A$11,I32))),CODES!$A$13,IF(OR(I32&lt;I$39,ISNUMBER(I32)=FALSE),I$40,I32))))</f>
      </c>
      <c r="J59" s="7" t="str">
        <f>IF(ISBLANK(J32),"NO DATA",IF(ISNUMBER(FIND(CODES!$A$12,J32)),CODES!$A$12,IF(OR(ISNUMBER(FIND(CODES!$A$10,J32)),ISNUMBER(FIND(CODES!$A$11,J32))),CODES!$A$13,IF(OR(J32&lt;J$39,ISNUMBER(J32)=FALSE),J$40,J32))))</f>
      </c>
      <c r="K59" s="7" t="str">
        <f>IF(ISBLANK(K32),"NO DATA",IF(ISNUMBER(FIND(CODES!$A$12,K32)),CODES!$A$12,IF(OR(ISNUMBER(FIND(CODES!$A$10,K32)),ISNUMBER(FIND(CODES!$A$11,K32))),CODES!$A$13,IF(OR(K32&lt;K$39,ISNUMBER(K32)=FALSE),K$40,K32))))</f>
      </c>
      <c r="L59" s="7" t="str">
        <f>IF(ISBLANK(L32),"NO DATA",IF(ISNUMBER(FIND(CODES!$A$12,L32)),CODES!$A$12,IF(OR(ISNUMBER(FIND(CODES!$A$10,L32)),ISNUMBER(FIND(CODES!$A$11,L32))),CODES!$A$13,IF(OR(L32&lt;L$39,ISNUMBER(L32)=FALSE),L$40,L32))))</f>
      </c>
      <c r="M59" s="7" t="str">
        <f>IF(ISBLANK(M32),"NO DATA",IF(ISNUMBER(FIND(CODES!$A$12,M32)),CODES!$A$12,IF(OR(ISNUMBER(FIND(CODES!$A$10,M32)),ISNUMBER(FIND(CODES!$A$11,M32))),CODES!$A$13,IF(OR(M32&lt;M$39,ISNUMBER(M32)=FALSE),M$40,M32))))</f>
      </c>
      <c r="N59" s="7" t="str">
        <f>IF(ISBLANK(N32),"NO DATA",IF(ISNUMBER(FIND(CODES!$A$12,N32)),CODES!$A$12,IF(OR(ISNUMBER(FIND(CODES!$A$10,N32)),ISNUMBER(FIND(CODES!$A$11,N32))),CODES!$A$13,IF(OR(N32&lt;N$39,ISNUMBER(N32)=FALSE),N$40,N32))))</f>
      </c>
      <c r="O59" s="7" t="str">
        <f>IF(ISBLANK(O32),"NO DATA",IF(ISNUMBER(FIND(CODES!$A$12,O32)),CODES!$A$12,IF(OR(ISNUMBER(FIND(CODES!$A$10,O32)),ISNUMBER(FIND(CODES!$A$11,O32))),CODES!$A$13,IF(OR(O32&lt;O$39,ISNUMBER(O32)=FALSE),O$40,O32))))</f>
      </c>
      <c r="P59" s="7" t="str">
        <f>IF(ISBLANK(P32),"NO DATA",IF(ISNUMBER(FIND(CODES!$A$12,P32)),CODES!$A$12,IF(OR(ISNUMBER(FIND(CODES!$A$10,P32)),ISNUMBER(FIND(CODES!$A$11,P32))),CODES!$A$13,IF(OR(P32&lt;P$39,ISNUMBER(P32)=FALSE),P$40,P32))))</f>
      </c>
      <c r="Q59" s="7" t="str">
        <f>IF(ISBLANK(Q32),"NO DATA",IF(ISNUMBER(FIND(CODES!$A$12,Q32)),CODES!$A$12,IF(OR(ISNUMBER(FIND(CODES!$A$10,Q32)),ISNUMBER(FIND(CODES!$A$11,Q32))),CODES!$A$13,IF(OR(Q32&lt;Q$39,ISNUMBER(Q32)=FALSE),Q$40,Q32))))</f>
      </c>
      <c r="R59" s="7" t="str">
        <f>IF(ISBLANK(R32),"NO DATA",IF(ISNUMBER(FIND(CODES!$A$12,R32)),CODES!$A$12,IF(OR(ISNUMBER(FIND(CODES!$A$10,R32)),ISNUMBER(FIND(CODES!$A$11,R32))),CODES!$A$13,IF(OR(R32&lt;R$39,ISNUMBER(R32)=FALSE),R$40,R32))))</f>
      </c>
      <c r="S59" s="7" t="str">
        <f>IF(ISBLANK(S32),"NO DATA",IF(ISNUMBER(FIND(CODES!$A$12,S32)),CODES!$A$12,IF(OR(ISNUMBER(FIND(CODES!$A$10,S32)),ISNUMBER(FIND(CODES!$A$11,S32))),CODES!$A$13,IF(OR(S32&lt;S$39,ISNUMBER(S32)=FALSE),S$40,S32))))</f>
      </c>
      <c r="T59" s="7" t="str">
        <f>IF(ISBLANK(T32),"NO DATA",IF(ISNUMBER(FIND(CODES!$A$12,T32)),CODES!$A$12,IF(OR(ISNUMBER(FIND(CODES!$A$10,T32)),ISNUMBER(FIND(CODES!$A$11,T32))),CODES!$A$13,IF(OR(T32&lt;T$39,ISNUMBER(T32)=FALSE),T$40,T32))))</f>
      </c>
      <c r="U59" s="7" t="str">
        <f>IF(ISBLANK(U32),"NO DATA",IF(ISNUMBER(FIND(CODES!$A$12,U32)),CODES!$A$12,IF(OR(ISNUMBER(FIND(CODES!$A$10,U32)),ISNUMBER(FIND(CODES!$A$11,U32))),CODES!$A$13,IF(OR(U32&lt;U$39,ISNUMBER(U32)=FALSE),U$40,U32))))</f>
      </c>
      <c r="V59" s="7" t="str">
        <f>IF(ISBLANK(V32),"NO DATA",IF(ISNUMBER(FIND(CODES!$A$12,V32)),CODES!$A$12,IF(OR(ISNUMBER(FIND(CODES!$A$10,V32)),ISNUMBER(FIND(CODES!$A$11,V32))),CODES!$A$13,IF(OR(V32&lt;V$39,ISNUMBER(V32)=FALSE),V$40,V32))))</f>
      </c>
      <c r="W59" s="7" t="str">
        <f>IF(ISBLANK(W32),"NO DATA",IF(ISNUMBER(FIND(CODES!$A$12,W32)),CODES!$A$12,IF(OR(ISNUMBER(FIND(CODES!$A$10,W32)),ISNUMBER(FIND(CODES!$A$11,W32))),CODES!$A$13,IF(OR(W32&lt;W$39,ISNUMBER(W32)=FALSE),W$40,W32))))</f>
      </c>
      <c r="X59" s="7" t="str">
        <f>IF(ISBLANK(X32),"NO DATA",IF(ISNUMBER(FIND(CODES!$A$12,X32)),CODES!$A$12,IF(OR(ISNUMBER(FIND(CODES!$A$10,X32)),ISNUMBER(FIND(CODES!$A$11,X32))),CODES!$A$13,IF(OR(X32&lt;X$39,ISNUMBER(X32)=FALSE),X$40,X32))))</f>
      </c>
      <c r="Y59" s="7" t="str">
        <f>IF(ISBLANK(Y32),"NO DATA",IF(ISNUMBER(FIND(CODES!$A$12,Y32)),CODES!$A$12,IF(OR(ISNUMBER(FIND(CODES!$A$10,Y32)),ISNUMBER(FIND(CODES!$A$11,Y32))),CODES!$A$13,IF(OR(Y32&lt;Y$39,ISNUMBER(Y32)=FALSE),Y$40,Y32))))</f>
      </c>
      <c r="Z59" s="7" t="str">
        <f>IF(ISBLANK(Z32),"NO DATA",IF(ISNUMBER(FIND(CODES!$A$12,Z32)),CODES!$A$12,IF(OR(ISNUMBER(FIND(CODES!$A$10,Z32)),ISNUMBER(FIND(CODES!$A$11,Z32))),CODES!$A$13,IF(OR(Z32&lt;Z$39,ISNUMBER(Z32)=FALSE),Z$40,Z32))))</f>
      </c>
      <c r="AA59" s="7" t="str">
        <f>IF(ISBLANK(AA32),"NO DATA",IF(ISNUMBER(FIND(CODES!$A$12,AA32)),CODES!$A$12,IF(OR(ISNUMBER(FIND(CODES!$A$10,AA32)),ISNUMBER(FIND(CODES!$A$11,AA32))),CODES!$A$13,IF(OR(AA32&lt;AA$39,ISNUMBER(AA32)=FALSE),AA$40,AA32))))</f>
      </c>
      <c r="AB59" s="7" t="str">
        <f>IF(ISBLANK(AB32),"NO DATA",IF(ISNUMBER(FIND(CODES!$A$12,AB32)),CODES!$A$12,IF(OR(ISNUMBER(FIND(CODES!$A$10,AB32)),ISNUMBER(FIND(CODES!$A$11,AB32))),CODES!$A$13,IF(OR(AB32&lt;AB$39,ISNUMBER(AB32)=FALSE),AB$40,AB32))))</f>
      </c>
      <c r="AC59" s="7" t="str">
        <f>IF(ISBLANK(AC32),"NO DATA",IF(ISNUMBER(FIND(CODES!$A$12,AC32)),CODES!$A$12,IF(OR(ISNUMBER(FIND(CODES!$A$10,AC32)),ISNUMBER(FIND(CODES!$A$11,AC32))),CODES!$A$13,IF(OR(AC32&lt;AC$39,ISNUMBER(AC32)=FALSE),AC$40,AC32))))</f>
      </c>
      <c r="AD59" s="7" t="str">
        <f>IF(ISBLANK(AD32),"NO DATA",IF(ISNUMBER(FIND(CODES!$A$12,AD32)),CODES!$A$12,IF(OR(ISNUMBER(FIND(CODES!$A$10,AD32)),ISNUMBER(FIND(CODES!$A$11,AD32))),CODES!$A$13,IF(OR(AD32&lt;AD$39,ISNUMBER(AD32)=FALSE),AD$40,AD32))))</f>
      </c>
      <c r="AE59" s="7" t="str">
        <f>IF(ISBLANK(AE32),"NO DATA",IF(ISNUMBER(FIND(CODES!$A$12,AE32)),CODES!$A$12,IF(OR(ISNUMBER(FIND(CODES!$A$10,AE32)),ISNUMBER(FIND(CODES!$A$11,AE32))),CODES!$A$13,IF(OR(AE32&lt;AE$39,ISNUMBER(AE32)=FALSE),AE$40,AE32))))</f>
      </c>
      <c r="AF59" s="7" t="str">
        <f>IF(ISBLANK(AF32),"NO DATA",IF(ISNUMBER(FIND(CODES!$A$12,AF32)),CODES!$A$12,IF(OR(ISNUMBER(FIND(CODES!$A$10,AF32)),ISNUMBER(FIND(CODES!$A$11,AF32))),CODES!$A$13,IF(OR(AF32&lt;AF$39,ISNUMBER(AF32)=FALSE),AF$40,AF32))))</f>
      </c>
      <c r="AG59" s="7" t="str">
        <f>IF(ISBLANK(AG32),"NO DATA",IF(ISNUMBER(FIND(CODES!$A$12,AG32)),CODES!$A$12,IF(OR(ISNUMBER(FIND(CODES!$A$10,AG32)),ISNUMBER(FIND(CODES!$A$11,AG32))),CODES!$A$13,IF(OR(AG32&lt;AG$39,ISNUMBER(AG32)=FALSE),AG$40,AG32))))</f>
      </c>
      <c r="AH59" s="7" t="str">
        <f>IF(ISBLANK(AH32),"NO DATA",IF(ISNUMBER(FIND(CODES!$A$12,AH32)),CODES!$A$12,IF(OR(ISNUMBER(FIND(CODES!$A$10,AH32)),ISNUMBER(FIND(CODES!$A$11,AH32))),CODES!$A$13,IF(OR(AH32&lt;AH$39,ISNUMBER(AH32)=FALSE),AH$40,AH32))))</f>
      </c>
      <c r="AI59" s="7" t="str">
        <f>IF(ISBLANK(AI32),"NO DATA",IF(ISNUMBER(FIND(CODES!$A$12,AI32)),CODES!$A$12,IF(OR(ISNUMBER(FIND(CODES!$A$10,AI32)),ISNUMBER(FIND(CODES!$A$11,AI32))),CODES!$A$13,IF(OR(AI32&lt;AI$39,ISNUMBER(AI32)=FALSE),AI$40,AI32))))</f>
      </c>
      <c r="AJ59" s="7" t="str">
        <f>IF(ISBLANK(AJ32),"NO DATA",IF(ISNUMBER(FIND(CODES!$A$12,AJ32)),CODES!$A$12,IF(OR(ISNUMBER(FIND(CODES!$A$10,AJ32)),ISNUMBER(FIND(CODES!$A$11,AJ32))),CODES!$A$13,IF(OR(AJ32&lt;AJ$39,ISNUMBER(AJ32)=FALSE),AJ$40,AJ32))))</f>
      </c>
      <c r="AK59" s="7" t="str">
        <f>IF(ISBLANK(AK32),"NO DATA",IF(ISNUMBER(FIND(CODES!$A$12,AK32)),CODES!$A$12,IF(OR(ISNUMBER(FIND(CODES!$A$10,AK32)),ISNUMBER(FIND(CODES!$A$11,AK32))),CODES!$A$13,IF(OR(AK32&lt;AK$39,ISNUMBER(AK32)=FALSE),AK$40,AK32))))</f>
      </c>
      <c r="AL59" s="7" t="str">
        <f>IF(ISBLANK(AL32),"NO DATA",IF(ISNUMBER(FIND(CODES!$A$12,AL32)),CODES!$A$12,IF(OR(ISNUMBER(FIND(CODES!$A$10,AL32)),ISNUMBER(FIND(CODES!$A$11,AL32))),CODES!$A$13,IF(OR(AL32&lt;AL$39,ISNUMBER(AL32)=FALSE),AL$40,AL32))))</f>
      </c>
      <c r="AM59" s="7" t="str">
        <f>IF(ISBLANK(AM32),"NO DATA",IF(ISNUMBER(FIND(CODES!$A$12,AM32)),CODES!$A$12,IF(OR(ISNUMBER(FIND(CODES!$A$10,AM32)),ISNUMBER(FIND(CODES!$A$11,AM32))),CODES!$A$13,IF(OR(AM32&lt;AM$39,ISNUMBER(AM32)=FALSE),AM$40,AM32))))</f>
      </c>
      <c r="AN59" s="7" t="str">
        <f>IF(ISBLANK(AN32),"NO DATA",IF(ISNUMBER(FIND(CODES!$A$12,AN32)),CODES!$A$12,IF(OR(ISNUMBER(FIND(CODES!$A$10,AN32)),ISNUMBER(FIND(CODES!$A$11,AN32))),CODES!$A$13,IF(OR(AN32&lt;AN$39,ISNUMBER(AN32)=FALSE),AN$40,AN32))))</f>
      </c>
      <c r="AO59" s="7" t="str">
        <f>IF(ISBLANK(AO32),"NO DATA",IF(ISNUMBER(FIND(CODES!$A$12,AO32)),CODES!$A$12,IF(OR(ISNUMBER(FIND(CODES!$A$10,AO32)),ISNUMBER(FIND(CODES!$A$11,AO32))),CODES!$A$13,IF(OR(AO32&lt;AO$39,ISNUMBER(AO32)=FALSE),AO$40,AO32))))</f>
      </c>
      <c r="AP59" s="7" t="str">
        <f>IF(ISBLANK(AP32),"NO DATA",IF(ISNUMBER(FIND(CODES!$A$12,AP32)),CODES!$A$12,IF(OR(ISNUMBER(FIND(CODES!$A$10,AP32)),ISNUMBER(FIND(CODES!$A$11,AP32))),CODES!$A$13,IF(OR(AP32&lt;AP$39,ISNUMBER(AP32)=FALSE),AP$40,AP32))))</f>
      </c>
      <c r="AQ59" s="7" t="str">
        <f>IF(ISBLANK(AQ32),"NO DATA",IF(ISNUMBER(FIND(CODES!$A$12,AQ32)),CODES!$A$12,IF(OR(ISNUMBER(FIND(CODES!$A$10,AQ32)),ISNUMBER(FIND(CODES!$A$11,AQ32))),CODES!$A$13,IF(OR(AQ32&lt;AQ$39,ISNUMBER(AQ32)=FALSE),AQ$40,AQ32))))</f>
      </c>
      <c r="AR59" s="7" t="str">
        <f>IF(ISBLANK(AR32),"NO DATA",IF(ISNUMBER(FIND(CODES!$A$12,AR32)),CODES!$A$12,IF(OR(ISNUMBER(FIND(CODES!$A$10,AR32)),ISNUMBER(FIND(CODES!$A$11,AR32))),CODES!$A$13,IF(OR(AR32&lt;AR$39,ISNUMBER(AR32)=FALSE),AR$40,AR32))))</f>
      </c>
      <c r="AS59" s="7" t="str">
        <f>IF(ISBLANK(AS32),"NO DATA",IF(ISNUMBER(FIND(CODES!$A$12,AS32)),CODES!$A$12,IF(OR(ISNUMBER(FIND(CODES!$A$10,AS32)),ISNUMBER(FIND(CODES!$A$11,AS32))),CODES!$A$13,IF(OR(AS32&lt;AS$39,ISNUMBER(AS32)=FALSE),AS$40,AS32))))</f>
      </c>
      <c r="AT59" s="7" t="str">
        <f>IF(ISBLANK(AT32),"NO DATA",IF(ISNUMBER(FIND(CODES!$A$12,AT32)),CODES!$A$12,IF(OR(ISNUMBER(FIND(CODES!$A$10,AT32)),ISNUMBER(FIND(CODES!$A$11,AT32))),CODES!$A$13,IF(OR(AT32&lt;AT$39,ISNUMBER(AT32)=FALSE),AT$40,AT32))))</f>
      </c>
      <c r="AU59" s="7" t="str">
        <f>IF(ISBLANK(AU32),"NO DATA",IF(ISNUMBER(FIND(CODES!$A$12,AU32)),CODES!$A$12,IF(OR(ISNUMBER(FIND(CODES!$A$10,AU32)),ISNUMBER(FIND(CODES!$A$11,AU32))),CODES!$A$13,IF(OR(AU32&lt;AU$39,ISNUMBER(AU32)=FALSE),AU$40,AU32))))</f>
      </c>
      <c r="AV59" s="7" t="str">
        <f>IF(ISBLANK(AV32),"NO DATA",IF(ISNUMBER(FIND(CODES!$A$12,AV32)),CODES!$A$12,IF(OR(ISNUMBER(FIND(CODES!$A$10,AV32)),ISNUMBER(FIND(CODES!$A$11,AV32))),CODES!$A$13,IF(OR(AV32&lt;AV$39,ISNUMBER(AV32)=FALSE),AV$40,AV32))))</f>
      </c>
      <c r="AW59" s="7" t="str">
        <f>IF(ISBLANK(AW32),"NO DATA",IF(ISNUMBER(FIND(CODES!$A$12,AW32)),CODES!$A$12,IF(OR(ISNUMBER(FIND(CODES!$A$10,AW32)),ISNUMBER(FIND(CODES!$A$11,AW32))),CODES!$A$13,IF(OR(AW32&lt;AW$39,ISNUMBER(AW32)=FALSE),AW$40,AW32))))</f>
      </c>
      <c r="AX59" s="7" t="str">
        <f>IF(ISBLANK(AX32),"NO DATA",IF(ISNUMBER(FIND(CODES!$A$12,AX32)),CODES!$A$12,IF(OR(ISNUMBER(FIND(CODES!$A$10,AX32)),ISNUMBER(FIND(CODES!$A$11,AX32))),CODES!$A$13,IF(OR(AX32&lt;AX$39,ISNUMBER(AX32)=FALSE),AX$40,AX32))))</f>
      </c>
      <c r="AY59" s="7" t="str">
        <f>IF(ISBLANK(AY32),"NO DATA",IF(ISNUMBER(FIND(CODES!$A$12,AY32)),CODES!$A$12,IF(OR(ISNUMBER(FIND(CODES!$A$10,AY32)),ISNUMBER(FIND(CODES!$A$11,AY32))),CODES!$A$13,IF(OR(AY32&lt;AY$39,ISNUMBER(AY32)=FALSE),AY$40,AY32))))</f>
      </c>
      <c r="AZ59" s="7" t="str">
        <f>IF(ISBLANK(AZ32),"NO DATA",IF(ISNUMBER(FIND(CODES!$A$12,AZ32)),CODES!$A$12,IF(OR(ISNUMBER(FIND(CODES!$A$10,AZ32)),ISNUMBER(FIND(CODES!$A$11,AZ32))),CODES!$A$13,IF(OR(AZ32&lt;AZ$39,ISNUMBER(AZ32)=FALSE),AZ$40,AZ32))))</f>
      </c>
      <c r="BA59" s="7" t="str">
        <f>IF(ISBLANK(BA32),"NO DATA",IF(ISNUMBER(FIND(CODES!$A$12,BA32)),CODES!$A$12,IF(OR(ISNUMBER(FIND(CODES!$A$10,BA32)),ISNUMBER(FIND(CODES!$A$11,BA32))),CODES!$A$13,IF(OR(BA32&lt;BA$39,ISNUMBER(BA32)=FALSE),BA$40,BA32))))</f>
      </c>
      <c r="BB59" s="7" t="str">
        <f>IF(ISBLANK(BB32),"NO DATA",IF(ISNUMBER(FIND(CODES!$A$12,BB32)),CODES!$A$12,IF(OR(ISNUMBER(FIND(CODES!$A$10,BB32)),ISNUMBER(FIND(CODES!$A$11,BB32))),CODES!$A$13,IF(OR(BB32&lt;BB$39,ISNUMBER(BB32)=FALSE),BB$40,BB32))))</f>
      </c>
      <c r="BC59" s="7" t="str">
        <f>IF(ISBLANK(BC32),"NO DATA",IF(ISNUMBER(FIND(CODES!$A$12,BC32)),CODES!$A$12,IF(OR(ISNUMBER(FIND(CODES!$A$10,BC32)),ISNUMBER(FIND(CODES!$A$11,BC32))),CODES!$A$13,IF(OR(BC32&lt;BC$39,ISNUMBER(BC32)=FALSE),BC$40,BC32))))</f>
      </c>
      <c r="BD59" s="7" t="str">
        <f>IF(ISBLANK(BD32),"NO DATA",IF(ISNUMBER(FIND(CODES!$A$12,BD32)),CODES!$A$12,IF(OR(ISNUMBER(FIND(CODES!$A$10,BD32)),ISNUMBER(FIND(CODES!$A$11,BD32))),CODES!$A$13,IF(OR(BD32&lt;BD$39,ISNUMBER(BD32)=FALSE),BD$40,BD32))))</f>
      </c>
      <c r="BE59" s="7" t="str">
        <f>IF(ISBLANK(BE32),"NO DATA",IF(ISNUMBER(FIND(CODES!$A$12,BE32)),CODES!$A$12,IF(OR(ISNUMBER(FIND(CODES!$A$10,BE32)),ISNUMBER(FIND(CODES!$A$11,BE32))),CODES!$A$13,IF(OR(BE32&lt;BE$39,ISNUMBER(BE32)=FALSE),BE$40,BE32))))</f>
      </c>
      <c r="BF59" s="7" t="str">
        <f>IF(ISBLANK(BF32),"NO DATA",IF(ISNUMBER(FIND(CODES!$A$12,BF32)),CODES!$A$12,IF(OR(ISNUMBER(FIND(CODES!$A$10,BF32)),ISNUMBER(FIND(CODES!$A$11,BF32))),CODES!$A$13,IF(OR(BF32&lt;BF$39,ISNUMBER(BF32)=FALSE),BF$40,BF32))))</f>
      </c>
      <c r="BG59" s="7" t="str">
        <f>IF(ISBLANK(BG32),"NO DATA",IF(ISNUMBER(FIND(CODES!$A$12,BG32)),CODES!$A$12,IF(OR(ISNUMBER(FIND(CODES!$A$10,BG32)),ISNUMBER(FIND(CODES!$A$11,BG32))),CODES!$A$13,IF(OR(BG32&lt;BG$39,ISNUMBER(BG32)=FALSE),BG$40,BG32))))</f>
      </c>
      <c r="BH59" s="7" t="str">
        <f>IF(ISBLANK(BH32),"NO DATA",IF(ISNUMBER(FIND(CODES!$A$12,BH32)),CODES!$A$12,IF(OR(ISNUMBER(FIND(CODES!$A$10,BH32)),ISNUMBER(FIND(CODES!$A$11,BH32))),CODES!$A$13,IF(OR(BH32&lt;BH$39,ISNUMBER(BH32)=FALSE),BH$40,BH32))))</f>
      </c>
      <c r="BI59" s="7" t="str">
        <f>IF(ISBLANK(BI32),"NO DATA",IF(ISNUMBER(FIND(CODES!$A$12,BI32)),CODES!$A$12,IF(OR(ISNUMBER(FIND(CODES!$A$10,BI32)),ISNUMBER(FIND(CODES!$A$11,BI32))),CODES!$A$13,IF(OR(BI32&lt;BI$39,ISNUMBER(BI32)=FALSE),BI$40,BI32))))</f>
      </c>
      <c r="BJ59" s="7" t="str">
        <f>IF(ISBLANK(BJ32),"NO DATA",IF(ISNUMBER(FIND(CODES!$A$12,BJ32)),CODES!$A$12,IF(OR(ISNUMBER(FIND(CODES!$A$10,BJ32)),ISNUMBER(FIND(CODES!$A$11,BJ32))),CODES!$A$13,IF(OR(BJ32&lt;BJ$39,ISNUMBER(BJ32)=FALSE),BJ$40,BJ32))))</f>
      </c>
      <c r="BK59" s="7" t="str">
        <f>IF(ISBLANK(BK32),"NO DATA",IF(ISNUMBER(FIND(CODES!$A$12,BK32)),CODES!$A$12,IF(OR(ISNUMBER(FIND(CODES!$A$10,BK32)),ISNUMBER(FIND(CODES!$A$11,BK32))),CODES!$A$13,IF(OR(BK32&lt;BK$39,ISNUMBER(BK32)=FALSE),BK$40,BK32))))</f>
      </c>
      <c r="BL59" s="7" t="str">
        <f>IF(ISBLANK(BL32),"NO DATA",IF(ISNUMBER(FIND(CODES!$A$12,BL32)),CODES!$A$12,IF(OR(ISNUMBER(FIND(CODES!$A$10,BL32)),ISNUMBER(FIND(CODES!$A$11,BL32))),CODES!$A$13,IF(OR(BL32&lt;BL$39,ISNUMBER(BL32)=FALSE),BL$40,BL32))))</f>
      </c>
      <c r="BM59" s="7" t="str">
        <f>IF(ISBLANK(BM32),"NO DATA",IF(ISNUMBER(FIND(CODES!$A$12,BM32)),CODES!$A$12,IF(OR(ISNUMBER(FIND(CODES!$A$10,BM32)),ISNUMBER(FIND(CODES!$A$11,BM32))),CODES!$A$13,IF(OR(BM32&lt;BM$39,ISNUMBER(BM32)=FALSE),BM$40,BM32))))</f>
      </c>
      <c r="BN59" s="7" t="str">
        <f>IF(ISBLANK(BN32),"NO DATA",IF(ISNUMBER(FIND(CODES!$A$12,BN32)),CODES!$A$12,IF(OR(ISNUMBER(FIND(CODES!$A$10,BN32)),ISNUMBER(FIND(CODES!$A$11,BN32))),CODES!$A$13,IF(OR(BN32&lt;BN$39,ISNUMBER(BN32)=FALSE),BN$40,BN32))))</f>
      </c>
      <c r="BO59" s="7" t="str">
        <f>IF(ISBLANK(BO32),"NO DATA",IF(ISNUMBER(FIND(CODES!$A$12,BO32)),CODES!$A$12,IF(OR(ISNUMBER(FIND(CODES!$A$10,BO32)),ISNUMBER(FIND(CODES!$A$11,BO32))),CODES!$A$13,IF(OR(BO32&lt;BO$39,ISNUMBER(BO32)=FALSE),BO$40,BO32))))</f>
      </c>
      <c r="BP59" s="7" t="str">
        <f>IF(ISBLANK(BP32),"NO DATA",IF(ISNUMBER(FIND(CODES!$A$12,BP32)),CODES!$A$12,IF(OR(ISNUMBER(FIND(CODES!$A$10,BP32)),ISNUMBER(FIND(CODES!$A$11,BP32))),CODES!$A$13,IF(OR(BP32&lt;BP$39,ISNUMBER(BP32)=FALSE),BP$40,BP32))))</f>
      </c>
      <c r="BQ59" s="7" t="str">
        <f>IF(ISBLANK(BQ32),"NO DATA",IF(ISNUMBER(FIND(CODES!$A$12,BQ32)),CODES!$A$12,IF(OR(ISNUMBER(FIND(CODES!$A$10,BQ32)),ISNUMBER(FIND(CODES!$A$11,BQ32))),CODES!$A$13,IF(OR(BQ32&lt;BQ$39,ISNUMBER(BQ32)=FALSE),BQ$40,BQ32))))</f>
      </c>
      <c r="BR59" s="7" t="str">
        <f>IF(ISBLANK(BR32),"NO DATA",IF(ISNUMBER(FIND(CODES!$A$12,BR32)),CODES!$A$12,IF(OR(ISNUMBER(FIND(CODES!$A$10,BR32)),ISNUMBER(FIND(CODES!$A$11,BR32))),CODES!$A$13,IF(OR(BR32&lt;BR$39,ISNUMBER(BR32)=FALSE),BR$40,BR32))))</f>
      </c>
      <c r="BS59" s="7" t="str">
        <f>IF(ISBLANK(BS32),"NO DATA",IF(ISNUMBER(FIND(CODES!$A$12,BS32)),CODES!$A$12,IF(OR(ISNUMBER(FIND(CODES!$A$10,BS32)),ISNUMBER(FIND(CODES!$A$11,BS32))),CODES!$A$13,IF(OR(BS32&lt;BS$39,ISNUMBER(BS32)=FALSE),BS$40,BS32))))</f>
      </c>
      <c r="BT59" s="7" t="str">
        <f>IF(ISBLANK(BT32),"NO DATA",IF(ISNUMBER(FIND(CODES!$A$12,BT32)),CODES!$A$12,IF(OR(ISNUMBER(FIND(CODES!$A$10,BT32)),ISNUMBER(FIND(CODES!$A$11,BT32))),CODES!$A$13,IF(OR(BT32&lt;BT$39,ISNUMBER(BT32)=FALSE),BT$40,BT32))))</f>
      </c>
      <c r="BU59" s="7" t="str">
        <f>IF(ISBLANK(BU32),"NO DATA",IF(ISNUMBER(FIND(CODES!$A$12,BU32)),CODES!$A$12,IF(OR(ISNUMBER(FIND(CODES!$A$10,BU32)),ISNUMBER(FIND(CODES!$A$11,BU32))),CODES!$A$13,IF(OR(BU32&lt;BU$39,ISNUMBER(BU32)=FALSE),BU$40,BU32))))</f>
      </c>
      <c r="BV59" s="7" t="str">
        <f>IF(ISBLANK(BV32),"NO DATA",IF(ISNUMBER(FIND(CODES!$A$12,BV32)),CODES!$A$12,IF(OR(ISNUMBER(FIND(CODES!$A$10,BV32)),ISNUMBER(FIND(CODES!$A$11,BV32))),CODES!$A$13,IF(OR(BV32&lt;BV$39,ISNUMBER(BV32)=FALSE),BV$40,BV32))))</f>
      </c>
      <c r="BW59" s="7" t="str">
        <f>IF(ISBLANK(BW32),"NO DATA",IF(ISNUMBER(FIND(CODES!$A$12,BW32)),CODES!$A$12,IF(OR(ISNUMBER(FIND(CODES!$A$10,BW32)),ISNUMBER(FIND(CODES!$A$11,BW32))),CODES!$A$13,IF(OR(BW32&lt;BW$39,ISNUMBER(BW32)=FALSE),BW$40,BW32))))</f>
      </c>
      <c r="BX59" s="7" t="str">
        <f>IF(ISBLANK(BX32),"NO DATA",IF(ISNUMBER(FIND(CODES!$A$12,BX32)),CODES!$A$12,IF(OR(ISNUMBER(FIND(CODES!$A$10,BX32)),ISNUMBER(FIND(CODES!$A$11,BX32))),CODES!$A$13,IF(OR(BX32&lt;BX$39,ISNUMBER(BX32)=FALSE),BX$40,BX32))))</f>
      </c>
      <c r="BY59" s="7" t="str">
        <f>IF(ISBLANK(BY32),"NO DATA",IF(ISNUMBER(FIND(CODES!$A$12,BY32)),CODES!$A$12,IF(OR(ISNUMBER(FIND(CODES!$A$10,BY32)),ISNUMBER(FIND(CODES!$A$11,BY32))),CODES!$A$13,IF(OR(BY32&lt;BY$39,ISNUMBER(BY32)=FALSE),BY$40,BY32))))</f>
      </c>
      <c r="BZ59" s="7" t="str">
        <f>IF(ISBLANK(BZ32),"NO DATA",IF(ISNUMBER(FIND(CODES!$A$12,BZ32)),CODES!$A$12,IF(OR(ISNUMBER(FIND(CODES!$A$10,BZ32)),ISNUMBER(FIND(CODES!$A$11,BZ32))),CODES!$A$13,IF(OR(BZ32&lt;BZ$39,ISNUMBER(BZ32)=FALSE),BZ$40,BZ32))))</f>
      </c>
      <c r="CA59" s="7" t="str">
        <f>IF(ISBLANK(CA32),"NO DATA",IF(ISNUMBER(FIND(CODES!$A$12,CA32)),CODES!$A$12,IF(OR(ISNUMBER(FIND(CODES!$A$10,CA32)),ISNUMBER(FIND(CODES!$A$11,CA32))),CODES!$A$13,IF(OR(CA32&lt;CA$39,ISNUMBER(CA32)=FALSE),CA$40,CA32))))</f>
      </c>
      <c r="CB59" s="7" t="str">
        <f>IF(ISBLANK(CB32),"NO DATA",IF(ISNUMBER(FIND(CODES!$A$12,CB32)),CODES!$A$12,IF(OR(ISNUMBER(FIND(CODES!$A$10,CB32)),ISNUMBER(FIND(CODES!$A$11,CB32))),CODES!$A$13,IF(OR(CB32&lt;CB$39,ISNUMBER(CB32)=FALSE),CB$40,CB32))))</f>
      </c>
      <c r="CC59" s="7" t="str">
        <f>IF(ISBLANK(CC32),"NO DATA",IF(ISNUMBER(FIND(CODES!$A$12,CC32)),CODES!$A$12,IF(OR(ISNUMBER(FIND(CODES!$A$10,CC32)),ISNUMBER(FIND(CODES!$A$11,CC32))),CODES!$A$13,IF(OR(CC32&lt;CC$39,ISNUMBER(CC32)=FALSE),CC$40,CC32))))</f>
      </c>
      <c r="CD59" s="7" t="str">
        <f>IF(ISBLANK(CD32),"NO DATA",IF(ISNUMBER(FIND(CODES!$A$12,CD32)),CODES!$A$12,IF(OR(ISNUMBER(FIND(CODES!$A$10,CD32)),ISNUMBER(FIND(CODES!$A$11,CD32))),CODES!$A$13,IF(OR(CD32&lt;CD$39,ISNUMBER(CD32)=FALSE),CD$40,CD32))))</f>
      </c>
      <c r="CE59" s="7" t="str">
        <f>IF(ISBLANK(CE32),"NO DATA",IF(ISNUMBER(FIND(CODES!$A$12,CE32)),CODES!$A$12,IF(OR(ISNUMBER(FIND(CODES!$A$10,CE32)),ISNUMBER(FIND(CODES!$A$11,CE32))),CODES!$A$13,IF(OR(CE32&lt;CE$39,ISNUMBER(CE32)=FALSE),CE$40,CE32))))</f>
      </c>
      <c r="CF59" s="7" t="str">
        <f>IF(ISBLANK(CF32),"NO DATA",IF(ISNUMBER(FIND(CODES!$A$12,CF32)),CODES!$A$12,IF(OR(ISNUMBER(FIND(CODES!$A$10,CF32)),ISNUMBER(FIND(CODES!$A$11,CF32))),CODES!$A$13,IF(OR(CF32&lt;CF$39,ISNUMBER(CF32)=FALSE),CF$40,CF32))))</f>
      </c>
      <c r="CG59" s="7" t="str">
        <f>IF(ISBLANK(CG32),"NO DATA",IF(ISNUMBER(FIND(CODES!$A$12,CG32)),CODES!$A$12,IF(OR(ISNUMBER(FIND(CODES!$A$10,CG32)),ISNUMBER(FIND(CODES!$A$11,CG32))),CODES!$A$13,IF(OR(CG32&lt;CG$39,ISNUMBER(CG32)=FALSE),CG$40,CG32))))</f>
      </c>
      <c r="CH59" s="7" t="str">
        <f>IF(ISBLANK(CH32),"NO DATA",IF(ISNUMBER(FIND(CODES!$A$12,CH32)),CODES!$A$12,IF(OR(ISNUMBER(FIND(CODES!$A$10,CH32)),ISNUMBER(FIND(CODES!$A$11,CH32))),CODES!$A$13,IF(OR(CH32&lt;CH$39,ISNUMBER(CH32)=FALSE),CH$40,CH32))))</f>
      </c>
      <c r="CI59" s="7" t="str">
        <f>IF(ISBLANK(CI32),"NO DATA",IF(ISNUMBER(FIND(CODES!$A$12,CI32)),CODES!$A$12,IF(OR(ISNUMBER(FIND(CODES!$A$10,CI32)),ISNUMBER(FIND(CODES!$A$11,CI32))),CODES!$A$13,IF(OR(CI32&lt;CI$39,ISNUMBER(CI32)=FALSE),CI$40,CI32))))</f>
      </c>
      <c r="CJ59" s="7" t="str">
        <f>IF(ISBLANK(CJ32),"NO DATA",IF(ISNUMBER(FIND(CODES!$A$12,CJ32)),CODES!$A$12,IF(OR(ISNUMBER(FIND(CODES!$A$10,CJ32)),ISNUMBER(FIND(CODES!$A$11,CJ32))),CODES!$A$13,IF(OR(CJ32&lt;CJ$39,ISNUMBER(CJ32)=FALSE),CJ$40,CJ32))))</f>
      </c>
      <c r="CK59" s="7" t="str">
        <f>IF(ISBLANK(CK32),"NO DATA",IF(ISNUMBER(FIND(CODES!$A$12,CK32)),CODES!$A$12,IF(OR(ISNUMBER(FIND(CODES!$A$10,CK32)),ISNUMBER(FIND(CODES!$A$11,CK32))),CODES!$A$13,IF(OR(CK32&lt;CK$39,ISNUMBER(CK32)=FALSE),CK$40,CK32))))</f>
      </c>
      <c r="CL59" s="7" t="str">
        <f>IF(ISBLANK(CL32),"NO DATA",IF(ISNUMBER(FIND(CODES!$A$12,CL32)),CODES!$A$12,IF(OR(ISNUMBER(FIND(CODES!$A$10,CL32)),ISNUMBER(FIND(CODES!$A$11,CL32))),CODES!$A$13,IF(OR(CL32&lt;CL$39,ISNUMBER(CL32)=FALSE),CL$40,CL32))))</f>
      </c>
      <c r="CM59" s="7" t="str">
        <f>IF(ISBLANK(CM32),"NO DATA",IF(ISNUMBER(FIND(CODES!$A$12,CM32)),CODES!$A$12,IF(OR(ISNUMBER(FIND(CODES!$A$10,CM32)),ISNUMBER(FIND(CODES!$A$11,CM32))),CODES!$A$13,IF(OR(CM32&lt;CM$39,ISNUMBER(CM32)=FALSE),CM$40,CM32))))</f>
      </c>
      <c r="CN59" s="7" t="str">
        <f>IF(ISBLANK(CN32),"NO DATA",IF(ISNUMBER(FIND(CODES!$A$12,CN32)),CODES!$A$12,IF(OR(ISNUMBER(FIND(CODES!$A$10,CN32)),ISNUMBER(FIND(CODES!$A$11,CN32))),CODES!$A$13,IF(OR(CN32&lt;CN$39,ISNUMBER(CN32)=FALSE),CN$40,CN32))))</f>
      </c>
      <c r="CO59" s="7" t="str">
        <f>IF(ISBLANK(CO32),"NO DATA",IF(ISNUMBER(FIND(CODES!$A$12,CO32)),CODES!$A$12,IF(OR(ISNUMBER(FIND(CODES!$A$10,CO32)),ISNUMBER(FIND(CODES!$A$11,CO32))),CODES!$A$13,IF(OR(CO32&lt;CO$39,ISNUMBER(CO32)=FALSE),CO$40,CO32))))</f>
      </c>
      <c r="CP59" s="7" t="str">
        <f>IF(ISBLANK(CP32),"NO DATA",IF(ISNUMBER(FIND(CODES!$A$12,CP32)),CODES!$A$12,IF(OR(ISNUMBER(FIND(CODES!$A$10,CP32)),ISNUMBER(FIND(CODES!$A$11,CP32))),CODES!$A$13,IF(OR(CP32&lt;CP$39,ISNUMBER(CP32)=FALSE),CP$40,CP32))))</f>
      </c>
      <c r="CQ59" s="7" t="str">
        <f>IF(ISBLANK(CQ32),"NO DATA",IF(ISNUMBER(FIND(CODES!$A$12,CQ32)),CODES!$A$12,IF(OR(ISNUMBER(FIND(CODES!$A$10,CQ32)),ISNUMBER(FIND(CODES!$A$11,CQ32))),CODES!$A$13,IF(OR(CQ32&lt;CQ$39,ISNUMBER(CQ32)=FALSE),CQ$40,CQ32))))</f>
      </c>
      <c r="CR59" s="7" t="str">
        <f>IF(ISBLANK(CR32),"NO DATA",IF(ISNUMBER(FIND(CODES!$A$12,CR32)),CODES!$A$12,IF(OR(ISNUMBER(FIND(CODES!$A$10,CR32)),ISNUMBER(FIND(CODES!$A$11,CR32))),CODES!$A$13,IF(OR(CR32&lt;CR$39,ISNUMBER(CR32)=FALSE),CR$40,CR32))))</f>
      </c>
      <c r="CS59" s="7" t="str">
        <f>IF(ISBLANK(CS32),"NO DATA",IF(ISNUMBER(FIND(CODES!$A$12,CS32)),CODES!$A$12,IF(OR(ISNUMBER(FIND(CODES!$A$10,CS32)),ISNUMBER(FIND(CODES!$A$11,CS32))),CODES!$A$13,IF(OR(CS32&lt;CS$39,ISNUMBER(CS32)=FALSE),CS$40,CS32))))</f>
      </c>
      <c r="CT59" s="7" t="str">
        <f>IF(ISBLANK(CT32),"NO DATA",IF(ISNUMBER(FIND(CODES!$A$12,CT32)),CODES!$A$12,IF(OR(ISNUMBER(FIND(CODES!$A$10,CT32)),ISNUMBER(FIND(CODES!$A$11,CT32))),CODES!$A$13,IF(OR(CT32&lt;CT$39,ISNUMBER(CT32)=FALSE),CT$40,CT32))))</f>
      </c>
      <c r="CU59" s="7" t="str">
        <f>IF(ISBLANK(CU32),"NO DATA",IF(ISNUMBER(FIND(CODES!$A$12,CU32)),CODES!$A$12,IF(OR(ISNUMBER(FIND(CODES!$A$10,CU32)),ISNUMBER(FIND(CODES!$A$11,CU32))),CODES!$A$13,IF(OR(CU32&lt;CU$39,ISNUMBER(CU32)=FALSE),CU$40,CU32))))</f>
      </c>
      <c r="CV59" s="7" t="str">
        <f>IF(ISBLANK(CV32),"NO DATA",IF(ISNUMBER(FIND(CODES!$A$12,CV32)),CODES!$A$12,IF(OR(ISNUMBER(FIND(CODES!$A$10,CV32)),ISNUMBER(FIND(CODES!$A$11,CV32))),CODES!$A$13,IF(OR(CV32&lt;CV$39,ISNUMBER(CV32)=FALSE),CV$40,CV32))))</f>
      </c>
      <c r="CW59" s="7" t="str">
        <f>IF(ISBLANK(CW32),"NO DATA",IF(ISNUMBER(FIND(CODES!$A$12,CW32)),CODES!$A$12,IF(OR(ISNUMBER(FIND(CODES!$A$10,CW32)),ISNUMBER(FIND(CODES!$A$11,CW32))),CODES!$A$13,IF(OR(CW32&lt;CW$39,ISNUMBER(CW32)=FALSE),CW$40,CW32))))</f>
      </c>
      <c r="CX59" s="7" t="str">
        <f>IF(ISBLANK(CX32),"NO DATA",IF(ISNUMBER(FIND(CODES!$A$12,CX32)),CODES!$A$12,IF(OR(ISNUMBER(FIND(CODES!$A$10,CX32)),ISNUMBER(FIND(CODES!$A$11,CX32))),CODES!$A$13,IF(OR(CX32&lt;CX$39,ISNUMBER(CX32)=FALSE),CX$40,CX32))))</f>
      </c>
      <c r="CY59" s="7" t="str">
        <f>IF(ISBLANK(CY32),"NO DATA",IF(ISNUMBER(FIND(CODES!$A$12,CY32)),CODES!$A$12,IF(OR(ISNUMBER(FIND(CODES!$A$10,CY32)),ISNUMBER(FIND(CODES!$A$11,CY32))),CODES!$A$13,IF(OR(CY32&lt;CY$39,ISNUMBER(CY32)=FALSE),CY$40,CY32))))</f>
      </c>
      <c r="CZ59" s="7" t="str">
        <f>IF(ISBLANK(CZ32),"NO DATA",IF(ISNUMBER(FIND(CODES!$A$12,CZ32)),CODES!$A$12,IF(OR(ISNUMBER(FIND(CODES!$A$10,CZ32)),ISNUMBER(FIND(CODES!$A$11,CZ32))),CODES!$A$13,IF(OR(CZ32&lt;CZ$39,ISNUMBER(CZ32)=FALSE),CZ$40,CZ32))))</f>
      </c>
      <c r="DA59" s="7" t="str">
        <f>IF(ISBLANK(DA32),"NO DATA",IF(ISNUMBER(FIND(CODES!$A$12,DA32)),CODES!$A$12,IF(OR(ISNUMBER(FIND(CODES!$A$10,DA32)),ISNUMBER(FIND(CODES!$A$11,DA32))),CODES!$A$13,IF(OR(DA32&lt;DA$39,ISNUMBER(DA32)=FALSE),DA$40,DA32))))</f>
      </c>
      <c r="DB59" s="7" t="str">
        <f>IF(ISBLANK(DB32),"NO DATA",IF(ISNUMBER(FIND(CODES!$A$12,DB32)),CODES!$A$12,IF(OR(ISNUMBER(FIND(CODES!$A$10,DB32)),ISNUMBER(FIND(CODES!$A$11,DB32))),CODES!$A$13,IF(OR(DB32&lt;DB$39,ISNUMBER(DB32)=FALSE),DB$40,DB32))))</f>
      </c>
      <c r="DC59" s="7" t="str">
        <f>IF(ISBLANK(DC32),"NO DATA",IF(ISNUMBER(FIND(CODES!$A$12,DC32)),CODES!$A$12,IF(OR(ISNUMBER(FIND(CODES!$A$10,DC32)),ISNUMBER(FIND(CODES!$A$11,DC32))),CODES!$A$13,IF(OR(DC32&lt;DC$39,ISNUMBER(DC32)=FALSE),DC$40,DC32))))</f>
      </c>
      <c r="DD59" s="7" t="str">
        <f>IF(ISBLANK(DD32),"NO DATA",IF(ISNUMBER(FIND(CODES!$A$12,DD32)),CODES!$A$12,IF(OR(ISNUMBER(FIND(CODES!$A$10,DD32)),ISNUMBER(FIND(CODES!$A$11,DD32))),CODES!$A$13,IF(OR(DD32&lt;DD$39,ISNUMBER(DD32)=FALSE),DD$40,DD32))))</f>
      </c>
      <c r="DE59" s="7" t="str">
        <f>IF(ISBLANK(DE32),"NO DATA",IF(ISNUMBER(FIND(CODES!$A$12,DE32)),CODES!$A$12,IF(OR(ISNUMBER(FIND(CODES!$A$10,DE32)),ISNUMBER(FIND(CODES!$A$11,DE32))),CODES!$A$13,IF(OR(DE32&lt;DE$39,ISNUMBER(DE32)=FALSE),DE$40,DE32))))</f>
      </c>
      <c r="DF59" s="7" t="str">
        <f>IF(ISBLANK(DF32),"NO DATA",IF(ISNUMBER(FIND(CODES!$A$12,DF32)),CODES!$A$12,IF(OR(ISNUMBER(FIND(CODES!$A$10,DF32)),ISNUMBER(FIND(CODES!$A$11,DF32))),CODES!$A$13,IF(OR(DF32&lt;DF$39,ISNUMBER(DF32)=FALSE),DF$40,DF32))))</f>
      </c>
      <c r="DG59" s="7" t="str">
        <f>IF(ISBLANK(DG32),"NO DATA",IF(ISNUMBER(FIND(CODES!$A$12,DG32)),CODES!$A$12,IF(OR(ISNUMBER(FIND(CODES!$A$10,DG32)),ISNUMBER(FIND(CODES!$A$11,DG32))),CODES!$A$13,IF(OR(DG32&lt;DG$39,ISNUMBER(DG32)=FALSE),DG$40,DG32))))</f>
      </c>
      <c r="DH59" s="7" t="str">
        <f>IF(ISBLANK(DH32),"NO DATA",IF(ISNUMBER(FIND(CODES!$A$12,DH32)),CODES!$A$12,IF(OR(ISNUMBER(FIND(CODES!$A$10,DH32)),ISNUMBER(FIND(CODES!$A$11,DH32))),CODES!$A$13,IF(OR(DH32&lt;DH$39,ISNUMBER(DH32)=FALSE),DH$40,DH32))))</f>
      </c>
      <c r="DI59" s="7" t="str">
        <f>IF(ISBLANK(DI32),"NO DATA",IF(ISNUMBER(FIND(CODES!$A$12,DI32)),CODES!$A$12,IF(OR(ISNUMBER(FIND(CODES!$A$10,DI32)),ISNUMBER(FIND(CODES!$A$11,DI32))),CODES!$A$13,IF(OR(DI32&lt;DI$39,ISNUMBER(DI32)=FALSE),DI$40,DI32))))</f>
      </c>
    </row>
    <row r="60" spans="1:113" x14ac:dyDescent="0.25">
      <c r="A60" s="16" t="str">
        <f t="shared" si="2"/>
      </c>
      <c r="B60" s="16" t="str">
        <f t="shared" si="2"/>
      </c>
      <c r="C60" s="7" t="str">
        <f>IF(ISBLANK(C33),"NO DATA",IF(ISNUMBER(FIND(CODES!$A$12,C33)),CODES!$A$12,IF(OR(ISNUMBER(FIND(CODES!$A$10,C33)),ISNUMBER(FIND(CODES!$A$11,C33))),CODES!$A$13,IF(OR(C33&lt;C$39,ISNUMBER(C33)=FALSE),C$40,C33))))</f>
      </c>
      <c r="D60" s="7" t="str">
        <f>IF(ISBLANK(D33),"NO DATA",IF(ISNUMBER(FIND(CODES!$A$12,D33)),CODES!$A$12,IF(OR(ISNUMBER(FIND(CODES!$A$10,D33)),ISNUMBER(FIND(CODES!$A$11,D33))),CODES!$A$13,IF(OR(D33&lt;D$39,ISNUMBER(D33)=FALSE),D$40,D33))))</f>
      </c>
      <c r="E60" s="7" t="str">
        <f>IF(ISBLANK(E33),"NO DATA",IF(ISNUMBER(FIND(CODES!$A$12,E33)),CODES!$A$12,IF(OR(ISNUMBER(FIND(CODES!$A$10,E33)),ISNUMBER(FIND(CODES!$A$11,E33))),CODES!$A$13,IF(OR(E33&lt;E$39,ISNUMBER(E33)=FALSE),E$40,E33))))</f>
      </c>
      <c r="F60" s="7" t="str">
        <f>IF(ISBLANK(F33),"NO DATA",IF(ISNUMBER(FIND(CODES!$A$12,F33)),CODES!$A$12,IF(OR(ISNUMBER(FIND(CODES!$A$10,F33)),ISNUMBER(FIND(CODES!$A$11,F33))),CODES!$A$13,IF(OR(F33&lt;F$39,ISNUMBER(F33)=FALSE),F$40,F33))))</f>
      </c>
      <c r="G60" s="7" t="str">
        <f>IF(ISBLANK(G33),"NO DATA",IF(ISNUMBER(FIND(CODES!$A$12,G33)),CODES!$A$12,IF(OR(ISNUMBER(FIND(CODES!$A$10,G33)),ISNUMBER(FIND(CODES!$A$11,G33))),CODES!$A$13,IF(OR(G33&lt;G$39,ISNUMBER(G33)=FALSE),G$40,G33))))</f>
      </c>
      <c r="H60" s="7" t="str">
        <f>IF(ISBLANK(H33),"NO DATA",IF(ISNUMBER(FIND(CODES!$A$12,H33)),CODES!$A$12,IF(OR(ISNUMBER(FIND(CODES!$A$10,H33)),ISNUMBER(FIND(CODES!$A$11,H33))),CODES!$A$13,IF(OR(H33&lt;H$39,ISNUMBER(H33)=FALSE),H$40,H33))))</f>
      </c>
      <c r="I60" s="7" t="str">
        <f>IF(ISBLANK(I33),"NO DATA",IF(ISNUMBER(FIND(CODES!$A$12,I33)),CODES!$A$12,IF(OR(ISNUMBER(FIND(CODES!$A$10,I33)),ISNUMBER(FIND(CODES!$A$11,I33))),CODES!$A$13,IF(OR(I33&lt;I$39,ISNUMBER(I33)=FALSE),I$40,I33))))</f>
      </c>
      <c r="J60" s="7" t="str">
        <f>IF(ISBLANK(J33),"NO DATA",IF(ISNUMBER(FIND(CODES!$A$12,J33)),CODES!$A$12,IF(OR(ISNUMBER(FIND(CODES!$A$10,J33)),ISNUMBER(FIND(CODES!$A$11,J33))),CODES!$A$13,IF(OR(J33&lt;J$39,ISNUMBER(J33)=FALSE),J$40,J33))))</f>
      </c>
      <c r="K60" s="7" t="str">
        <f>IF(ISBLANK(K33),"NO DATA",IF(ISNUMBER(FIND(CODES!$A$12,K33)),CODES!$A$12,IF(OR(ISNUMBER(FIND(CODES!$A$10,K33)),ISNUMBER(FIND(CODES!$A$11,K33))),CODES!$A$13,IF(OR(K33&lt;K$39,ISNUMBER(K33)=FALSE),K$40,K33))))</f>
      </c>
      <c r="L60" s="7" t="str">
        <f>IF(ISBLANK(L33),"NO DATA",IF(ISNUMBER(FIND(CODES!$A$12,L33)),CODES!$A$12,IF(OR(ISNUMBER(FIND(CODES!$A$10,L33)),ISNUMBER(FIND(CODES!$A$11,L33))),CODES!$A$13,IF(OR(L33&lt;L$39,ISNUMBER(L33)=FALSE),L$40,L33))))</f>
      </c>
      <c r="M60" s="7" t="str">
        <f>IF(ISBLANK(M33),"NO DATA",IF(ISNUMBER(FIND(CODES!$A$12,M33)),CODES!$A$12,IF(OR(ISNUMBER(FIND(CODES!$A$10,M33)),ISNUMBER(FIND(CODES!$A$11,M33))),CODES!$A$13,IF(OR(M33&lt;M$39,ISNUMBER(M33)=FALSE),M$40,M33))))</f>
      </c>
      <c r="N60" s="7" t="str">
        <f>IF(ISBLANK(N33),"NO DATA",IF(ISNUMBER(FIND(CODES!$A$12,N33)),CODES!$A$12,IF(OR(ISNUMBER(FIND(CODES!$A$10,N33)),ISNUMBER(FIND(CODES!$A$11,N33))),CODES!$A$13,IF(OR(N33&lt;N$39,ISNUMBER(N33)=FALSE),N$40,N33))))</f>
      </c>
      <c r="O60" s="7" t="str">
        <f>IF(ISBLANK(O33),"NO DATA",IF(ISNUMBER(FIND(CODES!$A$12,O33)),CODES!$A$12,IF(OR(ISNUMBER(FIND(CODES!$A$10,O33)),ISNUMBER(FIND(CODES!$A$11,O33))),CODES!$A$13,IF(OR(O33&lt;O$39,ISNUMBER(O33)=FALSE),O$40,O33))))</f>
      </c>
      <c r="P60" s="7" t="str">
        <f>IF(ISBLANK(P33),"NO DATA",IF(ISNUMBER(FIND(CODES!$A$12,P33)),CODES!$A$12,IF(OR(ISNUMBER(FIND(CODES!$A$10,P33)),ISNUMBER(FIND(CODES!$A$11,P33))),CODES!$A$13,IF(OR(P33&lt;P$39,ISNUMBER(P33)=FALSE),P$40,P33))))</f>
      </c>
      <c r="Q60" s="7" t="str">
        <f>IF(ISBLANK(Q33),"NO DATA",IF(ISNUMBER(FIND(CODES!$A$12,Q33)),CODES!$A$12,IF(OR(ISNUMBER(FIND(CODES!$A$10,Q33)),ISNUMBER(FIND(CODES!$A$11,Q33))),CODES!$A$13,IF(OR(Q33&lt;Q$39,ISNUMBER(Q33)=FALSE),Q$40,Q33))))</f>
      </c>
      <c r="R60" s="7" t="str">
        <f>IF(ISBLANK(R33),"NO DATA",IF(ISNUMBER(FIND(CODES!$A$12,R33)),CODES!$A$12,IF(OR(ISNUMBER(FIND(CODES!$A$10,R33)),ISNUMBER(FIND(CODES!$A$11,R33))),CODES!$A$13,IF(OR(R33&lt;R$39,ISNUMBER(R33)=FALSE),R$40,R33))))</f>
      </c>
      <c r="S60" s="7" t="str">
        <f>IF(ISBLANK(S33),"NO DATA",IF(ISNUMBER(FIND(CODES!$A$12,S33)),CODES!$A$12,IF(OR(ISNUMBER(FIND(CODES!$A$10,S33)),ISNUMBER(FIND(CODES!$A$11,S33))),CODES!$A$13,IF(OR(S33&lt;S$39,ISNUMBER(S33)=FALSE),S$40,S33))))</f>
      </c>
      <c r="T60" s="7" t="str">
        <f>IF(ISBLANK(T33),"NO DATA",IF(ISNUMBER(FIND(CODES!$A$12,T33)),CODES!$A$12,IF(OR(ISNUMBER(FIND(CODES!$A$10,T33)),ISNUMBER(FIND(CODES!$A$11,T33))),CODES!$A$13,IF(OR(T33&lt;T$39,ISNUMBER(T33)=FALSE),T$40,T33))))</f>
      </c>
      <c r="U60" s="7" t="str">
        <f>IF(ISBLANK(U33),"NO DATA",IF(ISNUMBER(FIND(CODES!$A$12,U33)),CODES!$A$12,IF(OR(ISNUMBER(FIND(CODES!$A$10,U33)),ISNUMBER(FIND(CODES!$A$11,U33))),CODES!$A$13,IF(OR(U33&lt;U$39,ISNUMBER(U33)=FALSE),U$40,U33))))</f>
      </c>
      <c r="V60" s="7" t="str">
        <f>IF(ISBLANK(V33),"NO DATA",IF(ISNUMBER(FIND(CODES!$A$12,V33)),CODES!$A$12,IF(OR(ISNUMBER(FIND(CODES!$A$10,V33)),ISNUMBER(FIND(CODES!$A$11,V33))),CODES!$A$13,IF(OR(V33&lt;V$39,ISNUMBER(V33)=FALSE),V$40,V33))))</f>
      </c>
      <c r="W60" s="7" t="str">
        <f>IF(ISBLANK(W33),"NO DATA",IF(ISNUMBER(FIND(CODES!$A$12,W33)),CODES!$A$12,IF(OR(ISNUMBER(FIND(CODES!$A$10,W33)),ISNUMBER(FIND(CODES!$A$11,W33))),CODES!$A$13,IF(OR(W33&lt;W$39,ISNUMBER(W33)=FALSE),W$40,W33))))</f>
      </c>
      <c r="X60" s="7" t="str">
        <f>IF(ISBLANK(X33),"NO DATA",IF(ISNUMBER(FIND(CODES!$A$12,X33)),CODES!$A$12,IF(OR(ISNUMBER(FIND(CODES!$A$10,X33)),ISNUMBER(FIND(CODES!$A$11,X33))),CODES!$A$13,IF(OR(X33&lt;X$39,ISNUMBER(X33)=FALSE),X$40,X33))))</f>
      </c>
      <c r="Y60" s="7" t="str">
        <f>IF(ISBLANK(Y33),"NO DATA",IF(ISNUMBER(FIND(CODES!$A$12,Y33)),CODES!$A$12,IF(OR(ISNUMBER(FIND(CODES!$A$10,Y33)),ISNUMBER(FIND(CODES!$A$11,Y33))),CODES!$A$13,IF(OR(Y33&lt;Y$39,ISNUMBER(Y33)=FALSE),Y$40,Y33))))</f>
      </c>
      <c r="Z60" s="7" t="str">
        <f>IF(ISBLANK(Z33),"NO DATA",IF(ISNUMBER(FIND(CODES!$A$12,Z33)),CODES!$A$12,IF(OR(ISNUMBER(FIND(CODES!$A$10,Z33)),ISNUMBER(FIND(CODES!$A$11,Z33))),CODES!$A$13,IF(OR(Z33&lt;Z$39,ISNUMBER(Z33)=FALSE),Z$40,Z33))))</f>
      </c>
      <c r="AA60" s="7" t="str">
        <f>IF(ISBLANK(AA33),"NO DATA",IF(ISNUMBER(FIND(CODES!$A$12,AA33)),CODES!$A$12,IF(OR(ISNUMBER(FIND(CODES!$A$10,AA33)),ISNUMBER(FIND(CODES!$A$11,AA33))),CODES!$A$13,IF(OR(AA33&lt;AA$39,ISNUMBER(AA33)=FALSE),AA$40,AA33))))</f>
      </c>
      <c r="AB60" s="7" t="str">
        <f>IF(ISBLANK(AB33),"NO DATA",IF(ISNUMBER(FIND(CODES!$A$12,AB33)),CODES!$A$12,IF(OR(ISNUMBER(FIND(CODES!$A$10,AB33)),ISNUMBER(FIND(CODES!$A$11,AB33))),CODES!$A$13,IF(OR(AB33&lt;AB$39,ISNUMBER(AB33)=FALSE),AB$40,AB33))))</f>
      </c>
      <c r="AC60" s="7" t="str">
        <f>IF(ISBLANK(AC33),"NO DATA",IF(ISNUMBER(FIND(CODES!$A$12,AC33)),CODES!$A$12,IF(OR(ISNUMBER(FIND(CODES!$A$10,AC33)),ISNUMBER(FIND(CODES!$A$11,AC33))),CODES!$A$13,IF(OR(AC33&lt;AC$39,ISNUMBER(AC33)=FALSE),AC$40,AC33))))</f>
      </c>
      <c r="AD60" s="7" t="str">
        <f>IF(ISBLANK(AD33),"NO DATA",IF(ISNUMBER(FIND(CODES!$A$12,AD33)),CODES!$A$12,IF(OR(ISNUMBER(FIND(CODES!$A$10,AD33)),ISNUMBER(FIND(CODES!$A$11,AD33))),CODES!$A$13,IF(OR(AD33&lt;AD$39,ISNUMBER(AD33)=FALSE),AD$40,AD33))))</f>
      </c>
      <c r="AE60" s="7" t="str">
        <f>IF(ISBLANK(AE33),"NO DATA",IF(ISNUMBER(FIND(CODES!$A$12,AE33)),CODES!$A$12,IF(OR(ISNUMBER(FIND(CODES!$A$10,AE33)),ISNUMBER(FIND(CODES!$A$11,AE33))),CODES!$A$13,IF(OR(AE33&lt;AE$39,ISNUMBER(AE33)=FALSE),AE$40,AE33))))</f>
      </c>
      <c r="AF60" s="7" t="str">
        <f>IF(ISBLANK(AF33),"NO DATA",IF(ISNUMBER(FIND(CODES!$A$12,AF33)),CODES!$A$12,IF(OR(ISNUMBER(FIND(CODES!$A$10,AF33)),ISNUMBER(FIND(CODES!$A$11,AF33))),CODES!$A$13,IF(OR(AF33&lt;AF$39,ISNUMBER(AF33)=FALSE),AF$40,AF33))))</f>
      </c>
      <c r="AG60" s="7" t="str">
        <f>IF(ISBLANK(AG33),"NO DATA",IF(ISNUMBER(FIND(CODES!$A$12,AG33)),CODES!$A$12,IF(OR(ISNUMBER(FIND(CODES!$A$10,AG33)),ISNUMBER(FIND(CODES!$A$11,AG33))),CODES!$A$13,IF(OR(AG33&lt;AG$39,ISNUMBER(AG33)=FALSE),AG$40,AG33))))</f>
      </c>
      <c r="AH60" s="7" t="str">
        <f>IF(ISBLANK(AH33),"NO DATA",IF(ISNUMBER(FIND(CODES!$A$12,AH33)),CODES!$A$12,IF(OR(ISNUMBER(FIND(CODES!$A$10,AH33)),ISNUMBER(FIND(CODES!$A$11,AH33))),CODES!$A$13,IF(OR(AH33&lt;AH$39,ISNUMBER(AH33)=FALSE),AH$40,AH33))))</f>
      </c>
      <c r="AI60" s="7" t="str">
        <f>IF(ISBLANK(AI33),"NO DATA",IF(ISNUMBER(FIND(CODES!$A$12,AI33)),CODES!$A$12,IF(OR(ISNUMBER(FIND(CODES!$A$10,AI33)),ISNUMBER(FIND(CODES!$A$11,AI33))),CODES!$A$13,IF(OR(AI33&lt;AI$39,ISNUMBER(AI33)=FALSE),AI$40,AI33))))</f>
      </c>
      <c r="AJ60" s="7" t="str">
        <f>IF(ISBLANK(AJ33),"NO DATA",IF(ISNUMBER(FIND(CODES!$A$12,AJ33)),CODES!$A$12,IF(OR(ISNUMBER(FIND(CODES!$A$10,AJ33)),ISNUMBER(FIND(CODES!$A$11,AJ33))),CODES!$A$13,IF(OR(AJ33&lt;AJ$39,ISNUMBER(AJ33)=FALSE),AJ$40,AJ33))))</f>
      </c>
      <c r="AK60" s="7" t="str">
        <f>IF(ISBLANK(AK33),"NO DATA",IF(ISNUMBER(FIND(CODES!$A$12,AK33)),CODES!$A$12,IF(OR(ISNUMBER(FIND(CODES!$A$10,AK33)),ISNUMBER(FIND(CODES!$A$11,AK33))),CODES!$A$13,IF(OR(AK33&lt;AK$39,ISNUMBER(AK33)=FALSE),AK$40,AK33))))</f>
      </c>
      <c r="AL60" s="7" t="str">
        <f>IF(ISBLANK(AL33),"NO DATA",IF(ISNUMBER(FIND(CODES!$A$12,AL33)),CODES!$A$12,IF(OR(ISNUMBER(FIND(CODES!$A$10,AL33)),ISNUMBER(FIND(CODES!$A$11,AL33))),CODES!$A$13,IF(OR(AL33&lt;AL$39,ISNUMBER(AL33)=FALSE),AL$40,AL33))))</f>
      </c>
      <c r="AM60" s="7" t="str">
        <f>IF(ISBLANK(AM33),"NO DATA",IF(ISNUMBER(FIND(CODES!$A$12,AM33)),CODES!$A$12,IF(OR(ISNUMBER(FIND(CODES!$A$10,AM33)),ISNUMBER(FIND(CODES!$A$11,AM33))),CODES!$A$13,IF(OR(AM33&lt;AM$39,ISNUMBER(AM33)=FALSE),AM$40,AM33))))</f>
      </c>
      <c r="AN60" s="7" t="str">
        <f>IF(ISBLANK(AN33),"NO DATA",IF(ISNUMBER(FIND(CODES!$A$12,AN33)),CODES!$A$12,IF(OR(ISNUMBER(FIND(CODES!$A$10,AN33)),ISNUMBER(FIND(CODES!$A$11,AN33))),CODES!$A$13,IF(OR(AN33&lt;AN$39,ISNUMBER(AN33)=FALSE),AN$40,AN33))))</f>
      </c>
      <c r="AO60" s="7" t="str">
        <f>IF(ISBLANK(AO33),"NO DATA",IF(ISNUMBER(FIND(CODES!$A$12,AO33)),CODES!$A$12,IF(OR(ISNUMBER(FIND(CODES!$A$10,AO33)),ISNUMBER(FIND(CODES!$A$11,AO33))),CODES!$A$13,IF(OR(AO33&lt;AO$39,ISNUMBER(AO33)=FALSE),AO$40,AO33))))</f>
      </c>
      <c r="AP60" s="7" t="str">
        <f>IF(ISBLANK(AP33),"NO DATA",IF(ISNUMBER(FIND(CODES!$A$12,AP33)),CODES!$A$12,IF(OR(ISNUMBER(FIND(CODES!$A$10,AP33)),ISNUMBER(FIND(CODES!$A$11,AP33))),CODES!$A$13,IF(OR(AP33&lt;AP$39,ISNUMBER(AP33)=FALSE),AP$40,AP33))))</f>
      </c>
      <c r="AQ60" s="7" t="str">
        <f>IF(ISBLANK(AQ33),"NO DATA",IF(ISNUMBER(FIND(CODES!$A$12,AQ33)),CODES!$A$12,IF(OR(ISNUMBER(FIND(CODES!$A$10,AQ33)),ISNUMBER(FIND(CODES!$A$11,AQ33))),CODES!$A$13,IF(OR(AQ33&lt;AQ$39,ISNUMBER(AQ33)=FALSE),AQ$40,AQ33))))</f>
      </c>
      <c r="AR60" s="7" t="str">
        <f>IF(ISBLANK(AR33),"NO DATA",IF(ISNUMBER(FIND(CODES!$A$12,AR33)),CODES!$A$12,IF(OR(ISNUMBER(FIND(CODES!$A$10,AR33)),ISNUMBER(FIND(CODES!$A$11,AR33))),CODES!$A$13,IF(OR(AR33&lt;AR$39,ISNUMBER(AR33)=FALSE),AR$40,AR33))))</f>
      </c>
      <c r="AS60" s="7" t="str">
        <f>IF(ISBLANK(AS33),"NO DATA",IF(ISNUMBER(FIND(CODES!$A$12,AS33)),CODES!$A$12,IF(OR(ISNUMBER(FIND(CODES!$A$10,AS33)),ISNUMBER(FIND(CODES!$A$11,AS33))),CODES!$A$13,IF(OR(AS33&lt;AS$39,ISNUMBER(AS33)=FALSE),AS$40,AS33))))</f>
      </c>
      <c r="AT60" s="7" t="str">
        <f>IF(ISBLANK(AT33),"NO DATA",IF(ISNUMBER(FIND(CODES!$A$12,AT33)),CODES!$A$12,IF(OR(ISNUMBER(FIND(CODES!$A$10,AT33)),ISNUMBER(FIND(CODES!$A$11,AT33))),CODES!$A$13,IF(OR(AT33&lt;AT$39,ISNUMBER(AT33)=FALSE),AT$40,AT33))))</f>
      </c>
      <c r="AU60" s="7" t="str">
        <f>IF(ISBLANK(AU33),"NO DATA",IF(ISNUMBER(FIND(CODES!$A$12,AU33)),CODES!$A$12,IF(OR(ISNUMBER(FIND(CODES!$A$10,AU33)),ISNUMBER(FIND(CODES!$A$11,AU33))),CODES!$A$13,IF(OR(AU33&lt;AU$39,ISNUMBER(AU33)=FALSE),AU$40,AU33))))</f>
      </c>
      <c r="AV60" s="7" t="str">
        <f>IF(ISBLANK(AV33),"NO DATA",IF(ISNUMBER(FIND(CODES!$A$12,AV33)),CODES!$A$12,IF(OR(ISNUMBER(FIND(CODES!$A$10,AV33)),ISNUMBER(FIND(CODES!$A$11,AV33))),CODES!$A$13,IF(OR(AV33&lt;AV$39,ISNUMBER(AV33)=FALSE),AV$40,AV33))))</f>
      </c>
      <c r="AW60" s="7" t="str">
        <f>IF(ISBLANK(AW33),"NO DATA",IF(ISNUMBER(FIND(CODES!$A$12,AW33)),CODES!$A$12,IF(OR(ISNUMBER(FIND(CODES!$A$10,AW33)),ISNUMBER(FIND(CODES!$A$11,AW33))),CODES!$A$13,IF(OR(AW33&lt;AW$39,ISNUMBER(AW33)=FALSE),AW$40,AW33))))</f>
      </c>
      <c r="AX60" s="7" t="str">
        <f>IF(ISBLANK(AX33),"NO DATA",IF(ISNUMBER(FIND(CODES!$A$12,AX33)),CODES!$A$12,IF(OR(ISNUMBER(FIND(CODES!$A$10,AX33)),ISNUMBER(FIND(CODES!$A$11,AX33))),CODES!$A$13,IF(OR(AX33&lt;AX$39,ISNUMBER(AX33)=FALSE),AX$40,AX33))))</f>
      </c>
      <c r="AY60" s="7" t="str">
        <f>IF(ISBLANK(AY33),"NO DATA",IF(ISNUMBER(FIND(CODES!$A$12,AY33)),CODES!$A$12,IF(OR(ISNUMBER(FIND(CODES!$A$10,AY33)),ISNUMBER(FIND(CODES!$A$11,AY33))),CODES!$A$13,IF(OR(AY33&lt;AY$39,ISNUMBER(AY33)=FALSE),AY$40,AY33))))</f>
      </c>
      <c r="AZ60" s="7" t="str">
        <f>IF(ISBLANK(AZ33),"NO DATA",IF(ISNUMBER(FIND(CODES!$A$12,AZ33)),CODES!$A$12,IF(OR(ISNUMBER(FIND(CODES!$A$10,AZ33)),ISNUMBER(FIND(CODES!$A$11,AZ33))),CODES!$A$13,IF(OR(AZ33&lt;AZ$39,ISNUMBER(AZ33)=FALSE),AZ$40,AZ33))))</f>
      </c>
      <c r="BA60" s="7" t="str">
        <f>IF(ISBLANK(BA33),"NO DATA",IF(ISNUMBER(FIND(CODES!$A$12,BA33)),CODES!$A$12,IF(OR(ISNUMBER(FIND(CODES!$A$10,BA33)),ISNUMBER(FIND(CODES!$A$11,BA33))),CODES!$A$13,IF(OR(BA33&lt;BA$39,ISNUMBER(BA33)=FALSE),BA$40,BA33))))</f>
      </c>
      <c r="BB60" s="7" t="str">
        <f>IF(ISBLANK(BB33),"NO DATA",IF(ISNUMBER(FIND(CODES!$A$12,BB33)),CODES!$A$12,IF(OR(ISNUMBER(FIND(CODES!$A$10,BB33)),ISNUMBER(FIND(CODES!$A$11,BB33))),CODES!$A$13,IF(OR(BB33&lt;BB$39,ISNUMBER(BB33)=FALSE),BB$40,BB33))))</f>
      </c>
      <c r="BC60" s="7" t="str">
        <f>IF(ISBLANK(BC33),"NO DATA",IF(ISNUMBER(FIND(CODES!$A$12,BC33)),CODES!$A$12,IF(OR(ISNUMBER(FIND(CODES!$A$10,BC33)),ISNUMBER(FIND(CODES!$A$11,BC33))),CODES!$A$13,IF(OR(BC33&lt;BC$39,ISNUMBER(BC33)=FALSE),BC$40,BC33))))</f>
      </c>
      <c r="BD60" s="7" t="str">
        <f>IF(ISBLANK(BD33),"NO DATA",IF(ISNUMBER(FIND(CODES!$A$12,BD33)),CODES!$A$12,IF(OR(ISNUMBER(FIND(CODES!$A$10,BD33)),ISNUMBER(FIND(CODES!$A$11,BD33))),CODES!$A$13,IF(OR(BD33&lt;BD$39,ISNUMBER(BD33)=FALSE),BD$40,BD33))))</f>
      </c>
      <c r="BE60" s="7" t="str">
        <f>IF(ISBLANK(BE33),"NO DATA",IF(ISNUMBER(FIND(CODES!$A$12,BE33)),CODES!$A$12,IF(OR(ISNUMBER(FIND(CODES!$A$10,BE33)),ISNUMBER(FIND(CODES!$A$11,BE33))),CODES!$A$13,IF(OR(BE33&lt;BE$39,ISNUMBER(BE33)=FALSE),BE$40,BE33))))</f>
      </c>
      <c r="BF60" s="7" t="str">
        <f>IF(ISBLANK(BF33),"NO DATA",IF(ISNUMBER(FIND(CODES!$A$12,BF33)),CODES!$A$12,IF(OR(ISNUMBER(FIND(CODES!$A$10,BF33)),ISNUMBER(FIND(CODES!$A$11,BF33))),CODES!$A$13,IF(OR(BF33&lt;BF$39,ISNUMBER(BF33)=FALSE),BF$40,BF33))))</f>
      </c>
      <c r="BG60" s="7" t="str">
        <f>IF(ISBLANK(BG33),"NO DATA",IF(ISNUMBER(FIND(CODES!$A$12,BG33)),CODES!$A$12,IF(OR(ISNUMBER(FIND(CODES!$A$10,BG33)),ISNUMBER(FIND(CODES!$A$11,BG33))),CODES!$A$13,IF(OR(BG33&lt;BG$39,ISNUMBER(BG33)=FALSE),BG$40,BG33))))</f>
      </c>
      <c r="BH60" s="7" t="str">
        <f>IF(ISBLANK(BH33),"NO DATA",IF(ISNUMBER(FIND(CODES!$A$12,BH33)),CODES!$A$12,IF(OR(ISNUMBER(FIND(CODES!$A$10,BH33)),ISNUMBER(FIND(CODES!$A$11,BH33))),CODES!$A$13,IF(OR(BH33&lt;BH$39,ISNUMBER(BH33)=FALSE),BH$40,BH33))))</f>
      </c>
      <c r="BI60" s="7" t="str">
        <f>IF(ISBLANK(BI33),"NO DATA",IF(ISNUMBER(FIND(CODES!$A$12,BI33)),CODES!$A$12,IF(OR(ISNUMBER(FIND(CODES!$A$10,BI33)),ISNUMBER(FIND(CODES!$A$11,BI33))),CODES!$A$13,IF(OR(BI33&lt;BI$39,ISNUMBER(BI33)=FALSE),BI$40,BI33))))</f>
      </c>
      <c r="BJ60" s="7" t="str">
        <f>IF(ISBLANK(BJ33),"NO DATA",IF(ISNUMBER(FIND(CODES!$A$12,BJ33)),CODES!$A$12,IF(OR(ISNUMBER(FIND(CODES!$A$10,BJ33)),ISNUMBER(FIND(CODES!$A$11,BJ33))),CODES!$A$13,IF(OR(BJ33&lt;BJ$39,ISNUMBER(BJ33)=FALSE),BJ$40,BJ33))))</f>
      </c>
      <c r="BK60" s="7" t="str">
        <f>IF(ISBLANK(BK33),"NO DATA",IF(ISNUMBER(FIND(CODES!$A$12,BK33)),CODES!$A$12,IF(OR(ISNUMBER(FIND(CODES!$A$10,BK33)),ISNUMBER(FIND(CODES!$A$11,BK33))),CODES!$A$13,IF(OR(BK33&lt;BK$39,ISNUMBER(BK33)=FALSE),BK$40,BK33))))</f>
      </c>
      <c r="BL60" s="7" t="str">
        <f>IF(ISBLANK(BL33),"NO DATA",IF(ISNUMBER(FIND(CODES!$A$12,BL33)),CODES!$A$12,IF(OR(ISNUMBER(FIND(CODES!$A$10,BL33)),ISNUMBER(FIND(CODES!$A$11,BL33))),CODES!$A$13,IF(OR(BL33&lt;BL$39,ISNUMBER(BL33)=FALSE),BL$40,BL33))))</f>
      </c>
      <c r="BM60" s="7" t="str">
        <f>IF(ISBLANK(BM33),"NO DATA",IF(ISNUMBER(FIND(CODES!$A$12,BM33)),CODES!$A$12,IF(OR(ISNUMBER(FIND(CODES!$A$10,BM33)),ISNUMBER(FIND(CODES!$A$11,BM33))),CODES!$A$13,IF(OR(BM33&lt;BM$39,ISNUMBER(BM33)=FALSE),BM$40,BM33))))</f>
      </c>
      <c r="BN60" s="7" t="str">
        <f>IF(ISBLANK(BN33),"NO DATA",IF(ISNUMBER(FIND(CODES!$A$12,BN33)),CODES!$A$12,IF(OR(ISNUMBER(FIND(CODES!$A$10,BN33)),ISNUMBER(FIND(CODES!$A$11,BN33))),CODES!$A$13,IF(OR(BN33&lt;BN$39,ISNUMBER(BN33)=FALSE),BN$40,BN33))))</f>
      </c>
      <c r="BO60" s="7" t="str">
        <f>IF(ISBLANK(BO33),"NO DATA",IF(ISNUMBER(FIND(CODES!$A$12,BO33)),CODES!$A$12,IF(OR(ISNUMBER(FIND(CODES!$A$10,BO33)),ISNUMBER(FIND(CODES!$A$11,BO33))),CODES!$A$13,IF(OR(BO33&lt;BO$39,ISNUMBER(BO33)=FALSE),BO$40,BO33))))</f>
      </c>
      <c r="BP60" s="7" t="str">
        <f>IF(ISBLANK(BP33),"NO DATA",IF(ISNUMBER(FIND(CODES!$A$12,BP33)),CODES!$A$12,IF(OR(ISNUMBER(FIND(CODES!$A$10,BP33)),ISNUMBER(FIND(CODES!$A$11,BP33))),CODES!$A$13,IF(OR(BP33&lt;BP$39,ISNUMBER(BP33)=FALSE),BP$40,BP33))))</f>
      </c>
      <c r="BQ60" s="7" t="str">
        <f>IF(ISBLANK(BQ33),"NO DATA",IF(ISNUMBER(FIND(CODES!$A$12,BQ33)),CODES!$A$12,IF(OR(ISNUMBER(FIND(CODES!$A$10,BQ33)),ISNUMBER(FIND(CODES!$A$11,BQ33))),CODES!$A$13,IF(OR(BQ33&lt;BQ$39,ISNUMBER(BQ33)=FALSE),BQ$40,BQ33))))</f>
      </c>
      <c r="BR60" s="7" t="str">
        <f>IF(ISBLANK(BR33),"NO DATA",IF(ISNUMBER(FIND(CODES!$A$12,BR33)),CODES!$A$12,IF(OR(ISNUMBER(FIND(CODES!$A$10,BR33)),ISNUMBER(FIND(CODES!$A$11,BR33))),CODES!$A$13,IF(OR(BR33&lt;BR$39,ISNUMBER(BR33)=FALSE),BR$40,BR33))))</f>
      </c>
      <c r="BS60" s="7" t="str">
        <f>IF(ISBLANK(BS33),"NO DATA",IF(ISNUMBER(FIND(CODES!$A$12,BS33)),CODES!$A$12,IF(OR(ISNUMBER(FIND(CODES!$A$10,BS33)),ISNUMBER(FIND(CODES!$A$11,BS33))),CODES!$A$13,IF(OR(BS33&lt;BS$39,ISNUMBER(BS33)=FALSE),BS$40,BS33))))</f>
      </c>
      <c r="BT60" s="7" t="str">
        <f>IF(ISBLANK(BT33),"NO DATA",IF(ISNUMBER(FIND(CODES!$A$12,BT33)),CODES!$A$12,IF(OR(ISNUMBER(FIND(CODES!$A$10,BT33)),ISNUMBER(FIND(CODES!$A$11,BT33))),CODES!$A$13,IF(OR(BT33&lt;BT$39,ISNUMBER(BT33)=FALSE),BT$40,BT33))))</f>
      </c>
      <c r="BU60" s="7" t="str">
        <f>IF(ISBLANK(BU33),"NO DATA",IF(ISNUMBER(FIND(CODES!$A$12,BU33)),CODES!$A$12,IF(OR(ISNUMBER(FIND(CODES!$A$10,BU33)),ISNUMBER(FIND(CODES!$A$11,BU33))),CODES!$A$13,IF(OR(BU33&lt;BU$39,ISNUMBER(BU33)=FALSE),BU$40,BU33))))</f>
      </c>
      <c r="BV60" s="7" t="str">
        <f>IF(ISBLANK(BV33),"NO DATA",IF(ISNUMBER(FIND(CODES!$A$12,BV33)),CODES!$A$12,IF(OR(ISNUMBER(FIND(CODES!$A$10,BV33)),ISNUMBER(FIND(CODES!$A$11,BV33))),CODES!$A$13,IF(OR(BV33&lt;BV$39,ISNUMBER(BV33)=FALSE),BV$40,BV33))))</f>
      </c>
      <c r="BW60" s="7" t="str">
        <f>IF(ISBLANK(BW33),"NO DATA",IF(ISNUMBER(FIND(CODES!$A$12,BW33)),CODES!$A$12,IF(OR(ISNUMBER(FIND(CODES!$A$10,BW33)),ISNUMBER(FIND(CODES!$A$11,BW33))),CODES!$A$13,IF(OR(BW33&lt;BW$39,ISNUMBER(BW33)=FALSE),BW$40,BW33))))</f>
      </c>
      <c r="BX60" s="7" t="str">
        <f>IF(ISBLANK(BX33),"NO DATA",IF(ISNUMBER(FIND(CODES!$A$12,BX33)),CODES!$A$12,IF(OR(ISNUMBER(FIND(CODES!$A$10,BX33)),ISNUMBER(FIND(CODES!$A$11,BX33))),CODES!$A$13,IF(OR(BX33&lt;BX$39,ISNUMBER(BX33)=FALSE),BX$40,BX33))))</f>
      </c>
      <c r="BY60" s="7" t="str">
        <f>IF(ISBLANK(BY33),"NO DATA",IF(ISNUMBER(FIND(CODES!$A$12,BY33)),CODES!$A$12,IF(OR(ISNUMBER(FIND(CODES!$A$10,BY33)),ISNUMBER(FIND(CODES!$A$11,BY33))),CODES!$A$13,IF(OR(BY33&lt;BY$39,ISNUMBER(BY33)=FALSE),BY$40,BY33))))</f>
      </c>
      <c r="BZ60" s="7" t="str">
        <f>IF(ISBLANK(BZ33),"NO DATA",IF(ISNUMBER(FIND(CODES!$A$12,BZ33)),CODES!$A$12,IF(OR(ISNUMBER(FIND(CODES!$A$10,BZ33)),ISNUMBER(FIND(CODES!$A$11,BZ33))),CODES!$A$13,IF(OR(BZ33&lt;BZ$39,ISNUMBER(BZ33)=FALSE),BZ$40,BZ33))))</f>
      </c>
      <c r="CA60" s="7" t="str">
        <f>IF(ISBLANK(CA33),"NO DATA",IF(ISNUMBER(FIND(CODES!$A$12,CA33)),CODES!$A$12,IF(OR(ISNUMBER(FIND(CODES!$A$10,CA33)),ISNUMBER(FIND(CODES!$A$11,CA33))),CODES!$A$13,IF(OR(CA33&lt;CA$39,ISNUMBER(CA33)=FALSE),CA$40,CA33))))</f>
      </c>
      <c r="CB60" s="7" t="str">
        <f>IF(ISBLANK(CB33),"NO DATA",IF(ISNUMBER(FIND(CODES!$A$12,CB33)),CODES!$A$12,IF(OR(ISNUMBER(FIND(CODES!$A$10,CB33)),ISNUMBER(FIND(CODES!$A$11,CB33))),CODES!$A$13,IF(OR(CB33&lt;CB$39,ISNUMBER(CB33)=FALSE),CB$40,CB33))))</f>
      </c>
      <c r="CC60" s="7" t="str">
        <f>IF(ISBLANK(CC33),"NO DATA",IF(ISNUMBER(FIND(CODES!$A$12,CC33)),CODES!$A$12,IF(OR(ISNUMBER(FIND(CODES!$A$10,CC33)),ISNUMBER(FIND(CODES!$A$11,CC33))),CODES!$A$13,IF(OR(CC33&lt;CC$39,ISNUMBER(CC33)=FALSE),CC$40,CC33))))</f>
      </c>
      <c r="CD60" s="7" t="str">
        <f>IF(ISBLANK(CD33),"NO DATA",IF(ISNUMBER(FIND(CODES!$A$12,CD33)),CODES!$A$12,IF(OR(ISNUMBER(FIND(CODES!$A$10,CD33)),ISNUMBER(FIND(CODES!$A$11,CD33))),CODES!$A$13,IF(OR(CD33&lt;CD$39,ISNUMBER(CD33)=FALSE),CD$40,CD33))))</f>
      </c>
      <c r="CE60" s="7" t="str">
        <f>IF(ISBLANK(CE33),"NO DATA",IF(ISNUMBER(FIND(CODES!$A$12,CE33)),CODES!$A$12,IF(OR(ISNUMBER(FIND(CODES!$A$10,CE33)),ISNUMBER(FIND(CODES!$A$11,CE33))),CODES!$A$13,IF(OR(CE33&lt;CE$39,ISNUMBER(CE33)=FALSE),CE$40,CE33))))</f>
      </c>
      <c r="CF60" s="7" t="str">
        <f>IF(ISBLANK(CF33),"NO DATA",IF(ISNUMBER(FIND(CODES!$A$12,CF33)),CODES!$A$12,IF(OR(ISNUMBER(FIND(CODES!$A$10,CF33)),ISNUMBER(FIND(CODES!$A$11,CF33))),CODES!$A$13,IF(OR(CF33&lt;CF$39,ISNUMBER(CF33)=FALSE),CF$40,CF33))))</f>
      </c>
      <c r="CG60" s="7" t="str">
        <f>IF(ISBLANK(CG33),"NO DATA",IF(ISNUMBER(FIND(CODES!$A$12,CG33)),CODES!$A$12,IF(OR(ISNUMBER(FIND(CODES!$A$10,CG33)),ISNUMBER(FIND(CODES!$A$11,CG33))),CODES!$A$13,IF(OR(CG33&lt;CG$39,ISNUMBER(CG33)=FALSE),CG$40,CG33))))</f>
      </c>
      <c r="CH60" s="7" t="str">
        <f>IF(ISBLANK(CH33),"NO DATA",IF(ISNUMBER(FIND(CODES!$A$12,CH33)),CODES!$A$12,IF(OR(ISNUMBER(FIND(CODES!$A$10,CH33)),ISNUMBER(FIND(CODES!$A$11,CH33))),CODES!$A$13,IF(OR(CH33&lt;CH$39,ISNUMBER(CH33)=FALSE),CH$40,CH33))))</f>
      </c>
      <c r="CI60" s="7" t="str">
        <f>IF(ISBLANK(CI33),"NO DATA",IF(ISNUMBER(FIND(CODES!$A$12,CI33)),CODES!$A$12,IF(OR(ISNUMBER(FIND(CODES!$A$10,CI33)),ISNUMBER(FIND(CODES!$A$11,CI33))),CODES!$A$13,IF(OR(CI33&lt;CI$39,ISNUMBER(CI33)=FALSE),CI$40,CI33))))</f>
      </c>
      <c r="CJ60" s="7" t="str">
        <f>IF(ISBLANK(CJ33),"NO DATA",IF(ISNUMBER(FIND(CODES!$A$12,CJ33)),CODES!$A$12,IF(OR(ISNUMBER(FIND(CODES!$A$10,CJ33)),ISNUMBER(FIND(CODES!$A$11,CJ33))),CODES!$A$13,IF(OR(CJ33&lt;CJ$39,ISNUMBER(CJ33)=FALSE),CJ$40,CJ33))))</f>
      </c>
      <c r="CK60" s="7" t="str">
        <f>IF(ISBLANK(CK33),"NO DATA",IF(ISNUMBER(FIND(CODES!$A$12,CK33)),CODES!$A$12,IF(OR(ISNUMBER(FIND(CODES!$A$10,CK33)),ISNUMBER(FIND(CODES!$A$11,CK33))),CODES!$A$13,IF(OR(CK33&lt;CK$39,ISNUMBER(CK33)=FALSE),CK$40,CK33))))</f>
      </c>
      <c r="CL60" s="7" t="str">
        <f>IF(ISBLANK(CL33),"NO DATA",IF(ISNUMBER(FIND(CODES!$A$12,CL33)),CODES!$A$12,IF(OR(ISNUMBER(FIND(CODES!$A$10,CL33)),ISNUMBER(FIND(CODES!$A$11,CL33))),CODES!$A$13,IF(OR(CL33&lt;CL$39,ISNUMBER(CL33)=FALSE),CL$40,CL33))))</f>
      </c>
      <c r="CM60" s="7" t="str">
        <f>IF(ISBLANK(CM33),"NO DATA",IF(ISNUMBER(FIND(CODES!$A$12,CM33)),CODES!$A$12,IF(OR(ISNUMBER(FIND(CODES!$A$10,CM33)),ISNUMBER(FIND(CODES!$A$11,CM33))),CODES!$A$13,IF(OR(CM33&lt;CM$39,ISNUMBER(CM33)=FALSE),CM$40,CM33))))</f>
      </c>
      <c r="CN60" s="7" t="str">
        <f>IF(ISBLANK(CN33),"NO DATA",IF(ISNUMBER(FIND(CODES!$A$12,CN33)),CODES!$A$12,IF(OR(ISNUMBER(FIND(CODES!$A$10,CN33)),ISNUMBER(FIND(CODES!$A$11,CN33))),CODES!$A$13,IF(OR(CN33&lt;CN$39,ISNUMBER(CN33)=FALSE),CN$40,CN33))))</f>
      </c>
      <c r="CO60" s="7" t="str">
        <f>IF(ISBLANK(CO33),"NO DATA",IF(ISNUMBER(FIND(CODES!$A$12,CO33)),CODES!$A$12,IF(OR(ISNUMBER(FIND(CODES!$A$10,CO33)),ISNUMBER(FIND(CODES!$A$11,CO33))),CODES!$A$13,IF(OR(CO33&lt;CO$39,ISNUMBER(CO33)=FALSE),CO$40,CO33))))</f>
      </c>
      <c r="CP60" s="7" t="str">
        <f>IF(ISBLANK(CP33),"NO DATA",IF(ISNUMBER(FIND(CODES!$A$12,CP33)),CODES!$A$12,IF(OR(ISNUMBER(FIND(CODES!$A$10,CP33)),ISNUMBER(FIND(CODES!$A$11,CP33))),CODES!$A$13,IF(OR(CP33&lt;CP$39,ISNUMBER(CP33)=FALSE),CP$40,CP33))))</f>
      </c>
      <c r="CQ60" s="7" t="str">
        <f>IF(ISBLANK(CQ33),"NO DATA",IF(ISNUMBER(FIND(CODES!$A$12,CQ33)),CODES!$A$12,IF(OR(ISNUMBER(FIND(CODES!$A$10,CQ33)),ISNUMBER(FIND(CODES!$A$11,CQ33))),CODES!$A$13,IF(OR(CQ33&lt;CQ$39,ISNUMBER(CQ33)=FALSE),CQ$40,CQ33))))</f>
      </c>
      <c r="CR60" s="7" t="str">
        <f>IF(ISBLANK(CR33),"NO DATA",IF(ISNUMBER(FIND(CODES!$A$12,CR33)),CODES!$A$12,IF(OR(ISNUMBER(FIND(CODES!$A$10,CR33)),ISNUMBER(FIND(CODES!$A$11,CR33))),CODES!$A$13,IF(OR(CR33&lt;CR$39,ISNUMBER(CR33)=FALSE),CR$40,CR33))))</f>
      </c>
      <c r="CS60" s="7" t="str">
        <f>IF(ISBLANK(CS33),"NO DATA",IF(ISNUMBER(FIND(CODES!$A$12,CS33)),CODES!$A$12,IF(OR(ISNUMBER(FIND(CODES!$A$10,CS33)),ISNUMBER(FIND(CODES!$A$11,CS33))),CODES!$A$13,IF(OR(CS33&lt;CS$39,ISNUMBER(CS33)=FALSE),CS$40,CS33))))</f>
      </c>
      <c r="CT60" s="7" t="str">
        <f>IF(ISBLANK(CT33),"NO DATA",IF(ISNUMBER(FIND(CODES!$A$12,CT33)),CODES!$A$12,IF(OR(ISNUMBER(FIND(CODES!$A$10,CT33)),ISNUMBER(FIND(CODES!$A$11,CT33))),CODES!$A$13,IF(OR(CT33&lt;CT$39,ISNUMBER(CT33)=FALSE),CT$40,CT33))))</f>
      </c>
      <c r="CU60" s="7" t="str">
        <f>IF(ISBLANK(CU33),"NO DATA",IF(ISNUMBER(FIND(CODES!$A$12,CU33)),CODES!$A$12,IF(OR(ISNUMBER(FIND(CODES!$A$10,CU33)),ISNUMBER(FIND(CODES!$A$11,CU33))),CODES!$A$13,IF(OR(CU33&lt;CU$39,ISNUMBER(CU33)=FALSE),CU$40,CU33))))</f>
      </c>
      <c r="CV60" s="7" t="str">
        <f>IF(ISBLANK(CV33),"NO DATA",IF(ISNUMBER(FIND(CODES!$A$12,CV33)),CODES!$A$12,IF(OR(ISNUMBER(FIND(CODES!$A$10,CV33)),ISNUMBER(FIND(CODES!$A$11,CV33))),CODES!$A$13,IF(OR(CV33&lt;CV$39,ISNUMBER(CV33)=FALSE),CV$40,CV33))))</f>
      </c>
      <c r="CW60" s="7" t="str">
        <f>IF(ISBLANK(CW33),"NO DATA",IF(ISNUMBER(FIND(CODES!$A$12,CW33)),CODES!$A$12,IF(OR(ISNUMBER(FIND(CODES!$A$10,CW33)),ISNUMBER(FIND(CODES!$A$11,CW33))),CODES!$A$13,IF(OR(CW33&lt;CW$39,ISNUMBER(CW33)=FALSE),CW$40,CW33))))</f>
      </c>
      <c r="CX60" s="7" t="str">
        <f>IF(ISBLANK(CX33),"NO DATA",IF(ISNUMBER(FIND(CODES!$A$12,CX33)),CODES!$A$12,IF(OR(ISNUMBER(FIND(CODES!$A$10,CX33)),ISNUMBER(FIND(CODES!$A$11,CX33))),CODES!$A$13,IF(OR(CX33&lt;CX$39,ISNUMBER(CX33)=FALSE),CX$40,CX33))))</f>
      </c>
      <c r="CY60" s="7" t="str">
        <f>IF(ISBLANK(CY33),"NO DATA",IF(ISNUMBER(FIND(CODES!$A$12,CY33)),CODES!$A$12,IF(OR(ISNUMBER(FIND(CODES!$A$10,CY33)),ISNUMBER(FIND(CODES!$A$11,CY33))),CODES!$A$13,IF(OR(CY33&lt;CY$39,ISNUMBER(CY33)=FALSE),CY$40,CY33))))</f>
      </c>
      <c r="CZ60" s="7" t="str">
        <f>IF(ISBLANK(CZ33),"NO DATA",IF(ISNUMBER(FIND(CODES!$A$12,CZ33)),CODES!$A$12,IF(OR(ISNUMBER(FIND(CODES!$A$10,CZ33)),ISNUMBER(FIND(CODES!$A$11,CZ33))),CODES!$A$13,IF(OR(CZ33&lt;CZ$39,ISNUMBER(CZ33)=FALSE),CZ$40,CZ33))))</f>
      </c>
      <c r="DA60" s="7" t="str">
        <f>IF(ISBLANK(DA33),"NO DATA",IF(ISNUMBER(FIND(CODES!$A$12,DA33)),CODES!$A$12,IF(OR(ISNUMBER(FIND(CODES!$A$10,DA33)),ISNUMBER(FIND(CODES!$A$11,DA33))),CODES!$A$13,IF(OR(DA33&lt;DA$39,ISNUMBER(DA33)=FALSE),DA$40,DA33))))</f>
      </c>
      <c r="DB60" s="7" t="str">
        <f>IF(ISBLANK(DB33),"NO DATA",IF(ISNUMBER(FIND(CODES!$A$12,DB33)),CODES!$A$12,IF(OR(ISNUMBER(FIND(CODES!$A$10,DB33)),ISNUMBER(FIND(CODES!$A$11,DB33))),CODES!$A$13,IF(OR(DB33&lt;DB$39,ISNUMBER(DB33)=FALSE),DB$40,DB33))))</f>
      </c>
      <c r="DC60" s="7" t="str">
        <f>IF(ISBLANK(DC33),"NO DATA",IF(ISNUMBER(FIND(CODES!$A$12,DC33)),CODES!$A$12,IF(OR(ISNUMBER(FIND(CODES!$A$10,DC33)),ISNUMBER(FIND(CODES!$A$11,DC33))),CODES!$A$13,IF(OR(DC33&lt;DC$39,ISNUMBER(DC33)=FALSE),DC$40,DC33))))</f>
      </c>
      <c r="DD60" s="7" t="str">
        <f>IF(ISBLANK(DD33),"NO DATA",IF(ISNUMBER(FIND(CODES!$A$12,DD33)),CODES!$A$12,IF(OR(ISNUMBER(FIND(CODES!$A$10,DD33)),ISNUMBER(FIND(CODES!$A$11,DD33))),CODES!$A$13,IF(OR(DD33&lt;DD$39,ISNUMBER(DD33)=FALSE),DD$40,DD33))))</f>
      </c>
      <c r="DE60" s="7" t="str">
        <f>IF(ISBLANK(DE33),"NO DATA",IF(ISNUMBER(FIND(CODES!$A$12,DE33)),CODES!$A$12,IF(OR(ISNUMBER(FIND(CODES!$A$10,DE33)),ISNUMBER(FIND(CODES!$A$11,DE33))),CODES!$A$13,IF(OR(DE33&lt;DE$39,ISNUMBER(DE33)=FALSE),DE$40,DE33))))</f>
      </c>
      <c r="DF60" s="7" t="str">
        <f>IF(ISBLANK(DF33),"NO DATA",IF(ISNUMBER(FIND(CODES!$A$12,DF33)),CODES!$A$12,IF(OR(ISNUMBER(FIND(CODES!$A$10,DF33)),ISNUMBER(FIND(CODES!$A$11,DF33))),CODES!$A$13,IF(OR(DF33&lt;DF$39,ISNUMBER(DF33)=FALSE),DF$40,DF33))))</f>
      </c>
      <c r="DG60" s="7" t="str">
        <f>IF(ISBLANK(DG33),"NO DATA",IF(ISNUMBER(FIND(CODES!$A$12,DG33)),CODES!$A$12,IF(OR(ISNUMBER(FIND(CODES!$A$10,DG33)),ISNUMBER(FIND(CODES!$A$11,DG33))),CODES!$A$13,IF(OR(DG33&lt;DG$39,ISNUMBER(DG33)=FALSE),DG$40,DG33))))</f>
      </c>
      <c r="DH60" s="7" t="str">
        <f>IF(ISBLANK(DH33),"NO DATA",IF(ISNUMBER(FIND(CODES!$A$12,DH33)),CODES!$A$12,IF(OR(ISNUMBER(FIND(CODES!$A$10,DH33)),ISNUMBER(FIND(CODES!$A$11,DH33))),CODES!$A$13,IF(OR(DH33&lt;DH$39,ISNUMBER(DH33)=FALSE),DH$40,DH33))))</f>
      </c>
      <c r="DI60" s="7" t="str">
        <f>IF(ISBLANK(DI33),"NO DATA",IF(ISNUMBER(FIND(CODES!$A$12,DI33)),CODES!$A$12,IF(OR(ISNUMBER(FIND(CODES!$A$10,DI33)),ISNUMBER(FIND(CODES!$A$11,DI33))),CODES!$A$13,IF(OR(DI33&lt;DI$39,ISNUMBER(DI33)=FALSE),DI$40,DI33))))</f>
      </c>
    </row>
    <row r="61" spans="1:113" x14ac:dyDescent="0.25">
      <c r="A61" s="16" t="str">
        <f t="shared" si="2"/>
      </c>
      <c r="B61" s="16" t="str">
        <f t="shared" si="2"/>
      </c>
      <c r="C61" s="7" t="str">
        <f>IF(ISBLANK(C34),"NO DATA",IF(ISNUMBER(FIND(CODES!$A$12,C34)),CODES!$A$12,IF(OR(ISNUMBER(FIND(CODES!$A$10,C34)),ISNUMBER(FIND(CODES!$A$11,C34))),CODES!$A$13,IF(OR(C34&lt;C$39,ISNUMBER(C34)=FALSE),C$40,C34))))</f>
      </c>
      <c r="D61" s="7" t="str">
        <f>IF(ISBLANK(D34),"NO DATA",IF(ISNUMBER(FIND(CODES!$A$12,D34)),CODES!$A$12,IF(OR(ISNUMBER(FIND(CODES!$A$10,D34)),ISNUMBER(FIND(CODES!$A$11,D34))),CODES!$A$13,IF(OR(D34&lt;D$39,ISNUMBER(D34)=FALSE),D$40,D34))))</f>
      </c>
      <c r="E61" s="7" t="str">
        <f>IF(ISBLANK(E34),"NO DATA",IF(ISNUMBER(FIND(CODES!$A$12,E34)),CODES!$A$12,IF(OR(ISNUMBER(FIND(CODES!$A$10,E34)),ISNUMBER(FIND(CODES!$A$11,E34))),CODES!$A$13,IF(OR(E34&lt;E$39,ISNUMBER(E34)=FALSE),E$40,E34))))</f>
      </c>
      <c r="F61" s="7" t="str">
        <f>IF(ISBLANK(F34),"NO DATA",IF(ISNUMBER(FIND(CODES!$A$12,F34)),CODES!$A$12,IF(OR(ISNUMBER(FIND(CODES!$A$10,F34)),ISNUMBER(FIND(CODES!$A$11,F34))),CODES!$A$13,IF(OR(F34&lt;F$39,ISNUMBER(F34)=FALSE),F$40,F34))))</f>
      </c>
      <c r="G61" s="7" t="str">
        <f>IF(ISBLANK(G34),"NO DATA",IF(ISNUMBER(FIND(CODES!$A$12,G34)),CODES!$A$12,IF(OR(ISNUMBER(FIND(CODES!$A$10,G34)),ISNUMBER(FIND(CODES!$A$11,G34))),CODES!$A$13,IF(OR(G34&lt;G$39,ISNUMBER(G34)=FALSE),G$40,G34))))</f>
      </c>
      <c r="H61" s="7" t="str">
        <f>IF(ISBLANK(H34),"NO DATA",IF(ISNUMBER(FIND(CODES!$A$12,H34)),CODES!$A$12,IF(OR(ISNUMBER(FIND(CODES!$A$10,H34)),ISNUMBER(FIND(CODES!$A$11,H34))),CODES!$A$13,IF(OR(H34&lt;H$39,ISNUMBER(H34)=FALSE),H$40,H34))))</f>
      </c>
      <c r="I61" s="7" t="str">
        <f>IF(ISBLANK(I34),"NO DATA",IF(ISNUMBER(FIND(CODES!$A$12,I34)),CODES!$A$12,IF(OR(ISNUMBER(FIND(CODES!$A$10,I34)),ISNUMBER(FIND(CODES!$A$11,I34))),CODES!$A$13,IF(OR(I34&lt;I$39,ISNUMBER(I34)=FALSE),I$40,I34))))</f>
      </c>
      <c r="J61" s="7" t="str">
        <f>IF(ISBLANK(J34),"NO DATA",IF(ISNUMBER(FIND(CODES!$A$12,J34)),CODES!$A$12,IF(OR(ISNUMBER(FIND(CODES!$A$10,J34)),ISNUMBER(FIND(CODES!$A$11,J34))),CODES!$A$13,IF(OR(J34&lt;J$39,ISNUMBER(J34)=FALSE),J$40,J34))))</f>
      </c>
      <c r="K61" s="7" t="str">
        <f>IF(ISBLANK(K34),"NO DATA",IF(ISNUMBER(FIND(CODES!$A$12,K34)),CODES!$A$12,IF(OR(ISNUMBER(FIND(CODES!$A$10,K34)),ISNUMBER(FIND(CODES!$A$11,K34))),CODES!$A$13,IF(OR(K34&lt;K$39,ISNUMBER(K34)=FALSE),K$40,K34))))</f>
      </c>
      <c r="L61" s="7" t="str">
        <f>IF(ISBLANK(L34),"NO DATA",IF(ISNUMBER(FIND(CODES!$A$12,L34)),CODES!$A$12,IF(OR(ISNUMBER(FIND(CODES!$A$10,L34)),ISNUMBER(FIND(CODES!$A$11,L34))),CODES!$A$13,IF(OR(L34&lt;L$39,ISNUMBER(L34)=FALSE),L$40,L34))))</f>
      </c>
      <c r="M61" s="7" t="str">
        <f>IF(ISBLANK(M34),"NO DATA",IF(ISNUMBER(FIND(CODES!$A$12,M34)),CODES!$A$12,IF(OR(ISNUMBER(FIND(CODES!$A$10,M34)),ISNUMBER(FIND(CODES!$A$11,M34))),CODES!$A$13,IF(OR(M34&lt;M$39,ISNUMBER(M34)=FALSE),M$40,M34))))</f>
      </c>
      <c r="N61" s="7" t="str">
        <f>IF(ISBLANK(N34),"NO DATA",IF(ISNUMBER(FIND(CODES!$A$12,N34)),CODES!$A$12,IF(OR(ISNUMBER(FIND(CODES!$A$10,N34)),ISNUMBER(FIND(CODES!$A$11,N34))),CODES!$A$13,IF(OR(N34&lt;N$39,ISNUMBER(N34)=FALSE),N$40,N34))))</f>
      </c>
      <c r="O61" s="7" t="str">
        <f>IF(ISBLANK(O34),"NO DATA",IF(ISNUMBER(FIND(CODES!$A$12,O34)),CODES!$A$12,IF(OR(ISNUMBER(FIND(CODES!$A$10,O34)),ISNUMBER(FIND(CODES!$A$11,O34))),CODES!$A$13,IF(OR(O34&lt;O$39,ISNUMBER(O34)=FALSE),O$40,O34))))</f>
      </c>
      <c r="P61" s="7" t="str">
        <f>IF(ISBLANK(P34),"NO DATA",IF(ISNUMBER(FIND(CODES!$A$12,P34)),CODES!$A$12,IF(OR(ISNUMBER(FIND(CODES!$A$10,P34)),ISNUMBER(FIND(CODES!$A$11,P34))),CODES!$A$13,IF(OR(P34&lt;P$39,ISNUMBER(P34)=FALSE),P$40,P34))))</f>
      </c>
      <c r="Q61" s="7" t="str">
        <f>IF(ISBLANK(Q34),"NO DATA",IF(ISNUMBER(FIND(CODES!$A$12,Q34)),CODES!$A$12,IF(OR(ISNUMBER(FIND(CODES!$A$10,Q34)),ISNUMBER(FIND(CODES!$A$11,Q34))),CODES!$A$13,IF(OR(Q34&lt;Q$39,ISNUMBER(Q34)=FALSE),Q$40,Q34))))</f>
      </c>
      <c r="R61" s="7" t="str">
        <f>IF(ISBLANK(R34),"NO DATA",IF(ISNUMBER(FIND(CODES!$A$12,R34)),CODES!$A$12,IF(OR(ISNUMBER(FIND(CODES!$A$10,R34)),ISNUMBER(FIND(CODES!$A$11,R34))),CODES!$A$13,IF(OR(R34&lt;R$39,ISNUMBER(R34)=FALSE),R$40,R34))))</f>
      </c>
      <c r="S61" s="7" t="str">
        <f>IF(ISBLANK(S34),"NO DATA",IF(ISNUMBER(FIND(CODES!$A$12,S34)),CODES!$A$12,IF(OR(ISNUMBER(FIND(CODES!$A$10,S34)),ISNUMBER(FIND(CODES!$A$11,S34))),CODES!$A$13,IF(OR(S34&lt;S$39,ISNUMBER(S34)=FALSE),S$40,S34))))</f>
      </c>
      <c r="T61" s="7" t="str">
        <f>IF(ISBLANK(T34),"NO DATA",IF(ISNUMBER(FIND(CODES!$A$12,T34)),CODES!$A$12,IF(OR(ISNUMBER(FIND(CODES!$A$10,T34)),ISNUMBER(FIND(CODES!$A$11,T34))),CODES!$A$13,IF(OR(T34&lt;T$39,ISNUMBER(T34)=FALSE),T$40,T34))))</f>
      </c>
      <c r="U61" s="7" t="str">
        <f>IF(ISBLANK(U34),"NO DATA",IF(ISNUMBER(FIND(CODES!$A$12,U34)),CODES!$A$12,IF(OR(ISNUMBER(FIND(CODES!$A$10,U34)),ISNUMBER(FIND(CODES!$A$11,U34))),CODES!$A$13,IF(OR(U34&lt;U$39,ISNUMBER(U34)=FALSE),U$40,U34))))</f>
      </c>
      <c r="V61" s="7" t="str">
        <f>IF(ISBLANK(V34),"NO DATA",IF(ISNUMBER(FIND(CODES!$A$12,V34)),CODES!$A$12,IF(OR(ISNUMBER(FIND(CODES!$A$10,V34)),ISNUMBER(FIND(CODES!$A$11,V34))),CODES!$A$13,IF(OR(V34&lt;V$39,ISNUMBER(V34)=FALSE),V$40,V34))))</f>
      </c>
      <c r="W61" s="7" t="str">
        <f>IF(ISBLANK(W34),"NO DATA",IF(ISNUMBER(FIND(CODES!$A$12,W34)),CODES!$A$12,IF(OR(ISNUMBER(FIND(CODES!$A$10,W34)),ISNUMBER(FIND(CODES!$A$11,W34))),CODES!$A$13,IF(OR(W34&lt;W$39,ISNUMBER(W34)=FALSE),W$40,W34))))</f>
      </c>
      <c r="X61" s="7" t="str">
        <f>IF(ISBLANK(X34),"NO DATA",IF(ISNUMBER(FIND(CODES!$A$12,X34)),CODES!$A$12,IF(OR(ISNUMBER(FIND(CODES!$A$10,X34)),ISNUMBER(FIND(CODES!$A$11,X34))),CODES!$A$13,IF(OR(X34&lt;X$39,ISNUMBER(X34)=FALSE),X$40,X34))))</f>
      </c>
      <c r="Y61" s="7" t="str">
        <f>IF(ISBLANK(Y34),"NO DATA",IF(ISNUMBER(FIND(CODES!$A$12,Y34)),CODES!$A$12,IF(OR(ISNUMBER(FIND(CODES!$A$10,Y34)),ISNUMBER(FIND(CODES!$A$11,Y34))),CODES!$A$13,IF(OR(Y34&lt;Y$39,ISNUMBER(Y34)=FALSE),Y$40,Y34))))</f>
      </c>
      <c r="Z61" s="7" t="str">
        <f>IF(ISBLANK(Z34),"NO DATA",IF(ISNUMBER(FIND(CODES!$A$12,Z34)),CODES!$A$12,IF(OR(ISNUMBER(FIND(CODES!$A$10,Z34)),ISNUMBER(FIND(CODES!$A$11,Z34))),CODES!$A$13,IF(OR(Z34&lt;Z$39,ISNUMBER(Z34)=FALSE),Z$40,Z34))))</f>
      </c>
      <c r="AA61" s="7" t="str">
        <f>IF(ISBLANK(AA34),"NO DATA",IF(ISNUMBER(FIND(CODES!$A$12,AA34)),CODES!$A$12,IF(OR(ISNUMBER(FIND(CODES!$A$10,AA34)),ISNUMBER(FIND(CODES!$A$11,AA34))),CODES!$A$13,IF(OR(AA34&lt;AA$39,ISNUMBER(AA34)=FALSE),AA$40,AA34))))</f>
      </c>
      <c r="AB61" s="7" t="str">
        <f>IF(ISBLANK(AB34),"NO DATA",IF(ISNUMBER(FIND(CODES!$A$12,AB34)),CODES!$A$12,IF(OR(ISNUMBER(FIND(CODES!$A$10,AB34)),ISNUMBER(FIND(CODES!$A$11,AB34))),CODES!$A$13,IF(OR(AB34&lt;AB$39,ISNUMBER(AB34)=FALSE),AB$40,AB34))))</f>
      </c>
      <c r="AC61" s="7" t="str">
        <f>IF(ISBLANK(AC34),"NO DATA",IF(ISNUMBER(FIND(CODES!$A$12,AC34)),CODES!$A$12,IF(OR(ISNUMBER(FIND(CODES!$A$10,AC34)),ISNUMBER(FIND(CODES!$A$11,AC34))),CODES!$A$13,IF(OR(AC34&lt;AC$39,ISNUMBER(AC34)=FALSE),AC$40,AC34))))</f>
      </c>
      <c r="AD61" s="7" t="str">
        <f>IF(ISBLANK(AD34),"NO DATA",IF(ISNUMBER(FIND(CODES!$A$12,AD34)),CODES!$A$12,IF(OR(ISNUMBER(FIND(CODES!$A$10,AD34)),ISNUMBER(FIND(CODES!$A$11,AD34))),CODES!$A$13,IF(OR(AD34&lt;AD$39,ISNUMBER(AD34)=FALSE),AD$40,AD34))))</f>
      </c>
      <c r="AE61" s="7" t="str">
        <f>IF(ISBLANK(AE34),"NO DATA",IF(ISNUMBER(FIND(CODES!$A$12,AE34)),CODES!$A$12,IF(OR(ISNUMBER(FIND(CODES!$A$10,AE34)),ISNUMBER(FIND(CODES!$A$11,AE34))),CODES!$A$13,IF(OR(AE34&lt;AE$39,ISNUMBER(AE34)=FALSE),AE$40,AE34))))</f>
      </c>
      <c r="AF61" s="7" t="str">
        <f>IF(ISBLANK(AF34),"NO DATA",IF(ISNUMBER(FIND(CODES!$A$12,AF34)),CODES!$A$12,IF(OR(ISNUMBER(FIND(CODES!$A$10,AF34)),ISNUMBER(FIND(CODES!$A$11,AF34))),CODES!$A$13,IF(OR(AF34&lt;AF$39,ISNUMBER(AF34)=FALSE),AF$40,AF34))))</f>
      </c>
      <c r="AG61" s="7" t="str">
        <f>IF(ISBLANK(AG34),"NO DATA",IF(ISNUMBER(FIND(CODES!$A$12,AG34)),CODES!$A$12,IF(OR(ISNUMBER(FIND(CODES!$A$10,AG34)),ISNUMBER(FIND(CODES!$A$11,AG34))),CODES!$A$13,IF(OR(AG34&lt;AG$39,ISNUMBER(AG34)=FALSE),AG$40,AG34))))</f>
      </c>
      <c r="AH61" s="7" t="str">
        <f>IF(ISBLANK(AH34),"NO DATA",IF(ISNUMBER(FIND(CODES!$A$12,AH34)),CODES!$A$12,IF(OR(ISNUMBER(FIND(CODES!$A$10,AH34)),ISNUMBER(FIND(CODES!$A$11,AH34))),CODES!$A$13,IF(OR(AH34&lt;AH$39,ISNUMBER(AH34)=FALSE),AH$40,AH34))))</f>
      </c>
      <c r="AI61" s="7" t="str">
        <f>IF(ISBLANK(AI34),"NO DATA",IF(ISNUMBER(FIND(CODES!$A$12,AI34)),CODES!$A$12,IF(OR(ISNUMBER(FIND(CODES!$A$10,AI34)),ISNUMBER(FIND(CODES!$A$11,AI34))),CODES!$A$13,IF(OR(AI34&lt;AI$39,ISNUMBER(AI34)=FALSE),AI$40,AI34))))</f>
      </c>
      <c r="AJ61" s="7" t="str">
        <f>IF(ISBLANK(AJ34),"NO DATA",IF(ISNUMBER(FIND(CODES!$A$12,AJ34)),CODES!$A$12,IF(OR(ISNUMBER(FIND(CODES!$A$10,AJ34)),ISNUMBER(FIND(CODES!$A$11,AJ34))),CODES!$A$13,IF(OR(AJ34&lt;AJ$39,ISNUMBER(AJ34)=FALSE),AJ$40,AJ34))))</f>
      </c>
      <c r="AK61" s="7" t="str">
        <f>IF(ISBLANK(AK34),"NO DATA",IF(ISNUMBER(FIND(CODES!$A$12,AK34)),CODES!$A$12,IF(OR(ISNUMBER(FIND(CODES!$A$10,AK34)),ISNUMBER(FIND(CODES!$A$11,AK34))),CODES!$A$13,IF(OR(AK34&lt;AK$39,ISNUMBER(AK34)=FALSE),AK$40,AK34))))</f>
      </c>
      <c r="AL61" s="7" t="str">
        <f>IF(ISBLANK(AL34),"NO DATA",IF(ISNUMBER(FIND(CODES!$A$12,AL34)),CODES!$A$12,IF(OR(ISNUMBER(FIND(CODES!$A$10,AL34)),ISNUMBER(FIND(CODES!$A$11,AL34))),CODES!$A$13,IF(OR(AL34&lt;AL$39,ISNUMBER(AL34)=FALSE),AL$40,AL34))))</f>
      </c>
      <c r="AM61" s="7" t="str">
        <f>IF(ISBLANK(AM34),"NO DATA",IF(ISNUMBER(FIND(CODES!$A$12,AM34)),CODES!$A$12,IF(OR(ISNUMBER(FIND(CODES!$A$10,AM34)),ISNUMBER(FIND(CODES!$A$11,AM34))),CODES!$A$13,IF(OR(AM34&lt;AM$39,ISNUMBER(AM34)=FALSE),AM$40,AM34))))</f>
      </c>
      <c r="AN61" s="7" t="str">
        <f>IF(ISBLANK(AN34),"NO DATA",IF(ISNUMBER(FIND(CODES!$A$12,AN34)),CODES!$A$12,IF(OR(ISNUMBER(FIND(CODES!$A$10,AN34)),ISNUMBER(FIND(CODES!$A$11,AN34))),CODES!$A$13,IF(OR(AN34&lt;AN$39,ISNUMBER(AN34)=FALSE),AN$40,AN34))))</f>
      </c>
      <c r="AO61" s="7" t="str">
        <f>IF(ISBLANK(AO34),"NO DATA",IF(ISNUMBER(FIND(CODES!$A$12,AO34)),CODES!$A$12,IF(OR(ISNUMBER(FIND(CODES!$A$10,AO34)),ISNUMBER(FIND(CODES!$A$11,AO34))),CODES!$A$13,IF(OR(AO34&lt;AO$39,ISNUMBER(AO34)=FALSE),AO$40,AO34))))</f>
      </c>
      <c r="AP61" s="7" t="str">
        <f>IF(ISBLANK(AP34),"NO DATA",IF(ISNUMBER(FIND(CODES!$A$12,AP34)),CODES!$A$12,IF(OR(ISNUMBER(FIND(CODES!$A$10,AP34)),ISNUMBER(FIND(CODES!$A$11,AP34))),CODES!$A$13,IF(OR(AP34&lt;AP$39,ISNUMBER(AP34)=FALSE),AP$40,AP34))))</f>
      </c>
      <c r="AQ61" s="7" t="str">
        <f>IF(ISBLANK(AQ34),"NO DATA",IF(ISNUMBER(FIND(CODES!$A$12,AQ34)),CODES!$A$12,IF(OR(ISNUMBER(FIND(CODES!$A$10,AQ34)),ISNUMBER(FIND(CODES!$A$11,AQ34))),CODES!$A$13,IF(OR(AQ34&lt;AQ$39,ISNUMBER(AQ34)=FALSE),AQ$40,AQ34))))</f>
      </c>
      <c r="AR61" s="7" t="str">
        <f>IF(ISBLANK(AR34),"NO DATA",IF(ISNUMBER(FIND(CODES!$A$12,AR34)),CODES!$A$12,IF(OR(ISNUMBER(FIND(CODES!$A$10,AR34)),ISNUMBER(FIND(CODES!$A$11,AR34))),CODES!$A$13,IF(OR(AR34&lt;AR$39,ISNUMBER(AR34)=FALSE),AR$40,AR34))))</f>
      </c>
      <c r="AS61" s="7" t="str">
        <f>IF(ISBLANK(AS34),"NO DATA",IF(ISNUMBER(FIND(CODES!$A$12,AS34)),CODES!$A$12,IF(OR(ISNUMBER(FIND(CODES!$A$10,AS34)),ISNUMBER(FIND(CODES!$A$11,AS34))),CODES!$A$13,IF(OR(AS34&lt;AS$39,ISNUMBER(AS34)=FALSE),AS$40,AS34))))</f>
      </c>
      <c r="AT61" s="7" t="str">
        <f>IF(ISBLANK(AT34),"NO DATA",IF(ISNUMBER(FIND(CODES!$A$12,AT34)),CODES!$A$12,IF(OR(ISNUMBER(FIND(CODES!$A$10,AT34)),ISNUMBER(FIND(CODES!$A$11,AT34))),CODES!$A$13,IF(OR(AT34&lt;AT$39,ISNUMBER(AT34)=FALSE),AT$40,AT34))))</f>
      </c>
      <c r="AU61" s="7" t="str">
        <f>IF(ISBLANK(AU34),"NO DATA",IF(ISNUMBER(FIND(CODES!$A$12,AU34)),CODES!$A$12,IF(OR(ISNUMBER(FIND(CODES!$A$10,AU34)),ISNUMBER(FIND(CODES!$A$11,AU34))),CODES!$A$13,IF(OR(AU34&lt;AU$39,ISNUMBER(AU34)=FALSE),AU$40,AU34))))</f>
      </c>
      <c r="AV61" s="7" t="str">
        <f>IF(ISBLANK(AV34),"NO DATA",IF(ISNUMBER(FIND(CODES!$A$12,AV34)),CODES!$A$12,IF(OR(ISNUMBER(FIND(CODES!$A$10,AV34)),ISNUMBER(FIND(CODES!$A$11,AV34))),CODES!$A$13,IF(OR(AV34&lt;AV$39,ISNUMBER(AV34)=FALSE),AV$40,AV34))))</f>
      </c>
      <c r="AW61" s="7" t="str">
        <f>IF(ISBLANK(AW34),"NO DATA",IF(ISNUMBER(FIND(CODES!$A$12,AW34)),CODES!$A$12,IF(OR(ISNUMBER(FIND(CODES!$A$10,AW34)),ISNUMBER(FIND(CODES!$A$11,AW34))),CODES!$A$13,IF(OR(AW34&lt;AW$39,ISNUMBER(AW34)=FALSE),AW$40,AW34))))</f>
      </c>
      <c r="AX61" s="7" t="str">
        <f>IF(ISBLANK(AX34),"NO DATA",IF(ISNUMBER(FIND(CODES!$A$12,AX34)),CODES!$A$12,IF(OR(ISNUMBER(FIND(CODES!$A$10,AX34)),ISNUMBER(FIND(CODES!$A$11,AX34))),CODES!$A$13,IF(OR(AX34&lt;AX$39,ISNUMBER(AX34)=FALSE),AX$40,AX34))))</f>
      </c>
      <c r="AY61" s="7" t="str">
        <f>IF(ISBLANK(AY34),"NO DATA",IF(ISNUMBER(FIND(CODES!$A$12,AY34)),CODES!$A$12,IF(OR(ISNUMBER(FIND(CODES!$A$10,AY34)),ISNUMBER(FIND(CODES!$A$11,AY34))),CODES!$A$13,IF(OR(AY34&lt;AY$39,ISNUMBER(AY34)=FALSE),AY$40,AY34))))</f>
      </c>
      <c r="AZ61" s="7" t="str">
        <f>IF(ISBLANK(AZ34),"NO DATA",IF(ISNUMBER(FIND(CODES!$A$12,AZ34)),CODES!$A$12,IF(OR(ISNUMBER(FIND(CODES!$A$10,AZ34)),ISNUMBER(FIND(CODES!$A$11,AZ34))),CODES!$A$13,IF(OR(AZ34&lt;AZ$39,ISNUMBER(AZ34)=FALSE),AZ$40,AZ34))))</f>
      </c>
      <c r="BA61" s="7" t="str">
        <f>IF(ISBLANK(BA34),"NO DATA",IF(ISNUMBER(FIND(CODES!$A$12,BA34)),CODES!$A$12,IF(OR(ISNUMBER(FIND(CODES!$A$10,BA34)),ISNUMBER(FIND(CODES!$A$11,BA34))),CODES!$A$13,IF(OR(BA34&lt;BA$39,ISNUMBER(BA34)=FALSE),BA$40,BA34))))</f>
      </c>
      <c r="BB61" s="7" t="str">
        <f>IF(ISBLANK(BB34),"NO DATA",IF(ISNUMBER(FIND(CODES!$A$12,BB34)),CODES!$A$12,IF(OR(ISNUMBER(FIND(CODES!$A$10,BB34)),ISNUMBER(FIND(CODES!$A$11,BB34))),CODES!$A$13,IF(OR(BB34&lt;BB$39,ISNUMBER(BB34)=FALSE),BB$40,BB34))))</f>
      </c>
      <c r="BC61" s="7" t="str">
        <f>IF(ISBLANK(BC34),"NO DATA",IF(ISNUMBER(FIND(CODES!$A$12,BC34)),CODES!$A$12,IF(OR(ISNUMBER(FIND(CODES!$A$10,BC34)),ISNUMBER(FIND(CODES!$A$11,BC34))),CODES!$A$13,IF(OR(BC34&lt;BC$39,ISNUMBER(BC34)=FALSE),BC$40,BC34))))</f>
      </c>
      <c r="BD61" s="7" t="str">
        <f>IF(ISBLANK(BD34),"NO DATA",IF(ISNUMBER(FIND(CODES!$A$12,BD34)),CODES!$A$12,IF(OR(ISNUMBER(FIND(CODES!$A$10,BD34)),ISNUMBER(FIND(CODES!$A$11,BD34))),CODES!$A$13,IF(OR(BD34&lt;BD$39,ISNUMBER(BD34)=FALSE),BD$40,BD34))))</f>
      </c>
      <c r="BE61" s="7" t="str">
        <f>IF(ISBLANK(BE34),"NO DATA",IF(ISNUMBER(FIND(CODES!$A$12,BE34)),CODES!$A$12,IF(OR(ISNUMBER(FIND(CODES!$A$10,BE34)),ISNUMBER(FIND(CODES!$A$11,BE34))),CODES!$A$13,IF(OR(BE34&lt;BE$39,ISNUMBER(BE34)=FALSE),BE$40,BE34))))</f>
      </c>
      <c r="BF61" s="7" t="str">
        <f>IF(ISBLANK(BF34),"NO DATA",IF(ISNUMBER(FIND(CODES!$A$12,BF34)),CODES!$A$12,IF(OR(ISNUMBER(FIND(CODES!$A$10,BF34)),ISNUMBER(FIND(CODES!$A$11,BF34))),CODES!$A$13,IF(OR(BF34&lt;BF$39,ISNUMBER(BF34)=FALSE),BF$40,BF34))))</f>
      </c>
      <c r="BG61" s="7" t="str">
        <f>IF(ISBLANK(BG34),"NO DATA",IF(ISNUMBER(FIND(CODES!$A$12,BG34)),CODES!$A$12,IF(OR(ISNUMBER(FIND(CODES!$A$10,BG34)),ISNUMBER(FIND(CODES!$A$11,BG34))),CODES!$A$13,IF(OR(BG34&lt;BG$39,ISNUMBER(BG34)=FALSE),BG$40,BG34))))</f>
      </c>
      <c r="BH61" s="7" t="str">
        <f>IF(ISBLANK(BH34),"NO DATA",IF(ISNUMBER(FIND(CODES!$A$12,BH34)),CODES!$A$12,IF(OR(ISNUMBER(FIND(CODES!$A$10,BH34)),ISNUMBER(FIND(CODES!$A$11,BH34))),CODES!$A$13,IF(OR(BH34&lt;BH$39,ISNUMBER(BH34)=FALSE),BH$40,BH34))))</f>
      </c>
      <c r="BI61" s="7" t="str">
        <f>IF(ISBLANK(BI34),"NO DATA",IF(ISNUMBER(FIND(CODES!$A$12,BI34)),CODES!$A$12,IF(OR(ISNUMBER(FIND(CODES!$A$10,BI34)),ISNUMBER(FIND(CODES!$A$11,BI34))),CODES!$A$13,IF(OR(BI34&lt;BI$39,ISNUMBER(BI34)=FALSE),BI$40,BI34))))</f>
      </c>
      <c r="BJ61" s="7" t="str">
        <f>IF(ISBLANK(BJ34),"NO DATA",IF(ISNUMBER(FIND(CODES!$A$12,BJ34)),CODES!$A$12,IF(OR(ISNUMBER(FIND(CODES!$A$10,BJ34)),ISNUMBER(FIND(CODES!$A$11,BJ34))),CODES!$A$13,IF(OR(BJ34&lt;BJ$39,ISNUMBER(BJ34)=FALSE),BJ$40,BJ34))))</f>
      </c>
      <c r="BK61" s="7" t="str">
        <f>IF(ISBLANK(BK34),"NO DATA",IF(ISNUMBER(FIND(CODES!$A$12,BK34)),CODES!$A$12,IF(OR(ISNUMBER(FIND(CODES!$A$10,BK34)),ISNUMBER(FIND(CODES!$A$11,BK34))),CODES!$A$13,IF(OR(BK34&lt;BK$39,ISNUMBER(BK34)=FALSE),BK$40,BK34))))</f>
      </c>
      <c r="BL61" s="7" t="str">
        <f>IF(ISBLANK(BL34),"NO DATA",IF(ISNUMBER(FIND(CODES!$A$12,BL34)),CODES!$A$12,IF(OR(ISNUMBER(FIND(CODES!$A$10,BL34)),ISNUMBER(FIND(CODES!$A$11,BL34))),CODES!$A$13,IF(OR(BL34&lt;BL$39,ISNUMBER(BL34)=FALSE),BL$40,BL34))))</f>
      </c>
      <c r="BM61" s="7" t="str">
        <f>IF(ISBLANK(BM34),"NO DATA",IF(ISNUMBER(FIND(CODES!$A$12,BM34)),CODES!$A$12,IF(OR(ISNUMBER(FIND(CODES!$A$10,BM34)),ISNUMBER(FIND(CODES!$A$11,BM34))),CODES!$A$13,IF(OR(BM34&lt;BM$39,ISNUMBER(BM34)=FALSE),BM$40,BM34))))</f>
      </c>
      <c r="BN61" s="7" t="str">
        <f>IF(ISBLANK(BN34),"NO DATA",IF(ISNUMBER(FIND(CODES!$A$12,BN34)),CODES!$A$12,IF(OR(ISNUMBER(FIND(CODES!$A$10,BN34)),ISNUMBER(FIND(CODES!$A$11,BN34))),CODES!$A$13,IF(OR(BN34&lt;BN$39,ISNUMBER(BN34)=FALSE),BN$40,BN34))))</f>
      </c>
      <c r="BO61" s="7" t="str">
        <f>IF(ISBLANK(BO34),"NO DATA",IF(ISNUMBER(FIND(CODES!$A$12,BO34)),CODES!$A$12,IF(OR(ISNUMBER(FIND(CODES!$A$10,BO34)),ISNUMBER(FIND(CODES!$A$11,BO34))),CODES!$A$13,IF(OR(BO34&lt;BO$39,ISNUMBER(BO34)=FALSE),BO$40,BO34))))</f>
      </c>
      <c r="BP61" s="7" t="str">
        <f>IF(ISBLANK(BP34),"NO DATA",IF(ISNUMBER(FIND(CODES!$A$12,BP34)),CODES!$A$12,IF(OR(ISNUMBER(FIND(CODES!$A$10,BP34)),ISNUMBER(FIND(CODES!$A$11,BP34))),CODES!$A$13,IF(OR(BP34&lt;BP$39,ISNUMBER(BP34)=FALSE),BP$40,BP34))))</f>
      </c>
      <c r="BQ61" s="7" t="str">
        <f>IF(ISBLANK(BQ34),"NO DATA",IF(ISNUMBER(FIND(CODES!$A$12,BQ34)),CODES!$A$12,IF(OR(ISNUMBER(FIND(CODES!$A$10,BQ34)),ISNUMBER(FIND(CODES!$A$11,BQ34))),CODES!$A$13,IF(OR(BQ34&lt;BQ$39,ISNUMBER(BQ34)=FALSE),BQ$40,BQ34))))</f>
      </c>
      <c r="BR61" s="7" t="str">
        <f>IF(ISBLANK(BR34),"NO DATA",IF(ISNUMBER(FIND(CODES!$A$12,BR34)),CODES!$A$12,IF(OR(ISNUMBER(FIND(CODES!$A$10,BR34)),ISNUMBER(FIND(CODES!$A$11,BR34))),CODES!$A$13,IF(OR(BR34&lt;BR$39,ISNUMBER(BR34)=FALSE),BR$40,BR34))))</f>
      </c>
      <c r="BS61" s="7" t="str">
        <f>IF(ISBLANK(BS34),"NO DATA",IF(ISNUMBER(FIND(CODES!$A$12,BS34)),CODES!$A$12,IF(OR(ISNUMBER(FIND(CODES!$A$10,BS34)),ISNUMBER(FIND(CODES!$A$11,BS34))),CODES!$A$13,IF(OR(BS34&lt;BS$39,ISNUMBER(BS34)=FALSE),BS$40,BS34))))</f>
      </c>
      <c r="BT61" s="7" t="str">
        <f>IF(ISBLANK(BT34),"NO DATA",IF(ISNUMBER(FIND(CODES!$A$12,BT34)),CODES!$A$12,IF(OR(ISNUMBER(FIND(CODES!$A$10,BT34)),ISNUMBER(FIND(CODES!$A$11,BT34))),CODES!$A$13,IF(OR(BT34&lt;BT$39,ISNUMBER(BT34)=FALSE),BT$40,BT34))))</f>
      </c>
      <c r="BU61" s="7" t="str">
        <f>IF(ISBLANK(BU34),"NO DATA",IF(ISNUMBER(FIND(CODES!$A$12,BU34)),CODES!$A$12,IF(OR(ISNUMBER(FIND(CODES!$A$10,BU34)),ISNUMBER(FIND(CODES!$A$11,BU34))),CODES!$A$13,IF(OR(BU34&lt;BU$39,ISNUMBER(BU34)=FALSE),BU$40,BU34))))</f>
      </c>
      <c r="BV61" s="7" t="str">
        <f>IF(ISBLANK(BV34),"NO DATA",IF(ISNUMBER(FIND(CODES!$A$12,BV34)),CODES!$A$12,IF(OR(ISNUMBER(FIND(CODES!$A$10,BV34)),ISNUMBER(FIND(CODES!$A$11,BV34))),CODES!$A$13,IF(OR(BV34&lt;BV$39,ISNUMBER(BV34)=FALSE),BV$40,BV34))))</f>
      </c>
      <c r="BW61" s="7" t="str">
        <f>IF(ISBLANK(BW34),"NO DATA",IF(ISNUMBER(FIND(CODES!$A$12,BW34)),CODES!$A$12,IF(OR(ISNUMBER(FIND(CODES!$A$10,BW34)),ISNUMBER(FIND(CODES!$A$11,BW34))),CODES!$A$13,IF(OR(BW34&lt;BW$39,ISNUMBER(BW34)=FALSE),BW$40,BW34))))</f>
      </c>
      <c r="BX61" s="7" t="str">
        <f>IF(ISBLANK(BX34),"NO DATA",IF(ISNUMBER(FIND(CODES!$A$12,BX34)),CODES!$A$12,IF(OR(ISNUMBER(FIND(CODES!$A$10,BX34)),ISNUMBER(FIND(CODES!$A$11,BX34))),CODES!$A$13,IF(OR(BX34&lt;BX$39,ISNUMBER(BX34)=FALSE),BX$40,BX34))))</f>
      </c>
      <c r="BY61" s="7" t="str">
        <f>IF(ISBLANK(BY34),"NO DATA",IF(ISNUMBER(FIND(CODES!$A$12,BY34)),CODES!$A$12,IF(OR(ISNUMBER(FIND(CODES!$A$10,BY34)),ISNUMBER(FIND(CODES!$A$11,BY34))),CODES!$A$13,IF(OR(BY34&lt;BY$39,ISNUMBER(BY34)=FALSE),BY$40,BY34))))</f>
      </c>
      <c r="BZ61" s="7" t="str">
        <f>IF(ISBLANK(BZ34),"NO DATA",IF(ISNUMBER(FIND(CODES!$A$12,BZ34)),CODES!$A$12,IF(OR(ISNUMBER(FIND(CODES!$A$10,BZ34)),ISNUMBER(FIND(CODES!$A$11,BZ34))),CODES!$A$13,IF(OR(BZ34&lt;BZ$39,ISNUMBER(BZ34)=FALSE),BZ$40,BZ34))))</f>
      </c>
      <c r="CA61" s="7" t="str">
        <f>IF(ISBLANK(CA34),"NO DATA",IF(ISNUMBER(FIND(CODES!$A$12,CA34)),CODES!$A$12,IF(OR(ISNUMBER(FIND(CODES!$A$10,CA34)),ISNUMBER(FIND(CODES!$A$11,CA34))),CODES!$A$13,IF(OR(CA34&lt;CA$39,ISNUMBER(CA34)=FALSE),CA$40,CA34))))</f>
      </c>
      <c r="CB61" s="7" t="str">
        <f>IF(ISBLANK(CB34),"NO DATA",IF(ISNUMBER(FIND(CODES!$A$12,CB34)),CODES!$A$12,IF(OR(ISNUMBER(FIND(CODES!$A$10,CB34)),ISNUMBER(FIND(CODES!$A$11,CB34))),CODES!$A$13,IF(OR(CB34&lt;CB$39,ISNUMBER(CB34)=FALSE),CB$40,CB34))))</f>
      </c>
      <c r="CC61" s="7" t="str">
        <f>IF(ISBLANK(CC34),"NO DATA",IF(ISNUMBER(FIND(CODES!$A$12,CC34)),CODES!$A$12,IF(OR(ISNUMBER(FIND(CODES!$A$10,CC34)),ISNUMBER(FIND(CODES!$A$11,CC34))),CODES!$A$13,IF(OR(CC34&lt;CC$39,ISNUMBER(CC34)=FALSE),CC$40,CC34))))</f>
      </c>
      <c r="CD61" s="7" t="str">
        <f>IF(ISBLANK(CD34),"NO DATA",IF(ISNUMBER(FIND(CODES!$A$12,CD34)),CODES!$A$12,IF(OR(ISNUMBER(FIND(CODES!$A$10,CD34)),ISNUMBER(FIND(CODES!$A$11,CD34))),CODES!$A$13,IF(OR(CD34&lt;CD$39,ISNUMBER(CD34)=FALSE),CD$40,CD34))))</f>
      </c>
      <c r="CE61" s="7" t="str">
        <f>IF(ISBLANK(CE34),"NO DATA",IF(ISNUMBER(FIND(CODES!$A$12,CE34)),CODES!$A$12,IF(OR(ISNUMBER(FIND(CODES!$A$10,CE34)),ISNUMBER(FIND(CODES!$A$11,CE34))),CODES!$A$13,IF(OR(CE34&lt;CE$39,ISNUMBER(CE34)=FALSE),CE$40,CE34))))</f>
      </c>
      <c r="CF61" s="7" t="str">
        <f>IF(ISBLANK(CF34),"NO DATA",IF(ISNUMBER(FIND(CODES!$A$12,CF34)),CODES!$A$12,IF(OR(ISNUMBER(FIND(CODES!$A$10,CF34)),ISNUMBER(FIND(CODES!$A$11,CF34))),CODES!$A$13,IF(OR(CF34&lt;CF$39,ISNUMBER(CF34)=FALSE),CF$40,CF34))))</f>
      </c>
      <c r="CG61" s="7" t="str">
        <f>IF(ISBLANK(CG34),"NO DATA",IF(ISNUMBER(FIND(CODES!$A$12,CG34)),CODES!$A$12,IF(OR(ISNUMBER(FIND(CODES!$A$10,CG34)),ISNUMBER(FIND(CODES!$A$11,CG34))),CODES!$A$13,IF(OR(CG34&lt;CG$39,ISNUMBER(CG34)=FALSE),CG$40,CG34))))</f>
      </c>
      <c r="CH61" s="7" t="str">
        <f>IF(ISBLANK(CH34),"NO DATA",IF(ISNUMBER(FIND(CODES!$A$12,CH34)),CODES!$A$12,IF(OR(ISNUMBER(FIND(CODES!$A$10,CH34)),ISNUMBER(FIND(CODES!$A$11,CH34))),CODES!$A$13,IF(OR(CH34&lt;CH$39,ISNUMBER(CH34)=FALSE),CH$40,CH34))))</f>
      </c>
      <c r="CI61" s="7" t="str">
        <f>IF(ISBLANK(CI34),"NO DATA",IF(ISNUMBER(FIND(CODES!$A$12,CI34)),CODES!$A$12,IF(OR(ISNUMBER(FIND(CODES!$A$10,CI34)),ISNUMBER(FIND(CODES!$A$11,CI34))),CODES!$A$13,IF(OR(CI34&lt;CI$39,ISNUMBER(CI34)=FALSE),CI$40,CI34))))</f>
      </c>
      <c r="CJ61" s="7" t="str">
        <f>IF(ISBLANK(CJ34),"NO DATA",IF(ISNUMBER(FIND(CODES!$A$12,CJ34)),CODES!$A$12,IF(OR(ISNUMBER(FIND(CODES!$A$10,CJ34)),ISNUMBER(FIND(CODES!$A$11,CJ34))),CODES!$A$13,IF(OR(CJ34&lt;CJ$39,ISNUMBER(CJ34)=FALSE),CJ$40,CJ34))))</f>
      </c>
      <c r="CK61" s="7" t="str">
        <f>IF(ISBLANK(CK34),"NO DATA",IF(ISNUMBER(FIND(CODES!$A$12,CK34)),CODES!$A$12,IF(OR(ISNUMBER(FIND(CODES!$A$10,CK34)),ISNUMBER(FIND(CODES!$A$11,CK34))),CODES!$A$13,IF(OR(CK34&lt;CK$39,ISNUMBER(CK34)=FALSE),CK$40,CK34))))</f>
      </c>
      <c r="CL61" s="7" t="str">
        <f>IF(ISBLANK(CL34),"NO DATA",IF(ISNUMBER(FIND(CODES!$A$12,CL34)),CODES!$A$12,IF(OR(ISNUMBER(FIND(CODES!$A$10,CL34)),ISNUMBER(FIND(CODES!$A$11,CL34))),CODES!$A$13,IF(OR(CL34&lt;CL$39,ISNUMBER(CL34)=FALSE),CL$40,CL34))))</f>
      </c>
      <c r="CM61" s="7" t="str">
        <f>IF(ISBLANK(CM34),"NO DATA",IF(ISNUMBER(FIND(CODES!$A$12,CM34)),CODES!$A$12,IF(OR(ISNUMBER(FIND(CODES!$A$10,CM34)),ISNUMBER(FIND(CODES!$A$11,CM34))),CODES!$A$13,IF(OR(CM34&lt;CM$39,ISNUMBER(CM34)=FALSE),CM$40,CM34))))</f>
      </c>
      <c r="CN61" s="7" t="str">
        <f>IF(ISBLANK(CN34),"NO DATA",IF(ISNUMBER(FIND(CODES!$A$12,CN34)),CODES!$A$12,IF(OR(ISNUMBER(FIND(CODES!$A$10,CN34)),ISNUMBER(FIND(CODES!$A$11,CN34))),CODES!$A$13,IF(OR(CN34&lt;CN$39,ISNUMBER(CN34)=FALSE),CN$40,CN34))))</f>
      </c>
      <c r="CO61" s="7" t="str">
        <f>IF(ISBLANK(CO34),"NO DATA",IF(ISNUMBER(FIND(CODES!$A$12,CO34)),CODES!$A$12,IF(OR(ISNUMBER(FIND(CODES!$A$10,CO34)),ISNUMBER(FIND(CODES!$A$11,CO34))),CODES!$A$13,IF(OR(CO34&lt;CO$39,ISNUMBER(CO34)=FALSE),CO$40,CO34))))</f>
      </c>
      <c r="CP61" s="7" t="str">
        <f>IF(ISBLANK(CP34),"NO DATA",IF(ISNUMBER(FIND(CODES!$A$12,CP34)),CODES!$A$12,IF(OR(ISNUMBER(FIND(CODES!$A$10,CP34)),ISNUMBER(FIND(CODES!$A$11,CP34))),CODES!$A$13,IF(OR(CP34&lt;CP$39,ISNUMBER(CP34)=FALSE),CP$40,CP34))))</f>
      </c>
      <c r="CQ61" s="7" t="str">
        <f>IF(ISBLANK(CQ34),"NO DATA",IF(ISNUMBER(FIND(CODES!$A$12,CQ34)),CODES!$A$12,IF(OR(ISNUMBER(FIND(CODES!$A$10,CQ34)),ISNUMBER(FIND(CODES!$A$11,CQ34))),CODES!$A$13,IF(OR(CQ34&lt;CQ$39,ISNUMBER(CQ34)=FALSE),CQ$40,CQ34))))</f>
      </c>
      <c r="CR61" s="7" t="str">
        <f>IF(ISBLANK(CR34),"NO DATA",IF(ISNUMBER(FIND(CODES!$A$12,CR34)),CODES!$A$12,IF(OR(ISNUMBER(FIND(CODES!$A$10,CR34)),ISNUMBER(FIND(CODES!$A$11,CR34))),CODES!$A$13,IF(OR(CR34&lt;CR$39,ISNUMBER(CR34)=FALSE),CR$40,CR34))))</f>
      </c>
      <c r="CS61" s="7" t="str">
        <f>IF(ISBLANK(CS34),"NO DATA",IF(ISNUMBER(FIND(CODES!$A$12,CS34)),CODES!$A$12,IF(OR(ISNUMBER(FIND(CODES!$A$10,CS34)),ISNUMBER(FIND(CODES!$A$11,CS34))),CODES!$A$13,IF(OR(CS34&lt;CS$39,ISNUMBER(CS34)=FALSE),CS$40,CS34))))</f>
      </c>
      <c r="CT61" s="7" t="str">
        <f>IF(ISBLANK(CT34),"NO DATA",IF(ISNUMBER(FIND(CODES!$A$12,CT34)),CODES!$A$12,IF(OR(ISNUMBER(FIND(CODES!$A$10,CT34)),ISNUMBER(FIND(CODES!$A$11,CT34))),CODES!$A$13,IF(OR(CT34&lt;CT$39,ISNUMBER(CT34)=FALSE),CT$40,CT34))))</f>
      </c>
      <c r="CU61" s="7" t="str">
        <f>IF(ISBLANK(CU34),"NO DATA",IF(ISNUMBER(FIND(CODES!$A$12,CU34)),CODES!$A$12,IF(OR(ISNUMBER(FIND(CODES!$A$10,CU34)),ISNUMBER(FIND(CODES!$A$11,CU34))),CODES!$A$13,IF(OR(CU34&lt;CU$39,ISNUMBER(CU34)=FALSE),CU$40,CU34))))</f>
      </c>
      <c r="CV61" s="7" t="str">
        <f>IF(ISBLANK(CV34),"NO DATA",IF(ISNUMBER(FIND(CODES!$A$12,CV34)),CODES!$A$12,IF(OR(ISNUMBER(FIND(CODES!$A$10,CV34)),ISNUMBER(FIND(CODES!$A$11,CV34))),CODES!$A$13,IF(OR(CV34&lt;CV$39,ISNUMBER(CV34)=FALSE),CV$40,CV34))))</f>
      </c>
      <c r="CW61" s="7" t="str">
        <f>IF(ISBLANK(CW34),"NO DATA",IF(ISNUMBER(FIND(CODES!$A$12,CW34)),CODES!$A$12,IF(OR(ISNUMBER(FIND(CODES!$A$10,CW34)),ISNUMBER(FIND(CODES!$A$11,CW34))),CODES!$A$13,IF(OR(CW34&lt;CW$39,ISNUMBER(CW34)=FALSE),CW$40,CW34))))</f>
      </c>
      <c r="CX61" s="7" t="str">
        <f>IF(ISBLANK(CX34),"NO DATA",IF(ISNUMBER(FIND(CODES!$A$12,CX34)),CODES!$A$12,IF(OR(ISNUMBER(FIND(CODES!$A$10,CX34)),ISNUMBER(FIND(CODES!$A$11,CX34))),CODES!$A$13,IF(OR(CX34&lt;CX$39,ISNUMBER(CX34)=FALSE),CX$40,CX34))))</f>
      </c>
      <c r="CY61" s="7" t="str">
        <f>IF(ISBLANK(CY34),"NO DATA",IF(ISNUMBER(FIND(CODES!$A$12,CY34)),CODES!$A$12,IF(OR(ISNUMBER(FIND(CODES!$A$10,CY34)),ISNUMBER(FIND(CODES!$A$11,CY34))),CODES!$A$13,IF(OR(CY34&lt;CY$39,ISNUMBER(CY34)=FALSE),CY$40,CY34))))</f>
      </c>
      <c r="CZ61" s="7" t="str">
        <f>IF(ISBLANK(CZ34),"NO DATA",IF(ISNUMBER(FIND(CODES!$A$12,CZ34)),CODES!$A$12,IF(OR(ISNUMBER(FIND(CODES!$A$10,CZ34)),ISNUMBER(FIND(CODES!$A$11,CZ34))),CODES!$A$13,IF(OR(CZ34&lt;CZ$39,ISNUMBER(CZ34)=FALSE),CZ$40,CZ34))))</f>
      </c>
      <c r="DA61" s="7" t="str">
        <f>IF(ISBLANK(DA34),"NO DATA",IF(ISNUMBER(FIND(CODES!$A$12,DA34)),CODES!$A$12,IF(OR(ISNUMBER(FIND(CODES!$A$10,DA34)),ISNUMBER(FIND(CODES!$A$11,DA34))),CODES!$A$13,IF(OR(DA34&lt;DA$39,ISNUMBER(DA34)=FALSE),DA$40,DA34))))</f>
      </c>
      <c r="DB61" s="7" t="str">
        <f>IF(ISBLANK(DB34),"NO DATA",IF(ISNUMBER(FIND(CODES!$A$12,DB34)),CODES!$A$12,IF(OR(ISNUMBER(FIND(CODES!$A$10,DB34)),ISNUMBER(FIND(CODES!$A$11,DB34))),CODES!$A$13,IF(OR(DB34&lt;DB$39,ISNUMBER(DB34)=FALSE),DB$40,DB34))))</f>
      </c>
      <c r="DC61" s="7" t="str">
        <f>IF(ISBLANK(DC34),"NO DATA",IF(ISNUMBER(FIND(CODES!$A$12,DC34)),CODES!$A$12,IF(OR(ISNUMBER(FIND(CODES!$A$10,DC34)),ISNUMBER(FIND(CODES!$A$11,DC34))),CODES!$A$13,IF(OR(DC34&lt;DC$39,ISNUMBER(DC34)=FALSE),DC$40,DC34))))</f>
      </c>
      <c r="DD61" s="7" t="str">
        <f>IF(ISBLANK(DD34),"NO DATA",IF(ISNUMBER(FIND(CODES!$A$12,DD34)),CODES!$A$12,IF(OR(ISNUMBER(FIND(CODES!$A$10,DD34)),ISNUMBER(FIND(CODES!$A$11,DD34))),CODES!$A$13,IF(OR(DD34&lt;DD$39,ISNUMBER(DD34)=FALSE),DD$40,DD34))))</f>
      </c>
      <c r="DE61" s="7" t="str">
        <f>IF(ISBLANK(DE34),"NO DATA",IF(ISNUMBER(FIND(CODES!$A$12,DE34)),CODES!$A$12,IF(OR(ISNUMBER(FIND(CODES!$A$10,DE34)),ISNUMBER(FIND(CODES!$A$11,DE34))),CODES!$A$13,IF(OR(DE34&lt;DE$39,ISNUMBER(DE34)=FALSE),DE$40,DE34))))</f>
      </c>
      <c r="DF61" s="7" t="str">
        <f>IF(ISBLANK(DF34),"NO DATA",IF(ISNUMBER(FIND(CODES!$A$12,DF34)),CODES!$A$12,IF(OR(ISNUMBER(FIND(CODES!$A$10,DF34)),ISNUMBER(FIND(CODES!$A$11,DF34))),CODES!$A$13,IF(OR(DF34&lt;DF$39,ISNUMBER(DF34)=FALSE),DF$40,DF34))))</f>
      </c>
      <c r="DG61" s="7" t="str">
        <f>IF(ISBLANK(DG34),"NO DATA",IF(ISNUMBER(FIND(CODES!$A$12,DG34)),CODES!$A$12,IF(OR(ISNUMBER(FIND(CODES!$A$10,DG34)),ISNUMBER(FIND(CODES!$A$11,DG34))),CODES!$A$13,IF(OR(DG34&lt;DG$39,ISNUMBER(DG34)=FALSE),DG$40,DG34))))</f>
      </c>
      <c r="DH61" s="7" t="str">
        <f>IF(ISBLANK(DH34),"NO DATA",IF(ISNUMBER(FIND(CODES!$A$12,DH34)),CODES!$A$12,IF(OR(ISNUMBER(FIND(CODES!$A$10,DH34)),ISNUMBER(FIND(CODES!$A$11,DH34))),CODES!$A$13,IF(OR(DH34&lt;DH$39,ISNUMBER(DH34)=FALSE),DH$40,DH34))))</f>
      </c>
      <c r="DI61" s="7" t="str">
        <f>IF(ISBLANK(DI34),"NO DATA",IF(ISNUMBER(FIND(CODES!$A$12,DI34)),CODES!$A$12,IF(OR(ISNUMBER(FIND(CODES!$A$10,DI34)),ISNUMBER(FIND(CODES!$A$11,DI34))),CODES!$A$13,IF(OR(DI34&lt;DI$39,ISNUMBER(DI34)=FALSE),DI$40,DI34))))</f>
      </c>
    </row>
    <row r="62" spans="1:113" x14ac:dyDescent="0.25">
      <c r="A62" s="16" t="str">
        <f t="shared" ref="A62:B65" si="3">A35</f>
      </c>
      <c r="B62" s="16" t="str">
        <f t="shared" si="3"/>
      </c>
      <c r="C62" s="7" t="str">
        <f>IF(ISBLANK(C35),"NO DATA",IF(ISNUMBER(FIND(CODES!$A$12,C35)),CODES!$A$12,IF(OR(ISNUMBER(FIND(CODES!$A$10,C35)),ISNUMBER(FIND(CODES!$A$11,C35))),CODES!$A$13,IF(OR(C35&lt;C$39,ISNUMBER(C35)=FALSE),C$40,C35))))</f>
      </c>
      <c r="D62" s="7" t="str">
        <f>IF(ISBLANK(D35),"NO DATA",IF(ISNUMBER(FIND(CODES!$A$12,D35)),CODES!$A$12,IF(OR(ISNUMBER(FIND(CODES!$A$10,D35)),ISNUMBER(FIND(CODES!$A$11,D35))),CODES!$A$13,IF(OR(D35&lt;D$39,ISNUMBER(D35)=FALSE),D$40,D35))))</f>
      </c>
      <c r="E62" s="7" t="str">
        <f>IF(ISBLANK(E35),"NO DATA",IF(ISNUMBER(FIND(CODES!$A$12,E35)),CODES!$A$12,IF(OR(ISNUMBER(FIND(CODES!$A$10,E35)),ISNUMBER(FIND(CODES!$A$11,E35))),CODES!$A$13,IF(OR(E35&lt;E$39,ISNUMBER(E35)=FALSE),E$40,E35))))</f>
      </c>
      <c r="F62" s="7" t="str">
        <f>IF(ISBLANK(F35),"NO DATA",IF(ISNUMBER(FIND(CODES!$A$12,F35)),CODES!$A$12,IF(OR(ISNUMBER(FIND(CODES!$A$10,F35)),ISNUMBER(FIND(CODES!$A$11,F35))),CODES!$A$13,IF(OR(F35&lt;F$39,ISNUMBER(F35)=FALSE),F$40,F35))))</f>
      </c>
      <c r="G62" s="7" t="str">
        <f>IF(ISBLANK(G35),"NO DATA",IF(ISNUMBER(FIND(CODES!$A$12,G35)),CODES!$A$12,IF(OR(ISNUMBER(FIND(CODES!$A$10,G35)),ISNUMBER(FIND(CODES!$A$11,G35))),CODES!$A$13,IF(OR(G35&lt;G$39,ISNUMBER(G35)=FALSE),G$40,G35))))</f>
      </c>
      <c r="H62" s="7" t="str">
        <f>IF(ISBLANK(H35),"NO DATA",IF(ISNUMBER(FIND(CODES!$A$12,H35)),CODES!$A$12,IF(OR(ISNUMBER(FIND(CODES!$A$10,H35)),ISNUMBER(FIND(CODES!$A$11,H35))),CODES!$A$13,IF(OR(H35&lt;H$39,ISNUMBER(H35)=FALSE),H$40,H35))))</f>
      </c>
      <c r="I62" s="7" t="str">
        <f>IF(ISBLANK(I35),"NO DATA",IF(ISNUMBER(FIND(CODES!$A$12,I35)),CODES!$A$12,IF(OR(ISNUMBER(FIND(CODES!$A$10,I35)),ISNUMBER(FIND(CODES!$A$11,I35))),CODES!$A$13,IF(OR(I35&lt;I$39,ISNUMBER(I35)=FALSE),I$40,I35))))</f>
      </c>
      <c r="J62" s="7" t="str">
        <f>IF(ISBLANK(J35),"NO DATA",IF(ISNUMBER(FIND(CODES!$A$12,J35)),CODES!$A$12,IF(OR(ISNUMBER(FIND(CODES!$A$10,J35)),ISNUMBER(FIND(CODES!$A$11,J35))),CODES!$A$13,IF(OR(J35&lt;J$39,ISNUMBER(J35)=FALSE),J$40,J35))))</f>
      </c>
      <c r="K62" s="7" t="str">
        <f>IF(ISBLANK(K35),"NO DATA",IF(ISNUMBER(FIND(CODES!$A$12,K35)),CODES!$A$12,IF(OR(ISNUMBER(FIND(CODES!$A$10,K35)),ISNUMBER(FIND(CODES!$A$11,K35))),CODES!$A$13,IF(OR(K35&lt;K$39,ISNUMBER(K35)=FALSE),K$40,K35))))</f>
      </c>
      <c r="L62" s="7" t="str">
        <f>IF(ISBLANK(L35),"NO DATA",IF(ISNUMBER(FIND(CODES!$A$12,L35)),CODES!$A$12,IF(OR(ISNUMBER(FIND(CODES!$A$10,L35)),ISNUMBER(FIND(CODES!$A$11,L35))),CODES!$A$13,IF(OR(L35&lt;L$39,ISNUMBER(L35)=FALSE),L$40,L35))))</f>
      </c>
      <c r="M62" s="7" t="str">
        <f>IF(ISBLANK(M35),"NO DATA",IF(ISNUMBER(FIND(CODES!$A$12,M35)),CODES!$A$12,IF(OR(ISNUMBER(FIND(CODES!$A$10,M35)),ISNUMBER(FIND(CODES!$A$11,M35))),CODES!$A$13,IF(OR(M35&lt;M$39,ISNUMBER(M35)=FALSE),M$40,M35))))</f>
      </c>
      <c r="N62" s="7" t="str">
        <f>IF(ISBLANK(N35),"NO DATA",IF(ISNUMBER(FIND(CODES!$A$12,N35)),CODES!$A$12,IF(OR(ISNUMBER(FIND(CODES!$A$10,N35)),ISNUMBER(FIND(CODES!$A$11,N35))),CODES!$A$13,IF(OR(N35&lt;N$39,ISNUMBER(N35)=FALSE),N$40,N35))))</f>
      </c>
      <c r="O62" s="7" t="str">
        <f>IF(ISBLANK(O35),"NO DATA",IF(ISNUMBER(FIND(CODES!$A$12,O35)),CODES!$A$12,IF(OR(ISNUMBER(FIND(CODES!$A$10,O35)),ISNUMBER(FIND(CODES!$A$11,O35))),CODES!$A$13,IF(OR(O35&lt;O$39,ISNUMBER(O35)=FALSE),O$40,O35))))</f>
      </c>
      <c r="P62" s="7" t="str">
        <f>IF(ISBLANK(P35),"NO DATA",IF(ISNUMBER(FIND(CODES!$A$12,P35)),CODES!$A$12,IF(OR(ISNUMBER(FIND(CODES!$A$10,P35)),ISNUMBER(FIND(CODES!$A$11,P35))),CODES!$A$13,IF(OR(P35&lt;P$39,ISNUMBER(P35)=FALSE),P$40,P35))))</f>
      </c>
      <c r="Q62" s="7" t="str">
        <f>IF(ISBLANK(Q35),"NO DATA",IF(ISNUMBER(FIND(CODES!$A$12,Q35)),CODES!$A$12,IF(OR(ISNUMBER(FIND(CODES!$A$10,Q35)),ISNUMBER(FIND(CODES!$A$11,Q35))),CODES!$A$13,IF(OR(Q35&lt;Q$39,ISNUMBER(Q35)=FALSE),Q$40,Q35))))</f>
      </c>
      <c r="R62" s="7" t="str">
        <f>IF(ISBLANK(R35),"NO DATA",IF(ISNUMBER(FIND(CODES!$A$12,R35)),CODES!$A$12,IF(OR(ISNUMBER(FIND(CODES!$A$10,R35)),ISNUMBER(FIND(CODES!$A$11,R35))),CODES!$A$13,IF(OR(R35&lt;R$39,ISNUMBER(R35)=FALSE),R$40,R35))))</f>
      </c>
      <c r="S62" s="7" t="str">
        <f>IF(ISBLANK(S35),"NO DATA",IF(ISNUMBER(FIND(CODES!$A$12,S35)),CODES!$A$12,IF(OR(ISNUMBER(FIND(CODES!$A$10,S35)),ISNUMBER(FIND(CODES!$A$11,S35))),CODES!$A$13,IF(OR(S35&lt;S$39,ISNUMBER(S35)=FALSE),S$40,S35))))</f>
      </c>
      <c r="T62" s="7" t="str">
        <f>IF(ISBLANK(T35),"NO DATA",IF(ISNUMBER(FIND(CODES!$A$12,T35)),CODES!$A$12,IF(OR(ISNUMBER(FIND(CODES!$A$10,T35)),ISNUMBER(FIND(CODES!$A$11,T35))),CODES!$A$13,IF(OR(T35&lt;T$39,ISNUMBER(T35)=FALSE),T$40,T35))))</f>
      </c>
      <c r="U62" s="7" t="str">
        <f>IF(ISBLANK(U35),"NO DATA",IF(ISNUMBER(FIND(CODES!$A$12,U35)),CODES!$A$12,IF(OR(ISNUMBER(FIND(CODES!$A$10,U35)),ISNUMBER(FIND(CODES!$A$11,U35))),CODES!$A$13,IF(OR(U35&lt;U$39,ISNUMBER(U35)=FALSE),U$40,U35))))</f>
      </c>
      <c r="V62" s="7" t="str">
        <f>IF(ISBLANK(V35),"NO DATA",IF(ISNUMBER(FIND(CODES!$A$12,V35)),CODES!$A$12,IF(OR(ISNUMBER(FIND(CODES!$A$10,V35)),ISNUMBER(FIND(CODES!$A$11,V35))),CODES!$A$13,IF(OR(V35&lt;V$39,ISNUMBER(V35)=FALSE),V$40,V35))))</f>
      </c>
      <c r="W62" s="7" t="str">
        <f>IF(ISBLANK(W35),"NO DATA",IF(ISNUMBER(FIND(CODES!$A$12,W35)),CODES!$A$12,IF(OR(ISNUMBER(FIND(CODES!$A$10,W35)),ISNUMBER(FIND(CODES!$A$11,W35))),CODES!$A$13,IF(OR(W35&lt;W$39,ISNUMBER(W35)=FALSE),W$40,W35))))</f>
      </c>
      <c r="X62" s="7" t="str">
        <f>IF(ISBLANK(X35),"NO DATA",IF(ISNUMBER(FIND(CODES!$A$12,X35)),CODES!$A$12,IF(OR(ISNUMBER(FIND(CODES!$A$10,X35)),ISNUMBER(FIND(CODES!$A$11,X35))),CODES!$A$13,IF(OR(X35&lt;X$39,ISNUMBER(X35)=FALSE),X$40,X35))))</f>
      </c>
      <c r="Y62" s="7" t="str">
        <f>IF(ISBLANK(Y35),"NO DATA",IF(ISNUMBER(FIND(CODES!$A$12,Y35)),CODES!$A$12,IF(OR(ISNUMBER(FIND(CODES!$A$10,Y35)),ISNUMBER(FIND(CODES!$A$11,Y35))),CODES!$A$13,IF(OR(Y35&lt;Y$39,ISNUMBER(Y35)=FALSE),Y$40,Y35))))</f>
      </c>
      <c r="Z62" s="7" t="str">
        <f>IF(ISBLANK(Z35),"NO DATA",IF(ISNUMBER(FIND(CODES!$A$12,Z35)),CODES!$A$12,IF(OR(ISNUMBER(FIND(CODES!$A$10,Z35)),ISNUMBER(FIND(CODES!$A$11,Z35))),CODES!$A$13,IF(OR(Z35&lt;Z$39,ISNUMBER(Z35)=FALSE),Z$40,Z35))))</f>
      </c>
      <c r="AA62" s="7" t="str">
        <f>IF(ISBLANK(AA35),"NO DATA",IF(ISNUMBER(FIND(CODES!$A$12,AA35)),CODES!$A$12,IF(OR(ISNUMBER(FIND(CODES!$A$10,AA35)),ISNUMBER(FIND(CODES!$A$11,AA35))),CODES!$A$13,IF(OR(AA35&lt;AA$39,ISNUMBER(AA35)=FALSE),AA$40,AA35))))</f>
      </c>
      <c r="AB62" s="7" t="str">
        <f>IF(ISBLANK(AB35),"NO DATA",IF(ISNUMBER(FIND(CODES!$A$12,AB35)),CODES!$A$12,IF(OR(ISNUMBER(FIND(CODES!$A$10,AB35)),ISNUMBER(FIND(CODES!$A$11,AB35))),CODES!$A$13,IF(OR(AB35&lt;AB$39,ISNUMBER(AB35)=FALSE),AB$40,AB35))))</f>
      </c>
      <c r="AC62" s="7" t="str">
        <f>IF(ISBLANK(AC35),"NO DATA",IF(ISNUMBER(FIND(CODES!$A$12,AC35)),CODES!$A$12,IF(OR(ISNUMBER(FIND(CODES!$A$10,AC35)),ISNUMBER(FIND(CODES!$A$11,AC35))),CODES!$A$13,IF(OR(AC35&lt;AC$39,ISNUMBER(AC35)=FALSE),AC$40,AC35))))</f>
      </c>
      <c r="AD62" s="7" t="str">
        <f>IF(ISBLANK(AD35),"NO DATA",IF(ISNUMBER(FIND(CODES!$A$12,AD35)),CODES!$A$12,IF(OR(ISNUMBER(FIND(CODES!$A$10,AD35)),ISNUMBER(FIND(CODES!$A$11,AD35))),CODES!$A$13,IF(OR(AD35&lt;AD$39,ISNUMBER(AD35)=FALSE),AD$40,AD35))))</f>
      </c>
      <c r="AE62" s="7" t="str">
        <f>IF(ISBLANK(AE35),"NO DATA",IF(ISNUMBER(FIND(CODES!$A$12,AE35)),CODES!$A$12,IF(OR(ISNUMBER(FIND(CODES!$A$10,AE35)),ISNUMBER(FIND(CODES!$A$11,AE35))),CODES!$A$13,IF(OR(AE35&lt;AE$39,ISNUMBER(AE35)=FALSE),AE$40,AE35))))</f>
      </c>
      <c r="AF62" s="7" t="str">
        <f>IF(ISBLANK(AF35),"NO DATA",IF(ISNUMBER(FIND(CODES!$A$12,AF35)),CODES!$A$12,IF(OR(ISNUMBER(FIND(CODES!$A$10,AF35)),ISNUMBER(FIND(CODES!$A$11,AF35))),CODES!$A$13,IF(OR(AF35&lt;AF$39,ISNUMBER(AF35)=FALSE),AF$40,AF35))))</f>
      </c>
      <c r="AG62" s="7" t="str">
        <f>IF(ISBLANK(AG35),"NO DATA",IF(ISNUMBER(FIND(CODES!$A$12,AG35)),CODES!$A$12,IF(OR(ISNUMBER(FIND(CODES!$A$10,AG35)),ISNUMBER(FIND(CODES!$A$11,AG35))),CODES!$A$13,IF(OR(AG35&lt;AG$39,ISNUMBER(AG35)=FALSE),AG$40,AG35))))</f>
      </c>
      <c r="AH62" s="7" t="str">
        <f>IF(ISBLANK(AH35),"NO DATA",IF(ISNUMBER(FIND(CODES!$A$12,AH35)),CODES!$A$12,IF(OR(ISNUMBER(FIND(CODES!$A$10,AH35)),ISNUMBER(FIND(CODES!$A$11,AH35))),CODES!$A$13,IF(OR(AH35&lt;AH$39,ISNUMBER(AH35)=FALSE),AH$40,AH35))))</f>
      </c>
      <c r="AI62" s="7" t="str">
        <f>IF(ISBLANK(AI35),"NO DATA",IF(ISNUMBER(FIND(CODES!$A$12,AI35)),CODES!$A$12,IF(OR(ISNUMBER(FIND(CODES!$A$10,AI35)),ISNUMBER(FIND(CODES!$A$11,AI35))),CODES!$A$13,IF(OR(AI35&lt;AI$39,ISNUMBER(AI35)=FALSE),AI$40,AI35))))</f>
      </c>
      <c r="AJ62" s="7" t="str">
        <f>IF(ISBLANK(AJ35),"NO DATA",IF(ISNUMBER(FIND(CODES!$A$12,AJ35)),CODES!$A$12,IF(OR(ISNUMBER(FIND(CODES!$A$10,AJ35)),ISNUMBER(FIND(CODES!$A$11,AJ35))),CODES!$A$13,IF(OR(AJ35&lt;AJ$39,ISNUMBER(AJ35)=FALSE),AJ$40,AJ35))))</f>
      </c>
      <c r="AK62" s="7" t="str">
        <f>IF(ISBLANK(AK35),"NO DATA",IF(ISNUMBER(FIND(CODES!$A$12,AK35)),CODES!$A$12,IF(OR(ISNUMBER(FIND(CODES!$A$10,AK35)),ISNUMBER(FIND(CODES!$A$11,AK35))),CODES!$A$13,IF(OR(AK35&lt;AK$39,ISNUMBER(AK35)=FALSE),AK$40,AK35))))</f>
      </c>
      <c r="AL62" s="7" t="str">
        <f>IF(ISBLANK(AL35),"NO DATA",IF(ISNUMBER(FIND(CODES!$A$12,AL35)),CODES!$A$12,IF(OR(ISNUMBER(FIND(CODES!$A$10,AL35)),ISNUMBER(FIND(CODES!$A$11,AL35))),CODES!$A$13,IF(OR(AL35&lt;AL$39,ISNUMBER(AL35)=FALSE),AL$40,AL35))))</f>
      </c>
      <c r="AM62" s="7" t="str">
        <f>IF(ISBLANK(AM35),"NO DATA",IF(ISNUMBER(FIND(CODES!$A$12,AM35)),CODES!$A$12,IF(OR(ISNUMBER(FIND(CODES!$A$10,AM35)),ISNUMBER(FIND(CODES!$A$11,AM35))),CODES!$A$13,IF(OR(AM35&lt;AM$39,ISNUMBER(AM35)=FALSE),AM$40,AM35))))</f>
      </c>
      <c r="AN62" s="7" t="str">
        <f>IF(ISBLANK(AN35),"NO DATA",IF(ISNUMBER(FIND(CODES!$A$12,AN35)),CODES!$A$12,IF(OR(ISNUMBER(FIND(CODES!$A$10,AN35)),ISNUMBER(FIND(CODES!$A$11,AN35))),CODES!$A$13,IF(OR(AN35&lt;AN$39,ISNUMBER(AN35)=FALSE),AN$40,AN35))))</f>
      </c>
      <c r="AO62" s="7" t="str">
        <f>IF(ISBLANK(AO35),"NO DATA",IF(ISNUMBER(FIND(CODES!$A$12,AO35)),CODES!$A$12,IF(OR(ISNUMBER(FIND(CODES!$A$10,AO35)),ISNUMBER(FIND(CODES!$A$11,AO35))),CODES!$A$13,IF(OR(AO35&lt;AO$39,ISNUMBER(AO35)=FALSE),AO$40,AO35))))</f>
      </c>
      <c r="AP62" s="7" t="str">
        <f>IF(ISBLANK(AP35),"NO DATA",IF(ISNUMBER(FIND(CODES!$A$12,AP35)),CODES!$A$12,IF(OR(ISNUMBER(FIND(CODES!$A$10,AP35)),ISNUMBER(FIND(CODES!$A$11,AP35))),CODES!$A$13,IF(OR(AP35&lt;AP$39,ISNUMBER(AP35)=FALSE),AP$40,AP35))))</f>
      </c>
      <c r="AQ62" s="7" t="str">
        <f>IF(ISBLANK(AQ35),"NO DATA",IF(ISNUMBER(FIND(CODES!$A$12,AQ35)),CODES!$A$12,IF(OR(ISNUMBER(FIND(CODES!$A$10,AQ35)),ISNUMBER(FIND(CODES!$A$11,AQ35))),CODES!$A$13,IF(OR(AQ35&lt;AQ$39,ISNUMBER(AQ35)=FALSE),AQ$40,AQ35))))</f>
      </c>
      <c r="AR62" s="7" t="str">
        <f>IF(ISBLANK(AR35),"NO DATA",IF(ISNUMBER(FIND(CODES!$A$12,AR35)),CODES!$A$12,IF(OR(ISNUMBER(FIND(CODES!$A$10,AR35)),ISNUMBER(FIND(CODES!$A$11,AR35))),CODES!$A$13,IF(OR(AR35&lt;AR$39,ISNUMBER(AR35)=FALSE),AR$40,AR35))))</f>
      </c>
      <c r="AS62" s="7" t="str">
        <f>IF(ISBLANK(AS35),"NO DATA",IF(ISNUMBER(FIND(CODES!$A$12,AS35)),CODES!$A$12,IF(OR(ISNUMBER(FIND(CODES!$A$10,AS35)),ISNUMBER(FIND(CODES!$A$11,AS35))),CODES!$A$13,IF(OR(AS35&lt;AS$39,ISNUMBER(AS35)=FALSE),AS$40,AS35))))</f>
      </c>
      <c r="AT62" s="7" t="str">
        <f>IF(ISBLANK(AT35),"NO DATA",IF(ISNUMBER(FIND(CODES!$A$12,AT35)),CODES!$A$12,IF(OR(ISNUMBER(FIND(CODES!$A$10,AT35)),ISNUMBER(FIND(CODES!$A$11,AT35))),CODES!$A$13,IF(OR(AT35&lt;AT$39,ISNUMBER(AT35)=FALSE),AT$40,AT35))))</f>
      </c>
      <c r="AU62" s="7" t="str">
        <f>IF(ISBLANK(AU35),"NO DATA",IF(ISNUMBER(FIND(CODES!$A$12,AU35)),CODES!$A$12,IF(OR(ISNUMBER(FIND(CODES!$A$10,AU35)),ISNUMBER(FIND(CODES!$A$11,AU35))),CODES!$A$13,IF(OR(AU35&lt;AU$39,ISNUMBER(AU35)=FALSE),AU$40,AU35))))</f>
      </c>
      <c r="AV62" s="7" t="str">
        <f>IF(ISBLANK(AV35),"NO DATA",IF(ISNUMBER(FIND(CODES!$A$12,AV35)),CODES!$A$12,IF(OR(ISNUMBER(FIND(CODES!$A$10,AV35)),ISNUMBER(FIND(CODES!$A$11,AV35))),CODES!$A$13,IF(OR(AV35&lt;AV$39,ISNUMBER(AV35)=FALSE),AV$40,AV35))))</f>
      </c>
      <c r="AW62" s="7" t="str">
        <f>IF(ISBLANK(AW35),"NO DATA",IF(ISNUMBER(FIND(CODES!$A$12,AW35)),CODES!$A$12,IF(OR(ISNUMBER(FIND(CODES!$A$10,AW35)),ISNUMBER(FIND(CODES!$A$11,AW35))),CODES!$A$13,IF(OR(AW35&lt;AW$39,ISNUMBER(AW35)=FALSE),AW$40,AW35))))</f>
      </c>
      <c r="AX62" s="7" t="str">
        <f>IF(ISBLANK(AX35),"NO DATA",IF(ISNUMBER(FIND(CODES!$A$12,AX35)),CODES!$A$12,IF(OR(ISNUMBER(FIND(CODES!$A$10,AX35)),ISNUMBER(FIND(CODES!$A$11,AX35))),CODES!$A$13,IF(OR(AX35&lt;AX$39,ISNUMBER(AX35)=FALSE),AX$40,AX35))))</f>
      </c>
      <c r="AY62" s="7" t="str">
        <f>IF(ISBLANK(AY35),"NO DATA",IF(ISNUMBER(FIND(CODES!$A$12,AY35)),CODES!$A$12,IF(OR(ISNUMBER(FIND(CODES!$A$10,AY35)),ISNUMBER(FIND(CODES!$A$11,AY35))),CODES!$A$13,IF(OR(AY35&lt;AY$39,ISNUMBER(AY35)=FALSE),AY$40,AY35))))</f>
      </c>
      <c r="AZ62" s="7" t="str">
        <f>IF(ISBLANK(AZ35),"NO DATA",IF(ISNUMBER(FIND(CODES!$A$12,AZ35)),CODES!$A$12,IF(OR(ISNUMBER(FIND(CODES!$A$10,AZ35)),ISNUMBER(FIND(CODES!$A$11,AZ35))),CODES!$A$13,IF(OR(AZ35&lt;AZ$39,ISNUMBER(AZ35)=FALSE),AZ$40,AZ35))))</f>
      </c>
      <c r="BA62" s="7" t="str">
        <f>IF(ISBLANK(BA35),"NO DATA",IF(ISNUMBER(FIND(CODES!$A$12,BA35)),CODES!$A$12,IF(OR(ISNUMBER(FIND(CODES!$A$10,BA35)),ISNUMBER(FIND(CODES!$A$11,BA35))),CODES!$A$13,IF(OR(BA35&lt;BA$39,ISNUMBER(BA35)=FALSE),BA$40,BA35))))</f>
      </c>
      <c r="BB62" s="7" t="str">
        <f>IF(ISBLANK(BB35),"NO DATA",IF(ISNUMBER(FIND(CODES!$A$12,BB35)),CODES!$A$12,IF(OR(ISNUMBER(FIND(CODES!$A$10,BB35)),ISNUMBER(FIND(CODES!$A$11,BB35))),CODES!$A$13,IF(OR(BB35&lt;BB$39,ISNUMBER(BB35)=FALSE),BB$40,BB35))))</f>
      </c>
      <c r="BC62" s="7" t="str">
        <f>IF(ISBLANK(BC35),"NO DATA",IF(ISNUMBER(FIND(CODES!$A$12,BC35)),CODES!$A$12,IF(OR(ISNUMBER(FIND(CODES!$A$10,BC35)),ISNUMBER(FIND(CODES!$A$11,BC35))),CODES!$A$13,IF(OR(BC35&lt;BC$39,ISNUMBER(BC35)=FALSE),BC$40,BC35))))</f>
      </c>
      <c r="BD62" s="7" t="str">
        <f>IF(ISBLANK(BD35),"NO DATA",IF(ISNUMBER(FIND(CODES!$A$12,BD35)),CODES!$A$12,IF(OR(ISNUMBER(FIND(CODES!$A$10,BD35)),ISNUMBER(FIND(CODES!$A$11,BD35))),CODES!$A$13,IF(OR(BD35&lt;BD$39,ISNUMBER(BD35)=FALSE),BD$40,BD35))))</f>
      </c>
      <c r="BE62" s="7" t="str">
        <f>IF(ISBLANK(BE35),"NO DATA",IF(ISNUMBER(FIND(CODES!$A$12,BE35)),CODES!$A$12,IF(OR(ISNUMBER(FIND(CODES!$A$10,BE35)),ISNUMBER(FIND(CODES!$A$11,BE35))),CODES!$A$13,IF(OR(BE35&lt;BE$39,ISNUMBER(BE35)=FALSE),BE$40,BE35))))</f>
      </c>
      <c r="BF62" s="7" t="str">
        <f>IF(ISBLANK(BF35),"NO DATA",IF(ISNUMBER(FIND(CODES!$A$12,BF35)),CODES!$A$12,IF(OR(ISNUMBER(FIND(CODES!$A$10,BF35)),ISNUMBER(FIND(CODES!$A$11,BF35))),CODES!$A$13,IF(OR(BF35&lt;BF$39,ISNUMBER(BF35)=FALSE),BF$40,BF35))))</f>
      </c>
      <c r="BG62" s="7" t="str">
        <f>IF(ISBLANK(BG35),"NO DATA",IF(ISNUMBER(FIND(CODES!$A$12,BG35)),CODES!$A$12,IF(OR(ISNUMBER(FIND(CODES!$A$10,BG35)),ISNUMBER(FIND(CODES!$A$11,BG35))),CODES!$A$13,IF(OR(BG35&lt;BG$39,ISNUMBER(BG35)=FALSE),BG$40,BG35))))</f>
      </c>
      <c r="BH62" s="7" t="str">
        <f>IF(ISBLANK(BH35),"NO DATA",IF(ISNUMBER(FIND(CODES!$A$12,BH35)),CODES!$A$12,IF(OR(ISNUMBER(FIND(CODES!$A$10,BH35)),ISNUMBER(FIND(CODES!$A$11,BH35))),CODES!$A$13,IF(OR(BH35&lt;BH$39,ISNUMBER(BH35)=FALSE),BH$40,BH35))))</f>
      </c>
      <c r="BI62" s="7" t="str">
        <f>IF(ISBLANK(BI35),"NO DATA",IF(ISNUMBER(FIND(CODES!$A$12,BI35)),CODES!$A$12,IF(OR(ISNUMBER(FIND(CODES!$A$10,BI35)),ISNUMBER(FIND(CODES!$A$11,BI35))),CODES!$A$13,IF(OR(BI35&lt;BI$39,ISNUMBER(BI35)=FALSE),BI$40,BI35))))</f>
      </c>
      <c r="BJ62" s="7" t="str">
        <f>IF(ISBLANK(BJ35),"NO DATA",IF(ISNUMBER(FIND(CODES!$A$12,BJ35)),CODES!$A$12,IF(OR(ISNUMBER(FIND(CODES!$A$10,BJ35)),ISNUMBER(FIND(CODES!$A$11,BJ35))),CODES!$A$13,IF(OR(BJ35&lt;BJ$39,ISNUMBER(BJ35)=FALSE),BJ$40,BJ35))))</f>
      </c>
      <c r="BK62" s="7" t="str">
        <f>IF(ISBLANK(BK35),"NO DATA",IF(ISNUMBER(FIND(CODES!$A$12,BK35)),CODES!$A$12,IF(OR(ISNUMBER(FIND(CODES!$A$10,BK35)),ISNUMBER(FIND(CODES!$A$11,BK35))),CODES!$A$13,IF(OR(BK35&lt;BK$39,ISNUMBER(BK35)=FALSE),BK$40,BK35))))</f>
      </c>
      <c r="BL62" s="7" t="str">
        <f>IF(ISBLANK(BL35),"NO DATA",IF(ISNUMBER(FIND(CODES!$A$12,BL35)),CODES!$A$12,IF(OR(ISNUMBER(FIND(CODES!$A$10,BL35)),ISNUMBER(FIND(CODES!$A$11,BL35))),CODES!$A$13,IF(OR(BL35&lt;BL$39,ISNUMBER(BL35)=FALSE),BL$40,BL35))))</f>
      </c>
      <c r="BM62" s="7" t="str">
        <f>IF(ISBLANK(BM35),"NO DATA",IF(ISNUMBER(FIND(CODES!$A$12,BM35)),CODES!$A$12,IF(OR(ISNUMBER(FIND(CODES!$A$10,BM35)),ISNUMBER(FIND(CODES!$A$11,BM35))),CODES!$A$13,IF(OR(BM35&lt;BM$39,ISNUMBER(BM35)=FALSE),BM$40,BM35))))</f>
      </c>
      <c r="BN62" s="7" t="str">
        <f>IF(ISBLANK(BN35),"NO DATA",IF(ISNUMBER(FIND(CODES!$A$12,BN35)),CODES!$A$12,IF(OR(ISNUMBER(FIND(CODES!$A$10,BN35)),ISNUMBER(FIND(CODES!$A$11,BN35))),CODES!$A$13,IF(OR(BN35&lt;BN$39,ISNUMBER(BN35)=FALSE),BN$40,BN35))))</f>
      </c>
      <c r="BO62" s="7" t="str">
        <f>IF(ISBLANK(BO35),"NO DATA",IF(ISNUMBER(FIND(CODES!$A$12,BO35)),CODES!$A$12,IF(OR(ISNUMBER(FIND(CODES!$A$10,BO35)),ISNUMBER(FIND(CODES!$A$11,BO35))),CODES!$A$13,IF(OR(BO35&lt;BO$39,ISNUMBER(BO35)=FALSE),BO$40,BO35))))</f>
      </c>
      <c r="BP62" s="7" t="str">
        <f>IF(ISBLANK(BP35),"NO DATA",IF(ISNUMBER(FIND(CODES!$A$12,BP35)),CODES!$A$12,IF(OR(ISNUMBER(FIND(CODES!$A$10,BP35)),ISNUMBER(FIND(CODES!$A$11,BP35))),CODES!$A$13,IF(OR(BP35&lt;BP$39,ISNUMBER(BP35)=FALSE),BP$40,BP35))))</f>
      </c>
      <c r="BQ62" s="7" t="str">
        <f>IF(ISBLANK(BQ35),"NO DATA",IF(ISNUMBER(FIND(CODES!$A$12,BQ35)),CODES!$A$12,IF(OR(ISNUMBER(FIND(CODES!$A$10,BQ35)),ISNUMBER(FIND(CODES!$A$11,BQ35))),CODES!$A$13,IF(OR(BQ35&lt;BQ$39,ISNUMBER(BQ35)=FALSE),BQ$40,BQ35))))</f>
      </c>
      <c r="BR62" s="7" t="str">
        <f>IF(ISBLANK(BR35),"NO DATA",IF(ISNUMBER(FIND(CODES!$A$12,BR35)),CODES!$A$12,IF(OR(ISNUMBER(FIND(CODES!$A$10,BR35)),ISNUMBER(FIND(CODES!$A$11,BR35))),CODES!$A$13,IF(OR(BR35&lt;BR$39,ISNUMBER(BR35)=FALSE),BR$40,BR35))))</f>
      </c>
      <c r="BS62" s="7" t="str">
        <f>IF(ISBLANK(BS35),"NO DATA",IF(ISNUMBER(FIND(CODES!$A$12,BS35)),CODES!$A$12,IF(OR(ISNUMBER(FIND(CODES!$A$10,BS35)),ISNUMBER(FIND(CODES!$A$11,BS35))),CODES!$A$13,IF(OR(BS35&lt;BS$39,ISNUMBER(BS35)=FALSE),BS$40,BS35))))</f>
      </c>
      <c r="BT62" s="7" t="str">
        <f>IF(ISBLANK(BT35),"NO DATA",IF(ISNUMBER(FIND(CODES!$A$12,BT35)),CODES!$A$12,IF(OR(ISNUMBER(FIND(CODES!$A$10,BT35)),ISNUMBER(FIND(CODES!$A$11,BT35))),CODES!$A$13,IF(OR(BT35&lt;BT$39,ISNUMBER(BT35)=FALSE),BT$40,BT35))))</f>
      </c>
      <c r="BU62" s="7" t="str">
        <f>IF(ISBLANK(BU35),"NO DATA",IF(ISNUMBER(FIND(CODES!$A$12,BU35)),CODES!$A$12,IF(OR(ISNUMBER(FIND(CODES!$A$10,BU35)),ISNUMBER(FIND(CODES!$A$11,BU35))),CODES!$A$13,IF(OR(BU35&lt;BU$39,ISNUMBER(BU35)=FALSE),BU$40,BU35))))</f>
      </c>
      <c r="BV62" s="7" t="str">
        <f>IF(ISBLANK(BV35),"NO DATA",IF(ISNUMBER(FIND(CODES!$A$12,BV35)),CODES!$A$12,IF(OR(ISNUMBER(FIND(CODES!$A$10,BV35)),ISNUMBER(FIND(CODES!$A$11,BV35))),CODES!$A$13,IF(OR(BV35&lt;BV$39,ISNUMBER(BV35)=FALSE),BV$40,BV35))))</f>
      </c>
      <c r="BW62" s="7" t="str">
        <f>IF(ISBLANK(BW35),"NO DATA",IF(ISNUMBER(FIND(CODES!$A$12,BW35)),CODES!$A$12,IF(OR(ISNUMBER(FIND(CODES!$A$10,BW35)),ISNUMBER(FIND(CODES!$A$11,BW35))),CODES!$A$13,IF(OR(BW35&lt;BW$39,ISNUMBER(BW35)=FALSE),BW$40,BW35))))</f>
      </c>
      <c r="BX62" s="7" t="str">
        <f>IF(ISBLANK(BX35),"NO DATA",IF(ISNUMBER(FIND(CODES!$A$12,BX35)),CODES!$A$12,IF(OR(ISNUMBER(FIND(CODES!$A$10,BX35)),ISNUMBER(FIND(CODES!$A$11,BX35))),CODES!$A$13,IF(OR(BX35&lt;BX$39,ISNUMBER(BX35)=FALSE),BX$40,BX35))))</f>
      </c>
      <c r="BY62" s="7" t="str">
        <f>IF(ISBLANK(BY35),"NO DATA",IF(ISNUMBER(FIND(CODES!$A$12,BY35)),CODES!$A$12,IF(OR(ISNUMBER(FIND(CODES!$A$10,BY35)),ISNUMBER(FIND(CODES!$A$11,BY35))),CODES!$A$13,IF(OR(BY35&lt;BY$39,ISNUMBER(BY35)=FALSE),BY$40,BY35))))</f>
      </c>
      <c r="BZ62" s="7" t="str">
        <f>IF(ISBLANK(BZ35),"NO DATA",IF(ISNUMBER(FIND(CODES!$A$12,BZ35)),CODES!$A$12,IF(OR(ISNUMBER(FIND(CODES!$A$10,BZ35)),ISNUMBER(FIND(CODES!$A$11,BZ35))),CODES!$A$13,IF(OR(BZ35&lt;BZ$39,ISNUMBER(BZ35)=FALSE),BZ$40,BZ35))))</f>
      </c>
      <c r="CA62" s="7" t="str">
        <f>IF(ISBLANK(CA35),"NO DATA",IF(ISNUMBER(FIND(CODES!$A$12,CA35)),CODES!$A$12,IF(OR(ISNUMBER(FIND(CODES!$A$10,CA35)),ISNUMBER(FIND(CODES!$A$11,CA35))),CODES!$A$13,IF(OR(CA35&lt;CA$39,ISNUMBER(CA35)=FALSE),CA$40,CA35))))</f>
      </c>
      <c r="CB62" s="7" t="str">
        <f>IF(ISBLANK(CB35),"NO DATA",IF(ISNUMBER(FIND(CODES!$A$12,CB35)),CODES!$A$12,IF(OR(ISNUMBER(FIND(CODES!$A$10,CB35)),ISNUMBER(FIND(CODES!$A$11,CB35))),CODES!$A$13,IF(OR(CB35&lt;CB$39,ISNUMBER(CB35)=FALSE),CB$40,CB35))))</f>
      </c>
      <c r="CC62" s="7" t="str">
        <f>IF(ISBLANK(CC35),"NO DATA",IF(ISNUMBER(FIND(CODES!$A$12,CC35)),CODES!$A$12,IF(OR(ISNUMBER(FIND(CODES!$A$10,CC35)),ISNUMBER(FIND(CODES!$A$11,CC35))),CODES!$A$13,IF(OR(CC35&lt;CC$39,ISNUMBER(CC35)=FALSE),CC$40,CC35))))</f>
      </c>
      <c r="CD62" s="7" t="str">
        <f>IF(ISBLANK(CD35),"NO DATA",IF(ISNUMBER(FIND(CODES!$A$12,CD35)),CODES!$A$12,IF(OR(ISNUMBER(FIND(CODES!$A$10,CD35)),ISNUMBER(FIND(CODES!$A$11,CD35))),CODES!$A$13,IF(OR(CD35&lt;CD$39,ISNUMBER(CD35)=FALSE),CD$40,CD35))))</f>
      </c>
      <c r="CE62" s="7" t="str">
        <f>IF(ISBLANK(CE35),"NO DATA",IF(ISNUMBER(FIND(CODES!$A$12,CE35)),CODES!$A$12,IF(OR(ISNUMBER(FIND(CODES!$A$10,CE35)),ISNUMBER(FIND(CODES!$A$11,CE35))),CODES!$A$13,IF(OR(CE35&lt;CE$39,ISNUMBER(CE35)=FALSE),CE$40,CE35))))</f>
      </c>
      <c r="CF62" s="7" t="str">
        <f>IF(ISBLANK(CF35),"NO DATA",IF(ISNUMBER(FIND(CODES!$A$12,CF35)),CODES!$A$12,IF(OR(ISNUMBER(FIND(CODES!$A$10,CF35)),ISNUMBER(FIND(CODES!$A$11,CF35))),CODES!$A$13,IF(OR(CF35&lt;CF$39,ISNUMBER(CF35)=FALSE),CF$40,CF35))))</f>
      </c>
      <c r="CG62" s="7" t="str">
        <f>IF(ISBLANK(CG35),"NO DATA",IF(ISNUMBER(FIND(CODES!$A$12,CG35)),CODES!$A$12,IF(OR(ISNUMBER(FIND(CODES!$A$10,CG35)),ISNUMBER(FIND(CODES!$A$11,CG35))),CODES!$A$13,IF(OR(CG35&lt;CG$39,ISNUMBER(CG35)=FALSE),CG$40,CG35))))</f>
      </c>
      <c r="CH62" s="7" t="str">
        <f>IF(ISBLANK(CH35),"NO DATA",IF(ISNUMBER(FIND(CODES!$A$12,CH35)),CODES!$A$12,IF(OR(ISNUMBER(FIND(CODES!$A$10,CH35)),ISNUMBER(FIND(CODES!$A$11,CH35))),CODES!$A$13,IF(OR(CH35&lt;CH$39,ISNUMBER(CH35)=FALSE),CH$40,CH35))))</f>
      </c>
      <c r="CI62" s="7" t="str">
        <f>IF(ISBLANK(CI35),"NO DATA",IF(ISNUMBER(FIND(CODES!$A$12,CI35)),CODES!$A$12,IF(OR(ISNUMBER(FIND(CODES!$A$10,CI35)),ISNUMBER(FIND(CODES!$A$11,CI35))),CODES!$A$13,IF(OR(CI35&lt;CI$39,ISNUMBER(CI35)=FALSE),CI$40,CI35))))</f>
      </c>
      <c r="CJ62" s="7" t="str">
        <f>IF(ISBLANK(CJ35),"NO DATA",IF(ISNUMBER(FIND(CODES!$A$12,CJ35)),CODES!$A$12,IF(OR(ISNUMBER(FIND(CODES!$A$10,CJ35)),ISNUMBER(FIND(CODES!$A$11,CJ35))),CODES!$A$13,IF(OR(CJ35&lt;CJ$39,ISNUMBER(CJ35)=FALSE),CJ$40,CJ35))))</f>
      </c>
      <c r="CK62" s="7" t="str">
        <f>IF(ISBLANK(CK35),"NO DATA",IF(ISNUMBER(FIND(CODES!$A$12,CK35)),CODES!$A$12,IF(OR(ISNUMBER(FIND(CODES!$A$10,CK35)),ISNUMBER(FIND(CODES!$A$11,CK35))),CODES!$A$13,IF(OR(CK35&lt;CK$39,ISNUMBER(CK35)=FALSE),CK$40,CK35))))</f>
      </c>
      <c r="CL62" s="7" t="str">
        <f>IF(ISBLANK(CL35),"NO DATA",IF(ISNUMBER(FIND(CODES!$A$12,CL35)),CODES!$A$12,IF(OR(ISNUMBER(FIND(CODES!$A$10,CL35)),ISNUMBER(FIND(CODES!$A$11,CL35))),CODES!$A$13,IF(OR(CL35&lt;CL$39,ISNUMBER(CL35)=FALSE),CL$40,CL35))))</f>
      </c>
      <c r="CM62" s="7" t="str">
        <f>IF(ISBLANK(CM35),"NO DATA",IF(ISNUMBER(FIND(CODES!$A$12,CM35)),CODES!$A$12,IF(OR(ISNUMBER(FIND(CODES!$A$10,CM35)),ISNUMBER(FIND(CODES!$A$11,CM35))),CODES!$A$13,IF(OR(CM35&lt;CM$39,ISNUMBER(CM35)=FALSE),CM$40,CM35))))</f>
      </c>
      <c r="CN62" s="7" t="str">
        <f>IF(ISBLANK(CN35),"NO DATA",IF(ISNUMBER(FIND(CODES!$A$12,CN35)),CODES!$A$12,IF(OR(ISNUMBER(FIND(CODES!$A$10,CN35)),ISNUMBER(FIND(CODES!$A$11,CN35))),CODES!$A$13,IF(OR(CN35&lt;CN$39,ISNUMBER(CN35)=FALSE),CN$40,CN35))))</f>
      </c>
      <c r="CO62" s="7" t="str">
        <f>IF(ISBLANK(CO35),"NO DATA",IF(ISNUMBER(FIND(CODES!$A$12,CO35)),CODES!$A$12,IF(OR(ISNUMBER(FIND(CODES!$A$10,CO35)),ISNUMBER(FIND(CODES!$A$11,CO35))),CODES!$A$13,IF(OR(CO35&lt;CO$39,ISNUMBER(CO35)=FALSE),CO$40,CO35))))</f>
      </c>
      <c r="CP62" s="7" t="str">
        <f>IF(ISBLANK(CP35),"NO DATA",IF(ISNUMBER(FIND(CODES!$A$12,CP35)),CODES!$A$12,IF(OR(ISNUMBER(FIND(CODES!$A$10,CP35)),ISNUMBER(FIND(CODES!$A$11,CP35))),CODES!$A$13,IF(OR(CP35&lt;CP$39,ISNUMBER(CP35)=FALSE),CP$40,CP35))))</f>
      </c>
      <c r="CQ62" s="7" t="str">
        <f>IF(ISBLANK(CQ35),"NO DATA",IF(ISNUMBER(FIND(CODES!$A$12,CQ35)),CODES!$A$12,IF(OR(ISNUMBER(FIND(CODES!$A$10,CQ35)),ISNUMBER(FIND(CODES!$A$11,CQ35))),CODES!$A$13,IF(OR(CQ35&lt;CQ$39,ISNUMBER(CQ35)=FALSE),CQ$40,CQ35))))</f>
      </c>
      <c r="CR62" s="7" t="str">
        <f>IF(ISBLANK(CR35),"NO DATA",IF(ISNUMBER(FIND(CODES!$A$12,CR35)),CODES!$A$12,IF(OR(ISNUMBER(FIND(CODES!$A$10,CR35)),ISNUMBER(FIND(CODES!$A$11,CR35))),CODES!$A$13,IF(OR(CR35&lt;CR$39,ISNUMBER(CR35)=FALSE),CR$40,CR35))))</f>
      </c>
      <c r="CS62" s="7" t="str">
        <f>IF(ISBLANK(CS35),"NO DATA",IF(ISNUMBER(FIND(CODES!$A$12,CS35)),CODES!$A$12,IF(OR(ISNUMBER(FIND(CODES!$A$10,CS35)),ISNUMBER(FIND(CODES!$A$11,CS35))),CODES!$A$13,IF(OR(CS35&lt;CS$39,ISNUMBER(CS35)=FALSE),CS$40,CS35))))</f>
      </c>
      <c r="CT62" s="7" t="str">
        <f>IF(ISBLANK(CT35),"NO DATA",IF(ISNUMBER(FIND(CODES!$A$12,CT35)),CODES!$A$12,IF(OR(ISNUMBER(FIND(CODES!$A$10,CT35)),ISNUMBER(FIND(CODES!$A$11,CT35))),CODES!$A$13,IF(OR(CT35&lt;CT$39,ISNUMBER(CT35)=FALSE),CT$40,CT35))))</f>
      </c>
      <c r="CU62" s="7" t="str">
        <f>IF(ISBLANK(CU35),"NO DATA",IF(ISNUMBER(FIND(CODES!$A$12,CU35)),CODES!$A$12,IF(OR(ISNUMBER(FIND(CODES!$A$10,CU35)),ISNUMBER(FIND(CODES!$A$11,CU35))),CODES!$A$13,IF(OR(CU35&lt;CU$39,ISNUMBER(CU35)=FALSE),CU$40,CU35))))</f>
      </c>
      <c r="CV62" s="7" t="str">
        <f>IF(ISBLANK(CV35),"NO DATA",IF(ISNUMBER(FIND(CODES!$A$12,CV35)),CODES!$A$12,IF(OR(ISNUMBER(FIND(CODES!$A$10,CV35)),ISNUMBER(FIND(CODES!$A$11,CV35))),CODES!$A$13,IF(OR(CV35&lt;CV$39,ISNUMBER(CV35)=FALSE),CV$40,CV35))))</f>
      </c>
      <c r="CW62" s="7" t="str">
        <f>IF(ISBLANK(CW35),"NO DATA",IF(ISNUMBER(FIND(CODES!$A$12,CW35)),CODES!$A$12,IF(OR(ISNUMBER(FIND(CODES!$A$10,CW35)),ISNUMBER(FIND(CODES!$A$11,CW35))),CODES!$A$13,IF(OR(CW35&lt;CW$39,ISNUMBER(CW35)=FALSE),CW$40,CW35))))</f>
      </c>
      <c r="CX62" s="7" t="str">
        <f>IF(ISBLANK(CX35),"NO DATA",IF(ISNUMBER(FIND(CODES!$A$12,CX35)),CODES!$A$12,IF(OR(ISNUMBER(FIND(CODES!$A$10,CX35)),ISNUMBER(FIND(CODES!$A$11,CX35))),CODES!$A$13,IF(OR(CX35&lt;CX$39,ISNUMBER(CX35)=FALSE),CX$40,CX35))))</f>
      </c>
      <c r="CY62" s="7" t="str">
        <f>IF(ISBLANK(CY35),"NO DATA",IF(ISNUMBER(FIND(CODES!$A$12,CY35)),CODES!$A$12,IF(OR(ISNUMBER(FIND(CODES!$A$10,CY35)),ISNUMBER(FIND(CODES!$A$11,CY35))),CODES!$A$13,IF(OR(CY35&lt;CY$39,ISNUMBER(CY35)=FALSE),CY$40,CY35))))</f>
      </c>
      <c r="CZ62" s="7" t="str">
        <f>IF(ISBLANK(CZ35),"NO DATA",IF(ISNUMBER(FIND(CODES!$A$12,CZ35)),CODES!$A$12,IF(OR(ISNUMBER(FIND(CODES!$A$10,CZ35)),ISNUMBER(FIND(CODES!$A$11,CZ35))),CODES!$A$13,IF(OR(CZ35&lt;CZ$39,ISNUMBER(CZ35)=FALSE),CZ$40,CZ35))))</f>
      </c>
      <c r="DA62" s="7" t="str">
        <f>IF(ISBLANK(DA35),"NO DATA",IF(ISNUMBER(FIND(CODES!$A$12,DA35)),CODES!$A$12,IF(OR(ISNUMBER(FIND(CODES!$A$10,DA35)),ISNUMBER(FIND(CODES!$A$11,DA35))),CODES!$A$13,IF(OR(DA35&lt;DA$39,ISNUMBER(DA35)=FALSE),DA$40,DA35))))</f>
      </c>
      <c r="DB62" s="7" t="str">
        <f>IF(ISBLANK(DB35),"NO DATA",IF(ISNUMBER(FIND(CODES!$A$12,DB35)),CODES!$A$12,IF(OR(ISNUMBER(FIND(CODES!$A$10,DB35)),ISNUMBER(FIND(CODES!$A$11,DB35))),CODES!$A$13,IF(OR(DB35&lt;DB$39,ISNUMBER(DB35)=FALSE),DB$40,DB35))))</f>
      </c>
      <c r="DC62" s="7" t="str">
        <f>IF(ISBLANK(DC35),"NO DATA",IF(ISNUMBER(FIND(CODES!$A$12,DC35)),CODES!$A$12,IF(OR(ISNUMBER(FIND(CODES!$A$10,DC35)),ISNUMBER(FIND(CODES!$A$11,DC35))),CODES!$A$13,IF(OR(DC35&lt;DC$39,ISNUMBER(DC35)=FALSE),DC$40,DC35))))</f>
      </c>
      <c r="DD62" s="7" t="str">
        <f>IF(ISBLANK(DD35),"NO DATA",IF(ISNUMBER(FIND(CODES!$A$12,DD35)),CODES!$A$12,IF(OR(ISNUMBER(FIND(CODES!$A$10,DD35)),ISNUMBER(FIND(CODES!$A$11,DD35))),CODES!$A$13,IF(OR(DD35&lt;DD$39,ISNUMBER(DD35)=FALSE),DD$40,DD35))))</f>
      </c>
      <c r="DE62" s="7" t="str">
        <f>IF(ISBLANK(DE35),"NO DATA",IF(ISNUMBER(FIND(CODES!$A$12,DE35)),CODES!$A$12,IF(OR(ISNUMBER(FIND(CODES!$A$10,DE35)),ISNUMBER(FIND(CODES!$A$11,DE35))),CODES!$A$13,IF(OR(DE35&lt;DE$39,ISNUMBER(DE35)=FALSE),DE$40,DE35))))</f>
      </c>
      <c r="DF62" s="7" t="str">
        <f>IF(ISBLANK(DF35),"NO DATA",IF(ISNUMBER(FIND(CODES!$A$12,DF35)),CODES!$A$12,IF(OR(ISNUMBER(FIND(CODES!$A$10,DF35)),ISNUMBER(FIND(CODES!$A$11,DF35))),CODES!$A$13,IF(OR(DF35&lt;DF$39,ISNUMBER(DF35)=FALSE),DF$40,DF35))))</f>
      </c>
      <c r="DG62" s="7" t="str">
        <f>IF(ISBLANK(DG35),"NO DATA",IF(ISNUMBER(FIND(CODES!$A$12,DG35)),CODES!$A$12,IF(OR(ISNUMBER(FIND(CODES!$A$10,DG35)),ISNUMBER(FIND(CODES!$A$11,DG35))),CODES!$A$13,IF(OR(DG35&lt;DG$39,ISNUMBER(DG35)=FALSE),DG$40,DG35))))</f>
      </c>
      <c r="DH62" s="7" t="str">
        <f>IF(ISBLANK(DH35),"NO DATA",IF(ISNUMBER(FIND(CODES!$A$12,DH35)),CODES!$A$12,IF(OR(ISNUMBER(FIND(CODES!$A$10,DH35)),ISNUMBER(FIND(CODES!$A$11,DH35))),CODES!$A$13,IF(OR(DH35&lt;DH$39,ISNUMBER(DH35)=FALSE),DH$40,DH35))))</f>
      </c>
      <c r="DI62" s="7" t="str">
        <f>IF(ISBLANK(DI35),"NO DATA",IF(ISNUMBER(FIND(CODES!$A$12,DI35)),CODES!$A$12,IF(OR(ISNUMBER(FIND(CODES!$A$10,DI35)),ISNUMBER(FIND(CODES!$A$11,DI35))),CODES!$A$13,IF(OR(DI35&lt;DI$39,ISNUMBER(DI35)=FALSE),DI$40,DI35))))</f>
      </c>
    </row>
    <row r="63" spans="1:113" x14ac:dyDescent="0.25">
      <c r="A63" s="16" t="str">
        <f t="shared" si="3"/>
      </c>
      <c r="B63" s="16" t="str">
        <f t="shared" si="3"/>
      </c>
      <c r="C63" s="7" t="str">
        <f>IF(ISBLANK(C36),"NO DATA",IF(ISNUMBER(FIND(CODES!$A$12,C36)),CODES!$A$12,IF(OR(ISNUMBER(FIND(CODES!$A$10,C36)),ISNUMBER(FIND(CODES!$A$11,C36))),CODES!$A$13,IF(OR(C36&lt;C$39,ISNUMBER(C36)=FALSE),C$40,C36))))</f>
      </c>
      <c r="D63" s="7" t="str">
        <f>IF(ISBLANK(D36),"NO DATA",IF(ISNUMBER(FIND(CODES!$A$12,D36)),CODES!$A$12,IF(OR(ISNUMBER(FIND(CODES!$A$10,D36)),ISNUMBER(FIND(CODES!$A$11,D36))),CODES!$A$13,IF(OR(D36&lt;D$39,ISNUMBER(D36)=FALSE),D$40,D36))))</f>
      </c>
      <c r="E63" s="7" t="str">
        <f>IF(ISBLANK(E36),"NO DATA",IF(ISNUMBER(FIND(CODES!$A$12,E36)),CODES!$A$12,IF(OR(ISNUMBER(FIND(CODES!$A$10,E36)),ISNUMBER(FIND(CODES!$A$11,E36))),CODES!$A$13,IF(OR(E36&lt;E$39,ISNUMBER(E36)=FALSE),E$40,E36))))</f>
      </c>
      <c r="F63" s="7" t="str">
        <f>IF(ISBLANK(F36),"NO DATA",IF(ISNUMBER(FIND(CODES!$A$12,F36)),CODES!$A$12,IF(OR(ISNUMBER(FIND(CODES!$A$10,F36)),ISNUMBER(FIND(CODES!$A$11,F36))),CODES!$A$13,IF(OR(F36&lt;F$39,ISNUMBER(F36)=FALSE),F$40,F36))))</f>
      </c>
      <c r="G63" s="7" t="str">
        <f>IF(ISBLANK(G36),"NO DATA",IF(ISNUMBER(FIND(CODES!$A$12,G36)),CODES!$A$12,IF(OR(ISNUMBER(FIND(CODES!$A$10,G36)),ISNUMBER(FIND(CODES!$A$11,G36))),CODES!$A$13,IF(OR(G36&lt;G$39,ISNUMBER(G36)=FALSE),G$40,G36))))</f>
      </c>
      <c r="H63" s="7" t="str">
        <f>IF(ISBLANK(H36),"NO DATA",IF(ISNUMBER(FIND(CODES!$A$12,H36)),CODES!$A$12,IF(OR(ISNUMBER(FIND(CODES!$A$10,H36)),ISNUMBER(FIND(CODES!$A$11,H36))),CODES!$A$13,IF(OR(H36&lt;H$39,ISNUMBER(H36)=FALSE),H$40,H36))))</f>
      </c>
      <c r="I63" s="7" t="str">
        <f>IF(ISBLANK(I36),"NO DATA",IF(ISNUMBER(FIND(CODES!$A$12,I36)),CODES!$A$12,IF(OR(ISNUMBER(FIND(CODES!$A$10,I36)),ISNUMBER(FIND(CODES!$A$11,I36))),CODES!$A$13,IF(OR(I36&lt;I$39,ISNUMBER(I36)=FALSE),I$40,I36))))</f>
      </c>
      <c r="J63" s="7" t="str">
        <f>IF(ISBLANK(J36),"NO DATA",IF(ISNUMBER(FIND(CODES!$A$12,J36)),CODES!$A$12,IF(OR(ISNUMBER(FIND(CODES!$A$10,J36)),ISNUMBER(FIND(CODES!$A$11,J36))),CODES!$A$13,IF(OR(J36&lt;J$39,ISNUMBER(J36)=FALSE),J$40,J36))))</f>
      </c>
      <c r="K63" s="7" t="str">
        <f>IF(ISBLANK(K36),"NO DATA",IF(ISNUMBER(FIND(CODES!$A$12,K36)),CODES!$A$12,IF(OR(ISNUMBER(FIND(CODES!$A$10,K36)),ISNUMBER(FIND(CODES!$A$11,K36))),CODES!$A$13,IF(OR(K36&lt;K$39,ISNUMBER(K36)=FALSE),K$40,K36))))</f>
      </c>
      <c r="L63" s="7" t="str">
        <f>IF(ISBLANK(L36),"NO DATA",IF(ISNUMBER(FIND(CODES!$A$12,L36)),CODES!$A$12,IF(OR(ISNUMBER(FIND(CODES!$A$10,L36)),ISNUMBER(FIND(CODES!$A$11,L36))),CODES!$A$13,IF(OR(L36&lt;L$39,ISNUMBER(L36)=FALSE),L$40,L36))))</f>
      </c>
      <c r="M63" s="7" t="str">
        <f>IF(ISBLANK(M36),"NO DATA",IF(ISNUMBER(FIND(CODES!$A$12,M36)),CODES!$A$12,IF(OR(ISNUMBER(FIND(CODES!$A$10,M36)),ISNUMBER(FIND(CODES!$A$11,M36))),CODES!$A$13,IF(OR(M36&lt;M$39,ISNUMBER(M36)=FALSE),M$40,M36))))</f>
      </c>
      <c r="N63" s="7" t="str">
        <f>IF(ISBLANK(N36),"NO DATA",IF(ISNUMBER(FIND(CODES!$A$12,N36)),CODES!$A$12,IF(OR(ISNUMBER(FIND(CODES!$A$10,N36)),ISNUMBER(FIND(CODES!$A$11,N36))),CODES!$A$13,IF(OR(N36&lt;N$39,ISNUMBER(N36)=FALSE),N$40,N36))))</f>
      </c>
      <c r="O63" s="7" t="str">
        <f>IF(ISBLANK(O36),"NO DATA",IF(ISNUMBER(FIND(CODES!$A$12,O36)),CODES!$A$12,IF(OR(ISNUMBER(FIND(CODES!$A$10,O36)),ISNUMBER(FIND(CODES!$A$11,O36))),CODES!$A$13,IF(OR(O36&lt;O$39,ISNUMBER(O36)=FALSE),O$40,O36))))</f>
      </c>
      <c r="P63" s="7" t="str">
        <f>IF(ISBLANK(P36),"NO DATA",IF(ISNUMBER(FIND(CODES!$A$12,P36)),CODES!$A$12,IF(OR(ISNUMBER(FIND(CODES!$A$10,P36)),ISNUMBER(FIND(CODES!$A$11,P36))),CODES!$A$13,IF(OR(P36&lt;P$39,ISNUMBER(P36)=FALSE),P$40,P36))))</f>
      </c>
      <c r="Q63" s="7" t="str">
        <f>IF(ISBLANK(Q36),"NO DATA",IF(ISNUMBER(FIND(CODES!$A$12,Q36)),CODES!$A$12,IF(OR(ISNUMBER(FIND(CODES!$A$10,Q36)),ISNUMBER(FIND(CODES!$A$11,Q36))),CODES!$A$13,IF(OR(Q36&lt;Q$39,ISNUMBER(Q36)=FALSE),Q$40,Q36))))</f>
      </c>
      <c r="R63" s="7" t="str">
        <f>IF(ISBLANK(R36),"NO DATA",IF(ISNUMBER(FIND(CODES!$A$12,R36)),CODES!$A$12,IF(OR(ISNUMBER(FIND(CODES!$A$10,R36)),ISNUMBER(FIND(CODES!$A$11,R36))),CODES!$A$13,IF(OR(R36&lt;R$39,ISNUMBER(R36)=FALSE),R$40,R36))))</f>
      </c>
      <c r="S63" s="7" t="str">
        <f>IF(ISBLANK(S36),"NO DATA",IF(ISNUMBER(FIND(CODES!$A$12,S36)),CODES!$A$12,IF(OR(ISNUMBER(FIND(CODES!$A$10,S36)),ISNUMBER(FIND(CODES!$A$11,S36))),CODES!$A$13,IF(OR(S36&lt;S$39,ISNUMBER(S36)=FALSE),S$40,S36))))</f>
      </c>
      <c r="T63" s="7" t="str">
        <f>IF(ISBLANK(T36),"NO DATA",IF(ISNUMBER(FIND(CODES!$A$12,T36)),CODES!$A$12,IF(OR(ISNUMBER(FIND(CODES!$A$10,T36)),ISNUMBER(FIND(CODES!$A$11,T36))),CODES!$A$13,IF(OR(T36&lt;T$39,ISNUMBER(T36)=FALSE),T$40,T36))))</f>
      </c>
      <c r="U63" s="7" t="str">
        <f>IF(ISBLANK(U36),"NO DATA",IF(ISNUMBER(FIND(CODES!$A$12,U36)),CODES!$A$12,IF(OR(ISNUMBER(FIND(CODES!$A$10,U36)),ISNUMBER(FIND(CODES!$A$11,U36))),CODES!$A$13,IF(OR(U36&lt;U$39,ISNUMBER(U36)=FALSE),U$40,U36))))</f>
      </c>
      <c r="V63" s="7" t="str">
        <f>IF(ISBLANK(V36),"NO DATA",IF(ISNUMBER(FIND(CODES!$A$12,V36)),CODES!$A$12,IF(OR(ISNUMBER(FIND(CODES!$A$10,V36)),ISNUMBER(FIND(CODES!$A$11,V36))),CODES!$A$13,IF(OR(V36&lt;V$39,ISNUMBER(V36)=FALSE),V$40,V36))))</f>
      </c>
      <c r="W63" s="7" t="str">
        <f>IF(ISBLANK(W36),"NO DATA",IF(ISNUMBER(FIND(CODES!$A$12,W36)),CODES!$A$12,IF(OR(ISNUMBER(FIND(CODES!$A$10,W36)),ISNUMBER(FIND(CODES!$A$11,W36))),CODES!$A$13,IF(OR(W36&lt;W$39,ISNUMBER(W36)=FALSE),W$40,W36))))</f>
      </c>
      <c r="X63" s="7" t="str">
        <f>IF(ISBLANK(X36),"NO DATA",IF(ISNUMBER(FIND(CODES!$A$12,X36)),CODES!$A$12,IF(OR(ISNUMBER(FIND(CODES!$A$10,X36)),ISNUMBER(FIND(CODES!$A$11,X36))),CODES!$A$13,IF(OR(X36&lt;X$39,ISNUMBER(X36)=FALSE),X$40,X36))))</f>
      </c>
      <c r="Y63" s="7" t="str">
        <f>IF(ISBLANK(Y36),"NO DATA",IF(ISNUMBER(FIND(CODES!$A$12,Y36)),CODES!$A$12,IF(OR(ISNUMBER(FIND(CODES!$A$10,Y36)),ISNUMBER(FIND(CODES!$A$11,Y36))),CODES!$A$13,IF(OR(Y36&lt;Y$39,ISNUMBER(Y36)=FALSE),Y$40,Y36))))</f>
      </c>
      <c r="Z63" s="7" t="str">
        <f>IF(ISBLANK(Z36),"NO DATA",IF(ISNUMBER(FIND(CODES!$A$12,Z36)),CODES!$A$12,IF(OR(ISNUMBER(FIND(CODES!$A$10,Z36)),ISNUMBER(FIND(CODES!$A$11,Z36))),CODES!$A$13,IF(OR(Z36&lt;Z$39,ISNUMBER(Z36)=FALSE),Z$40,Z36))))</f>
      </c>
      <c r="AA63" s="7" t="str">
        <f>IF(ISBLANK(AA36),"NO DATA",IF(ISNUMBER(FIND(CODES!$A$12,AA36)),CODES!$A$12,IF(OR(ISNUMBER(FIND(CODES!$A$10,AA36)),ISNUMBER(FIND(CODES!$A$11,AA36))),CODES!$A$13,IF(OR(AA36&lt;AA$39,ISNUMBER(AA36)=FALSE),AA$40,AA36))))</f>
      </c>
      <c r="AB63" s="7" t="str">
        <f>IF(ISBLANK(AB36),"NO DATA",IF(ISNUMBER(FIND(CODES!$A$12,AB36)),CODES!$A$12,IF(OR(ISNUMBER(FIND(CODES!$A$10,AB36)),ISNUMBER(FIND(CODES!$A$11,AB36))),CODES!$A$13,IF(OR(AB36&lt;AB$39,ISNUMBER(AB36)=FALSE),AB$40,AB36))))</f>
      </c>
      <c r="AC63" s="7" t="str">
        <f>IF(ISBLANK(AC36),"NO DATA",IF(ISNUMBER(FIND(CODES!$A$12,AC36)),CODES!$A$12,IF(OR(ISNUMBER(FIND(CODES!$A$10,AC36)),ISNUMBER(FIND(CODES!$A$11,AC36))),CODES!$A$13,IF(OR(AC36&lt;AC$39,ISNUMBER(AC36)=FALSE),AC$40,AC36))))</f>
      </c>
      <c r="AD63" s="7" t="str">
        <f>IF(ISBLANK(AD36),"NO DATA",IF(ISNUMBER(FIND(CODES!$A$12,AD36)),CODES!$A$12,IF(OR(ISNUMBER(FIND(CODES!$A$10,AD36)),ISNUMBER(FIND(CODES!$A$11,AD36))),CODES!$A$13,IF(OR(AD36&lt;AD$39,ISNUMBER(AD36)=FALSE),AD$40,AD36))))</f>
      </c>
      <c r="AE63" s="7" t="str">
        <f>IF(ISBLANK(AE36),"NO DATA",IF(ISNUMBER(FIND(CODES!$A$12,AE36)),CODES!$A$12,IF(OR(ISNUMBER(FIND(CODES!$A$10,AE36)),ISNUMBER(FIND(CODES!$A$11,AE36))),CODES!$A$13,IF(OR(AE36&lt;AE$39,ISNUMBER(AE36)=FALSE),AE$40,AE36))))</f>
      </c>
      <c r="AF63" s="7" t="str">
        <f>IF(ISBLANK(AF36),"NO DATA",IF(ISNUMBER(FIND(CODES!$A$12,AF36)),CODES!$A$12,IF(OR(ISNUMBER(FIND(CODES!$A$10,AF36)),ISNUMBER(FIND(CODES!$A$11,AF36))),CODES!$A$13,IF(OR(AF36&lt;AF$39,ISNUMBER(AF36)=FALSE),AF$40,AF36))))</f>
      </c>
      <c r="AG63" s="7" t="str">
        <f>IF(ISBLANK(AG36),"NO DATA",IF(ISNUMBER(FIND(CODES!$A$12,AG36)),CODES!$A$12,IF(OR(ISNUMBER(FIND(CODES!$A$10,AG36)),ISNUMBER(FIND(CODES!$A$11,AG36))),CODES!$A$13,IF(OR(AG36&lt;AG$39,ISNUMBER(AG36)=FALSE),AG$40,AG36))))</f>
      </c>
      <c r="AH63" s="7" t="str">
        <f>IF(ISBLANK(AH36),"NO DATA",IF(ISNUMBER(FIND(CODES!$A$12,AH36)),CODES!$A$12,IF(OR(ISNUMBER(FIND(CODES!$A$10,AH36)),ISNUMBER(FIND(CODES!$A$11,AH36))),CODES!$A$13,IF(OR(AH36&lt;AH$39,ISNUMBER(AH36)=FALSE),AH$40,AH36))))</f>
      </c>
      <c r="AI63" s="7" t="str">
        <f>IF(ISBLANK(AI36),"NO DATA",IF(ISNUMBER(FIND(CODES!$A$12,AI36)),CODES!$A$12,IF(OR(ISNUMBER(FIND(CODES!$A$10,AI36)),ISNUMBER(FIND(CODES!$A$11,AI36))),CODES!$A$13,IF(OR(AI36&lt;AI$39,ISNUMBER(AI36)=FALSE),AI$40,AI36))))</f>
      </c>
      <c r="AJ63" s="7" t="str">
        <f>IF(ISBLANK(AJ36),"NO DATA",IF(ISNUMBER(FIND(CODES!$A$12,AJ36)),CODES!$A$12,IF(OR(ISNUMBER(FIND(CODES!$A$10,AJ36)),ISNUMBER(FIND(CODES!$A$11,AJ36))),CODES!$A$13,IF(OR(AJ36&lt;AJ$39,ISNUMBER(AJ36)=FALSE),AJ$40,AJ36))))</f>
      </c>
      <c r="AK63" s="7" t="str">
        <f>IF(ISBLANK(AK36),"NO DATA",IF(ISNUMBER(FIND(CODES!$A$12,AK36)),CODES!$A$12,IF(OR(ISNUMBER(FIND(CODES!$A$10,AK36)),ISNUMBER(FIND(CODES!$A$11,AK36))),CODES!$A$13,IF(OR(AK36&lt;AK$39,ISNUMBER(AK36)=FALSE),AK$40,AK36))))</f>
      </c>
      <c r="AL63" s="7" t="str">
        <f>IF(ISBLANK(AL36),"NO DATA",IF(ISNUMBER(FIND(CODES!$A$12,AL36)),CODES!$A$12,IF(OR(ISNUMBER(FIND(CODES!$A$10,AL36)),ISNUMBER(FIND(CODES!$A$11,AL36))),CODES!$A$13,IF(OR(AL36&lt;AL$39,ISNUMBER(AL36)=FALSE),AL$40,AL36))))</f>
      </c>
      <c r="AM63" s="7" t="str">
        <f>IF(ISBLANK(AM36),"NO DATA",IF(ISNUMBER(FIND(CODES!$A$12,AM36)),CODES!$A$12,IF(OR(ISNUMBER(FIND(CODES!$A$10,AM36)),ISNUMBER(FIND(CODES!$A$11,AM36))),CODES!$A$13,IF(OR(AM36&lt;AM$39,ISNUMBER(AM36)=FALSE),AM$40,AM36))))</f>
      </c>
      <c r="AN63" s="7" t="str">
        <f>IF(ISBLANK(AN36),"NO DATA",IF(ISNUMBER(FIND(CODES!$A$12,AN36)),CODES!$A$12,IF(OR(ISNUMBER(FIND(CODES!$A$10,AN36)),ISNUMBER(FIND(CODES!$A$11,AN36))),CODES!$A$13,IF(OR(AN36&lt;AN$39,ISNUMBER(AN36)=FALSE),AN$40,AN36))))</f>
      </c>
      <c r="AO63" s="7" t="str">
        <f>IF(ISBLANK(AO36),"NO DATA",IF(ISNUMBER(FIND(CODES!$A$12,AO36)),CODES!$A$12,IF(OR(ISNUMBER(FIND(CODES!$A$10,AO36)),ISNUMBER(FIND(CODES!$A$11,AO36))),CODES!$A$13,IF(OR(AO36&lt;AO$39,ISNUMBER(AO36)=FALSE),AO$40,AO36))))</f>
      </c>
      <c r="AP63" s="7" t="str">
        <f>IF(ISBLANK(AP36),"NO DATA",IF(ISNUMBER(FIND(CODES!$A$12,AP36)),CODES!$A$12,IF(OR(ISNUMBER(FIND(CODES!$A$10,AP36)),ISNUMBER(FIND(CODES!$A$11,AP36))),CODES!$A$13,IF(OR(AP36&lt;AP$39,ISNUMBER(AP36)=FALSE),AP$40,AP36))))</f>
      </c>
      <c r="AQ63" s="7" t="str">
        <f>IF(ISBLANK(AQ36),"NO DATA",IF(ISNUMBER(FIND(CODES!$A$12,AQ36)),CODES!$A$12,IF(OR(ISNUMBER(FIND(CODES!$A$10,AQ36)),ISNUMBER(FIND(CODES!$A$11,AQ36))),CODES!$A$13,IF(OR(AQ36&lt;AQ$39,ISNUMBER(AQ36)=FALSE),AQ$40,AQ36))))</f>
      </c>
      <c r="AR63" s="7" t="str">
        <f>IF(ISBLANK(AR36),"NO DATA",IF(ISNUMBER(FIND(CODES!$A$12,AR36)),CODES!$A$12,IF(OR(ISNUMBER(FIND(CODES!$A$10,AR36)),ISNUMBER(FIND(CODES!$A$11,AR36))),CODES!$A$13,IF(OR(AR36&lt;AR$39,ISNUMBER(AR36)=FALSE),AR$40,AR36))))</f>
      </c>
      <c r="AS63" s="7" t="str">
        <f>IF(ISBLANK(AS36),"NO DATA",IF(ISNUMBER(FIND(CODES!$A$12,AS36)),CODES!$A$12,IF(OR(ISNUMBER(FIND(CODES!$A$10,AS36)),ISNUMBER(FIND(CODES!$A$11,AS36))),CODES!$A$13,IF(OR(AS36&lt;AS$39,ISNUMBER(AS36)=FALSE),AS$40,AS36))))</f>
      </c>
      <c r="AT63" s="7" t="str">
        <f>IF(ISBLANK(AT36),"NO DATA",IF(ISNUMBER(FIND(CODES!$A$12,AT36)),CODES!$A$12,IF(OR(ISNUMBER(FIND(CODES!$A$10,AT36)),ISNUMBER(FIND(CODES!$A$11,AT36))),CODES!$A$13,IF(OR(AT36&lt;AT$39,ISNUMBER(AT36)=FALSE),AT$40,AT36))))</f>
      </c>
      <c r="AU63" s="7" t="str">
        <f>IF(ISBLANK(AU36),"NO DATA",IF(ISNUMBER(FIND(CODES!$A$12,AU36)),CODES!$A$12,IF(OR(ISNUMBER(FIND(CODES!$A$10,AU36)),ISNUMBER(FIND(CODES!$A$11,AU36))),CODES!$A$13,IF(OR(AU36&lt;AU$39,ISNUMBER(AU36)=FALSE),AU$40,AU36))))</f>
      </c>
      <c r="AV63" s="7" t="str">
        <f>IF(ISBLANK(AV36),"NO DATA",IF(ISNUMBER(FIND(CODES!$A$12,AV36)),CODES!$A$12,IF(OR(ISNUMBER(FIND(CODES!$A$10,AV36)),ISNUMBER(FIND(CODES!$A$11,AV36))),CODES!$A$13,IF(OR(AV36&lt;AV$39,ISNUMBER(AV36)=FALSE),AV$40,AV36))))</f>
      </c>
      <c r="AW63" s="7" t="str">
        <f>IF(ISBLANK(AW36),"NO DATA",IF(ISNUMBER(FIND(CODES!$A$12,AW36)),CODES!$A$12,IF(OR(ISNUMBER(FIND(CODES!$A$10,AW36)),ISNUMBER(FIND(CODES!$A$11,AW36))),CODES!$A$13,IF(OR(AW36&lt;AW$39,ISNUMBER(AW36)=FALSE),AW$40,AW36))))</f>
      </c>
      <c r="AX63" s="7" t="str">
        <f>IF(ISBLANK(AX36),"NO DATA",IF(ISNUMBER(FIND(CODES!$A$12,AX36)),CODES!$A$12,IF(OR(ISNUMBER(FIND(CODES!$A$10,AX36)),ISNUMBER(FIND(CODES!$A$11,AX36))),CODES!$A$13,IF(OR(AX36&lt;AX$39,ISNUMBER(AX36)=FALSE),AX$40,AX36))))</f>
      </c>
      <c r="AY63" s="7" t="str">
        <f>IF(ISBLANK(AY36),"NO DATA",IF(ISNUMBER(FIND(CODES!$A$12,AY36)),CODES!$A$12,IF(OR(ISNUMBER(FIND(CODES!$A$10,AY36)),ISNUMBER(FIND(CODES!$A$11,AY36))),CODES!$A$13,IF(OR(AY36&lt;AY$39,ISNUMBER(AY36)=FALSE),AY$40,AY36))))</f>
      </c>
      <c r="AZ63" s="7" t="str">
        <f>IF(ISBLANK(AZ36),"NO DATA",IF(ISNUMBER(FIND(CODES!$A$12,AZ36)),CODES!$A$12,IF(OR(ISNUMBER(FIND(CODES!$A$10,AZ36)),ISNUMBER(FIND(CODES!$A$11,AZ36))),CODES!$A$13,IF(OR(AZ36&lt;AZ$39,ISNUMBER(AZ36)=FALSE),AZ$40,AZ36))))</f>
      </c>
      <c r="BA63" s="7" t="str">
        <f>IF(ISBLANK(BA36),"NO DATA",IF(ISNUMBER(FIND(CODES!$A$12,BA36)),CODES!$A$12,IF(OR(ISNUMBER(FIND(CODES!$A$10,BA36)),ISNUMBER(FIND(CODES!$A$11,BA36))),CODES!$A$13,IF(OR(BA36&lt;BA$39,ISNUMBER(BA36)=FALSE),BA$40,BA36))))</f>
      </c>
      <c r="BB63" s="7" t="str">
        <f>IF(ISBLANK(BB36),"NO DATA",IF(ISNUMBER(FIND(CODES!$A$12,BB36)),CODES!$A$12,IF(OR(ISNUMBER(FIND(CODES!$A$10,BB36)),ISNUMBER(FIND(CODES!$A$11,BB36))),CODES!$A$13,IF(OR(BB36&lt;BB$39,ISNUMBER(BB36)=FALSE),BB$40,BB36))))</f>
      </c>
      <c r="BC63" s="7" t="str">
        <f>IF(ISBLANK(BC36),"NO DATA",IF(ISNUMBER(FIND(CODES!$A$12,BC36)),CODES!$A$12,IF(OR(ISNUMBER(FIND(CODES!$A$10,BC36)),ISNUMBER(FIND(CODES!$A$11,BC36))),CODES!$A$13,IF(OR(BC36&lt;BC$39,ISNUMBER(BC36)=FALSE),BC$40,BC36))))</f>
      </c>
      <c r="BD63" s="7" t="str">
        <f>IF(ISBLANK(BD36),"NO DATA",IF(ISNUMBER(FIND(CODES!$A$12,BD36)),CODES!$A$12,IF(OR(ISNUMBER(FIND(CODES!$A$10,BD36)),ISNUMBER(FIND(CODES!$A$11,BD36))),CODES!$A$13,IF(OR(BD36&lt;BD$39,ISNUMBER(BD36)=FALSE),BD$40,BD36))))</f>
      </c>
      <c r="BE63" s="7" t="str">
        <f>IF(ISBLANK(BE36),"NO DATA",IF(ISNUMBER(FIND(CODES!$A$12,BE36)),CODES!$A$12,IF(OR(ISNUMBER(FIND(CODES!$A$10,BE36)),ISNUMBER(FIND(CODES!$A$11,BE36))),CODES!$A$13,IF(OR(BE36&lt;BE$39,ISNUMBER(BE36)=FALSE),BE$40,BE36))))</f>
      </c>
      <c r="BF63" s="7" t="str">
        <f>IF(ISBLANK(BF36),"NO DATA",IF(ISNUMBER(FIND(CODES!$A$12,BF36)),CODES!$A$12,IF(OR(ISNUMBER(FIND(CODES!$A$10,BF36)),ISNUMBER(FIND(CODES!$A$11,BF36))),CODES!$A$13,IF(OR(BF36&lt;BF$39,ISNUMBER(BF36)=FALSE),BF$40,BF36))))</f>
      </c>
      <c r="BG63" s="7" t="str">
        <f>IF(ISBLANK(BG36),"NO DATA",IF(ISNUMBER(FIND(CODES!$A$12,BG36)),CODES!$A$12,IF(OR(ISNUMBER(FIND(CODES!$A$10,BG36)),ISNUMBER(FIND(CODES!$A$11,BG36))),CODES!$A$13,IF(OR(BG36&lt;BG$39,ISNUMBER(BG36)=FALSE),BG$40,BG36))))</f>
      </c>
      <c r="BH63" s="7" t="str">
        <f>IF(ISBLANK(BH36),"NO DATA",IF(ISNUMBER(FIND(CODES!$A$12,BH36)),CODES!$A$12,IF(OR(ISNUMBER(FIND(CODES!$A$10,BH36)),ISNUMBER(FIND(CODES!$A$11,BH36))),CODES!$A$13,IF(OR(BH36&lt;BH$39,ISNUMBER(BH36)=FALSE),BH$40,BH36))))</f>
      </c>
      <c r="BI63" s="7" t="str">
        <f>IF(ISBLANK(BI36),"NO DATA",IF(ISNUMBER(FIND(CODES!$A$12,BI36)),CODES!$A$12,IF(OR(ISNUMBER(FIND(CODES!$A$10,BI36)),ISNUMBER(FIND(CODES!$A$11,BI36))),CODES!$A$13,IF(OR(BI36&lt;BI$39,ISNUMBER(BI36)=FALSE),BI$40,BI36))))</f>
      </c>
      <c r="BJ63" s="7" t="str">
        <f>IF(ISBLANK(BJ36),"NO DATA",IF(ISNUMBER(FIND(CODES!$A$12,BJ36)),CODES!$A$12,IF(OR(ISNUMBER(FIND(CODES!$A$10,BJ36)),ISNUMBER(FIND(CODES!$A$11,BJ36))),CODES!$A$13,IF(OR(BJ36&lt;BJ$39,ISNUMBER(BJ36)=FALSE),BJ$40,BJ36))))</f>
      </c>
      <c r="BK63" s="7" t="str">
        <f>IF(ISBLANK(BK36),"NO DATA",IF(ISNUMBER(FIND(CODES!$A$12,BK36)),CODES!$A$12,IF(OR(ISNUMBER(FIND(CODES!$A$10,BK36)),ISNUMBER(FIND(CODES!$A$11,BK36))),CODES!$A$13,IF(OR(BK36&lt;BK$39,ISNUMBER(BK36)=FALSE),BK$40,BK36))))</f>
      </c>
      <c r="BL63" s="7" t="str">
        <f>IF(ISBLANK(BL36),"NO DATA",IF(ISNUMBER(FIND(CODES!$A$12,BL36)),CODES!$A$12,IF(OR(ISNUMBER(FIND(CODES!$A$10,BL36)),ISNUMBER(FIND(CODES!$A$11,BL36))),CODES!$A$13,IF(OR(BL36&lt;BL$39,ISNUMBER(BL36)=FALSE),BL$40,BL36))))</f>
      </c>
      <c r="BM63" s="7" t="str">
        <f>IF(ISBLANK(BM36),"NO DATA",IF(ISNUMBER(FIND(CODES!$A$12,BM36)),CODES!$A$12,IF(OR(ISNUMBER(FIND(CODES!$A$10,BM36)),ISNUMBER(FIND(CODES!$A$11,BM36))),CODES!$A$13,IF(OR(BM36&lt;BM$39,ISNUMBER(BM36)=FALSE),BM$40,BM36))))</f>
      </c>
      <c r="BN63" s="7" t="str">
        <f>IF(ISBLANK(BN36),"NO DATA",IF(ISNUMBER(FIND(CODES!$A$12,BN36)),CODES!$A$12,IF(OR(ISNUMBER(FIND(CODES!$A$10,BN36)),ISNUMBER(FIND(CODES!$A$11,BN36))),CODES!$A$13,IF(OR(BN36&lt;BN$39,ISNUMBER(BN36)=FALSE),BN$40,BN36))))</f>
      </c>
      <c r="BO63" s="7" t="str">
        <f>IF(ISBLANK(BO36),"NO DATA",IF(ISNUMBER(FIND(CODES!$A$12,BO36)),CODES!$A$12,IF(OR(ISNUMBER(FIND(CODES!$A$10,BO36)),ISNUMBER(FIND(CODES!$A$11,BO36))),CODES!$A$13,IF(OR(BO36&lt;BO$39,ISNUMBER(BO36)=FALSE),BO$40,BO36))))</f>
      </c>
      <c r="BP63" s="7" t="str">
        <f>IF(ISBLANK(BP36),"NO DATA",IF(ISNUMBER(FIND(CODES!$A$12,BP36)),CODES!$A$12,IF(OR(ISNUMBER(FIND(CODES!$A$10,BP36)),ISNUMBER(FIND(CODES!$A$11,BP36))),CODES!$A$13,IF(OR(BP36&lt;BP$39,ISNUMBER(BP36)=FALSE),BP$40,BP36))))</f>
      </c>
      <c r="BQ63" s="7" t="str">
        <f>IF(ISBLANK(BQ36),"NO DATA",IF(ISNUMBER(FIND(CODES!$A$12,BQ36)),CODES!$A$12,IF(OR(ISNUMBER(FIND(CODES!$A$10,BQ36)),ISNUMBER(FIND(CODES!$A$11,BQ36))),CODES!$A$13,IF(OR(BQ36&lt;BQ$39,ISNUMBER(BQ36)=FALSE),BQ$40,BQ36))))</f>
      </c>
      <c r="BR63" s="7" t="str">
        <f>IF(ISBLANK(BR36),"NO DATA",IF(ISNUMBER(FIND(CODES!$A$12,BR36)),CODES!$A$12,IF(OR(ISNUMBER(FIND(CODES!$A$10,BR36)),ISNUMBER(FIND(CODES!$A$11,BR36))),CODES!$A$13,IF(OR(BR36&lt;BR$39,ISNUMBER(BR36)=FALSE),BR$40,BR36))))</f>
      </c>
      <c r="BS63" s="7" t="str">
        <f>IF(ISBLANK(BS36),"NO DATA",IF(ISNUMBER(FIND(CODES!$A$12,BS36)),CODES!$A$12,IF(OR(ISNUMBER(FIND(CODES!$A$10,BS36)),ISNUMBER(FIND(CODES!$A$11,BS36))),CODES!$A$13,IF(OR(BS36&lt;BS$39,ISNUMBER(BS36)=FALSE),BS$40,BS36))))</f>
      </c>
      <c r="BT63" s="7" t="str">
        <f>IF(ISBLANK(BT36),"NO DATA",IF(ISNUMBER(FIND(CODES!$A$12,BT36)),CODES!$A$12,IF(OR(ISNUMBER(FIND(CODES!$A$10,BT36)),ISNUMBER(FIND(CODES!$A$11,BT36))),CODES!$A$13,IF(OR(BT36&lt;BT$39,ISNUMBER(BT36)=FALSE),BT$40,BT36))))</f>
      </c>
      <c r="BU63" s="7" t="str">
        <f>IF(ISBLANK(BU36),"NO DATA",IF(ISNUMBER(FIND(CODES!$A$12,BU36)),CODES!$A$12,IF(OR(ISNUMBER(FIND(CODES!$A$10,BU36)),ISNUMBER(FIND(CODES!$A$11,BU36))),CODES!$A$13,IF(OR(BU36&lt;BU$39,ISNUMBER(BU36)=FALSE),BU$40,BU36))))</f>
      </c>
      <c r="BV63" s="7" t="str">
        <f>IF(ISBLANK(BV36),"NO DATA",IF(ISNUMBER(FIND(CODES!$A$12,BV36)),CODES!$A$12,IF(OR(ISNUMBER(FIND(CODES!$A$10,BV36)),ISNUMBER(FIND(CODES!$A$11,BV36))),CODES!$A$13,IF(OR(BV36&lt;BV$39,ISNUMBER(BV36)=FALSE),BV$40,BV36))))</f>
      </c>
      <c r="BW63" s="7" t="str">
        <f>IF(ISBLANK(BW36),"NO DATA",IF(ISNUMBER(FIND(CODES!$A$12,BW36)),CODES!$A$12,IF(OR(ISNUMBER(FIND(CODES!$A$10,BW36)),ISNUMBER(FIND(CODES!$A$11,BW36))),CODES!$A$13,IF(OR(BW36&lt;BW$39,ISNUMBER(BW36)=FALSE),BW$40,BW36))))</f>
      </c>
      <c r="BX63" s="7" t="str">
        <f>IF(ISBLANK(BX36),"NO DATA",IF(ISNUMBER(FIND(CODES!$A$12,BX36)),CODES!$A$12,IF(OR(ISNUMBER(FIND(CODES!$A$10,BX36)),ISNUMBER(FIND(CODES!$A$11,BX36))),CODES!$A$13,IF(OR(BX36&lt;BX$39,ISNUMBER(BX36)=FALSE),BX$40,BX36))))</f>
      </c>
      <c r="BY63" s="7" t="str">
        <f>IF(ISBLANK(BY36),"NO DATA",IF(ISNUMBER(FIND(CODES!$A$12,BY36)),CODES!$A$12,IF(OR(ISNUMBER(FIND(CODES!$A$10,BY36)),ISNUMBER(FIND(CODES!$A$11,BY36))),CODES!$A$13,IF(OR(BY36&lt;BY$39,ISNUMBER(BY36)=FALSE),BY$40,BY36))))</f>
      </c>
      <c r="BZ63" s="7" t="str">
        <f>IF(ISBLANK(BZ36),"NO DATA",IF(ISNUMBER(FIND(CODES!$A$12,BZ36)),CODES!$A$12,IF(OR(ISNUMBER(FIND(CODES!$A$10,BZ36)),ISNUMBER(FIND(CODES!$A$11,BZ36))),CODES!$A$13,IF(OR(BZ36&lt;BZ$39,ISNUMBER(BZ36)=FALSE),BZ$40,BZ36))))</f>
      </c>
      <c r="CA63" s="7" t="str">
        <f>IF(ISBLANK(CA36),"NO DATA",IF(ISNUMBER(FIND(CODES!$A$12,CA36)),CODES!$A$12,IF(OR(ISNUMBER(FIND(CODES!$A$10,CA36)),ISNUMBER(FIND(CODES!$A$11,CA36))),CODES!$A$13,IF(OR(CA36&lt;CA$39,ISNUMBER(CA36)=FALSE),CA$40,CA36))))</f>
      </c>
      <c r="CB63" s="7" t="str">
        <f>IF(ISBLANK(CB36),"NO DATA",IF(ISNUMBER(FIND(CODES!$A$12,CB36)),CODES!$A$12,IF(OR(ISNUMBER(FIND(CODES!$A$10,CB36)),ISNUMBER(FIND(CODES!$A$11,CB36))),CODES!$A$13,IF(OR(CB36&lt;CB$39,ISNUMBER(CB36)=FALSE),CB$40,CB36))))</f>
      </c>
      <c r="CC63" s="7" t="str">
        <f>IF(ISBLANK(CC36),"NO DATA",IF(ISNUMBER(FIND(CODES!$A$12,CC36)),CODES!$A$12,IF(OR(ISNUMBER(FIND(CODES!$A$10,CC36)),ISNUMBER(FIND(CODES!$A$11,CC36))),CODES!$A$13,IF(OR(CC36&lt;CC$39,ISNUMBER(CC36)=FALSE),CC$40,CC36))))</f>
      </c>
      <c r="CD63" s="7" t="str">
        <f>IF(ISBLANK(CD36),"NO DATA",IF(ISNUMBER(FIND(CODES!$A$12,CD36)),CODES!$A$12,IF(OR(ISNUMBER(FIND(CODES!$A$10,CD36)),ISNUMBER(FIND(CODES!$A$11,CD36))),CODES!$A$13,IF(OR(CD36&lt;CD$39,ISNUMBER(CD36)=FALSE),CD$40,CD36))))</f>
      </c>
      <c r="CE63" s="7" t="str">
        <f>IF(ISBLANK(CE36),"NO DATA",IF(ISNUMBER(FIND(CODES!$A$12,CE36)),CODES!$A$12,IF(OR(ISNUMBER(FIND(CODES!$A$10,CE36)),ISNUMBER(FIND(CODES!$A$11,CE36))),CODES!$A$13,IF(OR(CE36&lt;CE$39,ISNUMBER(CE36)=FALSE),CE$40,CE36))))</f>
      </c>
      <c r="CF63" s="7" t="str">
        <f>IF(ISBLANK(CF36),"NO DATA",IF(ISNUMBER(FIND(CODES!$A$12,CF36)),CODES!$A$12,IF(OR(ISNUMBER(FIND(CODES!$A$10,CF36)),ISNUMBER(FIND(CODES!$A$11,CF36))),CODES!$A$13,IF(OR(CF36&lt;CF$39,ISNUMBER(CF36)=FALSE),CF$40,CF36))))</f>
      </c>
      <c r="CG63" s="7" t="str">
        <f>IF(ISBLANK(CG36),"NO DATA",IF(ISNUMBER(FIND(CODES!$A$12,CG36)),CODES!$A$12,IF(OR(ISNUMBER(FIND(CODES!$A$10,CG36)),ISNUMBER(FIND(CODES!$A$11,CG36))),CODES!$A$13,IF(OR(CG36&lt;CG$39,ISNUMBER(CG36)=FALSE),CG$40,CG36))))</f>
      </c>
      <c r="CH63" s="7" t="str">
        <f>IF(ISBLANK(CH36),"NO DATA",IF(ISNUMBER(FIND(CODES!$A$12,CH36)),CODES!$A$12,IF(OR(ISNUMBER(FIND(CODES!$A$10,CH36)),ISNUMBER(FIND(CODES!$A$11,CH36))),CODES!$A$13,IF(OR(CH36&lt;CH$39,ISNUMBER(CH36)=FALSE),CH$40,CH36))))</f>
      </c>
      <c r="CI63" s="7" t="str">
        <f>IF(ISBLANK(CI36),"NO DATA",IF(ISNUMBER(FIND(CODES!$A$12,CI36)),CODES!$A$12,IF(OR(ISNUMBER(FIND(CODES!$A$10,CI36)),ISNUMBER(FIND(CODES!$A$11,CI36))),CODES!$A$13,IF(OR(CI36&lt;CI$39,ISNUMBER(CI36)=FALSE),CI$40,CI36))))</f>
      </c>
      <c r="CJ63" s="7" t="str">
        <f>IF(ISBLANK(CJ36),"NO DATA",IF(ISNUMBER(FIND(CODES!$A$12,CJ36)),CODES!$A$12,IF(OR(ISNUMBER(FIND(CODES!$A$10,CJ36)),ISNUMBER(FIND(CODES!$A$11,CJ36))),CODES!$A$13,IF(OR(CJ36&lt;CJ$39,ISNUMBER(CJ36)=FALSE),CJ$40,CJ36))))</f>
      </c>
      <c r="CK63" s="7" t="str">
        <f>IF(ISBLANK(CK36),"NO DATA",IF(ISNUMBER(FIND(CODES!$A$12,CK36)),CODES!$A$12,IF(OR(ISNUMBER(FIND(CODES!$A$10,CK36)),ISNUMBER(FIND(CODES!$A$11,CK36))),CODES!$A$13,IF(OR(CK36&lt;CK$39,ISNUMBER(CK36)=FALSE),CK$40,CK36))))</f>
      </c>
      <c r="CL63" s="7" t="str">
        <f>IF(ISBLANK(CL36),"NO DATA",IF(ISNUMBER(FIND(CODES!$A$12,CL36)),CODES!$A$12,IF(OR(ISNUMBER(FIND(CODES!$A$10,CL36)),ISNUMBER(FIND(CODES!$A$11,CL36))),CODES!$A$13,IF(OR(CL36&lt;CL$39,ISNUMBER(CL36)=FALSE),CL$40,CL36))))</f>
      </c>
      <c r="CM63" s="7" t="str">
        <f>IF(ISBLANK(CM36),"NO DATA",IF(ISNUMBER(FIND(CODES!$A$12,CM36)),CODES!$A$12,IF(OR(ISNUMBER(FIND(CODES!$A$10,CM36)),ISNUMBER(FIND(CODES!$A$11,CM36))),CODES!$A$13,IF(OR(CM36&lt;CM$39,ISNUMBER(CM36)=FALSE),CM$40,CM36))))</f>
      </c>
      <c r="CN63" s="7" t="str">
        <f>IF(ISBLANK(CN36),"NO DATA",IF(ISNUMBER(FIND(CODES!$A$12,CN36)),CODES!$A$12,IF(OR(ISNUMBER(FIND(CODES!$A$10,CN36)),ISNUMBER(FIND(CODES!$A$11,CN36))),CODES!$A$13,IF(OR(CN36&lt;CN$39,ISNUMBER(CN36)=FALSE),CN$40,CN36))))</f>
      </c>
      <c r="CO63" s="7" t="str">
        <f>IF(ISBLANK(CO36),"NO DATA",IF(ISNUMBER(FIND(CODES!$A$12,CO36)),CODES!$A$12,IF(OR(ISNUMBER(FIND(CODES!$A$10,CO36)),ISNUMBER(FIND(CODES!$A$11,CO36))),CODES!$A$13,IF(OR(CO36&lt;CO$39,ISNUMBER(CO36)=FALSE),CO$40,CO36))))</f>
      </c>
      <c r="CP63" s="7" t="str">
        <f>IF(ISBLANK(CP36),"NO DATA",IF(ISNUMBER(FIND(CODES!$A$12,CP36)),CODES!$A$12,IF(OR(ISNUMBER(FIND(CODES!$A$10,CP36)),ISNUMBER(FIND(CODES!$A$11,CP36))),CODES!$A$13,IF(OR(CP36&lt;CP$39,ISNUMBER(CP36)=FALSE),CP$40,CP36))))</f>
      </c>
      <c r="CQ63" s="7" t="str">
        <f>IF(ISBLANK(CQ36),"NO DATA",IF(ISNUMBER(FIND(CODES!$A$12,CQ36)),CODES!$A$12,IF(OR(ISNUMBER(FIND(CODES!$A$10,CQ36)),ISNUMBER(FIND(CODES!$A$11,CQ36))),CODES!$A$13,IF(OR(CQ36&lt;CQ$39,ISNUMBER(CQ36)=FALSE),CQ$40,CQ36))))</f>
      </c>
      <c r="CR63" s="7" t="str">
        <f>IF(ISBLANK(CR36),"NO DATA",IF(ISNUMBER(FIND(CODES!$A$12,CR36)),CODES!$A$12,IF(OR(ISNUMBER(FIND(CODES!$A$10,CR36)),ISNUMBER(FIND(CODES!$A$11,CR36))),CODES!$A$13,IF(OR(CR36&lt;CR$39,ISNUMBER(CR36)=FALSE),CR$40,CR36))))</f>
      </c>
      <c r="CS63" s="7" t="str">
        <f>IF(ISBLANK(CS36),"NO DATA",IF(ISNUMBER(FIND(CODES!$A$12,CS36)),CODES!$A$12,IF(OR(ISNUMBER(FIND(CODES!$A$10,CS36)),ISNUMBER(FIND(CODES!$A$11,CS36))),CODES!$A$13,IF(OR(CS36&lt;CS$39,ISNUMBER(CS36)=FALSE),CS$40,CS36))))</f>
      </c>
      <c r="CT63" s="7" t="str">
        <f>IF(ISBLANK(CT36),"NO DATA",IF(ISNUMBER(FIND(CODES!$A$12,CT36)),CODES!$A$12,IF(OR(ISNUMBER(FIND(CODES!$A$10,CT36)),ISNUMBER(FIND(CODES!$A$11,CT36))),CODES!$A$13,IF(OR(CT36&lt;CT$39,ISNUMBER(CT36)=FALSE),CT$40,CT36))))</f>
      </c>
      <c r="CU63" s="7" t="str">
        <f>IF(ISBLANK(CU36),"NO DATA",IF(ISNUMBER(FIND(CODES!$A$12,CU36)),CODES!$A$12,IF(OR(ISNUMBER(FIND(CODES!$A$10,CU36)),ISNUMBER(FIND(CODES!$A$11,CU36))),CODES!$A$13,IF(OR(CU36&lt;CU$39,ISNUMBER(CU36)=FALSE),CU$40,CU36))))</f>
      </c>
      <c r="CV63" s="7" t="str">
        <f>IF(ISBLANK(CV36),"NO DATA",IF(ISNUMBER(FIND(CODES!$A$12,CV36)),CODES!$A$12,IF(OR(ISNUMBER(FIND(CODES!$A$10,CV36)),ISNUMBER(FIND(CODES!$A$11,CV36))),CODES!$A$13,IF(OR(CV36&lt;CV$39,ISNUMBER(CV36)=FALSE),CV$40,CV36))))</f>
      </c>
      <c r="CW63" s="7" t="str">
        <f>IF(ISBLANK(CW36),"NO DATA",IF(ISNUMBER(FIND(CODES!$A$12,CW36)),CODES!$A$12,IF(OR(ISNUMBER(FIND(CODES!$A$10,CW36)),ISNUMBER(FIND(CODES!$A$11,CW36))),CODES!$A$13,IF(OR(CW36&lt;CW$39,ISNUMBER(CW36)=FALSE),CW$40,CW36))))</f>
      </c>
      <c r="CX63" s="7" t="str">
        <f>IF(ISBLANK(CX36),"NO DATA",IF(ISNUMBER(FIND(CODES!$A$12,CX36)),CODES!$A$12,IF(OR(ISNUMBER(FIND(CODES!$A$10,CX36)),ISNUMBER(FIND(CODES!$A$11,CX36))),CODES!$A$13,IF(OR(CX36&lt;CX$39,ISNUMBER(CX36)=FALSE),CX$40,CX36))))</f>
      </c>
      <c r="CY63" s="7" t="str">
        <f>IF(ISBLANK(CY36),"NO DATA",IF(ISNUMBER(FIND(CODES!$A$12,CY36)),CODES!$A$12,IF(OR(ISNUMBER(FIND(CODES!$A$10,CY36)),ISNUMBER(FIND(CODES!$A$11,CY36))),CODES!$A$13,IF(OR(CY36&lt;CY$39,ISNUMBER(CY36)=FALSE),CY$40,CY36))))</f>
      </c>
      <c r="CZ63" s="7" t="str">
        <f>IF(ISBLANK(CZ36),"NO DATA",IF(ISNUMBER(FIND(CODES!$A$12,CZ36)),CODES!$A$12,IF(OR(ISNUMBER(FIND(CODES!$A$10,CZ36)),ISNUMBER(FIND(CODES!$A$11,CZ36))),CODES!$A$13,IF(OR(CZ36&lt;CZ$39,ISNUMBER(CZ36)=FALSE),CZ$40,CZ36))))</f>
      </c>
      <c r="DA63" s="7" t="str">
        <f>IF(ISBLANK(DA36),"NO DATA",IF(ISNUMBER(FIND(CODES!$A$12,DA36)),CODES!$A$12,IF(OR(ISNUMBER(FIND(CODES!$A$10,DA36)),ISNUMBER(FIND(CODES!$A$11,DA36))),CODES!$A$13,IF(OR(DA36&lt;DA$39,ISNUMBER(DA36)=FALSE),DA$40,DA36))))</f>
      </c>
      <c r="DB63" s="7" t="str">
        <f>IF(ISBLANK(DB36),"NO DATA",IF(ISNUMBER(FIND(CODES!$A$12,DB36)),CODES!$A$12,IF(OR(ISNUMBER(FIND(CODES!$A$10,DB36)),ISNUMBER(FIND(CODES!$A$11,DB36))),CODES!$A$13,IF(OR(DB36&lt;DB$39,ISNUMBER(DB36)=FALSE),DB$40,DB36))))</f>
      </c>
      <c r="DC63" s="7" t="str">
        <f>IF(ISBLANK(DC36),"NO DATA",IF(ISNUMBER(FIND(CODES!$A$12,DC36)),CODES!$A$12,IF(OR(ISNUMBER(FIND(CODES!$A$10,DC36)),ISNUMBER(FIND(CODES!$A$11,DC36))),CODES!$A$13,IF(OR(DC36&lt;DC$39,ISNUMBER(DC36)=FALSE),DC$40,DC36))))</f>
      </c>
      <c r="DD63" s="7" t="str">
        <f>IF(ISBLANK(DD36),"NO DATA",IF(ISNUMBER(FIND(CODES!$A$12,DD36)),CODES!$A$12,IF(OR(ISNUMBER(FIND(CODES!$A$10,DD36)),ISNUMBER(FIND(CODES!$A$11,DD36))),CODES!$A$13,IF(OR(DD36&lt;DD$39,ISNUMBER(DD36)=FALSE),DD$40,DD36))))</f>
      </c>
      <c r="DE63" s="7" t="str">
        <f>IF(ISBLANK(DE36),"NO DATA",IF(ISNUMBER(FIND(CODES!$A$12,DE36)),CODES!$A$12,IF(OR(ISNUMBER(FIND(CODES!$A$10,DE36)),ISNUMBER(FIND(CODES!$A$11,DE36))),CODES!$A$13,IF(OR(DE36&lt;DE$39,ISNUMBER(DE36)=FALSE),DE$40,DE36))))</f>
      </c>
      <c r="DF63" s="7" t="str">
        <f>IF(ISBLANK(DF36),"NO DATA",IF(ISNUMBER(FIND(CODES!$A$12,DF36)),CODES!$A$12,IF(OR(ISNUMBER(FIND(CODES!$A$10,DF36)),ISNUMBER(FIND(CODES!$A$11,DF36))),CODES!$A$13,IF(OR(DF36&lt;DF$39,ISNUMBER(DF36)=FALSE),DF$40,DF36))))</f>
      </c>
      <c r="DG63" s="7" t="str">
        <f>IF(ISBLANK(DG36),"NO DATA",IF(ISNUMBER(FIND(CODES!$A$12,DG36)),CODES!$A$12,IF(OR(ISNUMBER(FIND(CODES!$A$10,DG36)),ISNUMBER(FIND(CODES!$A$11,DG36))),CODES!$A$13,IF(OR(DG36&lt;DG$39,ISNUMBER(DG36)=FALSE),DG$40,DG36))))</f>
      </c>
      <c r="DH63" s="7" t="str">
        <f>IF(ISBLANK(DH36),"NO DATA",IF(ISNUMBER(FIND(CODES!$A$12,DH36)),CODES!$A$12,IF(OR(ISNUMBER(FIND(CODES!$A$10,DH36)),ISNUMBER(FIND(CODES!$A$11,DH36))),CODES!$A$13,IF(OR(DH36&lt;DH$39,ISNUMBER(DH36)=FALSE),DH$40,DH36))))</f>
      </c>
      <c r="DI63" s="7" t="str">
        <f>IF(ISBLANK(DI36),"NO DATA",IF(ISNUMBER(FIND(CODES!$A$12,DI36)),CODES!$A$12,IF(OR(ISNUMBER(FIND(CODES!$A$10,DI36)),ISNUMBER(FIND(CODES!$A$11,DI36))),CODES!$A$13,IF(OR(DI36&lt;DI$39,ISNUMBER(DI36)=FALSE),DI$40,DI36))))</f>
      </c>
    </row>
    <row r="64" spans="1:113" x14ac:dyDescent="0.25">
      <c r="A64" s="16" t="str">
        <f t="shared" si="3"/>
      </c>
      <c r="B64" s="16" t="str">
        <f t="shared" si="3"/>
      </c>
      <c r="C64" s="7" t="str">
        <f>IF(ISBLANK(C37),"NO DATA",IF(ISNUMBER(FIND(CODES!$A$12,C37)),CODES!$A$12,IF(OR(ISNUMBER(FIND(CODES!$A$10,C37)),ISNUMBER(FIND(CODES!$A$11,C37))),CODES!$A$13,IF(OR(C37&lt;C$39,ISNUMBER(C37)=FALSE),C$40,C37))))</f>
      </c>
      <c r="D64" s="7" t="str">
        <f>IF(ISBLANK(D37),"NO DATA",IF(ISNUMBER(FIND(CODES!$A$12,D37)),CODES!$A$12,IF(OR(ISNUMBER(FIND(CODES!$A$10,D37)),ISNUMBER(FIND(CODES!$A$11,D37))),CODES!$A$13,IF(OR(D37&lt;D$39,ISNUMBER(D37)=FALSE),D$40,D37))))</f>
      </c>
      <c r="E64" s="7" t="str">
        <f>IF(ISBLANK(E37),"NO DATA",IF(ISNUMBER(FIND(CODES!$A$12,E37)),CODES!$A$12,IF(OR(ISNUMBER(FIND(CODES!$A$10,E37)),ISNUMBER(FIND(CODES!$A$11,E37))),CODES!$A$13,IF(OR(E37&lt;E$39,ISNUMBER(E37)=FALSE),E$40,E37))))</f>
      </c>
      <c r="F64" s="7" t="str">
        <f>IF(ISBLANK(F37),"NO DATA",IF(ISNUMBER(FIND(CODES!$A$12,F37)),CODES!$A$12,IF(OR(ISNUMBER(FIND(CODES!$A$10,F37)),ISNUMBER(FIND(CODES!$A$11,F37))),CODES!$A$13,IF(OR(F37&lt;F$39,ISNUMBER(F37)=FALSE),F$40,F37))))</f>
      </c>
      <c r="G64" s="7" t="str">
        <f>IF(ISBLANK(G37),"NO DATA",IF(ISNUMBER(FIND(CODES!$A$12,G37)),CODES!$A$12,IF(OR(ISNUMBER(FIND(CODES!$A$10,G37)),ISNUMBER(FIND(CODES!$A$11,G37))),CODES!$A$13,IF(OR(G37&lt;G$39,ISNUMBER(G37)=FALSE),G$40,G37))))</f>
      </c>
      <c r="H64" s="7" t="str">
        <f>IF(ISBLANK(H37),"NO DATA",IF(ISNUMBER(FIND(CODES!$A$12,H37)),CODES!$A$12,IF(OR(ISNUMBER(FIND(CODES!$A$10,H37)),ISNUMBER(FIND(CODES!$A$11,H37))),CODES!$A$13,IF(OR(H37&lt;H$39,ISNUMBER(H37)=FALSE),H$40,H37))))</f>
      </c>
      <c r="I64" s="7" t="str">
        <f>IF(ISBLANK(I37),"NO DATA",IF(ISNUMBER(FIND(CODES!$A$12,I37)),CODES!$A$12,IF(OR(ISNUMBER(FIND(CODES!$A$10,I37)),ISNUMBER(FIND(CODES!$A$11,I37))),CODES!$A$13,IF(OR(I37&lt;I$39,ISNUMBER(I37)=FALSE),I$40,I37))))</f>
      </c>
      <c r="J64" s="7" t="str">
        <f>IF(ISBLANK(J37),"NO DATA",IF(ISNUMBER(FIND(CODES!$A$12,J37)),CODES!$A$12,IF(OR(ISNUMBER(FIND(CODES!$A$10,J37)),ISNUMBER(FIND(CODES!$A$11,J37))),CODES!$A$13,IF(OR(J37&lt;J$39,ISNUMBER(J37)=FALSE),J$40,J37))))</f>
      </c>
      <c r="K64" s="7" t="str">
        <f>IF(ISBLANK(K37),"NO DATA",IF(ISNUMBER(FIND(CODES!$A$12,K37)),CODES!$A$12,IF(OR(ISNUMBER(FIND(CODES!$A$10,K37)),ISNUMBER(FIND(CODES!$A$11,K37))),CODES!$A$13,IF(OR(K37&lt;K$39,ISNUMBER(K37)=FALSE),K$40,K37))))</f>
      </c>
      <c r="L64" s="7" t="str">
        <f>IF(ISBLANK(L37),"NO DATA",IF(ISNUMBER(FIND(CODES!$A$12,L37)),CODES!$A$12,IF(OR(ISNUMBER(FIND(CODES!$A$10,L37)),ISNUMBER(FIND(CODES!$A$11,L37))),CODES!$A$13,IF(OR(L37&lt;L$39,ISNUMBER(L37)=FALSE),L$40,L37))))</f>
      </c>
      <c r="M64" s="7" t="str">
        <f>IF(ISBLANK(M37),"NO DATA",IF(ISNUMBER(FIND(CODES!$A$12,M37)),CODES!$A$12,IF(OR(ISNUMBER(FIND(CODES!$A$10,M37)),ISNUMBER(FIND(CODES!$A$11,M37))),CODES!$A$13,IF(OR(M37&lt;M$39,ISNUMBER(M37)=FALSE),M$40,M37))))</f>
      </c>
      <c r="N64" s="7" t="str">
        <f>IF(ISBLANK(N37),"NO DATA",IF(ISNUMBER(FIND(CODES!$A$12,N37)),CODES!$A$12,IF(OR(ISNUMBER(FIND(CODES!$A$10,N37)),ISNUMBER(FIND(CODES!$A$11,N37))),CODES!$A$13,IF(OR(N37&lt;N$39,ISNUMBER(N37)=FALSE),N$40,N37))))</f>
      </c>
      <c r="O64" s="7" t="str">
        <f>IF(ISBLANK(O37),"NO DATA",IF(ISNUMBER(FIND(CODES!$A$12,O37)),CODES!$A$12,IF(OR(ISNUMBER(FIND(CODES!$A$10,O37)),ISNUMBER(FIND(CODES!$A$11,O37))),CODES!$A$13,IF(OR(O37&lt;O$39,ISNUMBER(O37)=FALSE),O$40,O37))))</f>
      </c>
      <c r="P64" s="7" t="str">
        <f>IF(ISBLANK(P37),"NO DATA",IF(ISNUMBER(FIND(CODES!$A$12,P37)),CODES!$A$12,IF(OR(ISNUMBER(FIND(CODES!$A$10,P37)),ISNUMBER(FIND(CODES!$A$11,P37))),CODES!$A$13,IF(OR(P37&lt;P$39,ISNUMBER(P37)=FALSE),P$40,P37))))</f>
      </c>
      <c r="Q64" s="7" t="str">
        <f>IF(ISBLANK(Q37),"NO DATA",IF(ISNUMBER(FIND(CODES!$A$12,Q37)),CODES!$A$12,IF(OR(ISNUMBER(FIND(CODES!$A$10,Q37)),ISNUMBER(FIND(CODES!$A$11,Q37))),CODES!$A$13,IF(OR(Q37&lt;Q$39,ISNUMBER(Q37)=FALSE),Q$40,Q37))))</f>
      </c>
      <c r="R64" s="7" t="str">
        <f>IF(ISBLANK(R37),"NO DATA",IF(ISNUMBER(FIND(CODES!$A$12,R37)),CODES!$A$12,IF(OR(ISNUMBER(FIND(CODES!$A$10,R37)),ISNUMBER(FIND(CODES!$A$11,R37))),CODES!$A$13,IF(OR(R37&lt;R$39,ISNUMBER(R37)=FALSE),R$40,R37))))</f>
      </c>
      <c r="S64" s="7" t="str">
        <f>IF(ISBLANK(S37),"NO DATA",IF(ISNUMBER(FIND(CODES!$A$12,S37)),CODES!$A$12,IF(OR(ISNUMBER(FIND(CODES!$A$10,S37)),ISNUMBER(FIND(CODES!$A$11,S37))),CODES!$A$13,IF(OR(S37&lt;S$39,ISNUMBER(S37)=FALSE),S$40,S37))))</f>
      </c>
      <c r="T64" s="7" t="str">
        <f>IF(ISBLANK(T37),"NO DATA",IF(ISNUMBER(FIND(CODES!$A$12,T37)),CODES!$A$12,IF(OR(ISNUMBER(FIND(CODES!$A$10,T37)),ISNUMBER(FIND(CODES!$A$11,T37))),CODES!$A$13,IF(OR(T37&lt;T$39,ISNUMBER(T37)=FALSE),T$40,T37))))</f>
      </c>
      <c r="U64" s="7" t="str">
        <f>IF(ISBLANK(U37),"NO DATA",IF(ISNUMBER(FIND(CODES!$A$12,U37)),CODES!$A$12,IF(OR(ISNUMBER(FIND(CODES!$A$10,U37)),ISNUMBER(FIND(CODES!$A$11,U37))),CODES!$A$13,IF(OR(U37&lt;U$39,ISNUMBER(U37)=FALSE),U$40,U37))))</f>
      </c>
      <c r="V64" s="7" t="str">
        <f>IF(ISBLANK(V37),"NO DATA",IF(ISNUMBER(FIND(CODES!$A$12,V37)),CODES!$A$12,IF(OR(ISNUMBER(FIND(CODES!$A$10,V37)),ISNUMBER(FIND(CODES!$A$11,V37))),CODES!$A$13,IF(OR(V37&lt;V$39,ISNUMBER(V37)=FALSE),V$40,V37))))</f>
      </c>
      <c r="W64" s="7" t="str">
        <f>IF(ISBLANK(W37),"NO DATA",IF(ISNUMBER(FIND(CODES!$A$12,W37)),CODES!$A$12,IF(OR(ISNUMBER(FIND(CODES!$A$10,W37)),ISNUMBER(FIND(CODES!$A$11,W37))),CODES!$A$13,IF(OR(W37&lt;W$39,ISNUMBER(W37)=FALSE),W$40,W37))))</f>
      </c>
      <c r="X64" s="7" t="str">
        <f>IF(ISBLANK(X37),"NO DATA",IF(ISNUMBER(FIND(CODES!$A$12,X37)),CODES!$A$12,IF(OR(ISNUMBER(FIND(CODES!$A$10,X37)),ISNUMBER(FIND(CODES!$A$11,X37))),CODES!$A$13,IF(OR(X37&lt;X$39,ISNUMBER(X37)=FALSE),X$40,X37))))</f>
      </c>
      <c r="Y64" s="7" t="str">
        <f>IF(ISBLANK(Y37),"NO DATA",IF(ISNUMBER(FIND(CODES!$A$12,Y37)),CODES!$A$12,IF(OR(ISNUMBER(FIND(CODES!$A$10,Y37)),ISNUMBER(FIND(CODES!$A$11,Y37))),CODES!$A$13,IF(OR(Y37&lt;Y$39,ISNUMBER(Y37)=FALSE),Y$40,Y37))))</f>
      </c>
      <c r="Z64" s="7" t="str">
        <f>IF(ISBLANK(Z37),"NO DATA",IF(ISNUMBER(FIND(CODES!$A$12,Z37)),CODES!$A$12,IF(OR(ISNUMBER(FIND(CODES!$A$10,Z37)),ISNUMBER(FIND(CODES!$A$11,Z37))),CODES!$A$13,IF(OR(Z37&lt;Z$39,ISNUMBER(Z37)=FALSE),Z$40,Z37))))</f>
      </c>
      <c r="AA64" s="7" t="str">
        <f>IF(ISBLANK(AA37),"NO DATA",IF(ISNUMBER(FIND(CODES!$A$12,AA37)),CODES!$A$12,IF(OR(ISNUMBER(FIND(CODES!$A$10,AA37)),ISNUMBER(FIND(CODES!$A$11,AA37))),CODES!$A$13,IF(OR(AA37&lt;AA$39,ISNUMBER(AA37)=FALSE),AA$40,AA37))))</f>
      </c>
      <c r="AB64" s="7" t="str">
        <f>IF(ISBLANK(AB37),"NO DATA",IF(ISNUMBER(FIND(CODES!$A$12,AB37)),CODES!$A$12,IF(OR(ISNUMBER(FIND(CODES!$A$10,AB37)),ISNUMBER(FIND(CODES!$A$11,AB37))),CODES!$A$13,IF(OR(AB37&lt;AB$39,ISNUMBER(AB37)=FALSE),AB$40,AB37))))</f>
      </c>
      <c r="AC64" s="7" t="str">
        <f>IF(ISBLANK(AC37),"NO DATA",IF(ISNUMBER(FIND(CODES!$A$12,AC37)),CODES!$A$12,IF(OR(ISNUMBER(FIND(CODES!$A$10,AC37)),ISNUMBER(FIND(CODES!$A$11,AC37))),CODES!$A$13,IF(OR(AC37&lt;AC$39,ISNUMBER(AC37)=FALSE),AC$40,AC37))))</f>
      </c>
      <c r="AD64" s="7" t="str">
        <f>IF(ISBLANK(AD37),"NO DATA",IF(ISNUMBER(FIND(CODES!$A$12,AD37)),CODES!$A$12,IF(OR(ISNUMBER(FIND(CODES!$A$10,AD37)),ISNUMBER(FIND(CODES!$A$11,AD37))),CODES!$A$13,IF(OR(AD37&lt;AD$39,ISNUMBER(AD37)=FALSE),AD$40,AD37))))</f>
      </c>
      <c r="AE64" s="7" t="str">
        <f>IF(ISBLANK(AE37),"NO DATA",IF(ISNUMBER(FIND(CODES!$A$12,AE37)),CODES!$A$12,IF(OR(ISNUMBER(FIND(CODES!$A$10,AE37)),ISNUMBER(FIND(CODES!$A$11,AE37))),CODES!$A$13,IF(OR(AE37&lt;AE$39,ISNUMBER(AE37)=FALSE),AE$40,AE37))))</f>
      </c>
      <c r="AF64" s="7" t="str">
        <f>IF(ISBLANK(AF37),"NO DATA",IF(ISNUMBER(FIND(CODES!$A$12,AF37)),CODES!$A$12,IF(OR(ISNUMBER(FIND(CODES!$A$10,AF37)),ISNUMBER(FIND(CODES!$A$11,AF37))),CODES!$A$13,IF(OR(AF37&lt;AF$39,ISNUMBER(AF37)=FALSE),AF$40,AF37))))</f>
      </c>
      <c r="AG64" s="7" t="str">
        <f>IF(ISBLANK(AG37),"NO DATA",IF(ISNUMBER(FIND(CODES!$A$12,AG37)),CODES!$A$12,IF(OR(ISNUMBER(FIND(CODES!$A$10,AG37)),ISNUMBER(FIND(CODES!$A$11,AG37))),CODES!$A$13,IF(OR(AG37&lt;AG$39,ISNUMBER(AG37)=FALSE),AG$40,AG37))))</f>
      </c>
      <c r="AH64" s="7" t="str">
        <f>IF(ISBLANK(AH37),"NO DATA",IF(ISNUMBER(FIND(CODES!$A$12,AH37)),CODES!$A$12,IF(OR(ISNUMBER(FIND(CODES!$A$10,AH37)),ISNUMBER(FIND(CODES!$A$11,AH37))),CODES!$A$13,IF(OR(AH37&lt;AH$39,ISNUMBER(AH37)=FALSE),AH$40,AH37))))</f>
      </c>
      <c r="AI64" s="7" t="str">
        <f>IF(ISBLANK(AI37),"NO DATA",IF(ISNUMBER(FIND(CODES!$A$12,AI37)),CODES!$A$12,IF(OR(ISNUMBER(FIND(CODES!$A$10,AI37)),ISNUMBER(FIND(CODES!$A$11,AI37))),CODES!$A$13,IF(OR(AI37&lt;AI$39,ISNUMBER(AI37)=FALSE),AI$40,AI37))))</f>
      </c>
      <c r="AJ64" s="7" t="str">
        <f>IF(ISBLANK(AJ37),"NO DATA",IF(ISNUMBER(FIND(CODES!$A$12,AJ37)),CODES!$A$12,IF(OR(ISNUMBER(FIND(CODES!$A$10,AJ37)),ISNUMBER(FIND(CODES!$A$11,AJ37))),CODES!$A$13,IF(OR(AJ37&lt;AJ$39,ISNUMBER(AJ37)=FALSE),AJ$40,AJ37))))</f>
      </c>
      <c r="AK64" s="7" t="str">
        <f>IF(ISBLANK(AK37),"NO DATA",IF(ISNUMBER(FIND(CODES!$A$12,AK37)),CODES!$A$12,IF(OR(ISNUMBER(FIND(CODES!$A$10,AK37)),ISNUMBER(FIND(CODES!$A$11,AK37))),CODES!$A$13,IF(OR(AK37&lt;AK$39,ISNUMBER(AK37)=FALSE),AK$40,AK37))))</f>
      </c>
      <c r="AL64" s="7" t="str">
        <f>IF(ISBLANK(AL37),"NO DATA",IF(ISNUMBER(FIND(CODES!$A$12,AL37)),CODES!$A$12,IF(OR(ISNUMBER(FIND(CODES!$A$10,AL37)),ISNUMBER(FIND(CODES!$A$11,AL37))),CODES!$A$13,IF(OR(AL37&lt;AL$39,ISNUMBER(AL37)=FALSE),AL$40,AL37))))</f>
      </c>
      <c r="AM64" s="7" t="str">
        <f>IF(ISBLANK(AM37),"NO DATA",IF(ISNUMBER(FIND(CODES!$A$12,AM37)),CODES!$A$12,IF(OR(ISNUMBER(FIND(CODES!$A$10,AM37)),ISNUMBER(FIND(CODES!$A$11,AM37))),CODES!$A$13,IF(OR(AM37&lt;AM$39,ISNUMBER(AM37)=FALSE),AM$40,AM37))))</f>
      </c>
      <c r="AN64" s="7" t="str">
        <f>IF(ISBLANK(AN37),"NO DATA",IF(ISNUMBER(FIND(CODES!$A$12,AN37)),CODES!$A$12,IF(OR(ISNUMBER(FIND(CODES!$A$10,AN37)),ISNUMBER(FIND(CODES!$A$11,AN37))),CODES!$A$13,IF(OR(AN37&lt;AN$39,ISNUMBER(AN37)=FALSE),AN$40,AN37))))</f>
      </c>
      <c r="AO64" s="7" t="str">
        <f>IF(ISBLANK(AO37),"NO DATA",IF(ISNUMBER(FIND(CODES!$A$12,AO37)),CODES!$A$12,IF(OR(ISNUMBER(FIND(CODES!$A$10,AO37)),ISNUMBER(FIND(CODES!$A$11,AO37))),CODES!$A$13,IF(OR(AO37&lt;AO$39,ISNUMBER(AO37)=FALSE),AO$40,AO37))))</f>
      </c>
      <c r="AP64" s="7" t="str">
        <f>IF(ISBLANK(AP37),"NO DATA",IF(ISNUMBER(FIND(CODES!$A$12,AP37)),CODES!$A$12,IF(OR(ISNUMBER(FIND(CODES!$A$10,AP37)),ISNUMBER(FIND(CODES!$A$11,AP37))),CODES!$A$13,IF(OR(AP37&lt;AP$39,ISNUMBER(AP37)=FALSE),AP$40,AP37))))</f>
      </c>
      <c r="AQ64" s="7" t="str">
        <f>IF(ISBLANK(AQ37),"NO DATA",IF(ISNUMBER(FIND(CODES!$A$12,AQ37)),CODES!$A$12,IF(OR(ISNUMBER(FIND(CODES!$A$10,AQ37)),ISNUMBER(FIND(CODES!$A$11,AQ37))),CODES!$A$13,IF(OR(AQ37&lt;AQ$39,ISNUMBER(AQ37)=FALSE),AQ$40,AQ37))))</f>
      </c>
      <c r="AR64" s="7" t="str">
        <f>IF(ISBLANK(AR37),"NO DATA",IF(ISNUMBER(FIND(CODES!$A$12,AR37)),CODES!$A$12,IF(OR(ISNUMBER(FIND(CODES!$A$10,AR37)),ISNUMBER(FIND(CODES!$A$11,AR37))),CODES!$A$13,IF(OR(AR37&lt;AR$39,ISNUMBER(AR37)=FALSE),AR$40,AR37))))</f>
      </c>
      <c r="AS64" s="7" t="str">
        <f>IF(ISBLANK(AS37),"NO DATA",IF(ISNUMBER(FIND(CODES!$A$12,AS37)),CODES!$A$12,IF(OR(ISNUMBER(FIND(CODES!$A$10,AS37)),ISNUMBER(FIND(CODES!$A$11,AS37))),CODES!$A$13,IF(OR(AS37&lt;AS$39,ISNUMBER(AS37)=FALSE),AS$40,AS37))))</f>
      </c>
      <c r="AT64" s="7" t="str">
        <f>IF(ISBLANK(AT37),"NO DATA",IF(ISNUMBER(FIND(CODES!$A$12,AT37)),CODES!$A$12,IF(OR(ISNUMBER(FIND(CODES!$A$10,AT37)),ISNUMBER(FIND(CODES!$A$11,AT37))),CODES!$A$13,IF(OR(AT37&lt;AT$39,ISNUMBER(AT37)=FALSE),AT$40,AT37))))</f>
      </c>
      <c r="AU64" s="7" t="str">
        <f>IF(ISBLANK(AU37),"NO DATA",IF(ISNUMBER(FIND(CODES!$A$12,AU37)),CODES!$A$12,IF(OR(ISNUMBER(FIND(CODES!$A$10,AU37)),ISNUMBER(FIND(CODES!$A$11,AU37))),CODES!$A$13,IF(OR(AU37&lt;AU$39,ISNUMBER(AU37)=FALSE),AU$40,AU37))))</f>
      </c>
      <c r="AV64" s="7" t="str">
        <f>IF(ISBLANK(AV37),"NO DATA",IF(ISNUMBER(FIND(CODES!$A$12,AV37)),CODES!$A$12,IF(OR(ISNUMBER(FIND(CODES!$A$10,AV37)),ISNUMBER(FIND(CODES!$A$11,AV37))),CODES!$A$13,IF(OR(AV37&lt;AV$39,ISNUMBER(AV37)=FALSE),AV$40,AV37))))</f>
      </c>
      <c r="AW64" s="7" t="str">
        <f>IF(ISBLANK(AW37),"NO DATA",IF(ISNUMBER(FIND(CODES!$A$12,AW37)),CODES!$A$12,IF(OR(ISNUMBER(FIND(CODES!$A$10,AW37)),ISNUMBER(FIND(CODES!$A$11,AW37))),CODES!$A$13,IF(OR(AW37&lt;AW$39,ISNUMBER(AW37)=FALSE),AW$40,AW37))))</f>
      </c>
      <c r="AX64" s="7" t="str">
        <f>IF(ISBLANK(AX37),"NO DATA",IF(ISNUMBER(FIND(CODES!$A$12,AX37)),CODES!$A$12,IF(OR(ISNUMBER(FIND(CODES!$A$10,AX37)),ISNUMBER(FIND(CODES!$A$11,AX37))),CODES!$A$13,IF(OR(AX37&lt;AX$39,ISNUMBER(AX37)=FALSE),AX$40,AX37))))</f>
      </c>
      <c r="AY64" s="7" t="str">
        <f>IF(ISBLANK(AY37),"NO DATA",IF(ISNUMBER(FIND(CODES!$A$12,AY37)),CODES!$A$12,IF(OR(ISNUMBER(FIND(CODES!$A$10,AY37)),ISNUMBER(FIND(CODES!$A$11,AY37))),CODES!$A$13,IF(OR(AY37&lt;AY$39,ISNUMBER(AY37)=FALSE),AY$40,AY37))))</f>
      </c>
      <c r="AZ64" s="7" t="str">
        <f>IF(ISBLANK(AZ37),"NO DATA",IF(ISNUMBER(FIND(CODES!$A$12,AZ37)),CODES!$A$12,IF(OR(ISNUMBER(FIND(CODES!$A$10,AZ37)),ISNUMBER(FIND(CODES!$A$11,AZ37))),CODES!$A$13,IF(OR(AZ37&lt;AZ$39,ISNUMBER(AZ37)=FALSE),AZ$40,AZ37))))</f>
      </c>
      <c r="BA64" s="7" t="str">
        <f>IF(ISBLANK(BA37),"NO DATA",IF(ISNUMBER(FIND(CODES!$A$12,BA37)),CODES!$A$12,IF(OR(ISNUMBER(FIND(CODES!$A$10,BA37)),ISNUMBER(FIND(CODES!$A$11,BA37))),CODES!$A$13,IF(OR(BA37&lt;BA$39,ISNUMBER(BA37)=FALSE),BA$40,BA37))))</f>
      </c>
      <c r="BB64" s="7" t="str">
        <f>IF(ISBLANK(BB37),"NO DATA",IF(ISNUMBER(FIND(CODES!$A$12,BB37)),CODES!$A$12,IF(OR(ISNUMBER(FIND(CODES!$A$10,BB37)),ISNUMBER(FIND(CODES!$A$11,BB37))),CODES!$A$13,IF(OR(BB37&lt;BB$39,ISNUMBER(BB37)=FALSE),BB$40,BB37))))</f>
      </c>
      <c r="BC64" s="7" t="str">
        <f>IF(ISBLANK(BC37),"NO DATA",IF(ISNUMBER(FIND(CODES!$A$12,BC37)),CODES!$A$12,IF(OR(ISNUMBER(FIND(CODES!$A$10,BC37)),ISNUMBER(FIND(CODES!$A$11,BC37))),CODES!$A$13,IF(OR(BC37&lt;BC$39,ISNUMBER(BC37)=FALSE),BC$40,BC37))))</f>
      </c>
      <c r="BD64" s="7" t="str">
        <f>IF(ISBLANK(BD37),"NO DATA",IF(ISNUMBER(FIND(CODES!$A$12,BD37)),CODES!$A$12,IF(OR(ISNUMBER(FIND(CODES!$A$10,BD37)),ISNUMBER(FIND(CODES!$A$11,BD37))),CODES!$A$13,IF(OR(BD37&lt;BD$39,ISNUMBER(BD37)=FALSE),BD$40,BD37))))</f>
      </c>
      <c r="BE64" s="7" t="str">
        <f>IF(ISBLANK(BE37),"NO DATA",IF(ISNUMBER(FIND(CODES!$A$12,BE37)),CODES!$A$12,IF(OR(ISNUMBER(FIND(CODES!$A$10,BE37)),ISNUMBER(FIND(CODES!$A$11,BE37))),CODES!$A$13,IF(OR(BE37&lt;BE$39,ISNUMBER(BE37)=FALSE),BE$40,BE37))))</f>
      </c>
      <c r="BF64" s="7" t="str">
        <f>IF(ISBLANK(BF37),"NO DATA",IF(ISNUMBER(FIND(CODES!$A$12,BF37)),CODES!$A$12,IF(OR(ISNUMBER(FIND(CODES!$A$10,BF37)),ISNUMBER(FIND(CODES!$A$11,BF37))),CODES!$A$13,IF(OR(BF37&lt;BF$39,ISNUMBER(BF37)=FALSE),BF$40,BF37))))</f>
      </c>
      <c r="BG64" s="7" t="str">
        <f>IF(ISBLANK(BG37),"NO DATA",IF(ISNUMBER(FIND(CODES!$A$12,BG37)),CODES!$A$12,IF(OR(ISNUMBER(FIND(CODES!$A$10,BG37)),ISNUMBER(FIND(CODES!$A$11,BG37))),CODES!$A$13,IF(OR(BG37&lt;BG$39,ISNUMBER(BG37)=FALSE),BG$40,BG37))))</f>
      </c>
      <c r="BH64" s="7" t="str">
        <f>IF(ISBLANK(BH37),"NO DATA",IF(ISNUMBER(FIND(CODES!$A$12,BH37)),CODES!$A$12,IF(OR(ISNUMBER(FIND(CODES!$A$10,BH37)),ISNUMBER(FIND(CODES!$A$11,BH37))),CODES!$A$13,IF(OR(BH37&lt;BH$39,ISNUMBER(BH37)=FALSE),BH$40,BH37))))</f>
      </c>
      <c r="BI64" s="7" t="str">
        <f>IF(ISBLANK(BI37),"NO DATA",IF(ISNUMBER(FIND(CODES!$A$12,BI37)),CODES!$A$12,IF(OR(ISNUMBER(FIND(CODES!$A$10,BI37)),ISNUMBER(FIND(CODES!$A$11,BI37))),CODES!$A$13,IF(OR(BI37&lt;BI$39,ISNUMBER(BI37)=FALSE),BI$40,BI37))))</f>
      </c>
      <c r="BJ64" s="7" t="str">
        <f>IF(ISBLANK(BJ37),"NO DATA",IF(ISNUMBER(FIND(CODES!$A$12,BJ37)),CODES!$A$12,IF(OR(ISNUMBER(FIND(CODES!$A$10,BJ37)),ISNUMBER(FIND(CODES!$A$11,BJ37))),CODES!$A$13,IF(OR(BJ37&lt;BJ$39,ISNUMBER(BJ37)=FALSE),BJ$40,BJ37))))</f>
      </c>
      <c r="BK64" s="7" t="str">
        <f>IF(ISBLANK(BK37),"NO DATA",IF(ISNUMBER(FIND(CODES!$A$12,BK37)),CODES!$A$12,IF(OR(ISNUMBER(FIND(CODES!$A$10,BK37)),ISNUMBER(FIND(CODES!$A$11,BK37))),CODES!$A$13,IF(OR(BK37&lt;BK$39,ISNUMBER(BK37)=FALSE),BK$40,BK37))))</f>
      </c>
      <c r="BL64" s="7" t="str">
        <f>IF(ISBLANK(BL37),"NO DATA",IF(ISNUMBER(FIND(CODES!$A$12,BL37)),CODES!$A$12,IF(OR(ISNUMBER(FIND(CODES!$A$10,BL37)),ISNUMBER(FIND(CODES!$A$11,BL37))),CODES!$A$13,IF(OR(BL37&lt;BL$39,ISNUMBER(BL37)=FALSE),BL$40,BL37))))</f>
      </c>
      <c r="BM64" s="7" t="str">
        <f>IF(ISBLANK(BM37),"NO DATA",IF(ISNUMBER(FIND(CODES!$A$12,BM37)),CODES!$A$12,IF(OR(ISNUMBER(FIND(CODES!$A$10,BM37)),ISNUMBER(FIND(CODES!$A$11,BM37))),CODES!$A$13,IF(OR(BM37&lt;BM$39,ISNUMBER(BM37)=FALSE),BM$40,BM37))))</f>
      </c>
      <c r="BN64" s="7" t="str">
        <f>IF(ISBLANK(BN37),"NO DATA",IF(ISNUMBER(FIND(CODES!$A$12,BN37)),CODES!$A$12,IF(OR(ISNUMBER(FIND(CODES!$A$10,BN37)),ISNUMBER(FIND(CODES!$A$11,BN37))),CODES!$A$13,IF(OR(BN37&lt;BN$39,ISNUMBER(BN37)=FALSE),BN$40,BN37))))</f>
      </c>
      <c r="BO64" s="7" t="str">
        <f>IF(ISBLANK(BO37),"NO DATA",IF(ISNUMBER(FIND(CODES!$A$12,BO37)),CODES!$A$12,IF(OR(ISNUMBER(FIND(CODES!$A$10,BO37)),ISNUMBER(FIND(CODES!$A$11,BO37))),CODES!$A$13,IF(OR(BO37&lt;BO$39,ISNUMBER(BO37)=FALSE),BO$40,BO37))))</f>
      </c>
      <c r="BP64" s="7" t="str">
        <f>IF(ISBLANK(BP37),"NO DATA",IF(ISNUMBER(FIND(CODES!$A$12,BP37)),CODES!$A$12,IF(OR(ISNUMBER(FIND(CODES!$A$10,BP37)),ISNUMBER(FIND(CODES!$A$11,BP37))),CODES!$A$13,IF(OR(BP37&lt;BP$39,ISNUMBER(BP37)=FALSE),BP$40,BP37))))</f>
      </c>
      <c r="BQ64" s="7" t="str">
        <f>IF(ISBLANK(BQ37),"NO DATA",IF(ISNUMBER(FIND(CODES!$A$12,BQ37)),CODES!$A$12,IF(OR(ISNUMBER(FIND(CODES!$A$10,BQ37)),ISNUMBER(FIND(CODES!$A$11,BQ37))),CODES!$A$13,IF(OR(BQ37&lt;BQ$39,ISNUMBER(BQ37)=FALSE),BQ$40,BQ37))))</f>
      </c>
      <c r="BR64" s="7" t="str">
        <f>IF(ISBLANK(BR37),"NO DATA",IF(ISNUMBER(FIND(CODES!$A$12,BR37)),CODES!$A$12,IF(OR(ISNUMBER(FIND(CODES!$A$10,BR37)),ISNUMBER(FIND(CODES!$A$11,BR37))),CODES!$A$13,IF(OR(BR37&lt;BR$39,ISNUMBER(BR37)=FALSE),BR$40,BR37))))</f>
      </c>
      <c r="BS64" s="7" t="str">
        <f>IF(ISBLANK(BS37),"NO DATA",IF(ISNUMBER(FIND(CODES!$A$12,BS37)),CODES!$A$12,IF(OR(ISNUMBER(FIND(CODES!$A$10,BS37)),ISNUMBER(FIND(CODES!$A$11,BS37))),CODES!$A$13,IF(OR(BS37&lt;BS$39,ISNUMBER(BS37)=FALSE),BS$40,BS37))))</f>
      </c>
      <c r="BT64" s="7" t="str">
        <f>IF(ISBLANK(BT37),"NO DATA",IF(ISNUMBER(FIND(CODES!$A$12,BT37)),CODES!$A$12,IF(OR(ISNUMBER(FIND(CODES!$A$10,BT37)),ISNUMBER(FIND(CODES!$A$11,BT37))),CODES!$A$13,IF(OR(BT37&lt;BT$39,ISNUMBER(BT37)=FALSE),BT$40,BT37))))</f>
      </c>
      <c r="BU64" s="7" t="str">
        <f>IF(ISBLANK(BU37),"NO DATA",IF(ISNUMBER(FIND(CODES!$A$12,BU37)),CODES!$A$12,IF(OR(ISNUMBER(FIND(CODES!$A$10,BU37)),ISNUMBER(FIND(CODES!$A$11,BU37))),CODES!$A$13,IF(OR(BU37&lt;BU$39,ISNUMBER(BU37)=FALSE),BU$40,BU37))))</f>
      </c>
      <c r="BV64" s="7" t="str">
        <f>IF(ISBLANK(BV37),"NO DATA",IF(ISNUMBER(FIND(CODES!$A$12,BV37)),CODES!$A$12,IF(OR(ISNUMBER(FIND(CODES!$A$10,BV37)),ISNUMBER(FIND(CODES!$A$11,BV37))),CODES!$A$13,IF(OR(BV37&lt;BV$39,ISNUMBER(BV37)=FALSE),BV$40,BV37))))</f>
      </c>
      <c r="BW64" s="7" t="str">
        <f>IF(ISBLANK(BW37),"NO DATA",IF(ISNUMBER(FIND(CODES!$A$12,BW37)),CODES!$A$12,IF(OR(ISNUMBER(FIND(CODES!$A$10,BW37)),ISNUMBER(FIND(CODES!$A$11,BW37))),CODES!$A$13,IF(OR(BW37&lt;BW$39,ISNUMBER(BW37)=FALSE),BW$40,BW37))))</f>
      </c>
      <c r="BX64" s="7" t="str">
        <f>IF(ISBLANK(BX37),"NO DATA",IF(ISNUMBER(FIND(CODES!$A$12,BX37)),CODES!$A$12,IF(OR(ISNUMBER(FIND(CODES!$A$10,BX37)),ISNUMBER(FIND(CODES!$A$11,BX37))),CODES!$A$13,IF(OR(BX37&lt;BX$39,ISNUMBER(BX37)=FALSE),BX$40,BX37))))</f>
      </c>
      <c r="BY64" s="7" t="str">
        <f>IF(ISBLANK(BY37),"NO DATA",IF(ISNUMBER(FIND(CODES!$A$12,BY37)),CODES!$A$12,IF(OR(ISNUMBER(FIND(CODES!$A$10,BY37)),ISNUMBER(FIND(CODES!$A$11,BY37))),CODES!$A$13,IF(OR(BY37&lt;BY$39,ISNUMBER(BY37)=FALSE),BY$40,BY37))))</f>
      </c>
      <c r="BZ64" s="7" t="str">
        <f>IF(ISBLANK(BZ37),"NO DATA",IF(ISNUMBER(FIND(CODES!$A$12,BZ37)),CODES!$A$12,IF(OR(ISNUMBER(FIND(CODES!$A$10,BZ37)),ISNUMBER(FIND(CODES!$A$11,BZ37))),CODES!$A$13,IF(OR(BZ37&lt;BZ$39,ISNUMBER(BZ37)=FALSE),BZ$40,BZ37))))</f>
      </c>
      <c r="CA64" s="7" t="str">
        <f>IF(ISBLANK(CA37),"NO DATA",IF(ISNUMBER(FIND(CODES!$A$12,CA37)),CODES!$A$12,IF(OR(ISNUMBER(FIND(CODES!$A$10,CA37)),ISNUMBER(FIND(CODES!$A$11,CA37))),CODES!$A$13,IF(OR(CA37&lt;CA$39,ISNUMBER(CA37)=FALSE),CA$40,CA37))))</f>
      </c>
      <c r="CB64" s="7" t="str">
        <f>IF(ISBLANK(CB37),"NO DATA",IF(ISNUMBER(FIND(CODES!$A$12,CB37)),CODES!$A$12,IF(OR(ISNUMBER(FIND(CODES!$A$10,CB37)),ISNUMBER(FIND(CODES!$A$11,CB37))),CODES!$A$13,IF(OR(CB37&lt;CB$39,ISNUMBER(CB37)=FALSE),CB$40,CB37))))</f>
      </c>
      <c r="CC64" s="7" t="str">
        <f>IF(ISBLANK(CC37),"NO DATA",IF(ISNUMBER(FIND(CODES!$A$12,CC37)),CODES!$A$12,IF(OR(ISNUMBER(FIND(CODES!$A$10,CC37)),ISNUMBER(FIND(CODES!$A$11,CC37))),CODES!$A$13,IF(OR(CC37&lt;CC$39,ISNUMBER(CC37)=FALSE),CC$40,CC37))))</f>
      </c>
      <c r="CD64" s="7" t="str">
        <f>IF(ISBLANK(CD37),"NO DATA",IF(ISNUMBER(FIND(CODES!$A$12,CD37)),CODES!$A$12,IF(OR(ISNUMBER(FIND(CODES!$A$10,CD37)),ISNUMBER(FIND(CODES!$A$11,CD37))),CODES!$A$13,IF(OR(CD37&lt;CD$39,ISNUMBER(CD37)=FALSE),CD$40,CD37))))</f>
      </c>
      <c r="CE64" s="7" t="str">
        <f>IF(ISBLANK(CE37),"NO DATA",IF(ISNUMBER(FIND(CODES!$A$12,CE37)),CODES!$A$12,IF(OR(ISNUMBER(FIND(CODES!$A$10,CE37)),ISNUMBER(FIND(CODES!$A$11,CE37))),CODES!$A$13,IF(OR(CE37&lt;CE$39,ISNUMBER(CE37)=FALSE),CE$40,CE37))))</f>
      </c>
      <c r="CF64" s="7" t="str">
        <f>IF(ISBLANK(CF37),"NO DATA",IF(ISNUMBER(FIND(CODES!$A$12,CF37)),CODES!$A$12,IF(OR(ISNUMBER(FIND(CODES!$A$10,CF37)),ISNUMBER(FIND(CODES!$A$11,CF37))),CODES!$A$13,IF(OR(CF37&lt;CF$39,ISNUMBER(CF37)=FALSE),CF$40,CF37))))</f>
      </c>
      <c r="CG64" s="7" t="str">
        <f>IF(ISBLANK(CG37),"NO DATA",IF(ISNUMBER(FIND(CODES!$A$12,CG37)),CODES!$A$12,IF(OR(ISNUMBER(FIND(CODES!$A$10,CG37)),ISNUMBER(FIND(CODES!$A$11,CG37))),CODES!$A$13,IF(OR(CG37&lt;CG$39,ISNUMBER(CG37)=FALSE),CG$40,CG37))))</f>
      </c>
      <c r="CH64" s="7" t="str">
        <f>IF(ISBLANK(CH37),"NO DATA",IF(ISNUMBER(FIND(CODES!$A$12,CH37)),CODES!$A$12,IF(OR(ISNUMBER(FIND(CODES!$A$10,CH37)),ISNUMBER(FIND(CODES!$A$11,CH37))),CODES!$A$13,IF(OR(CH37&lt;CH$39,ISNUMBER(CH37)=FALSE),CH$40,CH37))))</f>
      </c>
      <c r="CI64" s="7" t="str">
        <f>IF(ISBLANK(CI37),"NO DATA",IF(ISNUMBER(FIND(CODES!$A$12,CI37)),CODES!$A$12,IF(OR(ISNUMBER(FIND(CODES!$A$10,CI37)),ISNUMBER(FIND(CODES!$A$11,CI37))),CODES!$A$13,IF(OR(CI37&lt;CI$39,ISNUMBER(CI37)=FALSE),CI$40,CI37))))</f>
      </c>
      <c r="CJ64" s="7" t="str">
        <f>IF(ISBLANK(CJ37),"NO DATA",IF(ISNUMBER(FIND(CODES!$A$12,CJ37)),CODES!$A$12,IF(OR(ISNUMBER(FIND(CODES!$A$10,CJ37)),ISNUMBER(FIND(CODES!$A$11,CJ37))),CODES!$A$13,IF(OR(CJ37&lt;CJ$39,ISNUMBER(CJ37)=FALSE),CJ$40,CJ37))))</f>
      </c>
      <c r="CK64" s="7" t="str">
        <f>IF(ISBLANK(CK37),"NO DATA",IF(ISNUMBER(FIND(CODES!$A$12,CK37)),CODES!$A$12,IF(OR(ISNUMBER(FIND(CODES!$A$10,CK37)),ISNUMBER(FIND(CODES!$A$11,CK37))),CODES!$A$13,IF(OR(CK37&lt;CK$39,ISNUMBER(CK37)=FALSE),CK$40,CK37))))</f>
      </c>
      <c r="CL64" s="7" t="str">
        <f>IF(ISBLANK(CL37),"NO DATA",IF(ISNUMBER(FIND(CODES!$A$12,CL37)),CODES!$A$12,IF(OR(ISNUMBER(FIND(CODES!$A$10,CL37)),ISNUMBER(FIND(CODES!$A$11,CL37))),CODES!$A$13,IF(OR(CL37&lt;CL$39,ISNUMBER(CL37)=FALSE),CL$40,CL37))))</f>
      </c>
      <c r="CM64" s="7" t="str">
        <f>IF(ISBLANK(CM37),"NO DATA",IF(ISNUMBER(FIND(CODES!$A$12,CM37)),CODES!$A$12,IF(OR(ISNUMBER(FIND(CODES!$A$10,CM37)),ISNUMBER(FIND(CODES!$A$11,CM37))),CODES!$A$13,IF(OR(CM37&lt;CM$39,ISNUMBER(CM37)=FALSE),CM$40,CM37))))</f>
      </c>
      <c r="CN64" s="7" t="str">
        <f>IF(ISBLANK(CN37),"NO DATA",IF(ISNUMBER(FIND(CODES!$A$12,CN37)),CODES!$A$12,IF(OR(ISNUMBER(FIND(CODES!$A$10,CN37)),ISNUMBER(FIND(CODES!$A$11,CN37))),CODES!$A$13,IF(OR(CN37&lt;CN$39,ISNUMBER(CN37)=FALSE),CN$40,CN37))))</f>
      </c>
      <c r="CO64" s="7" t="str">
        <f>IF(ISBLANK(CO37),"NO DATA",IF(ISNUMBER(FIND(CODES!$A$12,CO37)),CODES!$A$12,IF(OR(ISNUMBER(FIND(CODES!$A$10,CO37)),ISNUMBER(FIND(CODES!$A$11,CO37))),CODES!$A$13,IF(OR(CO37&lt;CO$39,ISNUMBER(CO37)=FALSE),CO$40,CO37))))</f>
      </c>
      <c r="CP64" s="7" t="str">
        <f>IF(ISBLANK(CP37),"NO DATA",IF(ISNUMBER(FIND(CODES!$A$12,CP37)),CODES!$A$12,IF(OR(ISNUMBER(FIND(CODES!$A$10,CP37)),ISNUMBER(FIND(CODES!$A$11,CP37))),CODES!$A$13,IF(OR(CP37&lt;CP$39,ISNUMBER(CP37)=FALSE),CP$40,CP37))))</f>
      </c>
      <c r="CQ64" s="7" t="str">
        <f>IF(ISBLANK(CQ37),"NO DATA",IF(ISNUMBER(FIND(CODES!$A$12,CQ37)),CODES!$A$12,IF(OR(ISNUMBER(FIND(CODES!$A$10,CQ37)),ISNUMBER(FIND(CODES!$A$11,CQ37))),CODES!$A$13,IF(OR(CQ37&lt;CQ$39,ISNUMBER(CQ37)=FALSE),CQ$40,CQ37))))</f>
      </c>
      <c r="CR64" s="7" t="str">
        <f>IF(ISBLANK(CR37),"NO DATA",IF(ISNUMBER(FIND(CODES!$A$12,CR37)),CODES!$A$12,IF(OR(ISNUMBER(FIND(CODES!$A$10,CR37)),ISNUMBER(FIND(CODES!$A$11,CR37))),CODES!$A$13,IF(OR(CR37&lt;CR$39,ISNUMBER(CR37)=FALSE),CR$40,CR37))))</f>
      </c>
      <c r="CS64" s="7" t="str">
        <f>IF(ISBLANK(CS37),"NO DATA",IF(ISNUMBER(FIND(CODES!$A$12,CS37)),CODES!$A$12,IF(OR(ISNUMBER(FIND(CODES!$A$10,CS37)),ISNUMBER(FIND(CODES!$A$11,CS37))),CODES!$A$13,IF(OR(CS37&lt;CS$39,ISNUMBER(CS37)=FALSE),CS$40,CS37))))</f>
      </c>
      <c r="CT64" s="7" t="str">
        <f>IF(ISBLANK(CT37),"NO DATA",IF(ISNUMBER(FIND(CODES!$A$12,CT37)),CODES!$A$12,IF(OR(ISNUMBER(FIND(CODES!$A$10,CT37)),ISNUMBER(FIND(CODES!$A$11,CT37))),CODES!$A$13,IF(OR(CT37&lt;CT$39,ISNUMBER(CT37)=FALSE),CT$40,CT37))))</f>
      </c>
      <c r="CU64" s="7" t="str">
        <f>IF(ISBLANK(CU37),"NO DATA",IF(ISNUMBER(FIND(CODES!$A$12,CU37)),CODES!$A$12,IF(OR(ISNUMBER(FIND(CODES!$A$10,CU37)),ISNUMBER(FIND(CODES!$A$11,CU37))),CODES!$A$13,IF(OR(CU37&lt;CU$39,ISNUMBER(CU37)=FALSE),CU$40,CU37))))</f>
      </c>
      <c r="CV64" s="7" t="str">
        <f>IF(ISBLANK(CV37),"NO DATA",IF(ISNUMBER(FIND(CODES!$A$12,CV37)),CODES!$A$12,IF(OR(ISNUMBER(FIND(CODES!$A$10,CV37)),ISNUMBER(FIND(CODES!$A$11,CV37))),CODES!$A$13,IF(OR(CV37&lt;CV$39,ISNUMBER(CV37)=FALSE),CV$40,CV37))))</f>
      </c>
      <c r="CW64" s="7" t="str">
        <f>IF(ISBLANK(CW37),"NO DATA",IF(ISNUMBER(FIND(CODES!$A$12,CW37)),CODES!$A$12,IF(OR(ISNUMBER(FIND(CODES!$A$10,CW37)),ISNUMBER(FIND(CODES!$A$11,CW37))),CODES!$A$13,IF(OR(CW37&lt;CW$39,ISNUMBER(CW37)=FALSE),CW$40,CW37))))</f>
      </c>
      <c r="CX64" s="7" t="str">
        <f>IF(ISBLANK(CX37),"NO DATA",IF(ISNUMBER(FIND(CODES!$A$12,CX37)),CODES!$A$12,IF(OR(ISNUMBER(FIND(CODES!$A$10,CX37)),ISNUMBER(FIND(CODES!$A$11,CX37))),CODES!$A$13,IF(OR(CX37&lt;CX$39,ISNUMBER(CX37)=FALSE),CX$40,CX37))))</f>
      </c>
      <c r="CY64" s="7" t="str">
        <f>IF(ISBLANK(CY37),"NO DATA",IF(ISNUMBER(FIND(CODES!$A$12,CY37)),CODES!$A$12,IF(OR(ISNUMBER(FIND(CODES!$A$10,CY37)),ISNUMBER(FIND(CODES!$A$11,CY37))),CODES!$A$13,IF(OR(CY37&lt;CY$39,ISNUMBER(CY37)=FALSE),CY$40,CY37))))</f>
      </c>
      <c r="CZ64" s="7" t="str">
        <f>IF(ISBLANK(CZ37),"NO DATA",IF(ISNUMBER(FIND(CODES!$A$12,CZ37)),CODES!$A$12,IF(OR(ISNUMBER(FIND(CODES!$A$10,CZ37)),ISNUMBER(FIND(CODES!$A$11,CZ37))),CODES!$A$13,IF(OR(CZ37&lt;CZ$39,ISNUMBER(CZ37)=FALSE),CZ$40,CZ37))))</f>
      </c>
      <c r="DA64" s="7" t="str">
        <f>IF(ISBLANK(DA37),"NO DATA",IF(ISNUMBER(FIND(CODES!$A$12,DA37)),CODES!$A$12,IF(OR(ISNUMBER(FIND(CODES!$A$10,DA37)),ISNUMBER(FIND(CODES!$A$11,DA37))),CODES!$A$13,IF(OR(DA37&lt;DA$39,ISNUMBER(DA37)=FALSE),DA$40,DA37))))</f>
      </c>
      <c r="DB64" s="7" t="str">
        <f>IF(ISBLANK(DB37),"NO DATA",IF(ISNUMBER(FIND(CODES!$A$12,DB37)),CODES!$A$12,IF(OR(ISNUMBER(FIND(CODES!$A$10,DB37)),ISNUMBER(FIND(CODES!$A$11,DB37))),CODES!$A$13,IF(OR(DB37&lt;DB$39,ISNUMBER(DB37)=FALSE),DB$40,DB37))))</f>
      </c>
      <c r="DC64" s="7" t="str">
        <f>IF(ISBLANK(DC37),"NO DATA",IF(ISNUMBER(FIND(CODES!$A$12,DC37)),CODES!$A$12,IF(OR(ISNUMBER(FIND(CODES!$A$10,DC37)),ISNUMBER(FIND(CODES!$A$11,DC37))),CODES!$A$13,IF(OR(DC37&lt;DC$39,ISNUMBER(DC37)=FALSE),DC$40,DC37))))</f>
      </c>
      <c r="DD64" s="7" t="str">
        <f>IF(ISBLANK(DD37),"NO DATA",IF(ISNUMBER(FIND(CODES!$A$12,DD37)),CODES!$A$12,IF(OR(ISNUMBER(FIND(CODES!$A$10,DD37)),ISNUMBER(FIND(CODES!$A$11,DD37))),CODES!$A$13,IF(OR(DD37&lt;DD$39,ISNUMBER(DD37)=FALSE),DD$40,DD37))))</f>
      </c>
      <c r="DE64" s="7" t="str">
        <f>IF(ISBLANK(DE37),"NO DATA",IF(ISNUMBER(FIND(CODES!$A$12,DE37)),CODES!$A$12,IF(OR(ISNUMBER(FIND(CODES!$A$10,DE37)),ISNUMBER(FIND(CODES!$A$11,DE37))),CODES!$A$13,IF(OR(DE37&lt;DE$39,ISNUMBER(DE37)=FALSE),DE$40,DE37))))</f>
      </c>
      <c r="DF64" s="7" t="str">
        <f>IF(ISBLANK(DF37),"NO DATA",IF(ISNUMBER(FIND(CODES!$A$12,DF37)),CODES!$A$12,IF(OR(ISNUMBER(FIND(CODES!$A$10,DF37)),ISNUMBER(FIND(CODES!$A$11,DF37))),CODES!$A$13,IF(OR(DF37&lt;DF$39,ISNUMBER(DF37)=FALSE),DF$40,DF37))))</f>
      </c>
      <c r="DG64" s="7" t="str">
        <f>IF(ISBLANK(DG37),"NO DATA",IF(ISNUMBER(FIND(CODES!$A$12,DG37)),CODES!$A$12,IF(OR(ISNUMBER(FIND(CODES!$A$10,DG37)),ISNUMBER(FIND(CODES!$A$11,DG37))),CODES!$A$13,IF(OR(DG37&lt;DG$39,ISNUMBER(DG37)=FALSE),DG$40,DG37))))</f>
      </c>
      <c r="DH64" s="7" t="str">
        <f>IF(ISBLANK(DH37),"NO DATA",IF(ISNUMBER(FIND(CODES!$A$12,DH37)),CODES!$A$12,IF(OR(ISNUMBER(FIND(CODES!$A$10,DH37)),ISNUMBER(FIND(CODES!$A$11,DH37))),CODES!$A$13,IF(OR(DH37&lt;DH$39,ISNUMBER(DH37)=FALSE),DH$40,DH37))))</f>
      </c>
      <c r="DI64" s="7" t="str">
        <f>IF(ISBLANK(DI37),"NO DATA",IF(ISNUMBER(FIND(CODES!$A$12,DI37)),CODES!$A$12,IF(OR(ISNUMBER(FIND(CODES!$A$10,DI37)),ISNUMBER(FIND(CODES!$A$11,DI37))),CODES!$A$13,IF(OR(DI37&lt;DI$39,ISNUMBER(DI37)=FALSE),DI$40,DI37))))</f>
      </c>
    </row>
    <row r="65" spans="1:113" x14ac:dyDescent="0.25">
      <c r="A65" s="16" t="str">
        <f t="shared" si="3"/>
      </c>
      <c r="B65" s="16" t="str">
        <f t="shared" si="3"/>
      </c>
      <c r="C65" s="7" t="str">
        <f>IF(ISBLANK(C38),"NO DATA",IF(ISNUMBER(FIND(CODES!$A$12,C38)),CODES!$A$12,IF(OR(ISNUMBER(FIND(CODES!$A$10,C38)),ISNUMBER(FIND(CODES!$A$11,C38))),CODES!$A$13,IF(OR(C38&lt;C$39,ISNUMBER(C38)=FALSE),C$40,C38))))</f>
      </c>
      <c r="D65" s="7" t="str">
        <f>IF(ISBLANK(D38),"NO DATA",IF(ISNUMBER(FIND(CODES!$A$12,D38)),CODES!$A$12,IF(OR(ISNUMBER(FIND(CODES!$A$10,D38)),ISNUMBER(FIND(CODES!$A$11,D38))),CODES!$A$13,IF(OR(D38&lt;D$39,ISNUMBER(D38)=FALSE),D$40,D38))))</f>
      </c>
      <c r="E65" s="7" t="str">
        <f>IF(ISBLANK(E38),"NO DATA",IF(ISNUMBER(FIND(CODES!$A$12,E38)),CODES!$A$12,IF(OR(ISNUMBER(FIND(CODES!$A$10,E38)),ISNUMBER(FIND(CODES!$A$11,E38))),CODES!$A$13,IF(OR(E38&lt;E$39,ISNUMBER(E38)=FALSE),E$40,E38))))</f>
      </c>
      <c r="F65" s="7" t="str">
        <f>IF(ISBLANK(F38),"NO DATA",IF(ISNUMBER(FIND(CODES!$A$12,F38)),CODES!$A$12,IF(OR(ISNUMBER(FIND(CODES!$A$10,F38)),ISNUMBER(FIND(CODES!$A$11,F38))),CODES!$A$13,IF(OR(F38&lt;F$39,ISNUMBER(F38)=FALSE),F$40,F38))))</f>
      </c>
      <c r="G65" s="7" t="str">
        <f>IF(ISBLANK(G38),"NO DATA",IF(ISNUMBER(FIND(CODES!$A$12,G38)),CODES!$A$12,IF(OR(ISNUMBER(FIND(CODES!$A$10,G38)),ISNUMBER(FIND(CODES!$A$11,G38))),CODES!$A$13,IF(OR(G38&lt;G$39,ISNUMBER(G38)=FALSE),G$40,G38))))</f>
      </c>
      <c r="H65" s="7" t="str">
        <f>IF(ISBLANK(H38),"NO DATA",IF(ISNUMBER(FIND(CODES!$A$12,H38)),CODES!$A$12,IF(OR(ISNUMBER(FIND(CODES!$A$10,H38)),ISNUMBER(FIND(CODES!$A$11,H38))),CODES!$A$13,IF(OR(H38&lt;H$39,ISNUMBER(H38)=FALSE),H$40,H38))))</f>
      </c>
      <c r="I65" s="7" t="str">
        <f>IF(ISBLANK(I38),"NO DATA",IF(ISNUMBER(FIND(CODES!$A$12,I38)),CODES!$A$12,IF(OR(ISNUMBER(FIND(CODES!$A$10,I38)),ISNUMBER(FIND(CODES!$A$11,I38))),CODES!$A$13,IF(OR(I38&lt;I$39,ISNUMBER(I38)=FALSE),I$40,I38))))</f>
      </c>
      <c r="J65" s="7" t="str">
        <f>IF(ISBLANK(J38),"NO DATA",IF(ISNUMBER(FIND(CODES!$A$12,J38)),CODES!$A$12,IF(OR(ISNUMBER(FIND(CODES!$A$10,J38)),ISNUMBER(FIND(CODES!$A$11,J38))),CODES!$A$13,IF(OR(J38&lt;J$39,ISNUMBER(J38)=FALSE),J$40,J38))))</f>
      </c>
      <c r="K65" s="7" t="str">
        <f>IF(ISBLANK(K38),"NO DATA",IF(ISNUMBER(FIND(CODES!$A$12,K38)),CODES!$A$12,IF(OR(ISNUMBER(FIND(CODES!$A$10,K38)),ISNUMBER(FIND(CODES!$A$11,K38))),CODES!$A$13,IF(OR(K38&lt;K$39,ISNUMBER(K38)=FALSE),K$40,K38))))</f>
      </c>
      <c r="L65" s="7" t="str">
        <f>IF(ISBLANK(L38),"NO DATA",IF(ISNUMBER(FIND(CODES!$A$12,L38)),CODES!$A$12,IF(OR(ISNUMBER(FIND(CODES!$A$10,L38)),ISNUMBER(FIND(CODES!$A$11,L38))),CODES!$A$13,IF(OR(L38&lt;L$39,ISNUMBER(L38)=FALSE),L$40,L38))))</f>
      </c>
      <c r="M65" s="7" t="str">
        <f>IF(ISBLANK(M38),"NO DATA",IF(ISNUMBER(FIND(CODES!$A$12,M38)),CODES!$A$12,IF(OR(ISNUMBER(FIND(CODES!$A$10,M38)),ISNUMBER(FIND(CODES!$A$11,M38))),CODES!$A$13,IF(OR(M38&lt;M$39,ISNUMBER(M38)=FALSE),M$40,M38))))</f>
      </c>
      <c r="N65" s="7" t="str">
        <f>IF(ISBLANK(N38),"NO DATA",IF(ISNUMBER(FIND(CODES!$A$12,N38)),CODES!$A$12,IF(OR(ISNUMBER(FIND(CODES!$A$10,N38)),ISNUMBER(FIND(CODES!$A$11,N38))),CODES!$A$13,IF(OR(N38&lt;N$39,ISNUMBER(N38)=FALSE),N$40,N38))))</f>
      </c>
      <c r="O65" s="7" t="str">
        <f>IF(ISBLANK(O38),"NO DATA",IF(ISNUMBER(FIND(CODES!$A$12,O38)),CODES!$A$12,IF(OR(ISNUMBER(FIND(CODES!$A$10,O38)),ISNUMBER(FIND(CODES!$A$11,O38))),CODES!$A$13,IF(OR(O38&lt;O$39,ISNUMBER(O38)=FALSE),O$40,O38))))</f>
      </c>
      <c r="P65" s="7" t="str">
        <f>IF(ISBLANK(P38),"NO DATA",IF(ISNUMBER(FIND(CODES!$A$12,P38)),CODES!$A$12,IF(OR(ISNUMBER(FIND(CODES!$A$10,P38)),ISNUMBER(FIND(CODES!$A$11,P38))),CODES!$A$13,IF(OR(P38&lt;P$39,ISNUMBER(P38)=FALSE),P$40,P38))))</f>
      </c>
      <c r="Q65" s="7" t="str">
        <f>IF(ISBLANK(Q38),"NO DATA",IF(ISNUMBER(FIND(CODES!$A$12,Q38)),CODES!$A$12,IF(OR(ISNUMBER(FIND(CODES!$A$10,Q38)),ISNUMBER(FIND(CODES!$A$11,Q38))),CODES!$A$13,IF(OR(Q38&lt;Q$39,ISNUMBER(Q38)=FALSE),Q$40,Q38))))</f>
      </c>
      <c r="R65" s="7" t="str">
        <f>IF(ISBLANK(R38),"NO DATA",IF(ISNUMBER(FIND(CODES!$A$12,R38)),CODES!$A$12,IF(OR(ISNUMBER(FIND(CODES!$A$10,R38)),ISNUMBER(FIND(CODES!$A$11,R38))),CODES!$A$13,IF(OR(R38&lt;R$39,ISNUMBER(R38)=FALSE),R$40,R38))))</f>
      </c>
      <c r="S65" s="7" t="str">
        <f>IF(ISBLANK(S38),"NO DATA",IF(ISNUMBER(FIND(CODES!$A$12,S38)),CODES!$A$12,IF(OR(ISNUMBER(FIND(CODES!$A$10,S38)),ISNUMBER(FIND(CODES!$A$11,S38))),CODES!$A$13,IF(OR(S38&lt;S$39,ISNUMBER(S38)=FALSE),S$40,S38))))</f>
      </c>
      <c r="T65" s="7" t="str">
        <f>IF(ISBLANK(T38),"NO DATA",IF(ISNUMBER(FIND(CODES!$A$12,T38)),CODES!$A$12,IF(OR(ISNUMBER(FIND(CODES!$A$10,T38)),ISNUMBER(FIND(CODES!$A$11,T38))),CODES!$A$13,IF(OR(T38&lt;T$39,ISNUMBER(T38)=FALSE),T$40,T38))))</f>
      </c>
      <c r="U65" s="7" t="str">
        <f>IF(ISBLANK(U38),"NO DATA",IF(ISNUMBER(FIND(CODES!$A$12,U38)),CODES!$A$12,IF(OR(ISNUMBER(FIND(CODES!$A$10,U38)),ISNUMBER(FIND(CODES!$A$11,U38))),CODES!$A$13,IF(OR(U38&lt;U$39,ISNUMBER(U38)=FALSE),U$40,U38))))</f>
      </c>
      <c r="V65" s="7" t="str">
        <f>IF(ISBLANK(V38),"NO DATA",IF(ISNUMBER(FIND(CODES!$A$12,V38)),CODES!$A$12,IF(OR(ISNUMBER(FIND(CODES!$A$10,V38)),ISNUMBER(FIND(CODES!$A$11,V38))),CODES!$A$13,IF(OR(V38&lt;V$39,ISNUMBER(V38)=FALSE),V$40,V38))))</f>
      </c>
      <c r="W65" s="7" t="str">
        <f>IF(ISBLANK(W38),"NO DATA",IF(ISNUMBER(FIND(CODES!$A$12,W38)),CODES!$A$12,IF(OR(ISNUMBER(FIND(CODES!$A$10,W38)),ISNUMBER(FIND(CODES!$A$11,W38))),CODES!$A$13,IF(OR(W38&lt;W$39,ISNUMBER(W38)=FALSE),W$40,W38))))</f>
      </c>
      <c r="X65" s="7" t="str">
        <f>IF(ISBLANK(X38),"NO DATA",IF(ISNUMBER(FIND(CODES!$A$12,X38)),CODES!$A$12,IF(OR(ISNUMBER(FIND(CODES!$A$10,X38)),ISNUMBER(FIND(CODES!$A$11,X38))),CODES!$A$13,IF(OR(X38&lt;X$39,ISNUMBER(X38)=FALSE),X$40,X38))))</f>
      </c>
      <c r="Y65" s="7" t="str">
        <f>IF(ISBLANK(Y38),"NO DATA",IF(ISNUMBER(FIND(CODES!$A$12,Y38)),CODES!$A$12,IF(OR(ISNUMBER(FIND(CODES!$A$10,Y38)),ISNUMBER(FIND(CODES!$A$11,Y38))),CODES!$A$13,IF(OR(Y38&lt;Y$39,ISNUMBER(Y38)=FALSE),Y$40,Y38))))</f>
      </c>
      <c r="Z65" s="7" t="str">
        <f>IF(ISBLANK(Z38),"NO DATA",IF(ISNUMBER(FIND(CODES!$A$12,Z38)),CODES!$A$12,IF(OR(ISNUMBER(FIND(CODES!$A$10,Z38)),ISNUMBER(FIND(CODES!$A$11,Z38))),CODES!$A$13,IF(OR(Z38&lt;Z$39,ISNUMBER(Z38)=FALSE),Z$40,Z38))))</f>
      </c>
      <c r="AA65" s="7" t="str">
        <f>IF(ISBLANK(AA38),"NO DATA",IF(ISNUMBER(FIND(CODES!$A$12,AA38)),CODES!$A$12,IF(OR(ISNUMBER(FIND(CODES!$A$10,AA38)),ISNUMBER(FIND(CODES!$A$11,AA38))),CODES!$A$13,IF(OR(AA38&lt;AA$39,ISNUMBER(AA38)=FALSE),AA$40,AA38))))</f>
      </c>
      <c r="AB65" s="7" t="str">
        <f>IF(ISBLANK(AB38),"NO DATA",IF(ISNUMBER(FIND(CODES!$A$12,AB38)),CODES!$A$12,IF(OR(ISNUMBER(FIND(CODES!$A$10,AB38)),ISNUMBER(FIND(CODES!$A$11,AB38))),CODES!$A$13,IF(OR(AB38&lt;AB$39,ISNUMBER(AB38)=FALSE),AB$40,AB38))))</f>
      </c>
      <c r="AC65" s="7" t="str">
        <f>IF(ISBLANK(AC38),"NO DATA",IF(ISNUMBER(FIND(CODES!$A$12,AC38)),CODES!$A$12,IF(OR(ISNUMBER(FIND(CODES!$A$10,AC38)),ISNUMBER(FIND(CODES!$A$11,AC38))),CODES!$A$13,IF(OR(AC38&lt;AC$39,ISNUMBER(AC38)=FALSE),AC$40,AC38))))</f>
      </c>
      <c r="AD65" s="7" t="str">
        <f>IF(ISBLANK(AD38),"NO DATA",IF(ISNUMBER(FIND(CODES!$A$12,AD38)),CODES!$A$12,IF(OR(ISNUMBER(FIND(CODES!$A$10,AD38)),ISNUMBER(FIND(CODES!$A$11,AD38))),CODES!$A$13,IF(OR(AD38&lt;AD$39,ISNUMBER(AD38)=FALSE),AD$40,AD38))))</f>
      </c>
      <c r="AE65" s="7" t="str">
        <f>IF(ISBLANK(AE38),"NO DATA",IF(ISNUMBER(FIND(CODES!$A$12,AE38)),CODES!$A$12,IF(OR(ISNUMBER(FIND(CODES!$A$10,AE38)),ISNUMBER(FIND(CODES!$A$11,AE38))),CODES!$A$13,IF(OR(AE38&lt;AE$39,ISNUMBER(AE38)=FALSE),AE$40,AE38))))</f>
      </c>
      <c r="AF65" s="7" t="str">
        <f>IF(ISBLANK(AF38),"NO DATA",IF(ISNUMBER(FIND(CODES!$A$12,AF38)),CODES!$A$12,IF(OR(ISNUMBER(FIND(CODES!$A$10,AF38)),ISNUMBER(FIND(CODES!$A$11,AF38))),CODES!$A$13,IF(OR(AF38&lt;AF$39,ISNUMBER(AF38)=FALSE),AF$40,AF38))))</f>
      </c>
      <c r="AG65" s="7" t="str">
        <f>IF(ISBLANK(AG38),"NO DATA",IF(ISNUMBER(FIND(CODES!$A$12,AG38)),CODES!$A$12,IF(OR(ISNUMBER(FIND(CODES!$A$10,AG38)),ISNUMBER(FIND(CODES!$A$11,AG38))),CODES!$A$13,IF(OR(AG38&lt;AG$39,ISNUMBER(AG38)=FALSE),AG$40,AG38))))</f>
      </c>
      <c r="AH65" s="7" t="str">
        <f>IF(ISBLANK(AH38),"NO DATA",IF(ISNUMBER(FIND(CODES!$A$12,AH38)),CODES!$A$12,IF(OR(ISNUMBER(FIND(CODES!$A$10,AH38)),ISNUMBER(FIND(CODES!$A$11,AH38))),CODES!$A$13,IF(OR(AH38&lt;AH$39,ISNUMBER(AH38)=FALSE),AH$40,AH38))))</f>
      </c>
      <c r="AI65" s="7" t="str">
        <f>IF(ISBLANK(AI38),"NO DATA",IF(ISNUMBER(FIND(CODES!$A$12,AI38)),CODES!$A$12,IF(OR(ISNUMBER(FIND(CODES!$A$10,AI38)),ISNUMBER(FIND(CODES!$A$11,AI38))),CODES!$A$13,IF(OR(AI38&lt;AI$39,ISNUMBER(AI38)=FALSE),AI$40,AI38))))</f>
      </c>
      <c r="AJ65" s="7" t="str">
        <f>IF(ISBLANK(AJ38),"NO DATA",IF(ISNUMBER(FIND(CODES!$A$12,AJ38)),CODES!$A$12,IF(OR(ISNUMBER(FIND(CODES!$A$10,AJ38)),ISNUMBER(FIND(CODES!$A$11,AJ38))),CODES!$A$13,IF(OR(AJ38&lt;AJ$39,ISNUMBER(AJ38)=FALSE),AJ$40,AJ38))))</f>
      </c>
      <c r="AK65" s="7" t="str">
        <f>IF(ISBLANK(AK38),"NO DATA",IF(ISNUMBER(FIND(CODES!$A$12,AK38)),CODES!$A$12,IF(OR(ISNUMBER(FIND(CODES!$A$10,AK38)),ISNUMBER(FIND(CODES!$A$11,AK38))),CODES!$A$13,IF(OR(AK38&lt;AK$39,ISNUMBER(AK38)=FALSE),AK$40,AK38))))</f>
      </c>
      <c r="AL65" s="7" t="str">
        <f>IF(ISBLANK(AL38),"NO DATA",IF(ISNUMBER(FIND(CODES!$A$12,AL38)),CODES!$A$12,IF(OR(ISNUMBER(FIND(CODES!$A$10,AL38)),ISNUMBER(FIND(CODES!$A$11,AL38))),CODES!$A$13,IF(OR(AL38&lt;AL$39,ISNUMBER(AL38)=FALSE),AL$40,AL38))))</f>
      </c>
      <c r="AM65" s="7" t="str">
        <f>IF(ISBLANK(AM38),"NO DATA",IF(ISNUMBER(FIND(CODES!$A$12,AM38)),CODES!$A$12,IF(OR(ISNUMBER(FIND(CODES!$A$10,AM38)),ISNUMBER(FIND(CODES!$A$11,AM38))),CODES!$A$13,IF(OR(AM38&lt;AM$39,ISNUMBER(AM38)=FALSE),AM$40,AM38))))</f>
      </c>
      <c r="AN65" s="7" t="str">
        <f>IF(ISBLANK(AN38),"NO DATA",IF(ISNUMBER(FIND(CODES!$A$12,AN38)),CODES!$A$12,IF(OR(ISNUMBER(FIND(CODES!$A$10,AN38)),ISNUMBER(FIND(CODES!$A$11,AN38))),CODES!$A$13,IF(OR(AN38&lt;AN$39,ISNUMBER(AN38)=FALSE),AN$40,AN38))))</f>
      </c>
      <c r="AO65" s="7" t="str">
        <f>IF(ISBLANK(AO38),"NO DATA",IF(ISNUMBER(FIND(CODES!$A$12,AO38)),CODES!$A$12,IF(OR(ISNUMBER(FIND(CODES!$A$10,AO38)),ISNUMBER(FIND(CODES!$A$11,AO38))),CODES!$A$13,IF(OR(AO38&lt;AO$39,ISNUMBER(AO38)=FALSE),AO$40,AO38))))</f>
      </c>
      <c r="AP65" s="7" t="str">
        <f>IF(ISBLANK(AP38),"NO DATA",IF(ISNUMBER(FIND(CODES!$A$12,AP38)),CODES!$A$12,IF(OR(ISNUMBER(FIND(CODES!$A$10,AP38)),ISNUMBER(FIND(CODES!$A$11,AP38))),CODES!$A$13,IF(OR(AP38&lt;AP$39,ISNUMBER(AP38)=FALSE),AP$40,AP38))))</f>
      </c>
      <c r="AQ65" s="7" t="str">
        <f>IF(ISBLANK(AQ38),"NO DATA",IF(ISNUMBER(FIND(CODES!$A$12,AQ38)),CODES!$A$12,IF(OR(ISNUMBER(FIND(CODES!$A$10,AQ38)),ISNUMBER(FIND(CODES!$A$11,AQ38))),CODES!$A$13,IF(OR(AQ38&lt;AQ$39,ISNUMBER(AQ38)=FALSE),AQ$40,AQ38))))</f>
      </c>
      <c r="AR65" s="7" t="str">
        <f>IF(ISBLANK(AR38),"NO DATA",IF(ISNUMBER(FIND(CODES!$A$12,AR38)),CODES!$A$12,IF(OR(ISNUMBER(FIND(CODES!$A$10,AR38)),ISNUMBER(FIND(CODES!$A$11,AR38))),CODES!$A$13,IF(OR(AR38&lt;AR$39,ISNUMBER(AR38)=FALSE),AR$40,AR38))))</f>
      </c>
      <c r="AS65" s="7" t="str">
        <f>IF(ISBLANK(AS38),"NO DATA",IF(ISNUMBER(FIND(CODES!$A$12,AS38)),CODES!$A$12,IF(OR(ISNUMBER(FIND(CODES!$A$10,AS38)),ISNUMBER(FIND(CODES!$A$11,AS38))),CODES!$A$13,IF(OR(AS38&lt;AS$39,ISNUMBER(AS38)=FALSE),AS$40,AS38))))</f>
      </c>
      <c r="AT65" s="7" t="str">
        <f>IF(ISBLANK(AT38),"NO DATA",IF(ISNUMBER(FIND(CODES!$A$12,AT38)),CODES!$A$12,IF(OR(ISNUMBER(FIND(CODES!$A$10,AT38)),ISNUMBER(FIND(CODES!$A$11,AT38))),CODES!$A$13,IF(OR(AT38&lt;AT$39,ISNUMBER(AT38)=FALSE),AT$40,AT38))))</f>
      </c>
      <c r="AU65" s="7" t="str">
        <f>IF(ISBLANK(AU38),"NO DATA",IF(ISNUMBER(FIND(CODES!$A$12,AU38)),CODES!$A$12,IF(OR(ISNUMBER(FIND(CODES!$A$10,AU38)),ISNUMBER(FIND(CODES!$A$11,AU38))),CODES!$A$13,IF(OR(AU38&lt;AU$39,ISNUMBER(AU38)=FALSE),AU$40,AU38))))</f>
      </c>
      <c r="AV65" s="7" t="str">
        <f>IF(ISBLANK(AV38),"NO DATA",IF(ISNUMBER(FIND(CODES!$A$12,AV38)),CODES!$A$12,IF(OR(ISNUMBER(FIND(CODES!$A$10,AV38)),ISNUMBER(FIND(CODES!$A$11,AV38))),CODES!$A$13,IF(OR(AV38&lt;AV$39,ISNUMBER(AV38)=FALSE),AV$40,AV38))))</f>
      </c>
      <c r="AW65" s="7" t="str">
        <f>IF(ISBLANK(AW38),"NO DATA",IF(ISNUMBER(FIND(CODES!$A$12,AW38)),CODES!$A$12,IF(OR(ISNUMBER(FIND(CODES!$A$10,AW38)),ISNUMBER(FIND(CODES!$A$11,AW38))),CODES!$A$13,IF(OR(AW38&lt;AW$39,ISNUMBER(AW38)=FALSE),AW$40,AW38))))</f>
      </c>
      <c r="AX65" s="7" t="str">
        <f>IF(ISBLANK(AX38),"NO DATA",IF(ISNUMBER(FIND(CODES!$A$12,AX38)),CODES!$A$12,IF(OR(ISNUMBER(FIND(CODES!$A$10,AX38)),ISNUMBER(FIND(CODES!$A$11,AX38))),CODES!$A$13,IF(OR(AX38&lt;AX$39,ISNUMBER(AX38)=FALSE),AX$40,AX38))))</f>
      </c>
      <c r="AY65" s="7" t="str">
        <f>IF(ISBLANK(AY38),"NO DATA",IF(ISNUMBER(FIND(CODES!$A$12,AY38)),CODES!$A$12,IF(OR(ISNUMBER(FIND(CODES!$A$10,AY38)),ISNUMBER(FIND(CODES!$A$11,AY38))),CODES!$A$13,IF(OR(AY38&lt;AY$39,ISNUMBER(AY38)=FALSE),AY$40,AY38))))</f>
      </c>
      <c r="AZ65" s="7" t="str">
        <f>IF(ISBLANK(AZ38),"NO DATA",IF(ISNUMBER(FIND(CODES!$A$12,AZ38)),CODES!$A$12,IF(OR(ISNUMBER(FIND(CODES!$A$10,AZ38)),ISNUMBER(FIND(CODES!$A$11,AZ38))),CODES!$A$13,IF(OR(AZ38&lt;AZ$39,ISNUMBER(AZ38)=FALSE),AZ$40,AZ38))))</f>
      </c>
      <c r="BA65" s="7" t="str">
        <f>IF(ISBLANK(BA38),"NO DATA",IF(ISNUMBER(FIND(CODES!$A$12,BA38)),CODES!$A$12,IF(OR(ISNUMBER(FIND(CODES!$A$10,BA38)),ISNUMBER(FIND(CODES!$A$11,BA38))),CODES!$A$13,IF(OR(BA38&lt;BA$39,ISNUMBER(BA38)=FALSE),BA$40,BA38))))</f>
      </c>
      <c r="BB65" s="7" t="str">
        <f>IF(ISBLANK(BB38),"NO DATA",IF(ISNUMBER(FIND(CODES!$A$12,BB38)),CODES!$A$12,IF(OR(ISNUMBER(FIND(CODES!$A$10,BB38)),ISNUMBER(FIND(CODES!$A$11,BB38))),CODES!$A$13,IF(OR(BB38&lt;BB$39,ISNUMBER(BB38)=FALSE),BB$40,BB38))))</f>
      </c>
      <c r="BC65" s="7" t="str">
        <f>IF(ISBLANK(BC38),"NO DATA",IF(ISNUMBER(FIND(CODES!$A$12,BC38)),CODES!$A$12,IF(OR(ISNUMBER(FIND(CODES!$A$10,BC38)),ISNUMBER(FIND(CODES!$A$11,BC38))),CODES!$A$13,IF(OR(BC38&lt;BC$39,ISNUMBER(BC38)=FALSE),BC$40,BC38))))</f>
      </c>
      <c r="BD65" s="7" t="str">
        <f>IF(ISBLANK(BD38),"NO DATA",IF(ISNUMBER(FIND(CODES!$A$12,BD38)),CODES!$A$12,IF(OR(ISNUMBER(FIND(CODES!$A$10,BD38)),ISNUMBER(FIND(CODES!$A$11,BD38))),CODES!$A$13,IF(OR(BD38&lt;BD$39,ISNUMBER(BD38)=FALSE),BD$40,BD38))))</f>
      </c>
      <c r="BE65" s="7" t="str">
        <f>IF(ISBLANK(BE38),"NO DATA",IF(ISNUMBER(FIND(CODES!$A$12,BE38)),CODES!$A$12,IF(OR(ISNUMBER(FIND(CODES!$A$10,BE38)),ISNUMBER(FIND(CODES!$A$11,BE38))),CODES!$A$13,IF(OR(BE38&lt;BE$39,ISNUMBER(BE38)=FALSE),BE$40,BE38))))</f>
      </c>
      <c r="BF65" s="7" t="str">
        <f>IF(ISBLANK(BF38),"NO DATA",IF(ISNUMBER(FIND(CODES!$A$12,BF38)),CODES!$A$12,IF(OR(ISNUMBER(FIND(CODES!$A$10,BF38)),ISNUMBER(FIND(CODES!$A$11,BF38))),CODES!$A$13,IF(OR(BF38&lt;BF$39,ISNUMBER(BF38)=FALSE),BF$40,BF38))))</f>
      </c>
      <c r="BG65" s="7" t="str">
        <f>IF(ISBLANK(BG38),"NO DATA",IF(ISNUMBER(FIND(CODES!$A$12,BG38)),CODES!$A$12,IF(OR(ISNUMBER(FIND(CODES!$A$10,BG38)),ISNUMBER(FIND(CODES!$A$11,BG38))),CODES!$A$13,IF(OR(BG38&lt;BG$39,ISNUMBER(BG38)=FALSE),BG$40,BG38))))</f>
      </c>
      <c r="BH65" s="7" t="str">
        <f>IF(ISBLANK(BH38),"NO DATA",IF(ISNUMBER(FIND(CODES!$A$12,BH38)),CODES!$A$12,IF(OR(ISNUMBER(FIND(CODES!$A$10,BH38)),ISNUMBER(FIND(CODES!$A$11,BH38))),CODES!$A$13,IF(OR(BH38&lt;BH$39,ISNUMBER(BH38)=FALSE),BH$40,BH38))))</f>
      </c>
      <c r="BI65" s="7" t="str">
        <f>IF(ISBLANK(BI38),"NO DATA",IF(ISNUMBER(FIND(CODES!$A$12,BI38)),CODES!$A$12,IF(OR(ISNUMBER(FIND(CODES!$A$10,BI38)),ISNUMBER(FIND(CODES!$A$11,BI38))),CODES!$A$13,IF(OR(BI38&lt;BI$39,ISNUMBER(BI38)=FALSE),BI$40,BI38))))</f>
      </c>
      <c r="BJ65" s="7" t="str">
        <f>IF(ISBLANK(BJ38),"NO DATA",IF(ISNUMBER(FIND(CODES!$A$12,BJ38)),CODES!$A$12,IF(OR(ISNUMBER(FIND(CODES!$A$10,BJ38)),ISNUMBER(FIND(CODES!$A$11,BJ38))),CODES!$A$13,IF(OR(BJ38&lt;BJ$39,ISNUMBER(BJ38)=FALSE),BJ$40,BJ38))))</f>
      </c>
      <c r="BK65" s="7" t="str">
        <f>IF(ISBLANK(BK38),"NO DATA",IF(ISNUMBER(FIND(CODES!$A$12,BK38)),CODES!$A$12,IF(OR(ISNUMBER(FIND(CODES!$A$10,BK38)),ISNUMBER(FIND(CODES!$A$11,BK38))),CODES!$A$13,IF(OR(BK38&lt;BK$39,ISNUMBER(BK38)=FALSE),BK$40,BK38))))</f>
      </c>
      <c r="BL65" s="7" t="str">
        <f>IF(ISBLANK(BL38),"NO DATA",IF(ISNUMBER(FIND(CODES!$A$12,BL38)),CODES!$A$12,IF(OR(ISNUMBER(FIND(CODES!$A$10,BL38)),ISNUMBER(FIND(CODES!$A$11,BL38))),CODES!$A$13,IF(OR(BL38&lt;BL$39,ISNUMBER(BL38)=FALSE),BL$40,BL38))))</f>
      </c>
      <c r="BM65" s="7" t="str">
        <f>IF(ISBLANK(BM38),"NO DATA",IF(ISNUMBER(FIND(CODES!$A$12,BM38)),CODES!$A$12,IF(OR(ISNUMBER(FIND(CODES!$A$10,BM38)),ISNUMBER(FIND(CODES!$A$11,BM38))),CODES!$A$13,IF(OR(BM38&lt;BM$39,ISNUMBER(BM38)=FALSE),BM$40,BM38))))</f>
      </c>
      <c r="BN65" s="7" t="str">
        <f>IF(ISBLANK(BN38),"NO DATA",IF(ISNUMBER(FIND(CODES!$A$12,BN38)),CODES!$A$12,IF(OR(ISNUMBER(FIND(CODES!$A$10,BN38)),ISNUMBER(FIND(CODES!$A$11,BN38))),CODES!$A$13,IF(OR(BN38&lt;BN$39,ISNUMBER(BN38)=FALSE),BN$40,BN38))))</f>
      </c>
      <c r="BO65" s="7" t="str">
        <f>IF(ISBLANK(BO38),"NO DATA",IF(ISNUMBER(FIND(CODES!$A$12,BO38)),CODES!$A$12,IF(OR(ISNUMBER(FIND(CODES!$A$10,BO38)),ISNUMBER(FIND(CODES!$A$11,BO38))),CODES!$A$13,IF(OR(BO38&lt;BO$39,ISNUMBER(BO38)=FALSE),BO$40,BO38))))</f>
      </c>
      <c r="BP65" s="7" t="str">
        <f>IF(ISBLANK(BP38),"NO DATA",IF(ISNUMBER(FIND(CODES!$A$12,BP38)),CODES!$A$12,IF(OR(ISNUMBER(FIND(CODES!$A$10,BP38)),ISNUMBER(FIND(CODES!$A$11,BP38))),CODES!$A$13,IF(OR(BP38&lt;BP$39,ISNUMBER(BP38)=FALSE),BP$40,BP38))))</f>
      </c>
      <c r="BQ65" s="7" t="str">
        <f>IF(ISBLANK(BQ38),"NO DATA",IF(ISNUMBER(FIND(CODES!$A$12,BQ38)),CODES!$A$12,IF(OR(ISNUMBER(FIND(CODES!$A$10,BQ38)),ISNUMBER(FIND(CODES!$A$11,BQ38))),CODES!$A$13,IF(OR(BQ38&lt;BQ$39,ISNUMBER(BQ38)=FALSE),BQ$40,BQ38))))</f>
      </c>
      <c r="BR65" s="7" t="str">
        <f>IF(ISBLANK(BR38),"NO DATA",IF(ISNUMBER(FIND(CODES!$A$12,BR38)),CODES!$A$12,IF(OR(ISNUMBER(FIND(CODES!$A$10,BR38)),ISNUMBER(FIND(CODES!$A$11,BR38))),CODES!$A$13,IF(OR(BR38&lt;BR$39,ISNUMBER(BR38)=FALSE),BR$40,BR38))))</f>
      </c>
      <c r="BS65" s="7" t="str">
        <f>IF(ISBLANK(BS38),"NO DATA",IF(ISNUMBER(FIND(CODES!$A$12,BS38)),CODES!$A$12,IF(OR(ISNUMBER(FIND(CODES!$A$10,BS38)),ISNUMBER(FIND(CODES!$A$11,BS38))),CODES!$A$13,IF(OR(BS38&lt;BS$39,ISNUMBER(BS38)=FALSE),BS$40,BS38))))</f>
      </c>
      <c r="BT65" s="7" t="str">
        <f>IF(ISBLANK(BT38),"NO DATA",IF(ISNUMBER(FIND(CODES!$A$12,BT38)),CODES!$A$12,IF(OR(ISNUMBER(FIND(CODES!$A$10,BT38)),ISNUMBER(FIND(CODES!$A$11,BT38))),CODES!$A$13,IF(OR(BT38&lt;BT$39,ISNUMBER(BT38)=FALSE),BT$40,BT38))))</f>
      </c>
      <c r="BU65" s="7" t="str">
        <f>IF(ISBLANK(BU38),"NO DATA",IF(ISNUMBER(FIND(CODES!$A$12,BU38)),CODES!$A$12,IF(OR(ISNUMBER(FIND(CODES!$A$10,BU38)),ISNUMBER(FIND(CODES!$A$11,BU38))),CODES!$A$13,IF(OR(BU38&lt;BU$39,ISNUMBER(BU38)=FALSE),BU$40,BU38))))</f>
      </c>
      <c r="BV65" s="7" t="str">
        <f>IF(ISBLANK(BV38),"NO DATA",IF(ISNUMBER(FIND(CODES!$A$12,BV38)),CODES!$A$12,IF(OR(ISNUMBER(FIND(CODES!$A$10,BV38)),ISNUMBER(FIND(CODES!$A$11,BV38))),CODES!$A$13,IF(OR(BV38&lt;BV$39,ISNUMBER(BV38)=FALSE),BV$40,BV38))))</f>
      </c>
      <c r="BW65" s="7" t="str">
        <f>IF(ISBLANK(BW38),"NO DATA",IF(ISNUMBER(FIND(CODES!$A$12,BW38)),CODES!$A$12,IF(OR(ISNUMBER(FIND(CODES!$A$10,BW38)),ISNUMBER(FIND(CODES!$A$11,BW38))),CODES!$A$13,IF(OR(BW38&lt;BW$39,ISNUMBER(BW38)=FALSE),BW$40,BW38))))</f>
      </c>
      <c r="BX65" s="7" t="str">
        <f>IF(ISBLANK(BX38),"NO DATA",IF(ISNUMBER(FIND(CODES!$A$12,BX38)),CODES!$A$12,IF(OR(ISNUMBER(FIND(CODES!$A$10,BX38)),ISNUMBER(FIND(CODES!$A$11,BX38))),CODES!$A$13,IF(OR(BX38&lt;BX$39,ISNUMBER(BX38)=FALSE),BX$40,BX38))))</f>
      </c>
      <c r="BY65" s="7" t="str">
        <f>IF(ISBLANK(BY38),"NO DATA",IF(ISNUMBER(FIND(CODES!$A$12,BY38)),CODES!$A$12,IF(OR(ISNUMBER(FIND(CODES!$A$10,BY38)),ISNUMBER(FIND(CODES!$A$11,BY38))),CODES!$A$13,IF(OR(BY38&lt;BY$39,ISNUMBER(BY38)=FALSE),BY$40,BY38))))</f>
      </c>
      <c r="BZ65" s="7" t="str">
        <f>IF(ISBLANK(BZ38),"NO DATA",IF(ISNUMBER(FIND(CODES!$A$12,BZ38)),CODES!$A$12,IF(OR(ISNUMBER(FIND(CODES!$A$10,BZ38)),ISNUMBER(FIND(CODES!$A$11,BZ38))),CODES!$A$13,IF(OR(BZ38&lt;BZ$39,ISNUMBER(BZ38)=FALSE),BZ$40,BZ38))))</f>
      </c>
      <c r="CA65" s="7" t="str">
        <f>IF(ISBLANK(CA38),"NO DATA",IF(ISNUMBER(FIND(CODES!$A$12,CA38)),CODES!$A$12,IF(OR(ISNUMBER(FIND(CODES!$A$10,CA38)),ISNUMBER(FIND(CODES!$A$11,CA38))),CODES!$A$13,IF(OR(CA38&lt;CA$39,ISNUMBER(CA38)=FALSE),CA$40,CA38))))</f>
      </c>
      <c r="CB65" s="7" t="str">
        <f>IF(ISBLANK(CB38),"NO DATA",IF(ISNUMBER(FIND(CODES!$A$12,CB38)),CODES!$A$12,IF(OR(ISNUMBER(FIND(CODES!$A$10,CB38)),ISNUMBER(FIND(CODES!$A$11,CB38))),CODES!$A$13,IF(OR(CB38&lt;CB$39,ISNUMBER(CB38)=FALSE),CB$40,CB38))))</f>
      </c>
      <c r="CC65" s="7" t="str">
        <f>IF(ISBLANK(CC38),"NO DATA",IF(ISNUMBER(FIND(CODES!$A$12,CC38)),CODES!$A$12,IF(OR(ISNUMBER(FIND(CODES!$A$10,CC38)),ISNUMBER(FIND(CODES!$A$11,CC38))),CODES!$A$13,IF(OR(CC38&lt;CC$39,ISNUMBER(CC38)=FALSE),CC$40,CC38))))</f>
      </c>
      <c r="CD65" s="7" t="str">
        <f>IF(ISBLANK(CD38),"NO DATA",IF(ISNUMBER(FIND(CODES!$A$12,CD38)),CODES!$A$12,IF(OR(ISNUMBER(FIND(CODES!$A$10,CD38)),ISNUMBER(FIND(CODES!$A$11,CD38))),CODES!$A$13,IF(OR(CD38&lt;CD$39,ISNUMBER(CD38)=FALSE),CD$40,CD38))))</f>
      </c>
      <c r="CE65" s="7" t="str">
        <f>IF(ISBLANK(CE38),"NO DATA",IF(ISNUMBER(FIND(CODES!$A$12,CE38)),CODES!$A$12,IF(OR(ISNUMBER(FIND(CODES!$A$10,CE38)),ISNUMBER(FIND(CODES!$A$11,CE38))),CODES!$A$13,IF(OR(CE38&lt;CE$39,ISNUMBER(CE38)=FALSE),CE$40,CE38))))</f>
      </c>
      <c r="CF65" s="7" t="str">
        <f>IF(ISBLANK(CF38),"NO DATA",IF(ISNUMBER(FIND(CODES!$A$12,CF38)),CODES!$A$12,IF(OR(ISNUMBER(FIND(CODES!$A$10,CF38)),ISNUMBER(FIND(CODES!$A$11,CF38))),CODES!$A$13,IF(OR(CF38&lt;CF$39,ISNUMBER(CF38)=FALSE),CF$40,CF38))))</f>
      </c>
      <c r="CG65" s="7" t="str">
        <f>IF(ISBLANK(CG38),"NO DATA",IF(ISNUMBER(FIND(CODES!$A$12,CG38)),CODES!$A$12,IF(OR(ISNUMBER(FIND(CODES!$A$10,CG38)),ISNUMBER(FIND(CODES!$A$11,CG38))),CODES!$A$13,IF(OR(CG38&lt;CG$39,ISNUMBER(CG38)=FALSE),CG$40,CG38))))</f>
      </c>
      <c r="CH65" s="7" t="str">
        <f>IF(ISBLANK(CH38),"NO DATA",IF(ISNUMBER(FIND(CODES!$A$12,CH38)),CODES!$A$12,IF(OR(ISNUMBER(FIND(CODES!$A$10,CH38)),ISNUMBER(FIND(CODES!$A$11,CH38))),CODES!$A$13,IF(OR(CH38&lt;CH$39,ISNUMBER(CH38)=FALSE),CH$40,CH38))))</f>
      </c>
      <c r="CI65" s="7" t="str">
        <f>IF(ISBLANK(CI38),"NO DATA",IF(ISNUMBER(FIND(CODES!$A$12,CI38)),CODES!$A$12,IF(OR(ISNUMBER(FIND(CODES!$A$10,CI38)),ISNUMBER(FIND(CODES!$A$11,CI38))),CODES!$A$13,IF(OR(CI38&lt;CI$39,ISNUMBER(CI38)=FALSE),CI$40,CI38))))</f>
      </c>
      <c r="CJ65" s="7" t="str">
        <f>IF(ISBLANK(CJ38),"NO DATA",IF(ISNUMBER(FIND(CODES!$A$12,CJ38)),CODES!$A$12,IF(OR(ISNUMBER(FIND(CODES!$A$10,CJ38)),ISNUMBER(FIND(CODES!$A$11,CJ38))),CODES!$A$13,IF(OR(CJ38&lt;CJ$39,ISNUMBER(CJ38)=FALSE),CJ$40,CJ38))))</f>
      </c>
      <c r="CK65" s="7" t="str">
        <f>IF(ISBLANK(CK38),"NO DATA",IF(ISNUMBER(FIND(CODES!$A$12,CK38)),CODES!$A$12,IF(OR(ISNUMBER(FIND(CODES!$A$10,CK38)),ISNUMBER(FIND(CODES!$A$11,CK38))),CODES!$A$13,IF(OR(CK38&lt;CK$39,ISNUMBER(CK38)=FALSE),CK$40,CK38))))</f>
      </c>
      <c r="CL65" s="7" t="str">
        <f>IF(ISBLANK(CL38),"NO DATA",IF(ISNUMBER(FIND(CODES!$A$12,CL38)),CODES!$A$12,IF(OR(ISNUMBER(FIND(CODES!$A$10,CL38)),ISNUMBER(FIND(CODES!$A$11,CL38))),CODES!$A$13,IF(OR(CL38&lt;CL$39,ISNUMBER(CL38)=FALSE),CL$40,CL38))))</f>
      </c>
      <c r="CM65" s="7" t="str">
        <f>IF(ISBLANK(CM38),"NO DATA",IF(ISNUMBER(FIND(CODES!$A$12,CM38)),CODES!$A$12,IF(OR(ISNUMBER(FIND(CODES!$A$10,CM38)),ISNUMBER(FIND(CODES!$A$11,CM38))),CODES!$A$13,IF(OR(CM38&lt;CM$39,ISNUMBER(CM38)=FALSE),CM$40,CM38))))</f>
      </c>
      <c r="CN65" s="7" t="str">
        <f>IF(ISBLANK(CN38),"NO DATA",IF(ISNUMBER(FIND(CODES!$A$12,CN38)),CODES!$A$12,IF(OR(ISNUMBER(FIND(CODES!$A$10,CN38)),ISNUMBER(FIND(CODES!$A$11,CN38))),CODES!$A$13,IF(OR(CN38&lt;CN$39,ISNUMBER(CN38)=FALSE),CN$40,CN38))))</f>
      </c>
      <c r="CO65" s="7" t="str">
        <f>IF(ISBLANK(CO38),"NO DATA",IF(ISNUMBER(FIND(CODES!$A$12,CO38)),CODES!$A$12,IF(OR(ISNUMBER(FIND(CODES!$A$10,CO38)),ISNUMBER(FIND(CODES!$A$11,CO38))),CODES!$A$13,IF(OR(CO38&lt;CO$39,ISNUMBER(CO38)=FALSE),CO$40,CO38))))</f>
      </c>
      <c r="CP65" s="7" t="str">
        <f>IF(ISBLANK(CP38),"NO DATA",IF(ISNUMBER(FIND(CODES!$A$12,CP38)),CODES!$A$12,IF(OR(ISNUMBER(FIND(CODES!$A$10,CP38)),ISNUMBER(FIND(CODES!$A$11,CP38))),CODES!$A$13,IF(OR(CP38&lt;CP$39,ISNUMBER(CP38)=FALSE),CP$40,CP38))))</f>
      </c>
      <c r="CQ65" s="7" t="str">
        <f>IF(ISBLANK(CQ38),"NO DATA",IF(ISNUMBER(FIND(CODES!$A$12,CQ38)),CODES!$A$12,IF(OR(ISNUMBER(FIND(CODES!$A$10,CQ38)),ISNUMBER(FIND(CODES!$A$11,CQ38))),CODES!$A$13,IF(OR(CQ38&lt;CQ$39,ISNUMBER(CQ38)=FALSE),CQ$40,CQ38))))</f>
      </c>
      <c r="CR65" s="7" t="str">
        <f>IF(ISBLANK(CR38),"NO DATA",IF(ISNUMBER(FIND(CODES!$A$12,CR38)),CODES!$A$12,IF(OR(ISNUMBER(FIND(CODES!$A$10,CR38)),ISNUMBER(FIND(CODES!$A$11,CR38))),CODES!$A$13,IF(OR(CR38&lt;CR$39,ISNUMBER(CR38)=FALSE),CR$40,CR38))))</f>
      </c>
      <c r="CS65" s="7" t="str">
        <f>IF(ISBLANK(CS38),"NO DATA",IF(ISNUMBER(FIND(CODES!$A$12,CS38)),CODES!$A$12,IF(OR(ISNUMBER(FIND(CODES!$A$10,CS38)),ISNUMBER(FIND(CODES!$A$11,CS38))),CODES!$A$13,IF(OR(CS38&lt;CS$39,ISNUMBER(CS38)=FALSE),CS$40,CS38))))</f>
      </c>
      <c r="CT65" s="7" t="str">
        <f>IF(ISBLANK(CT38),"NO DATA",IF(ISNUMBER(FIND(CODES!$A$12,CT38)),CODES!$A$12,IF(OR(ISNUMBER(FIND(CODES!$A$10,CT38)),ISNUMBER(FIND(CODES!$A$11,CT38))),CODES!$A$13,IF(OR(CT38&lt;CT$39,ISNUMBER(CT38)=FALSE),CT$40,CT38))))</f>
      </c>
      <c r="CU65" s="7" t="str">
        <f>IF(ISBLANK(CU38),"NO DATA",IF(ISNUMBER(FIND(CODES!$A$12,CU38)),CODES!$A$12,IF(OR(ISNUMBER(FIND(CODES!$A$10,CU38)),ISNUMBER(FIND(CODES!$A$11,CU38))),CODES!$A$13,IF(OR(CU38&lt;CU$39,ISNUMBER(CU38)=FALSE),CU$40,CU38))))</f>
      </c>
      <c r="CV65" s="7" t="str">
        <f>IF(ISBLANK(CV38),"NO DATA",IF(ISNUMBER(FIND(CODES!$A$12,CV38)),CODES!$A$12,IF(OR(ISNUMBER(FIND(CODES!$A$10,CV38)),ISNUMBER(FIND(CODES!$A$11,CV38))),CODES!$A$13,IF(OR(CV38&lt;CV$39,ISNUMBER(CV38)=FALSE),CV$40,CV38))))</f>
      </c>
      <c r="CW65" s="7" t="str">
        <f>IF(ISBLANK(CW38),"NO DATA",IF(ISNUMBER(FIND(CODES!$A$12,CW38)),CODES!$A$12,IF(OR(ISNUMBER(FIND(CODES!$A$10,CW38)),ISNUMBER(FIND(CODES!$A$11,CW38))),CODES!$A$13,IF(OR(CW38&lt;CW$39,ISNUMBER(CW38)=FALSE),CW$40,CW38))))</f>
      </c>
      <c r="CX65" s="7" t="str">
        <f>IF(ISBLANK(CX38),"NO DATA",IF(ISNUMBER(FIND(CODES!$A$12,CX38)),CODES!$A$12,IF(OR(ISNUMBER(FIND(CODES!$A$10,CX38)),ISNUMBER(FIND(CODES!$A$11,CX38))),CODES!$A$13,IF(OR(CX38&lt;CX$39,ISNUMBER(CX38)=FALSE),CX$40,CX38))))</f>
      </c>
      <c r="CY65" s="7" t="str">
        <f>IF(ISBLANK(CY38),"NO DATA",IF(ISNUMBER(FIND(CODES!$A$12,CY38)),CODES!$A$12,IF(OR(ISNUMBER(FIND(CODES!$A$10,CY38)),ISNUMBER(FIND(CODES!$A$11,CY38))),CODES!$A$13,IF(OR(CY38&lt;CY$39,ISNUMBER(CY38)=FALSE),CY$40,CY38))))</f>
      </c>
      <c r="CZ65" s="7" t="str">
        <f>IF(ISBLANK(CZ38),"NO DATA",IF(ISNUMBER(FIND(CODES!$A$12,CZ38)),CODES!$A$12,IF(OR(ISNUMBER(FIND(CODES!$A$10,CZ38)),ISNUMBER(FIND(CODES!$A$11,CZ38))),CODES!$A$13,IF(OR(CZ38&lt;CZ$39,ISNUMBER(CZ38)=FALSE),CZ$40,CZ38))))</f>
      </c>
      <c r="DA65" s="7" t="str">
        <f>IF(ISBLANK(DA38),"NO DATA",IF(ISNUMBER(FIND(CODES!$A$12,DA38)),CODES!$A$12,IF(OR(ISNUMBER(FIND(CODES!$A$10,DA38)),ISNUMBER(FIND(CODES!$A$11,DA38))),CODES!$A$13,IF(OR(DA38&lt;DA$39,ISNUMBER(DA38)=FALSE),DA$40,DA38))))</f>
      </c>
      <c r="DB65" s="7" t="str">
        <f>IF(ISBLANK(DB38),"NO DATA",IF(ISNUMBER(FIND(CODES!$A$12,DB38)),CODES!$A$12,IF(OR(ISNUMBER(FIND(CODES!$A$10,DB38)),ISNUMBER(FIND(CODES!$A$11,DB38))),CODES!$A$13,IF(OR(DB38&lt;DB$39,ISNUMBER(DB38)=FALSE),DB$40,DB38))))</f>
      </c>
      <c r="DC65" s="7" t="str">
        <f>IF(ISBLANK(DC38),"NO DATA",IF(ISNUMBER(FIND(CODES!$A$12,DC38)),CODES!$A$12,IF(OR(ISNUMBER(FIND(CODES!$A$10,DC38)),ISNUMBER(FIND(CODES!$A$11,DC38))),CODES!$A$13,IF(OR(DC38&lt;DC$39,ISNUMBER(DC38)=FALSE),DC$40,DC38))))</f>
      </c>
      <c r="DD65" s="7" t="str">
        <f>IF(ISBLANK(DD38),"NO DATA",IF(ISNUMBER(FIND(CODES!$A$12,DD38)),CODES!$A$12,IF(OR(ISNUMBER(FIND(CODES!$A$10,DD38)),ISNUMBER(FIND(CODES!$A$11,DD38))),CODES!$A$13,IF(OR(DD38&lt;DD$39,ISNUMBER(DD38)=FALSE),DD$40,DD38))))</f>
      </c>
      <c r="DE65" s="7" t="str">
        <f>IF(ISBLANK(DE38),"NO DATA",IF(ISNUMBER(FIND(CODES!$A$12,DE38)),CODES!$A$12,IF(OR(ISNUMBER(FIND(CODES!$A$10,DE38)),ISNUMBER(FIND(CODES!$A$11,DE38))),CODES!$A$13,IF(OR(DE38&lt;DE$39,ISNUMBER(DE38)=FALSE),DE$40,DE38))))</f>
      </c>
      <c r="DF65" s="7" t="str">
        <f>IF(ISBLANK(DF38),"NO DATA",IF(ISNUMBER(FIND(CODES!$A$12,DF38)),CODES!$A$12,IF(OR(ISNUMBER(FIND(CODES!$A$10,DF38)),ISNUMBER(FIND(CODES!$A$11,DF38))),CODES!$A$13,IF(OR(DF38&lt;DF$39,ISNUMBER(DF38)=FALSE),DF$40,DF38))))</f>
      </c>
      <c r="DG65" s="7" t="str">
        <f>IF(ISBLANK(DG38),"NO DATA",IF(ISNUMBER(FIND(CODES!$A$12,DG38)),CODES!$A$12,IF(OR(ISNUMBER(FIND(CODES!$A$10,DG38)),ISNUMBER(FIND(CODES!$A$11,DG38))),CODES!$A$13,IF(OR(DG38&lt;DG$39,ISNUMBER(DG38)=FALSE),DG$40,DG38))))</f>
      </c>
      <c r="DH65" s="7" t="str">
        <f>IF(ISBLANK(DH38),"NO DATA",IF(ISNUMBER(FIND(CODES!$A$12,DH38)),CODES!$A$12,IF(OR(ISNUMBER(FIND(CODES!$A$10,DH38)),ISNUMBER(FIND(CODES!$A$11,DH38))),CODES!$A$13,IF(OR(DH38&lt;DH$39,ISNUMBER(DH38)=FALSE),DH$40,DH38))))</f>
      </c>
      <c r="DI65" s="7" t="str">
        <f>IF(ISBLANK(DI38),"NO DATA",IF(ISNUMBER(FIND(CODES!$A$12,DI38)),CODES!$A$12,IF(OR(ISNUMBER(FIND(CODES!$A$10,DI38)),ISNUMBER(FIND(CODES!$A$11,DI38))),CODES!$A$13,IF(OR(DI38&lt;DI$39,ISNUMBER(DI38)=FALSE),DI$40,DI38))))</f>
      </c>
    </row>
    <row r="66" spans="1:113" x14ac:dyDescent="0.25">
      <c r="A66" s="9"/>
      <c r="B66" s="10"/>
      <c r="C66" s="15"/>
      <c r="D66" s="11"/>
      <c r="E66" s="12"/>
      <c r="F66" s="13"/>
      <c r="G66" s="17"/>
      <c r="H66" s="11"/>
      <c r="I66" s="11"/>
      <c r="J66" s="11"/>
      <c r="K66" s="12"/>
      <c r="L66" s="12"/>
      <c r="M66" s="12"/>
      <c r="N66" s="15"/>
      <c r="O66" s="15"/>
      <c r="P66" s="15"/>
      <c r="Q66" s="12"/>
      <c r="R66" s="17"/>
      <c r="S66" s="11"/>
      <c r="T66" s="12"/>
      <c r="U66" s="11"/>
      <c r="V66" s="14"/>
      <c r="W66" s="11"/>
      <c r="X66" s="11"/>
      <c r="Y66" s="13"/>
    </row>
    <row r="67" spans="1:113" x14ac:dyDescent="0.25">
      <c r="A67" s="9"/>
      <c r="B67" s="10"/>
      <c r="C67" s="15"/>
      <c r="D67" s="11"/>
      <c r="E67" s="12"/>
      <c r="F67" s="13"/>
      <c r="G67" s="17"/>
      <c r="H67" s="11"/>
      <c r="I67" s="11"/>
      <c r="J67" s="11"/>
      <c r="K67" s="12"/>
      <c r="L67" s="12"/>
      <c r="M67" s="12"/>
      <c r="N67" s="15"/>
      <c r="O67" s="15"/>
      <c r="P67" s="15"/>
      <c r="Q67" s="12"/>
      <c r="R67" s="17"/>
      <c r="S67" s="11"/>
      <c r="T67" s="12"/>
      <c r="U67" s="11"/>
      <c r="V67" s="14"/>
      <c r="W67" s="11"/>
      <c r="X67" s="11"/>
      <c r="Y67" s="13"/>
    </row>
    <row r="68" spans="1:113" x14ac:dyDescent="0.25">
      <c r="A68" s="46" t="s">
        <v>292</v>
      </c>
      <c r="B68" s="10"/>
      <c r="C68" s="15"/>
      <c r="D68" s="13"/>
      <c r="E68" s="11"/>
      <c r="F68" s="15"/>
      <c r="G68" s="12"/>
      <c r="H68" s="13"/>
      <c r="I68"/>
      <c r="J68"/>
      <c r="K68"/>
      <c r="L68"/>
      <c r="M68"/>
      <c r="N68"/>
      <c r="O68"/>
      <c r="P68"/>
      <c r="Q68"/>
      <c r="R68"/>
      <c r="S68"/>
      <c r="T68"/>
      <c r="U68"/>
      <c r="V68"/>
      <c r="W68"/>
      <c r="X68"/>
      <c r="Y68"/>
    </row>
    <row r="69" spans="1:113" x14ac:dyDescent="0.25">
      <c r="A69" s="100" t="s">
        <v>301</v>
      </c>
      <c r="B69" s="100"/>
      <c r="C69" s="48" t="str">
        <f>C17</f>
      </c>
      <c r="D69" s="8" t="str">
        <f t="shared" ref="D69:BO70" si="4">D17</f>
      </c>
      <c r="E69" s="48" t="str">
        <f t="shared" si="4"/>
      </c>
      <c r="F69" s="48" t="str">
        <f t="shared" si="4"/>
      </c>
      <c r="G69" s="8" t="str">
        <f t="shared" si="4"/>
      </c>
      <c r="H69" s="8" t="str">
        <f t="shared" si="4"/>
      </c>
      <c r="I69" s="48" t="str">
        <f t="shared" si="4"/>
      </c>
      <c r="J69" s="8" t="str">
        <f t="shared" si="4"/>
      </c>
      <c r="K69" s="48" t="str">
        <f t="shared" si="4"/>
      </c>
      <c r="L69" s="8" t="str">
        <f t="shared" si="4"/>
      </c>
      <c r="M69" s="48" t="str">
        <f t="shared" si="4"/>
      </c>
      <c r="N69" s="8" t="str">
        <f t="shared" si="4"/>
      </c>
      <c r="O69" s="48" t="str">
        <f t="shared" si="4"/>
      </c>
      <c r="P69" s="48" t="str">
        <f t="shared" si="4"/>
      </c>
      <c r="Q69" s="8" t="str">
        <f t="shared" si="4"/>
      </c>
      <c r="R69" s="48" t="str">
        <f t="shared" si="4"/>
      </c>
      <c r="S69" s="8" t="str">
        <f t="shared" si="4"/>
      </c>
      <c r="T69" s="48" t="str">
        <f t="shared" si="4"/>
      </c>
      <c r="U69" s="8" t="str">
        <f t="shared" si="4"/>
      </c>
      <c r="V69" s="48" t="str">
        <f t="shared" si="4"/>
      </c>
      <c r="W69" s="8" t="str">
        <f t="shared" si="4"/>
      </c>
      <c r="X69" s="8" t="str">
        <f t="shared" si="4"/>
      </c>
      <c r="Y69" s="48" t="str">
        <f t="shared" si="4"/>
      </c>
      <c r="Z69" s="48" t="str">
        <f t="shared" si="4"/>
      </c>
      <c r="AA69" s="8" t="str">
        <f t="shared" si="4"/>
      </c>
      <c r="AB69" s="48" t="str">
        <f t="shared" si="4"/>
      </c>
      <c r="AC69" s="8" t="str">
        <f t="shared" si="4"/>
      </c>
      <c r="AD69" s="48" t="str">
        <f t="shared" si="4"/>
      </c>
      <c r="AE69" s="8" t="str">
        <f t="shared" si="4"/>
      </c>
      <c r="AF69" s="48" t="str">
        <f t="shared" si="4"/>
      </c>
      <c r="AG69" s="8" t="str">
        <f t="shared" si="4"/>
      </c>
      <c r="AH69" s="48" t="str">
        <f t="shared" si="4"/>
      </c>
      <c r="AI69" s="48" t="str">
        <f t="shared" si="4"/>
      </c>
      <c r="AJ69" s="8" t="str">
        <f t="shared" si="4"/>
      </c>
      <c r="AK69" s="8" t="str">
        <f t="shared" si="4"/>
      </c>
      <c r="AL69" s="48" t="str">
        <f t="shared" si="4"/>
      </c>
      <c r="AM69" s="8" t="str">
        <f t="shared" si="4"/>
      </c>
      <c r="AN69" s="48" t="str">
        <f t="shared" si="4"/>
      </c>
      <c r="AO69" s="8" t="str">
        <f t="shared" si="4"/>
      </c>
      <c r="AP69" s="48" t="str">
        <f t="shared" si="4"/>
      </c>
      <c r="AQ69" s="8" t="str">
        <f t="shared" si="4"/>
      </c>
      <c r="AR69" s="48" t="str">
        <f t="shared" si="4"/>
      </c>
      <c r="AS69" s="48" t="str">
        <f t="shared" si="4"/>
      </c>
      <c r="AT69" s="48" t="str">
        <f t="shared" si="4"/>
      </c>
      <c r="AU69" s="8" t="str">
        <f t="shared" si="4"/>
      </c>
      <c r="AV69" s="8" t="str">
        <f t="shared" si="4"/>
      </c>
      <c r="AW69" s="48" t="str">
        <f t="shared" si="4"/>
      </c>
      <c r="AX69" s="48" t="str">
        <f t="shared" si="4"/>
      </c>
      <c r="AY69" s="8" t="str">
        <f t="shared" si="4"/>
      </c>
      <c r="AZ69" s="48" t="str">
        <f t="shared" si="4"/>
      </c>
      <c r="BA69" s="8" t="str">
        <f t="shared" si="4"/>
      </c>
      <c r="BB69" s="48" t="str">
        <f t="shared" si="4"/>
      </c>
      <c r="BC69" s="8" t="str">
        <f t="shared" si="4"/>
      </c>
      <c r="BD69" s="48" t="str">
        <f t="shared" si="4"/>
      </c>
      <c r="BE69" s="8" t="str">
        <f t="shared" si="4"/>
      </c>
      <c r="BF69" s="8" t="str">
        <f t="shared" si="4"/>
      </c>
      <c r="BG69" s="48" t="str">
        <f t="shared" si="4"/>
      </c>
      <c r="BH69" s="8" t="str">
        <f t="shared" si="4"/>
      </c>
      <c r="BI69" s="48" t="str">
        <f t="shared" si="4"/>
      </c>
      <c r="BJ69" s="48" t="str">
        <f t="shared" si="4"/>
      </c>
      <c r="BK69" s="8" t="str">
        <f t="shared" si="4"/>
      </c>
      <c r="BL69" s="8" t="str">
        <f t="shared" si="4"/>
      </c>
      <c r="BM69" s="48" t="str">
        <f t="shared" si="4"/>
      </c>
      <c r="BN69" s="8" t="str">
        <f t="shared" si="4"/>
      </c>
      <c r="BO69" s="8" t="str">
        <f t="shared" si="4"/>
      </c>
      <c r="BP69" s="48" t="str">
        <f t="shared" ref="BP69:DI70" si="5">BP17</f>
      </c>
      <c r="BQ69" s="48" t="str">
        <f t="shared" si="5"/>
      </c>
      <c r="BR69" s="48" t="str">
        <f t="shared" si="5"/>
      </c>
      <c r="BS69" s="8" t="str">
        <f t="shared" si="5"/>
      </c>
      <c r="BT69" s="48" t="str">
        <f t="shared" si="5"/>
      </c>
      <c r="BU69" s="48" t="str">
        <f t="shared" si="5"/>
      </c>
      <c r="BV69" s="8" t="str">
        <f t="shared" si="5"/>
      </c>
      <c r="BW69" s="8" t="str">
        <f t="shared" si="5"/>
      </c>
      <c r="BX69" s="48" t="str">
        <f t="shared" si="5"/>
      </c>
      <c r="BY69" s="48" t="str">
        <f t="shared" si="5"/>
      </c>
      <c r="BZ69" s="8" t="str">
        <f t="shared" si="5"/>
      </c>
      <c r="CA69" s="48" t="str">
        <f t="shared" si="5"/>
      </c>
      <c r="CB69" s="8" t="str">
        <f t="shared" si="5"/>
      </c>
      <c r="CC69" s="48" t="str">
        <f t="shared" si="5"/>
      </c>
      <c r="CD69" s="8" t="str">
        <f t="shared" si="5"/>
      </c>
      <c r="CE69" s="48" t="str">
        <f t="shared" si="5"/>
      </c>
      <c r="CF69" s="8" t="str">
        <f t="shared" si="5"/>
      </c>
      <c r="CG69" s="48" t="str">
        <f t="shared" si="5"/>
      </c>
      <c r="CH69" s="8" t="str">
        <f t="shared" si="5"/>
      </c>
      <c r="CI69" s="8" t="str">
        <f t="shared" si="5"/>
      </c>
      <c r="CJ69" s="48" t="str">
        <f t="shared" si="5"/>
      </c>
      <c r="CK69" s="8" t="str">
        <f t="shared" si="5"/>
      </c>
      <c r="CL69" s="48" t="str">
        <f t="shared" si="5"/>
      </c>
      <c r="CM69" s="8" t="str">
        <f t="shared" si="5"/>
      </c>
      <c r="CN69" s="48" t="str">
        <f t="shared" si="5"/>
      </c>
      <c r="CO69" s="48" t="str">
        <f t="shared" si="5"/>
      </c>
      <c r="CP69" s="8" t="str">
        <f t="shared" si="5"/>
      </c>
      <c r="CQ69" s="48" t="str">
        <f t="shared" si="5"/>
      </c>
      <c r="CR69" s="8" t="str">
        <f t="shared" si="5"/>
      </c>
      <c r="CS69" s="8" t="str">
        <f t="shared" si="5"/>
      </c>
      <c r="CT69" s="48" t="str">
        <f t="shared" si="5"/>
      </c>
      <c r="CU69" s="8" t="str">
        <f t="shared" si="5"/>
      </c>
      <c r="CV69" s="8" t="str">
        <f t="shared" si="5"/>
      </c>
      <c r="CW69" s="48" t="str">
        <f t="shared" si="5"/>
      </c>
      <c r="CX69" s="48" t="str">
        <f t="shared" si="5"/>
      </c>
      <c r="CY69" s="8" t="str">
        <f t="shared" si="5"/>
      </c>
      <c r="CZ69" s="48" t="str">
        <f t="shared" si="5"/>
      </c>
      <c r="DA69" s="8" t="str">
        <f t="shared" si="5"/>
      </c>
      <c r="DB69" s="8" t="str">
        <f t="shared" si="5"/>
      </c>
      <c r="DC69" s="48" t="str">
        <f t="shared" si="5"/>
      </c>
      <c r="DD69" s="48" t="str">
        <f t="shared" si="5"/>
      </c>
      <c r="DE69" s="8" t="str">
        <f t="shared" si="5"/>
      </c>
      <c r="DF69" s="8" t="str">
        <f t="shared" si="5"/>
      </c>
      <c r="DG69" s="48" t="str">
        <f t="shared" si="5"/>
      </c>
      <c r="DH69" s="8" t="str">
        <f t="shared" si="5"/>
      </c>
      <c r="DI69" s="48" t="str">
        <f t="shared" si="5"/>
      </c>
    </row>
    <row r="70" spans="1:113" x14ac:dyDescent="0.25">
      <c r="A70" s="47" t="s">
        <v>122</v>
      </c>
      <c r="B70" s="47" t="s">
        <v>123</v>
      </c>
      <c r="C70" s="48" t="str">
        <f>C18</f>
      </c>
      <c r="D70" s="8" t="str">
        <f t="shared" si="4"/>
      </c>
      <c r="E70" s="48" t="str">
        <f t="shared" si="4"/>
      </c>
      <c r="F70" s="48" t="str">
        <f t="shared" si="4"/>
      </c>
      <c r="G70" s="8" t="str">
        <f t="shared" si="4"/>
      </c>
      <c r="H70" s="8" t="str">
        <f t="shared" si="4"/>
      </c>
      <c r="I70" s="48" t="str">
        <f t="shared" si="4"/>
      </c>
      <c r="J70" s="8" t="str">
        <f t="shared" si="4"/>
      </c>
      <c r="K70" s="48" t="str">
        <f t="shared" si="4"/>
      </c>
      <c r="L70" s="8" t="str">
        <f t="shared" si="4"/>
      </c>
      <c r="M70" s="48" t="str">
        <f t="shared" si="4"/>
      </c>
      <c r="N70" s="8" t="str">
        <f t="shared" si="4"/>
      </c>
      <c r="O70" s="48" t="str">
        <f t="shared" si="4"/>
      </c>
      <c r="P70" s="48" t="str">
        <f t="shared" si="4"/>
      </c>
      <c r="Q70" s="8" t="str">
        <f t="shared" si="4"/>
      </c>
      <c r="R70" s="48" t="str">
        <f t="shared" si="4"/>
      </c>
      <c r="S70" s="8" t="str">
        <f t="shared" si="4"/>
      </c>
      <c r="T70" s="48" t="str">
        <f t="shared" si="4"/>
      </c>
      <c r="U70" s="8" t="str">
        <f t="shared" si="4"/>
      </c>
      <c r="V70" s="48" t="str">
        <f t="shared" si="4"/>
      </c>
      <c r="W70" s="8" t="str">
        <f t="shared" si="4"/>
      </c>
      <c r="X70" s="8" t="str">
        <f t="shared" si="4"/>
      </c>
      <c r="Y70" s="48" t="str">
        <f t="shared" si="4"/>
      </c>
      <c r="Z70" s="48" t="str">
        <f t="shared" si="4"/>
      </c>
      <c r="AA70" s="8" t="str">
        <f t="shared" si="4"/>
      </c>
      <c r="AB70" s="48" t="str">
        <f t="shared" si="4"/>
      </c>
      <c r="AC70" s="8" t="str">
        <f t="shared" si="4"/>
      </c>
      <c r="AD70" s="48" t="str">
        <f t="shared" si="4"/>
      </c>
      <c r="AE70" s="8" t="str">
        <f t="shared" si="4"/>
      </c>
      <c r="AF70" s="48" t="str">
        <f t="shared" si="4"/>
      </c>
      <c r="AG70" s="8" t="str">
        <f t="shared" si="4"/>
      </c>
      <c r="AH70" s="48" t="str">
        <f t="shared" si="4"/>
      </c>
      <c r="AI70" s="48" t="str">
        <f t="shared" si="4"/>
      </c>
      <c r="AJ70" s="8" t="str">
        <f t="shared" si="4"/>
      </c>
      <c r="AK70" s="8" t="str">
        <f t="shared" si="4"/>
      </c>
      <c r="AL70" s="48" t="str">
        <f t="shared" si="4"/>
      </c>
      <c r="AM70" s="8" t="str">
        <f t="shared" si="4"/>
      </c>
      <c r="AN70" s="48" t="str">
        <f t="shared" si="4"/>
      </c>
      <c r="AO70" s="8" t="str">
        <f t="shared" si="4"/>
      </c>
      <c r="AP70" s="48" t="str">
        <f t="shared" si="4"/>
      </c>
      <c r="AQ70" s="8" t="str">
        <f t="shared" si="4"/>
      </c>
      <c r="AR70" s="48" t="str">
        <f t="shared" si="4"/>
      </c>
      <c r="AS70" s="48" t="str">
        <f t="shared" si="4"/>
      </c>
      <c r="AT70" s="48" t="str">
        <f t="shared" si="4"/>
      </c>
      <c r="AU70" s="8" t="str">
        <f t="shared" si="4"/>
      </c>
      <c r="AV70" s="8" t="str">
        <f t="shared" si="4"/>
      </c>
      <c r="AW70" s="48" t="str">
        <f t="shared" si="4"/>
      </c>
      <c r="AX70" s="48" t="str">
        <f t="shared" si="4"/>
      </c>
      <c r="AY70" s="8" t="str">
        <f t="shared" si="4"/>
      </c>
      <c r="AZ70" s="48" t="str">
        <f t="shared" si="4"/>
      </c>
      <c r="BA70" s="8" t="str">
        <f t="shared" si="4"/>
      </c>
      <c r="BB70" s="48" t="str">
        <f t="shared" si="4"/>
      </c>
      <c r="BC70" s="8" t="str">
        <f t="shared" si="4"/>
      </c>
      <c r="BD70" s="48" t="str">
        <f t="shared" si="4"/>
      </c>
      <c r="BE70" s="8" t="str">
        <f t="shared" si="4"/>
      </c>
      <c r="BF70" s="8" t="str">
        <f t="shared" si="4"/>
      </c>
      <c r="BG70" s="48" t="str">
        <f t="shared" si="4"/>
      </c>
      <c r="BH70" s="8" t="str">
        <f t="shared" si="4"/>
      </c>
      <c r="BI70" s="48" t="str">
        <f t="shared" si="4"/>
      </c>
      <c r="BJ70" s="48" t="str">
        <f t="shared" si="4"/>
      </c>
      <c r="BK70" s="8" t="str">
        <f t="shared" si="4"/>
      </c>
      <c r="BL70" s="8" t="str">
        <f t="shared" si="4"/>
      </c>
      <c r="BM70" s="48" t="str">
        <f t="shared" si="4"/>
      </c>
      <c r="BN70" s="8" t="str">
        <f t="shared" si="4"/>
      </c>
      <c r="BO70" s="8" t="str">
        <f t="shared" si="4"/>
      </c>
      <c r="BP70" s="48" t="str">
        <f t="shared" si="5"/>
      </c>
      <c r="BQ70" s="48" t="str">
        <f t="shared" si="5"/>
      </c>
      <c r="BR70" s="48" t="str">
        <f t="shared" si="5"/>
      </c>
      <c r="BS70" s="8" t="str">
        <f t="shared" si="5"/>
      </c>
      <c r="BT70" s="48" t="str">
        <f t="shared" si="5"/>
      </c>
      <c r="BU70" s="48" t="str">
        <f t="shared" si="5"/>
      </c>
      <c r="BV70" s="8" t="str">
        <f t="shared" si="5"/>
      </c>
      <c r="BW70" s="8" t="str">
        <f t="shared" si="5"/>
      </c>
      <c r="BX70" s="48" t="str">
        <f t="shared" si="5"/>
      </c>
      <c r="BY70" s="48" t="str">
        <f t="shared" si="5"/>
      </c>
      <c r="BZ70" s="8" t="str">
        <f t="shared" si="5"/>
      </c>
      <c r="CA70" s="48" t="str">
        <f t="shared" si="5"/>
      </c>
      <c r="CB70" s="8" t="str">
        <f t="shared" si="5"/>
      </c>
      <c r="CC70" s="48" t="str">
        <f t="shared" si="5"/>
      </c>
      <c r="CD70" s="8" t="str">
        <f t="shared" si="5"/>
      </c>
      <c r="CE70" s="48" t="str">
        <f t="shared" si="5"/>
      </c>
      <c r="CF70" s="8" t="str">
        <f t="shared" si="5"/>
      </c>
      <c r="CG70" s="48" t="str">
        <f t="shared" si="5"/>
      </c>
      <c r="CH70" s="8" t="str">
        <f t="shared" si="5"/>
      </c>
      <c r="CI70" s="8" t="str">
        <f t="shared" si="5"/>
      </c>
      <c r="CJ70" s="48" t="str">
        <f t="shared" si="5"/>
      </c>
      <c r="CK70" s="8" t="str">
        <f t="shared" si="5"/>
      </c>
      <c r="CL70" s="48" t="str">
        <f t="shared" si="5"/>
      </c>
      <c r="CM70" s="8" t="str">
        <f t="shared" si="5"/>
      </c>
      <c r="CN70" s="48" t="str">
        <f t="shared" si="5"/>
      </c>
      <c r="CO70" s="48" t="str">
        <f t="shared" si="5"/>
      </c>
      <c r="CP70" s="8" t="str">
        <f t="shared" si="5"/>
      </c>
      <c r="CQ70" s="48" t="str">
        <f t="shared" si="5"/>
      </c>
      <c r="CR70" s="8" t="str">
        <f t="shared" si="5"/>
      </c>
      <c r="CS70" s="8" t="str">
        <f t="shared" si="5"/>
      </c>
      <c r="CT70" s="48" t="str">
        <f t="shared" si="5"/>
      </c>
      <c r="CU70" s="8" t="str">
        <f t="shared" si="5"/>
      </c>
      <c r="CV70" s="8" t="str">
        <f t="shared" si="5"/>
      </c>
      <c r="CW70" s="48" t="str">
        <f t="shared" si="5"/>
      </c>
      <c r="CX70" s="48" t="str">
        <f t="shared" si="5"/>
      </c>
      <c r="CY70" s="8" t="str">
        <f t="shared" si="5"/>
      </c>
      <c r="CZ70" s="48" t="str">
        <f t="shared" si="5"/>
      </c>
      <c r="DA70" s="8" t="str">
        <f t="shared" si="5"/>
      </c>
      <c r="DB70" s="8" t="str">
        <f t="shared" si="5"/>
      </c>
      <c r="DC70" s="48" t="str">
        <f t="shared" si="5"/>
      </c>
      <c r="DD70" s="48" t="str">
        <f t="shared" si="5"/>
      </c>
      <c r="DE70" s="8" t="str">
        <f t="shared" si="5"/>
      </c>
      <c r="DF70" s="8" t="str">
        <f t="shared" si="5"/>
      </c>
      <c r="DG70" s="48" t="str">
        <f t="shared" si="5"/>
      </c>
      <c r="DH70" s="8" t="str">
        <f t="shared" si="5"/>
      </c>
      <c r="DI70" s="48" t="str">
        <f t="shared" si="5"/>
      </c>
    </row>
    <row r="71" spans="1:113" x14ac:dyDescent="0.25">
      <c r="A71" s="16" t="str">
        <f>A19</f>
      </c>
      <c r="B71" s="16" t="str">
        <f>B19</f>
      </c>
      <c r="C71" s="7">
        <f>IF(C46=C$40,0,C46)</f>
      </c>
      <c r="D71" s="7">
        <f t="shared" ref="D71:BO75" si="6">IF(D46=D$40,0,D46)</f>
      </c>
      <c r="E71" s="7">
        <f t="shared" si="6"/>
      </c>
      <c r="F71" s="7">
        <f t="shared" si="6"/>
      </c>
      <c r="G71" s="7">
        <f t="shared" si="6"/>
      </c>
      <c r="H71" s="7">
        <f t="shared" si="6"/>
      </c>
      <c r="I71" s="7">
        <f t="shared" si="6"/>
      </c>
      <c r="J71" s="7">
        <f t="shared" si="6"/>
      </c>
      <c r="K71" s="7">
        <f t="shared" si="6"/>
      </c>
      <c r="L71" s="7">
        <f t="shared" si="6"/>
      </c>
      <c r="M71" s="7">
        <f t="shared" si="6"/>
      </c>
      <c r="N71" s="7" t="str">
        <f t="shared" si="6"/>
      </c>
      <c r="O71" s="7" t="str">
        <f t="shared" si="6"/>
      </c>
      <c r="P71" s="7">
        <f t="shared" si="6"/>
      </c>
      <c r="Q71" s="7">
        <f t="shared" si="6"/>
      </c>
      <c r="R71" s="7">
        <f t="shared" si="6"/>
      </c>
      <c r="S71" s="7">
        <f t="shared" si="6"/>
      </c>
      <c r="T71" s="7">
        <f t="shared" si="6"/>
      </c>
      <c r="U71" s="7">
        <f t="shared" si="6"/>
      </c>
      <c r="V71" s="7">
        <f t="shared" si="6"/>
      </c>
      <c r="W71" s="7">
        <f t="shared" si="6"/>
      </c>
      <c r="X71" s="7">
        <f t="shared" si="6"/>
      </c>
      <c r="Y71" s="7">
        <f t="shared" si="6"/>
      </c>
      <c r="Z71" s="7">
        <f t="shared" si="6"/>
      </c>
      <c r="AA71" s="7">
        <f t="shared" si="6"/>
      </c>
      <c r="AB71" s="7">
        <f t="shared" si="6"/>
      </c>
      <c r="AC71" s="7">
        <f t="shared" si="6"/>
      </c>
      <c r="AD71" s="7">
        <f t="shared" si="6"/>
      </c>
      <c r="AE71" s="7">
        <f t="shared" si="6"/>
      </c>
      <c r="AF71" s="7">
        <f t="shared" si="6"/>
      </c>
      <c r="AG71" s="7">
        <f t="shared" si="6"/>
      </c>
      <c r="AH71" s="7">
        <f t="shared" si="6"/>
      </c>
      <c r="AI71" s="7">
        <f t="shared" si="6"/>
      </c>
      <c r="AJ71" s="7">
        <f t="shared" si="6"/>
      </c>
      <c r="AK71" s="7">
        <f t="shared" si="6"/>
      </c>
      <c r="AL71" s="7">
        <f t="shared" si="6"/>
      </c>
      <c r="AM71" s="7">
        <f t="shared" si="6"/>
      </c>
      <c r="AN71" s="7">
        <f t="shared" si="6"/>
      </c>
      <c r="AO71" s="7">
        <f t="shared" si="6"/>
      </c>
      <c r="AP71" s="7">
        <f t="shared" si="6"/>
      </c>
      <c r="AQ71" s="7">
        <f t="shared" si="6"/>
      </c>
      <c r="AR71" s="7">
        <f t="shared" si="6"/>
      </c>
      <c r="AS71" s="7">
        <f t="shared" si="6"/>
      </c>
      <c r="AT71" s="7">
        <f t="shared" si="6"/>
      </c>
      <c r="AU71" s="7">
        <f t="shared" si="6"/>
      </c>
      <c r="AV71" s="7" t="str">
        <f t="shared" si="6"/>
      </c>
      <c r="AW71" s="7" t="str">
        <f t="shared" si="6"/>
      </c>
      <c r="AX71" s="7">
        <f t="shared" si="6"/>
      </c>
      <c r="AY71" s="7">
        <f t="shared" si="6"/>
      </c>
      <c r="AZ71" s="7">
        <f t="shared" si="6"/>
      </c>
      <c r="BA71" s="7">
        <f t="shared" si="6"/>
      </c>
      <c r="BB71" s="7">
        <f t="shared" si="6"/>
      </c>
      <c r="BC71" s="7">
        <f t="shared" si="6"/>
      </c>
      <c r="BD71" s="7">
        <f t="shared" si="6"/>
      </c>
      <c r="BE71" s="7">
        <f t="shared" si="6"/>
      </c>
      <c r="BF71" s="7">
        <f t="shared" si="6"/>
      </c>
      <c r="BG71" s="7">
        <f t="shared" si="6"/>
      </c>
      <c r="BH71" s="7">
        <f t="shared" si="6"/>
      </c>
      <c r="BI71" s="7">
        <f t="shared" si="6"/>
      </c>
      <c r="BJ71" s="7">
        <f t="shared" si="6"/>
      </c>
      <c r="BK71" s="7">
        <f t="shared" si="6"/>
      </c>
      <c r="BL71" s="7">
        <f t="shared" si="6"/>
      </c>
      <c r="BM71" s="7">
        <f t="shared" si="6"/>
      </c>
      <c r="BN71" s="7" t="str">
        <f t="shared" si="6"/>
      </c>
      <c r="BO71" s="7">
        <f t="shared" si="6"/>
      </c>
      <c r="BP71" s="7">
        <f t="shared" ref="BP71:DI77" si="7">IF(BP46=BP$40,0,BP46)</f>
      </c>
      <c r="BQ71" s="7">
        <f t="shared" si="7"/>
      </c>
      <c r="BR71" s="7">
        <f t="shared" si="7"/>
      </c>
      <c r="BS71" s="7">
        <f t="shared" si="7"/>
      </c>
      <c r="BT71" s="7">
        <f t="shared" si="7"/>
      </c>
      <c r="BU71" s="7">
        <f t="shared" si="7"/>
      </c>
      <c r="BV71" s="7">
        <f t="shared" si="7"/>
      </c>
      <c r="BW71" s="7" t="str">
        <f t="shared" si="7"/>
      </c>
      <c r="BX71" s="7" t="str">
        <f t="shared" si="7"/>
      </c>
      <c r="BY71" s="7">
        <f t="shared" si="7"/>
      </c>
      <c r="BZ71" s="7">
        <f t="shared" si="7"/>
      </c>
      <c r="CA71" s="7">
        <f t="shared" si="7"/>
      </c>
      <c r="CB71" s="7">
        <f t="shared" si="7"/>
      </c>
      <c r="CC71" s="7">
        <f t="shared" si="7"/>
      </c>
      <c r="CD71" s="7">
        <f t="shared" si="7"/>
      </c>
      <c r="CE71" s="7">
        <f t="shared" si="7"/>
      </c>
      <c r="CF71" s="7">
        <f t="shared" si="7"/>
      </c>
      <c r="CG71" s="7">
        <f t="shared" si="7"/>
      </c>
      <c r="CH71" s="7">
        <f t="shared" si="7"/>
      </c>
      <c r="CI71" s="7">
        <f t="shared" si="7"/>
      </c>
      <c r="CJ71" s="7">
        <f t="shared" si="7"/>
      </c>
      <c r="CK71" s="7">
        <f t="shared" si="7"/>
      </c>
      <c r="CL71" s="7">
        <f t="shared" si="7"/>
      </c>
      <c r="CM71" s="7">
        <f t="shared" si="7"/>
      </c>
      <c r="CN71" s="7">
        <f t="shared" si="7"/>
      </c>
      <c r="CO71" s="7">
        <f t="shared" si="7"/>
      </c>
      <c r="CP71" s="7">
        <f t="shared" si="7"/>
      </c>
      <c r="CQ71" s="7">
        <f t="shared" si="7"/>
      </c>
      <c r="CR71" s="7">
        <f t="shared" si="7"/>
      </c>
      <c r="CS71" s="7">
        <f t="shared" si="7"/>
      </c>
      <c r="CT71" s="7">
        <f t="shared" si="7"/>
      </c>
      <c r="CU71" s="7">
        <f t="shared" si="7"/>
      </c>
      <c r="CV71" s="7">
        <f t="shared" si="7"/>
      </c>
      <c r="CW71" s="7">
        <f t="shared" si="7"/>
      </c>
      <c r="CX71" s="7">
        <f t="shared" si="7"/>
      </c>
      <c r="CY71" s="7">
        <f t="shared" si="7"/>
      </c>
      <c r="CZ71" s="7">
        <f t="shared" si="7"/>
      </c>
      <c r="DA71" s="7">
        <f t="shared" si="7"/>
      </c>
      <c r="DB71" s="7" t="str">
        <f t="shared" si="7"/>
      </c>
      <c r="DC71" s="7" t="str">
        <f t="shared" si="7"/>
      </c>
      <c r="DD71" s="7">
        <f t="shared" si="7"/>
      </c>
      <c r="DE71" s="7">
        <f t="shared" si="7"/>
      </c>
      <c r="DF71" s="7">
        <f t="shared" si="7"/>
      </c>
      <c r="DG71" s="7">
        <f t="shared" si="7"/>
      </c>
      <c r="DH71" s="7">
        <f t="shared" si="7"/>
      </c>
      <c r="DI71" s="7">
        <f t="shared" si="7"/>
      </c>
    </row>
    <row r="72" spans="1:113" x14ac:dyDescent="0.25">
      <c r="A72" s="16" t="str">
        <f t="shared" ref="A72:B87" si="8">A20</f>
      </c>
      <c r="B72" s="16" t="str">
        <f t="shared" si="8"/>
      </c>
      <c r="C72" s="7">
        <f t="shared" ref="C72:R82" si="9">IF(C47=C$40,0,C47)</f>
      </c>
      <c r="D72" s="7">
        <f t="shared" si="9"/>
      </c>
      <c r="E72" s="7">
        <f t="shared" si="9"/>
      </c>
      <c r="F72" s="7">
        <f t="shared" si="9"/>
      </c>
      <c r="G72" s="7">
        <f t="shared" si="9"/>
      </c>
      <c r="H72" s="7">
        <f t="shared" si="9"/>
      </c>
      <c r="I72" s="7">
        <f t="shared" si="9"/>
      </c>
      <c r="J72" s="7">
        <f t="shared" si="9"/>
      </c>
      <c r="K72" s="7">
        <f t="shared" si="9"/>
      </c>
      <c r="L72" s="7">
        <f t="shared" si="9"/>
      </c>
      <c r="M72" s="7">
        <f t="shared" si="9"/>
      </c>
      <c r="N72" s="7" t="str">
        <f t="shared" si="9"/>
      </c>
      <c r="O72" s="7" t="str">
        <f t="shared" si="9"/>
      </c>
      <c r="P72" s="7">
        <f t="shared" si="9"/>
      </c>
      <c r="Q72" s="7">
        <f t="shared" si="9"/>
      </c>
      <c r="R72" s="7">
        <f t="shared" si="9"/>
      </c>
      <c r="S72" s="7">
        <f t="shared" si="6"/>
      </c>
      <c r="T72" s="7">
        <f t="shared" si="6"/>
      </c>
      <c r="U72" s="7">
        <f t="shared" si="6"/>
      </c>
      <c r="V72" s="7">
        <f t="shared" si="6"/>
      </c>
      <c r="W72" s="7">
        <f t="shared" si="6"/>
      </c>
      <c r="X72" s="7">
        <f t="shared" si="6"/>
      </c>
      <c r="Y72" s="7">
        <f t="shared" si="6"/>
      </c>
      <c r="Z72" s="7">
        <f t="shared" si="6"/>
      </c>
      <c r="AA72" s="7">
        <f t="shared" si="6"/>
      </c>
      <c r="AB72" s="7">
        <f t="shared" si="6"/>
      </c>
      <c r="AC72" s="7">
        <f t="shared" si="6"/>
      </c>
      <c r="AD72" s="7">
        <f t="shared" si="6"/>
      </c>
      <c r="AE72" s="7">
        <f t="shared" si="6"/>
      </c>
      <c r="AF72" s="7">
        <f t="shared" si="6"/>
      </c>
      <c r="AG72" s="7">
        <f t="shared" si="6"/>
      </c>
      <c r="AH72" s="7">
        <f t="shared" si="6"/>
      </c>
      <c r="AI72" s="7">
        <f t="shared" si="6"/>
      </c>
      <c r="AJ72" s="7">
        <f t="shared" si="6"/>
      </c>
      <c r="AK72" s="7">
        <f t="shared" si="6"/>
      </c>
      <c r="AL72" s="7">
        <f t="shared" si="6"/>
      </c>
      <c r="AM72" s="7">
        <f t="shared" si="6"/>
      </c>
      <c r="AN72" s="7">
        <f t="shared" si="6"/>
      </c>
      <c r="AO72" s="7">
        <f t="shared" si="6"/>
      </c>
      <c r="AP72" s="7">
        <f t="shared" si="6"/>
      </c>
      <c r="AQ72" s="7">
        <f t="shared" si="6"/>
      </c>
      <c r="AR72" s="7">
        <f t="shared" si="6"/>
      </c>
      <c r="AS72" s="7">
        <f t="shared" si="6"/>
      </c>
      <c r="AT72" s="7">
        <f t="shared" si="6"/>
      </c>
      <c r="AU72" s="7">
        <f t="shared" si="6"/>
      </c>
      <c r="AV72" s="7" t="str">
        <f t="shared" si="6"/>
      </c>
      <c r="AW72" s="7" t="str">
        <f t="shared" si="6"/>
      </c>
      <c r="AX72" s="7">
        <f t="shared" si="6"/>
      </c>
      <c r="AY72" s="7">
        <f t="shared" si="6"/>
      </c>
      <c r="AZ72" s="7">
        <f t="shared" si="6"/>
      </c>
      <c r="BA72" s="7">
        <f t="shared" si="6"/>
      </c>
      <c r="BB72" s="7">
        <f t="shared" si="6"/>
      </c>
      <c r="BC72" s="7">
        <f t="shared" si="6"/>
      </c>
      <c r="BD72" s="7">
        <f t="shared" si="6"/>
      </c>
      <c r="BE72" s="7">
        <f t="shared" si="6"/>
      </c>
      <c r="BF72" s="7">
        <f t="shared" si="6"/>
      </c>
      <c r="BG72" s="7">
        <f t="shared" si="6"/>
      </c>
      <c r="BH72" s="7">
        <f t="shared" si="6"/>
      </c>
      <c r="BI72" s="7">
        <f t="shared" si="6"/>
      </c>
      <c r="BJ72" s="7">
        <f t="shared" si="6"/>
      </c>
      <c r="BK72" s="7">
        <f t="shared" si="6"/>
      </c>
      <c r="BL72" s="7">
        <f t="shared" si="6"/>
      </c>
      <c r="BM72" s="7">
        <f t="shared" si="6"/>
      </c>
      <c r="BN72" s="7" t="str">
        <f t="shared" si="6"/>
      </c>
      <c r="BO72" s="7">
        <f t="shared" si="6"/>
      </c>
      <c r="BP72" s="7">
        <f t="shared" si="7"/>
      </c>
      <c r="BQ72" s="7">
        <f t="shared" si="7"/>
      </c>
      <c r="BR72" s="7">
        <f t="shared" si="7"/>
      </c>
      <c r="BS72" s="7">
        <f t="shared" si="7"/>
      </c>
      <c r="BT72" s="7">
        <f t="shared" si="7"/>
      </c>
      <c r="BU72" s="7">
        <f t="shared" si="7"/>
      </c>
      <c r="BV72" s="7">
        <f t="shared" si="7"/>
      </c>
      <c r="BW72" s="7" t="str">
        <f t="shared" si="7"/>
      </c>
      <c r="BX72" s="7" t="str">
        <f t="shared" si="7"/>
      </c>
      <c r="BY72" s="7">
        <f t="shared" si="7"/>
      </c>
      <c r="BZ72" s="7">
        <f t="shared" si="7"/>
      </c>
      <c r="CA72" s="7">
        <f t="shared" si="7"/>
      </c>
      <c r="CB72" s="7">
        <f t="shared" si="7"/>
      </c>
      <c r="CC72" s="7">
        <f t="shared" si="7"/>
      </c>
      <c r="CD72" s="7">
        <f t="shared" si="7"/>
      </c>
      <c r="CE72" s="7">
        <f t="shared" si="7"/>
      </c>
      <c r="CF72" s="7">
        <f t="shared" si="7"/>
      </c>
      <c r="CG72" s="7">
        <f t="shared" si="7"/>
      </c>
      <c r="CH72" s="7">
        <f t="shared" si="7"/>
      </c>
      <c r="CI72" s="7">
        <f t="shared" si="7"/>
      </c>
      <c r="CJ72" s="7">
        <f t="shared" si="7"/>
      </c>
      <c r="CK72" s="7">
        <f t="shared" si="7"/>
      </c>
      <c r="CL72" s="7">
        <f t="shared" si="7"/>
      </c>
      <c r="CM72" s="7">
        <f t="shared" si="7"/>
      </c>
      <c r="CN72" s="7">
        <f t="shared" si="7"/>
      </c>
      <c r="CO72" s="7">
        <f t="shared" si="7"/>
      </c>
      <c r="CP72" s="7">
        <f t="shared" si="7"/>
      </c>
      <c r="CQ72" s="7">
        <f t="shared" si="7"/>
      </c>
      <c r="CR72" s="7">
        <f t="shared" si="7"/>
      </c>
      <c r="CS72" s="7">
        <f t="shared" si="7"/>
      </c>
      <c r="CT72" s="7">
        <f t="shared" si="7"/>
      </c>
      <c r="CU72" s="7">
        <f t="shared" si="7"/>
      </c>
      <c r="CV72" s="7">
        <f t="shared" si="7"/>
      </c>
      <c r="CW72" s="7">
        <f t="shared" si="7"/>
      </c>
      <c r="CX72" s="7">
        <f t="shared" si="7"/>
      </c>
      <c r="CY72" s="7">
        <f t="shared" si="7"/>
      </c>
      <c r="CZ72" s="7">
        <f t="shared" si="7"/>
      </c>
      <c r="DA72" s="7">
        <f t="shared" si="7"/>
      </c>
      <c r="DB72" s="7" t="str">
        <f t="shared" si="7"/>
      </c>
      <c r="DC72" s="7" t="str">
        <f t="shared" si="7"/>
      </c>
      <c r="DD72" s="7">
        <f t="shared" si="7"/>
      </c>
      <c r="DE72" s="7">
        <f t="shared" si="7"/>
      </c>
      <c r="DF72" s="7">
        <f t="shared" si="7"/>
      </c>
      <c r="DG72" s="7">
        <f t="shared" si="7"/>
      </c>
      <c r="DH72" s="7">
        <f t="shared" si="7"/>
      </c>
      <c r="DI72" s="7">
        <f t="shared" si="7"/>
      </c>
    </row>
    <row r="73" spans="1:113" x14ac:dyDescent="0.25">
      <c r="A73" s="16" t="str">
        <f t="shared" si="8"/>
      </c>
      <c r="B73" s="16" t="str">
        <f t="shared" si="8"/>
      </c>
      <c r="C73" s="7">
        <f t="shared" si="9"/>
      </c>
      <c r="D73" s="7">
        <f t="shared" si="9"/>
      </c>
      <c r="E73" s="7">
        <f t="shared" si="9"/>
      </c>
      <c r="F73" s="7">
        <f t="shared" si="9"/>
      </c>
      <c r="G73" s="7">
        <f t="shared" si="9"/>
      </c>
      <c r="H73" s="7">
        <f t="shared" si="9"/>
      </c>
      <c r="I73" s="7">
        <f t="shared" si="9"/>
      </c>
      <c r="J73" s="7">
        <f t="shared" si="9"/>
      </c>
      <c r="K73" s="7">
        <f t="shared" si="9"/>
      </c>
      <c r="L73" s="7">
        <f t="shared" si="9"/>
      </c>
      <c r="M73" s="7">
        <f t="shared" si="9"/>
      </c>
      <c r="N73" s="7" t="str">
        <f t="shared" si="9"/>
      </c>
      <c r="O73" s="7" t="str">
        <f t="shared" si="9"/>
      </c>
      <c r="P73" s="7">
        <f t="shared" si="9"/>
      </c>
      <c r="Q73" s="7">
        <f t="shared" si="9"/>
      </c>
      <c r="R73" s="7">
        <f t="shared" si="9"/>
      </c>
      <c r="S73" s="7">
        <f t="shared" si="6"/>
      </c>
      <c r="T73" s="7">
        <f t="shared" si="6"/>
      </c>
      <c r="U73" s="7">
        <f t="shared" si="6"/>
      </c>
      <c r="V73" s="7">
        <f t="shared" si="6"/>
      </c>
      <c r="W73" s="7">
        <f t="shared" si="6"/>
      </c>
      <c r="X73" s="7">
        <f t="shared" si="6"/>
      </c>
      <c r="Y73" s="7">
        <f t="shared" si="6"/>
      </c>
      <c r="Z73" s="7">
        <f t="shared" si="6"/>
      </c>
      <c r="AA73" s="7">
        <f t="shared" si="6"/>
      </c>
      <c r="AB73" s="7">
        <f t="shared" si="6"/>
      </c>
      <c r="AC73" s="7">
        <f t="shared" si="6"/>
      </c>
      <c r="AD73" s="7">
        <f t="shared" si="6"/>
      </c>
      <c r="AE73" s="7">
        <f t="shared" si="6"/>
      </c>
      <c r="AF73" s="7">
        <f t="shared" si="6"/>
      </c>
      <c r="AG73" s="7">
        <f t="shared" si="6"/>
      </c>
      <c r="AH73" s="7">
        <f t="shared" si="6"/>
      </c>
      <c r="AI73" s="7">
        <f t="shared" si="6"/>
      </c>
      <c r="AJ73" s="7">
        <f t="shared" si="6"/>
      </c>
      <c r="AK73" s="7">
        <f t="shared" si="6"/>
      </c>
      <c r="AL73" s="7">
        <f t="shared" si="6"/>
      </c>
      <c r="AM73" s="7">
        <f t="shared" si="6"/>
      </c>
      <c r="AN73" s="7">
        <f t="shared" si="6"/>
      </c>
      <c r="AO73" s="7">
        <f t="shared" si="6"/>
      </c>
      <c r="AP73" s="7">
        <f t="shared" si="6"/>
      </c>
      <c r="AQ73" s="7">
        <f t="shared" si="6"/>
      </c>
      <c r="AR73" s="7">
        <f t="shared" si="6"/>
      </c>
      <c r="AS73" s="7">
        <f t="shared" si="6"/>
      </c>
      <c r="AT73" s="7">
        <f t="shared" si="6"/>
      </c>
      <c r="AU73" s="7">
        <f t="shared" si="6"/>
      </c>
      <c r="AV73" s="7" t="str">
        <f t="shared" si="6"/>
      </c>
      <c r="AW73" s="7" t="str">
        <f t="shared" si="6"/>
      </c>
      <c r="AX73" s="7">
        <f t="shared" si="6"/>
      </c>
      <c r="AY73" s="7">
        <f t="shared" si="6"/>
      </c>
      <c r="AZ73" s="7">
        <f t="shared" si="6"/>
      </c>
      <c r="BA73" s="7">
        <f t="shared" si="6"/>
      </c>
      <c r="BB73" s="7">
        <f t="shared" si="6"/>
      </c>
      <c r="BC73" s="7">
        <f t="shared" si="6"/>
      </c>
      <c r="BD73" s="7">
        <f t="shared" si="6"/>
      </c>
      <c r="BE73" s="7">
        <f t="shared" si="6"/>
      </c>
      <c r="BF73" s="7">
        <f t="shared" si="6"/>
      </c>
      <c r="BG73" s="7">
        <f t="shared" si="6"/>
      </c>
      <c r="BH73" s="7">
        <f t="shared" si="6"/>
      </c>
      <c r="BI73" s="7">
        <f t="shared" si="6"/>
      </c>
      <c r="BJ73" s="7">
        <f t="shared" si="6"/>
      </c>
      <c r="BK73" s="7">
        <f t="shared" si="6"/>
      </c>
      <c r="BL73" s="7">
        <f t="shared" si="6"/>
      </c>
      <c r="BM73" s="7">
        <f t="shared" si="6"/>
      </c>
      <c r="BN73" s="7" t="str">
        <f t="shared" si="6"/>
      </c>
      <c r="BO73" s="7">
        <f t="shared" si="6"/>
      </c>
      <c r="BP73" s="7">
        <f t="shared" si="7"/>
      </c>
      <c r="BQ73" s="7">
        <f t="shared" si="7"/>
      </c>
      <c r="BR73" s="7">
        <f t="shared" si="7"/>
      </c>
      <c r="BS73" s="7">
        <f t="shared" si="7"/>
      </c>
      <c r="BT73" s="7">
        <f t="shared" si="7"/>
      </c>
      <c r="BU73" s="7">
        <f t="shared" si="7"/>
      </c>
      <c r="BV73" s="7">
        <f t="shared" si="7"/>
      </c>
      <c r="BW73" s="7" t="str">
        <f t="shared" si="7"/>
      </c>
      <c r="BX73" s="7" t="str">
        <f t="shared" si="7"/>
      </c>
      <c r="BY73" s="7">
        <f t="shared" si="7"/>
      </c>
      <c r="BZ73" s="7">
        <f t="shared" si="7"/>
      </c>
      <c r="CA73" s="7">
        <f t="shared" si="7"/>
      </c>
      <c r="CB73" s="7">
        <f t="shared" si="7"/>
      </c>
      <c r="CC73" s="7">
        <f t="shared" si="7"/>
      </c>
      <c r="CD73" s="7">
        <f t="shared" si="7"/>
      </c>
      <c r="CE73" s="7">
        <f t="shared" si="7"/>
      </c>
      <c r="CF73" s="7">
        <f t="shared" si="7"/>
      </c>
      <c r="CG73" s="7">
        <f t="shared" si="7"/>
      </c>
      <c r="CH73" s="7">
        <f t="shared" si="7"/>
      </c>
      <c r="CI73" s="7">
        <f t="shared" si="7"/>
      </c>
      <c r="CJ73" s="7">
        <f t="shared" si="7"/>
      </c>
      <c r="CK73" s="7">
        <f t="shared" si="7"/>
      </c>
      <c r="CL73" s="7">
        <f t="shared" si="7"/>
      </c>
      <c r="CM73" s="7">
        <f t="shared" si="7"/>
      </c>
      <c r="CN73" s="7">
        <f t="shared" si="7"/>
      </c>
      <c r="CO73" s="7">
        <f t="shared" si="7"/>
      </c>
      <c r="CP73" s="7">
        <f t="shared" si="7"/>
      </c>
      <c r="CQ73" s="7">
        <f t="shared" si="7"/>
      </c>
      <c r="CR73" s="7">
        <f t="shared" si="7"/>
      </c>
      <c r="CS73" s="7">
        <f t="shared" si="7"/>
      </c>
      <c r="CT73" s="7">
        <f t="shared" si="7"/>
      </c>
      <c r="CU73" s="7">
        <f t="shared" si="7"/>
      </c>
      <c r="CV73" s="7">
        <f t="shared" si="7"/>
      </c>
      <c r="CW73" s="7">
        <f t="shared" si="7"/>
      </c>
      <c r="CX73" s="7">
        <f t="shared" si="7"/>
      </c>
      <c r="CY73" s="7">
        <f t="shared" si="7"/>
      </c>
      <c r="CZ73" s="7">
        <f t="shared" si="7"/>
      </c>
      <c r="DA73" s="7">
        <f t="shared" si="7"/>
      </c>
      <c r="DB73" s="7" t="str">
        <f t="shared" si="7"/>
      </c>
      <c r="DC73" s="7" t="str">
        <f t="shared" si="7"/>
      </c>
      <c r="DD73" s="7">
        <f t="shared" si="7"/>
      </c>
      <c r="DE73" s="7">
        <f t="shared" si="7"/>
      </c>
      <c r="DF73" s="7">
        <f t="shared" si="7"/>
      </c>
      <c r="DG73" s="7">
        <f t="shared" si="7"/>
      </c>
      <c r="DH73" s="7">
        <f t="shared" si="7"/>
      </c>
      <c r="DI73" s="7">
        <f t="shared" si="7"/>
      </c>
    </row>
    <row r="74" spans="1:113" x14ac:dyDescent="0.25">
      <c r="A74" s="16" t="str">
        <f t="shared" si="8"/>
      </c>
      <c r="B74" s="16" t="str">
        <f t="shared" si="8"/>
      </c>
      <c r="C74" s="7">
        <f t="shared" si="9"/>
      </c>
      <c r="D74" s="7">
        <f t="shared" si="6"/>
      </c>
      <c r="E74" s="7">
        <f t="shared" si="6"/>
      </c>
      <c r="F74" s="7">
        <f t="shared" si="6"/>
      </c>
      <c r="G74" s="7">
        <f t="shared" si="6"/>
      </c>
      <c r="H74" s="7">
        <f t="shared" si="6"/>
      </c>
      <c r="I74" s="7">
        <f t="shared" si="6"/>
      </c>
      <c r="J74" s="7">
        <f t="shared" si="6"/>
      </c>
      <c r="K74" s="7">
        <f t="shared" si="6"/>
      </c>
      <c r="L74" s="7">
        <f t="shared" si="6"/>
      </c>
      <c r="M74" s="7">
        <f t="shared" si="6"/>
      </c>
      <c r="N74" s="7" t="str">
        <f t="shared" si="6"/>
      </c>
      <c r="O74" s="7" t="str">
        <f t="shared" si="6"/>
      </c>
      <c r="P74" s="7">
        <f t="shared" si="6"/>
      </c>
      <c r="Q74" s="7">
        <f t="shared" si="6"/>
      </c>
      <c r="R74" s="7">
        <f t="shared" si="6"/>
      </c>
      <c r="S74" s="7">
        <f t="shared" si="6"/>
      </c>
      <c r="T74" s="7">
        <f t="shared" si="6"/>
      </c>
      <c r="U74" s="7">
        <f t="shared" si="6"/>
      </c>
      <c r="V74" s="7">
        <f t="shared" si="6"/>
      </c>
      <c r="W74" s="7">
        <f t="shared" si="6"/>
      </c>
      <c r="X74" s="7">
        <f t="shared" si="6"/>
      </c>
      <c r="Y74" s="7">
        <f t="shared" si="6"/>
      </c>
      <c r="Z74" s="7">
        <f t="shared" si="6"/>
      </c>
      <c r="AA74" s="7">
        <f t="shared" si="6"/>
      </c>
      <c r="AB74" s="7">
        <f t="shared" si="6"/>
      </c>
      <c r="AC74" s="7">
        <f t="shared" si="6"/>
      </c>
      <c r="AD74" s="7">
        <f t="shared" si="6"/>
      </c>
      <c r="AE74" s="7">
        <f t="shared" si="6"/>
      </c>
      <c r="AF74" s="7">
        <f t="shared" si="6"/>
      </c>
      <c r="AG74" s="7">
        <f t="shared" si="6"/>
      </c>
      <c r="AH74" s="7">
        <f t="shared" si="6"/>
      </c>
      <c r="AI74" s="7">
        <f t="shared" si="6"/>
      </c>
      <c r="AJ74" s="7">
        <f t="shared" si="6"/>
      </c>
      <c r="AK74" s="7">
        <f t="shared" si="6"/>
      </c>
      <c r="AL74" s="7">
        <f t="shared" si="6"/>
      </c>
      <c r="AM74" s="7">
        <f t="shared" si="6"/>
      </c>
      <c r="AN74" s="7">
        <f t="shared" si="6"/>
      </c>
      <c r="AO74" s="7">
        <f t="shared" si="6"/>
      </c>
      <c r="AP74" s="7">
        <f t="shared" si="6"/>
      </c>
      <c r="AQ74" s="7">
        <f t="shared" si="6"/>
      </c>
      <c r="AR74" s="7">
        <f t="shared" si="6"/>
      </c>
      <c r="AS74" s="7">
        <f t="shared" si="6"/>
      </c>
      <c r="AT74" s="7">
        <f t="shared" si="6"/>
      </c>
      <c r="AU74" s="7">
        <f t="shared" si="6"/>
      </c>
      <c r="AV74" s="7" t="str">
        <f t="shared" si="6"/>
      </c>
      <c r="AW74" s="7" t="str">
        <f t="shared" si="6"/>
      </c>
      <c r="AX74" s="7">
        <f t="shared" si="6"/>
      </c>
      <c r="AY74" s="7">
        <f t="shared" si="6"/>
      </c>
      <c r="AZ74" s="7">
        <f t="shared" si="6"/>
      </c>
      <c r="BA74" s="7">
        <f t="shared" si="6"/>
      </c>
      <c r="BB74" s="7">
        <f t="shared" si="6"/>
      </c>
      <c r="BC74" s="7">
        <f t="shared" si="6"/>
      </c>
      <c r="BD74" s="7">
        <f t="shared" si="6"/>
      </c>
      <c r="BE74" s="7">
        <f t="shared" si="6"/>
      </c>
      <c r="BF74" s="7">
        <f t="shared" si="6"/>
      </c>
      <c r="BG74" s="7">
        <f t="shared" si="6"/>
      </c>
      <c r="BH74" s="7">
        <f t="shared" si="6"/>
      </c>
      <c r="BI74" s="7">
        <f t="shared" si="6"/>
      </c>
      <c r="BJ74" s="7">
        <f t="shared" si="6"/>
      </c>
      <c r="BK74" s="7">
        <f t="shared" si="6"/>
      </c>
      <c r="BL74" s="7">
        <f t="shared" si="6"/>
      </c>
      <c r="BM74" s="7">
        <f t="shared" si="6"/>
      </c>
      <c r="BN74" s="7" t="str">
        <f t="shared" si="6"/>
      </c>
      <c r="BO74" s="7">
        <f t="shared" si="6"/>
      </c>
      <c r="BP74" s="7">
        <f t="shared" si="7"/>
      </c>
      <c r="BQ74" s="7">
        <f t="shared" si="7"/>
      </c>
      <c r="BR74" s="7">
        <f t="shared" si="7"/>
      </c>
      <c r="BS74" s="7">
        <f t="shared" si="7"/>
      </c>
      <c r="BT74" s="7">
        <f t="shared" si="7"/>
      </c>
      <c r="BU74" s="7">
        <f t="shared" si="7"/>
      </c>
      <c r="BV74" s="7">
        <f t="shared" si="7"/>
      </c>
      <c r="BW74" s="7" t="str">
        <f t="shared" si="7"/>
      </c>
      <c r="BX74" s="7" t="str">
        <f t="shared" si="7"/>
      </c>
      <c r="BY74" s="7">
        <f t="shared" si="7"/>
      </c>
      <c r="BZ74" s="7">
        <f t="shared" si="7"/>
      </c>
      <c r="CA74" s="7">
        <f t="shared" si="7"/>
      </c>
      <c r="CB74" s="7">
        <f t="shared" si="7"/>
      </c>
      <c r="CC74" s="7">
        <f t="shared" si="7"/>
      </c>
      <c r="CD74" s="7">
        <f t="shared" si="7"/>
      </c>
      <c r="CE74" s="7">
        <f t="shared" si="7"/>
      </c>
      <c r="CF74" s="7">
        <f t="shared" si="7"/>
      </c>
      <c r="CG74" s="7">
        <f t="shared" si="7"/>
      </c>
      <c r="CH74" s="7">
        <f t="shared" si="7"/>
      </c>
      <c r="CI74" s="7">
        <f t="shared" si="7"/>
      </c>
      <c r="CJ74" s="7">
        <f t="shared" si="7"/>
      </c>
      <c r="CK74" s="7">
        <f t="shared" si="7"/>
      </c>
      <c r="CL74" s="7">
        <f t="shared" si="7"/>
      </c>
      <c r="CM74" s="7">
        <f t="shared" si="7"/>
      </c>
      <c r="CN74" s="7">
        <f t="shared" si="7"/>
      </c>
      <c r="CO74" s="7">
        <f t="shared" si="7"/>
      </c>
      <c r="CP74" s="7">
        <f t="shared" si="7"/>
      </c>
      <c r="CQ74" s="7">
        <f t="shared" si="7"/>
      </c>
      <c r="CR74" s="7">
        <f t="shared" si="7"/>
      </c>
      <c r="CS74" s="7">
        <f t="shared" si="7"/>
      </c>
      <c r="CT74" s="7">
        <f t="shared" si="7"/>
      </c>
      <c r="CU74" s="7">
        <f t="shared" si="7"/>
      </c>
      <c r="CV74" s="7">
        <f t="shared" si="7"/>
      </c>
      <c r="CW74" s="7">
        <f t="shared" si="7"/>
      </c>
      <c r="CX74" s="7">
        <f t="shared" si="7"/>
      </c>
      <c r="CY74" s="7">
        <f t="shared" si="7"/>
      </c>
      <c r="CZ74" s="7">
        <f t="shared" si="7"/>
      </c>
      <c r="DA74" s="7">
        <f t="shared" si="7"/>
      </c>
      <c r="DB74" s="7" t="str">
        <f t="shared" si="7"/>
      </c>
      <c r="DC74" s="7" t="str">
        <f t="shared" si="7"/>
      </c>
      <c r="DD74" s="7">
        <f t="shared" si="7"/>
      </c>
      <c r="DE74" s="7">
        <f t="shared" si="7"/>
      </c>
      <c r="DF74" s="7">
        <f t="shared" si="7"/>
      </c>
      <c r="DG74" s="7">
        <f t="shared" si="7"/>
      </c>
      <c r="DH74" s="7">
        <f t="shared" si="7"/>
      </c>
      <c r="DI74" s="7">
        <f t="shared" si="7"/>
      </c>
    </row>
    <row r="75" spans="1:113" x14ac:dyDescent="0.25">
      <c r="A75" s="16" t="str">
        <f t="shared" si="8"/>
      </c>
      <c r="B75" s="16" t="str">
        <f t="shared" si="8"/>
      </c>
      <c r="C75" s="7">
        <f t="shared" si="9"/>
      </c>
      <c r="D75" s="7">
        <f t="shared" si="6"/>
      </c>
      <c r="E75" s="7">
        <f t="shared" si="6"/>
      </c>
      <c r="F75" s="7">
        <f t="shared" si="6"/>
      </c>
      <c r="G75" s="7">
        <f t="shared" si="6"/>
      </c>
      <c r="H75" s="7">
        <f t="shared" si="6"/>
      </c>
      <c r="I75" s="7">
        <f t="shared" si="6"/>
      </c>
      <c r="J75" s="7">
        <f t="shared" si="6"/>
      </c>
      <c r="K75" s="7">
        <f t="shared" si="6"/>
      </c>
      <c r="L75" s="7">
        <f t="shared" si="6"/>
      </c>
      <c r="M75" s="7">
        <f t="shared" si="6"/>
      </c>
      <c r="N75" s="7" t="str">
        <f t="shared" si="6"/>
      </c>
      <c r="O75" s="7" t="str">
        <f t="shared" si="6"/>
      </c>
      <c r="P75" s="7">
        <f t="shared" si="6"/>
      </c>
      <c r="Q75" s="7">
        <f t="shared" si="6"/>
      </c>
      <c r="R75" s="7">
        <f t="shared" si="6"/>
      </c>
      <c r="S75" s="7">
        <f t="shared" si="6"/>
      </c>
      <c r="T75" s="7">
        <f t="shared" si="6"/>
      </c>
      <c r="U75" s="7">
        <f t="shared" si="6"/>
      </c>
      <c r="V75" s="7">
        <f t="shared" si="6"/>
      </c>
      <c r="W75" s="7">
        <f t="shared" si="6"/>
      </c>
      <c r="X75" s="7">
        <f t="shared" si="6"/>
      </c>
      <c r="Y75" s="7">
        <f t="shared" si="6"/>
      </c>
      <c r="Z75" s="7">
        <f t="shared" si="6"/>
      </c>
      <c r="AA75" s="7">
        <f t="shared" si="6"/>
      </c>
      <c r="AB75" s="7">
        <f t="shared" si="6"/>
      </c>
      <c r="AC75" s="7">
        <f t="shared" si="6"/>
      </c>
      <c r="AD75" s="7">
        <f t="shared" si="6"/>
      </c>
      <c r="AE75" s="7">
        <f t="shared" si="6"/>
      </c>
      <c r="AF75" s="7">
        <f t="shared" si="6"/>
      </c>
      <c r="AG75" s="7">
        <f t="shared" ref="AG75:CR79" si="10">IF(AG50=AG$40,0,AG50)</f>
      </c>
      <c r="AH75" s="7">
        <f t="shared" si="10"/>
      </c>
      <c r="AI75" s="7">
        <f t="shared" si="10"/>
      </c>
      <c r="AJ75" s="7">
        <f t="shared" si="10"/>
      </c>
      <c r="AK75" s="7">
        <f t="shared" si="10"/>
      </c>
      <c r="AL75" s="7">
        <f t="shared" si="10"/>
      </c>
      <c r="AM75" s="7">
        <f t="shared" si="10"/>
      </c>
      <c r="AN75" s="7">
        <f t="shared" si="10"/>
      </c>
      <c r="AO75" s="7">
        <f t="shared" si="10"/>
      </c>
      <c r="AP75" s="7">
        <f t="shared" si="10"/>
      </c>
      <c r="AQ75" s="7">
        <f t="shared" si="10"/>
      </c>
      <c r="AR75" s="7">
        <f t="shared" si="10"/>
      </c>
      <c r="AS75" s="7">
        <f t="shared" si="10"/>
      </c>
      <c r="AT75" s="7">
        <f t="shared" si="10"/>
      </c>
      <c r="AU75" s="7">
        <f t="shared" si="10"/>
      </c>
      <c r="AV75" s="7" t="str">
        <f t="shared" si="10"/>
      </c>
      <c r="AW75" s="7" t="str">
        <f t="shared" si="10"/>
      </c>
      <c r="AX75" s="7">
        <f t="shared" si="10"/>
      </c>
      <c r="AY75" s="7">
        <f t="shared" si="10"/>
      </c>
      <c r="AZ75" s="7">
        <f t="shared" si="10"/>
      </c>
      <c r="BA75" s="7">
        <f t="shared" si="10"/>
      </c>
      <c r="BB75" s="7">
        <f t="shared" si="10"/>
      </c>
      <c r="BC75" s="7">
        <f t="shared" si="10"/>
      </c>
      <c r="BD75" s="7">
        <f t="shared" si="10"/>
      </c>
      <c r="BE75" s="7">
        <f t="shared" si="10"/>
      </c>
      <c r="BF75" s="7">
        <f t="shared" si="10"/>
      </c>
      <c r="BG75" s="7">
        <f t="shared" si="10"/>
      </c>
      <c r="BH75" s="7">
        <f t="shared" si="10"/>
      </c>
      <c r="BI75" s="7">
        <f t="shared" si="10"/>
      </c>
      <c r="BJ75" s="7">
        <f t="shared" si="10"/>
      </c>
      <c r="BK75" s="7">
        <f t="shared" si="10"/>
      </c>
      <c r="BL75" s="7">
        <f t="shared" si="10"/>
      </c>
      <c r="BM75" s="7">
        <f t="shared" si="10"/>
      </c>
      <c r="BN75" s="7" t="str">
        <f t="shared" si="10"/>
      </c>
      <c r="BO75" s="7">
        <f t="shared" si="10"/>
      </c>
      <c r="BP75" s="7">
        <f t="shared" si="7"/>
      </c>
      <c r="BQ75" s="7">
        <f t="shared" si="7"/>
      </c>
      <c r="BR75" s="7">
        <f t="shared" si="7"/>
      </c>
      <c r="BS75" s="7">
        <f t="shared" si="7"/>
      </c>
      <c r="BT75" s="7">
        <f t="shared" si="7"/>
      </c>
      <c r="BU75" s="7">
        <f t="shared" si="7"/>
      </c>
      <c r="BV75" s="7">
        <f t="shared" si="7"/>
      </c>
      <c r="BW75" s="7" t="str">
        <f t="shared" si="7"/>
      </c>
      <c r="BX75" s="7" t="str">
        <f t="shared" si="7"/>
      </c>
      <c r="BY75" s="7">
        <f t="shared" si="7"/>
      </c>
      <c r="BZ75" s="7">
        <f t="shared" si="7"/>
      </c>
      <c r="CA75" s="7">
        <f t="shared" si="7"/>
      </c>
      <c r="CB75" s="7">
        <f t="shared" si="7"/>
      </c>
      <c r="CC75" s="7">
        <f t="shared" si="7"/>
      </c>
      <c r="CD75" s="7">
        <f t="shared" si="7"/>
      </c>
      <c r="CE75" s="7">
        <f t="shared" si="7"/>
      </c>
      <c r="CF75" s="7">
        <f t="shared" si="7"/>
      </c>
      <c r="CG75" s="7">
        <f t="shared" si="7"/>
      </c>
      <c r="CH75" s="7">
        <f t="shared" si="7"/>
      </c>
      <c r="CI75" s="7">
        <f t="shared" si="7"/>
      </c>
      <c r="CJ75" s="7">
        <f t="shared" si="7"/>
      </c>
      <c r="CK75" s="7">
        <f t="shared" si="7"/>
      </c>
      <c r="CL75" s="7">
        <f t="shared" si="7"/>
      </c>
      <c r="CM75" s="7">
        <f t="shared" si="7"/>
      </c>
      <c r="CN75" s="7">
        <f t="shared" si="7"/>
      </c>
      <c r="CO75" s="7">
        <f t="shared" si="7"/>
      </c>
      <c r="CP75" s="7">
        <f t="shared" si="7"/>
      </c>
      <c r="CQ75" s="7">
        <f t="shared" si="7"/>
      </c>
      <c r="CR75" s="7">
        <f t="shared" si="7"/>
      </c>
      <c r="CS75" s="7">
        <f t="shared" si="7"/>
      </c>
      <c r="CT75" s="7">
        <f t="shared" si="7"/>
      </c>
      <c r="CU75" s="7">
        <f t="shared" si="7"/>
      </c>
      <c r="CV75" s="7">
        <f t="shared" si="7"/>
      </c>
      <c r="CW75" s="7">
        <f t="shared" si="7"/>
      </c>
      <c r="CX75" s="7">
        <f t="shared" si="7"/>
      </c>
      <c r="CY75" s="7">
        <f t="shared" si="7"/>
      </c>
      <c r="CZ75" s="7">
        <f t="shared" si="7"/>
      </c>
      <c r="DA75" s="7">
        <f t="shared" si="7"/>
      </c>
      <c r="DB75" s="7" t="str">
        <f t="shared" si="7"/>
      </c>
      <c r="DC75" s="7" t="str">
        <f t="shared" si="7"/>
      </c>
      <c r="DD75" s="7">
        <f t="shared" si="7"/>
      </c>
      <c r="DE75" s="7">
        <f t="shared" si="7"/>
      </c>
      <c r="DF75" s="7">
        <f t="shared" si="7"/>
      </c>
      <c r="DG75" s="7">
        <f t="shared" si="7"/>
      </c>
      <c r="DH75" s="7">
        <f t="shared" si="7"/>
      </c>
      <c r="DI75" s="7">
        <f t="shared" si="7"/>
      </c>
    </row>
    <row r="76" spans="1:113" x14ac:dyDescent="0.25">
      <c r="A76" s="16" t="str">
        <f t="shared" si="8"/>
      </c>
      <c r="B76" s="16" t="str">
        <f t="shared" si="8"/>
      </c>
      <c r="C76" s="7">
        <f t="shared" si="9"/>
      </c>
      <c r="D76" s="7">
        <f t="shared" si="9"/>
      </c>
      <c r="E76" s="7">
        <f t="shared" si="9"/>
      </c>
      <c r="F76" s="7">
        <f t="shared" si="9"/>
      </c>
      <c r="G76" s="7">
        <f t="shared" si="9"/>
      </c>
      <c r="H76" s="7">
        <f t="shared" si="9"/>
      </c>
      <c r="I76" s="7">
        <f t="shared" si="9"/>
      </c>
      <c r="J76" s="7">
        <f t="shared" si="9"/>
      </c>
      <c r="K76" s="7">
        <f t="shared" si="9"/>
      </c>
      <c r="L76" s="7">
        <f t="shared" si="9"/>
      </c>
      <c r="M76" s="7">
        <f t="shared" si="9"/>
      </c>
      <c r="N76" s="7" t="str">
        <f t="shared" si="9"/>
      </c>
      <c r="O76" s="7" t="str">
        <f t="shared" si="9"/>
      </c>
      <c r="P76" s="7">
        <f t="shared" si="9"/>
      </c>
      <c r="Q76" s="7">
        <f t="shared" si="9"/>
      </c>
      <c r="R76" s="7">
        <f t="shared" si="9"/>
      </c>
      <c r="S76" s="7">
        <f t="shared" ref="S76:CD80" si="11">IF(S51=S$40,0,S51)</f>
      </c>
      <c r="T76" s="7">
        <f t="shared" si="11"/>
      </c>
      <c r="U76" s="7">
        <f t="shared" si="11"/>
      </c>
      <c r="V76" s="7">
        <f t="shared" si="11"/>
      </c>
      <c r="W76" s="7">
        <f t="shared" si="11"/>
      </c>
      <c r="X76" s="7">
        <f t="shared" si="11"/>
      </c>
      <c r="Y76" s="7">
        <f t="shared" si="11"/>
      </c>
      <c r="Z76" s="7">
        <f t="shared" si="11"/>
      </c>
      <c r="AA76" s="7">
        <f t="shared" si="11"/>
      </c>
      <c r="AB76" s="7">
        <f t="shared" si="11"/>
      </c>
      <c r="AC76" s="7">
        <f t="shared" si="11"/>
      </c>
      <c r="AD76" s="7">
        <f t="shared" si="11"/>
      </c>
      <c r="AE76" s="7">
        <f t="shared" si="11"/>
      </c>
      <c r="AF76" s="7">
        <f t="shared" si="11"/>
      </c>
      <c r="AG76" s="7">
        <f t="shared" si="11"/>
      </c>
      <c r="AH76" s="7">
        <f t="shared" si="11"/>
      </c>
      <c r="AI76" s="7">
        <f t="shared" si="11"/>
      </c>
      <c r="AJ76" s="7">
        <f t="shared" si="11"/>
      </c>
      <c r="AK76" s="7">
        <f t="shared" si="11"/>
      </c>
      <c r="AL76" s="7">
        <f t="shared" si="11"/>
      </c>
      <c r="AM76" s="7">
        <f t="shared" si="11"/>
      </c>
      <c r="AN76" s="7">
        <f t="shared" si="11"/>
      </c>
      <c r="AO76" s="7">
        <f t="shared" si="11"/>
      </c>
      <c r="AP76" s="7">
        <f t="shared" si="11"/>
      </c>
      <c r="AQ76" s="7">
        <f t="shared" si="11"/>
      </c>
      <c r="AR76" s="7">
        <f t="shared" si="11"/>
      </c>
      <c r="AS76" s="7">
        <f t="shared" si="11"/>
      </c>
      <c r="AT76" s="7">
        <f t="shared" si="11"/>
      </c>
      <c r="AU76" s="7">
        <f t="shared" si="11"/>
      </c>
      <c r="AV76" s="7" t="str">
        <f t="shared" si="11"/>
      </c>
      <c r="AW76" s="7" t="str">
        <f t="shared" si="11"/>
      </c>
      <c r="AX76" s="7">
        <f t="shared" si="11"/>
      </c>
      <c r="AY76" s="7">
        <f t="shared" si="11"/>
      </c>
      <c r="AZ76" s="7">
        <f t="shared" si="11"/>
      </c>
      <c r="BA76" s="7">
        <f t="shared" si="11"/>
      </c>
      <c r="BB76" s="7">
        <f t="shared" si="11"/>
      </c>
      <c r="BC76" s="7">
        <f t="shared" si="11"/>
      </c>
      <c r="BD76" s="7">
        <f t="shared" si="11"/>
      </c>
      <c r="BE76" s="7">
        <f t="shared" si="11"/>
      </c>
      <c r="BF76" s="7">
        <f t="shared" si="11"/>
      </c>
      <c r="BG76" s="7">
        <f t="shared" si="11"/>
      </c>
      <c r="BH76" s="7">
        <f t="shared" si="11"/>
      </c>
      <c r="BI76" s="7">
        <f t="shared" si="11"/>
      </c>
      <c r="BJ76" s="7">
        <f t="shared" si="11"/>
      </c>
      <c r="BK76" s="7">
        <f t="shared" si="11"/>
      </c>
      <c r="BL76" s="7">
        <f t="shared" si="11"/>
      </c>
      <c r="BM76" s="7">
        <f t="shared" si="11"/>
      </c>
      <c r="BN76" s="7" t="str">
        <f t="shared" si="11"/>
      </c>
      <c r="BO76" s="7">
        <f t="shared" si="10"/>
      </c>
      <c r="BP76" s="7">
        <f t="shared" si="10"/>
      </c>
      <c r="BQ76" s="7">
        <f t="shared" si="10"/>
      </c>
      <c r="BR76" s="7">
        <f t="shared" si="10"/>
      </c>
      <c r="BS76" s="7">
        <f t="shared" si="10"/>
      </c>
      <c r="BT76" s="7">
        <f t="shared" si="10"/>
      </c>
      <c r="BU76" s="7">
        <f t="shared" si="10"/>
      </c>
      <c r="BV76" s="7">
        <f t="shared" si="10"/>
      </c>
      <c r="BW76" s="7" t="str">
        <f t="shared" si="10"/>
      </c>
      <c r="BX76" s="7" t="str">
        <f t="shared" si="10"/>
      </c>
      <c r="BY76" s="7">
        <f t="shared" si="10"/>
      </c>
      <c r="BZ76" s="7">
        <f t="shared" si="10"/>
      </c>
      <c r="CA76" s="7" t="str">
        <f t="shared" si="10"/>
      </c>
      <c r="CB76" s="7" t="str">
        <f t="shared" si="10"/>
      </c>
      <c r="CC76" s="7">
        <f t="shared" si="10"/>
      </c>
      <c r="CD76" s="7">
        <f t="shared" si="10"/>
      </c>
      <c r="CE76" s="7">
        <f t="shared" si="10"/>
      </c>
      <c r="CF76" s="7">
        <f t="shared" si="10"/>
      </c>
      <c r="CG76" s="7">
        <f t="shared" si="10"/>
      </c>
      <c r="CH76" s="7">
        <f t="shared" si="10"/>
      </c>
      <c r="CI76" s="7">
        <f t="shared" si="10"/>
      </c>
      <c r="CJ76" s="7">
        <f t="shared" si="10"/>
      </c>
      <c r="CK76" s="7">
        <f t="shared" si="10"/>
      </c>
      <c r="CL76" s="7">
        <f t="shared" si="10"/>
      </c>
      <c r="CM76" s="7">
        <f t="shared" si="10"/>
      </c>
      <c r="CN76" s="7">
        <f t="shared" si="10"/>
      </c>
      <c r="CO76" s="7">
        <f t="shared" si="10"/>
      </c>
      <c r="CP76" s="7">
        <f t="shared" si="10"/>
      </c>
      <c r="CQ76" s="7">
        <f t="shared" si="10"/>
      </c>
      <c r="CR76" s="7">
        <f t="shared" si="10"/>
      </c>
      <c r="CS76" s="7">
        <f t="shared" si="7"/>
      </c>
      <c r="CT76" s="7">
        <f t="shared" si="7"/>
      </c>
      <c r="CU76" s="7">
        <f t="shared" si="7"/>
      </c>
      <c r="CV76" s="7">
        <f t="shared" si="7"/>
      </c>
      <c r="CW76" s="7">
        <f t="shared" si="7"/>
      </c>
      <c r="CX76" s="7">
        <f t="shared" si="7"/>
      </c>
      <c r="CY76" s="7">
        <f t="shared" si="7"/>
      </c>
      <c r="CZ76" s="7">
        <f t="shared" si="7"/>
      </c>
      <c r="DA76" s="7">
        <f t="shared" si="7"/>
      </c>
      <c r="DB76" s="7" t="str">
        <f t="shared" si="7"/>
      </c>
      <c r="DC76" s="7" t="str">
        <f t="shared" si="7"/>
      </c>
      <c r="DD76" s="7">
        <f t="shared" si="7"/>
      </c>
      <c r="DE76" s="7">
        <f t="shared" si="7"/>
      </c>
      <c r="DF76" s="7">
        <f t="shared" si="7"/>
      </c>
      <c r="DG76" s="7">
        <f t="shared" si="7"/>
      </c>
      <c r="DH76" s="7">
        <f t="shared" si="7"/>
      </c>
      <c r="DI76" s="7">
        <f t="shared" si="7"/>
      </c>
    </row>
    <row r="77" spans="1:113" x14ac:dyDescent="0.25">
      <c r="A77" s="16" t="str">
        <f t="shared" si="8"/>
      </c>
      <c r="B77" s="16" t="str">
        <f t="shared" si="8"/>
      </c>
      <c r="C77" s="7">
        <f t="shared" si="9"/>
      </c>
      <c r="D77" s="7">
        <f t="shared" si="9"/>
      </c>
      <c r="E77" s="7">
        <f t="shared" si="9"/>
      </c>
      <c r="F77" s="7">
        <f t="shared" si="9"/>
      </c>
      <c r="G77" s="7">
        <f t="shared" si="9"/>
      </c>
      <c r="H77" s="7">
        <f t="shared" si="9"/>
      </c>
      <c r="I77" s="7">
        <f t="shared" si="9"/>
      </c>
      <c r="J77" s="7">
        <f t="shared" si="9"/>
      </c>
      <c r="K77" s="7">
        <f t="shared" si="9"/>
      </c>
      <c r="L77" s="7">
        <f t="shared" si="9"/>
      </c>
      <c r="M77" s="7">
        <f t="shared" si="9"/>
      </c>
      <c r="N77" s="7" t="str">
        <f t="shared" si="9"/>
      </c>
      <c r="O77" s="7" t="str">
        <f t="shared" si="9"/>
      </c>
      <c r="P77" s="7">
        <f t="shared" si="9"/>
      </c>
      <c r="Q77" s="7">
        <f t="shared" si="9"/>
      </c>
      <c r="R77" s="7">
        <f t="shared" si="9"/>
      </c>
      <c r="S77" s="7">
        <f t="shared" si="11"/>
      </c>
      <c r="T77" s="7">
        <f t="shared" si="11"/>
      </c>
      <c r="U77" s="7">
        <f t="shared" si="11"/>
      </c>
      <c r="V77" s="7">
        <f t="shared" si="11"/>
      </c>
      <c r="W77" s="7">
        <f t="shared" si="11"/>
      </c>
      <c r="X77" s="7">
        <f t="shared" si="11"/>
      </c>
      <c r="Y77" s="7">
        <f t="shared" si="11"/>
      </c>
      <c r="Z77" s="7">
        <f t="shared" si="11"/>
      </c>
      <c r="AA77" s="7">
        <f t="shared" si="11"/>
      </c>
      <c r="AB77" s="7">
        <f t="shared" si="11"/>
      </c>
      <c r="AC77" s="7">
        <f t="shared" si="11"/>
      </c>
      <c r="AD77" s="7">
        <f t="shared" si="11"/>
      </c>
      <c r="AE77" s="7">
        <f t="shared" si="11"/>
      </c>
      <c r="AF77" s="7">
        <f t="shared" si="11"/>
      </c>
      <c r="AG77" s="7">
        <f t="shared" si="11"/>
      </c>
      <c r="AH77" s="7">
        <f t="shared" si="11"/>
      </c>
      <c r="AI77" s="7">
        <f t="shared" si="11"/>
      </c>
      <c r="AJ77" s="7">
        <f t="shared" si="11"/>
      </c>
      <c r="AK77" s="7">
        <f t="shared" si="11"/>
      </c>
      <c r="AL77" s="7">
        <f t="shared" si="11"/>
      </c>
      <c r="AM77" s="7">
        <f t="shared" si="11"/>
      </c>
      <c r="AN77" s="7">
        <f t="shared" si="11"/>
      </c>
      <c r="AO77" s="7">
        <f t="shared" si="11"/>
      </c>
      <c r="AP77" s="7">
        <f t="shared" si="11"/>
      </c>
      <c r="AQ77" s="7">
        <f t="shared" si="11"/>
      </c>
      <c r="AR77" s="7">
        <f t="shared" si="11"/>
      </c>
      <c r="AS77" s="7">
        <f t="shared" si="11"/>
      </c>
      <c r="AT77" s="7">
        <f t="shared" si="11"/>
      </c>
      <c r="AU77" s="7">
        <f t="shared" si="11"/>
      </c>
      <c r="AV77" s="7" t="str">
        <f t="shared" si="11"/>
      </c>
      <c r="AW77" s="7" t="str">
        <f t="shared" si="11"/>
      </c>
      <c r="AX77" s="7">
        <f t="shared" si="11"/>
      </c>
      <c r="AY77" s="7">
        <f t="shared" si="11"/>
      </c>
      <c r="AZ77" s="7">
        <f t="shared" si="11"/>
      </c>
      <c r="BA77" s="7">
        <f t="shared" si="11"/>
      </c>
      <c r="BB77" s="7">
        <f t="shared" si="11"/>
      </c>
      <c r="BC77" s="7">
        <f t="shared" si="11"/>
      </c>
      <c r="BD77" s="7">
        <f t="shared" si="11"/>
      </c>
      <c r="BE77" s="7">
        <f t="shared" si="11"/>
      </c>
      <c r="BF77" s="7">
        <f t="shared" si="11"/>
      </c>
      <c r="BG77" s="7">
        <f t="shared" si="11"/>
      </c>
      <c r="BH77" s="7">
        <f t="shared" si="11"/>
      </c>
      <c r="BI77" s="7">
        <f t="shared" si="11"/>
      </c>
      <c r="BJ77" s="7">
        <f t="shared" si="11"/>
      </c>
      <c r="BK77" s="7">
        <f t="shared" si="11"/>
      </c>
      <c r="BL77" s="7">
        <f t="shared" si="11"/>
      </c>
      <c r="BM77" s="7">
        <f t="shared" si="11"/>
      </c>
      <c r="BN77" s="7" t="str">
        <f t="shared" si="11"/>
      </c>
      <c r="BO77" s="7">
        <f t="shared" si="11"/>
      </c>
      <c r="BP77" s="7">
        <f t="shared" si="7"/>
      </c>
      <c r="BQ77" s="7">
        <f t="shared" si="7"/>
      </c>
      <c r="BR77" s="7">
        <f t="shared" si="7"/>
      </c>
      <c r="BS77" s="7">
        <f t="shared" si="7"/>
      </c>
      <c r="BT77" s="7">
        <f t="shared" si="7"/>
      </c>
      <c r="BU77" s="7">
        <f t="shared" si="7"/>
      </c>
      <c r="BV77" s="7">
        <f t="shared" si="7"/>
      </c>
      <c r="BW77" s="7" t="str">
        <f t="shared" si="7"/>
      </c>
      <c r="BX77" s="7" t="str">
        <f t="shared" si="10"/>
      </c>
      <c r="BY77" s="7">
        <f t="shared" si="10"/>
      </c>
      <c r="BZ77" s="7">
        <f t="shared" si="10"/>
      </c>
      <c r="CA77" s="7" t="str">
        <f t="shared" si="10"/>
      </c>
      <c r="CB77" s="7" t="str">
        <f t="shared" si="10"/>
      </c>
      <c r="CC77" s="7">
        <f t="shared" si="10"/>
      </c>
      <c r="CD77" s="7">
        <f t="shared" si="10"/>
      </c>
      <c r="CE77" s="7">
        <f t="shared" si="10"/>
      </c>
      <c r="CF77" s="7">
        <f t="shared" si="10"/>
      </c>
      <c r="CG77" s="7">
        <f t="shared" si="10"/>
      </c>
      <c r="CH77" s="7">
        <f t="shared" si="10"/>
      </c>
      <c r="CI77" s="7">
        <f t="shared" si="10"/>
      </c>
      <c r="CJ77" s="7">
        <f t="shared" si="10"/>
      </c>
      <c r="CK77" s="7">
        <f t="shared" si="10"/>
      </c>
      <c r="CL77" s="7">
        <f t="shared" si="10"/>
      </c>
      <c r="CM77" s="7">
        <f t="shared" si="10"/>
      </c>
      <c r="CN77" s="7">
        <f t="shared" si="10"/>
      </c>
      <c r="CO77" s="7">
        <f t="shared" si="10"/>
      </c>
      <c r="CP77" s="7">
        <f t="shared" si="10"/>
      </c>
      <c r="CQ77" s="7">
        <f t="shared" si="10"/>
      </c>
      <c r="CR77" s="7">
        <f t="shared" si="10"/>
      </c>
      <c r="CS77" s="7">
        <f t="shared" ref="CS77:DI82" si="12">IF(CS52=CS$40,0,CS52)</f>
      </c>
      <c r="CT77" s="7">
        <f t="shared" si="12"/>
      </c>
      <c r="CU77" s="7">
        <f t="shared" si="12"/>
      </c>
      <c r="CV77" s="7">
        <f t="shared" si="12"/>
      </c>
      <c r="CW77" s="7">
        <f t="shared" si="12"/>
      </c>
      <c r="CX77" s="7">
        <f t="shared" si="12"/>
      </c>
      <c r="CY77" s="7">
        <f t="shared" si="12"/>
      </c>
      <c r="CZ77" s="7">
        <f t="shared" si="12"/>
      </c>
      <c r="DA77" s="7">
        <f t="shared" si="12"/>
      </c>
      <c r="DB77" s="7" t="str">
        <f t="shared" si="12"/>
      </c>
      <c r="DC77" s="7" t="str">
        <f t="shared" si="12"/>
      </c>
      <c r="DD77" s="7">
        <f t="shared" si="12"/>
      </c>
      <c r="DE77" s="7">
        <f t="shared" si="12"/>
      </c>
      <c r="DF77" s="7">
        <f t="shared" si="12"/>
      </c>
      <c r="DG77" s="7">
        <f t="shared" si="12"/>
      </c>
      <c r="DH77" s="7">
        <f t="shared" si="12"/>
      </c>
      <c r="DI77" s="7">
        <f t="shared" si="12"/>
      </c>
    </row>
    <row r="78" spans="1:113" x14ac:dyDescent="0.25">
      <c r="A78" s="16" t="str">
        <f t="shared" si="8"/>
      </c>
      <c r="B78" s="16" t="str">
        <f t="shared" si="8"/>
      </c>
      <c r="C78" s="7">
        <f t="shared" si="9"/>
      </c>
      <c r="D78" s="7">
        <f t="shared" si="9"/>
      </c>
      <c r="E78" s="7">
        <f t="shared" si="9"/>
      </c>
      <c r="F78" s="7">
        <f t="shared" si="9"/>
      </c>
      <c r="G78" s="7">
        <f t="shared" si="9"/>
      </c>
      <c r="H78" s="7">
        <f t="shared" si="9"/>
      </c>
      <c r="I78" s="7">
        <f t="shared" si="9"/>
      </c>
      <c r="J78" s="7">
        <f t="shared" si="9"/>
      </c>
      <c r="K78" s="7">
        <f t="shared" si="9"/>
      </c>
      <c r="L78" s="7">
        <f t="shared" si="9"/>
      </c>
      <c r="M78" s="7">
        <f t="shared" si="9"/>
      </c>
      <c r="N78" s="7" t="str">
        <f t="shared" si="9"/>
      </c>
      <c r="O78" s="7" t="str">
        <f t="shared" si="9"/>
      </c>
      <c r="P78" s="7">
        <f t="shared" si="9"/>
      </c>
      <c r="Q78" s="7">
        <f t="shared" si="9"/>
      </c>
      <c r="R78" s="7">
        <f t="shared" si="9"/>
      </c>
      <c r="S78" s="7">
        <f t="shared" si="11"/>
      </c>
      <c r="T78" s="7">
        <f t="shared" si="11"/>
      </c>
      <c r="U78" s="7">
        <f t="shared" si="11"/>
      </c>
      <c r="V78" s="7">
        <f t="shared" si="11"/>
      </c>
      <c r="W78" s="7">
        <f t="shared" si="11"/>
      </c>
      <c r="X78" s="7">
        <f t="shared" si="11"/>
      </c>
      <c r="Y78" s="7">
        <f t="shared" si="11"/>
      </c>
      <c r="Z78" s="7">
        <f t="shared" si="11"/>
      </c>
      <c r="AA78" s="7">
        <f t="shared" si="11"/>
      </c>
      <c r="AB78" s="7">
        <f t="shared" si="11"/>
      </c>
      <c r="AC78" s="7">
        <f t="shared" si="11"/>
      </c>
      <c r="AD78" s="7">
        <f t="shared" si="11"/>
      </c>
      <c r="AE78" s="7">
        <f t="shared" si="11"/>
      </c>
      <c r="AF78" s="7">
        <f t="shared" si="11"/>
      </c>
      <c r="AG78" s="7">
        <f t="shared" si="11"/>
      </c>
      <c r="AH78" s="7">
        <f t="shared" si="11"/>
      </c>
      <c r="AI78" s="7">
        <f t="shared" si="11"/>
      </c>
      <c r="AJ78" s="7">
        <f t="shared" si="11"/>
      </c>
      <c r="AK78" s="7">
        <f t="shared" si="11"/>
      </c>
      <c r="AL78" s="7">
        <f t="shared" si="11"/>
      </c>
      <c r="AM78" s="7">
        <f t="shared" si="11"/>
      </c>
      <c r="AN78" s="7">
        <f t="shared" si="11"/>
      </c>
      <c r="AO78" s="7">
        <f t="shared" si="11"/>
      </c>
      <c r="AP78" s="7">
        <f t="shared" si="11"/>
      </c>
      <c r="AQ78" s="7">
        <f t="shared" si="11"/>
      </c>
      <c r="AR78" s="7">
        <f t="shared" si="11"/>
      </c>
      <c r="AS78" s="7">
        <f t="shared" si="11"/>
      </c>
      <c r="AT78" s="7">
        <f t="shared" si="11"/>
      </c>
      <c r="AU78" s="7">
        <f t="shared" si="11"/>
      </c>
      <c r="AV78" s="7" t="str">
        <f t="shared" si="11"/>
      </c>
      <c r="AW78" s="7" t="str">
        <f t="shared" si="11"/>
      </c>
      <c r="AX78" s="7">
        <f t="shared" si="11"/>
      </c>
      <c r="AY78" s="7">
        <f t="shared" si="11"/>
      </c>
      <c r="AZ78" s="7">
        <f t="shared" si="11"/>
      </c>
      <c r="BA78" s="7">
        <f t="shared" si="11"/>
      </c>
      <c r="BB78" s="7">
        <f t="shared" si="11"/>
      </c>
      <c r="BC78" s="7">
        <f t="shared" si="11"/>
      </c>
      <c r="BD78" s="7">
        <f t="shared" si="11"/>
      </c>
      <c r="BE78" s="7">
        <f t="shared" si="11"/>
      </c>
      <c r="BF78" s="7">
        <f t="shared" si="11"/>
      </c>
      <c r="BG78" s="7">
        <f t="shared" si="11"/>
      </c>
      <c r="BH78" s="7">
        <f t="shared" si="11"/>
      </c>
      <c r="BI78" s="7">
        <f t="shared" si="11"/>
      </c>
      <c r="BJ78" s="7">
        <f t="shared" si="11"/>
      </c>
      <c r="BK78" s="7">
        <f t="shared" si="11"/>
      </c>
      <c r="BL78" s="7">
        <f t="shared" si="11"/>
      </c>
      <c r="BM78" s="7">
        <f t="shared" si="11"/>
      </c>
      <c r="BN78" s="7" t="str">
        <f t="shared" si="11"/>
      </c>
      <c r="BO78" s="7">
        <f t="shared" si="11"/>
      </c>
      <c r="BP78" s="7">
        <f t="shared" si="11"/>
      </c>
      <c r="BQ78" s="7">
        <f t="shared" si="11"/>
      </c>
      <c r="BR78" s="7">
        <f t="shared" si="11"/>
      </c>
      <c r="BS78" s="7">
        <f t="shared" si="11"/>
      </c>
      <c r="BT78" s="7">
        <f t="shared" si="11"/>
      </c>
      <c r="BU78" s="7">
        <f t="shared" si="11"/>
      </c>
      <c r="BV78" s="7">
        <f t="shared" si="11"/>
      </c>
      <c r="BW78" s="7" t="str">
        <f t="shared" si="11"/>
      </c>
      <c r="BX78" s="7" t="str">
        <f t="shared" si="11"/>
      </c>
      <c r="BY78" s="7">
        <f t="shared" si="11"/>
      </c>
      <c r="BZ78" s="7">
        <f t="shared" si="11"/>
      </c>
      <c r="CA78" s="7">
        <f t="shared" si="11"/>
      </c>
      <c r="CB78" s="7">
        <f t="shared" si="11"/>
      </c>
      <c r="CC78" s="7">
        <f t="shared" si="11"/>
      </c>
      <c r="CD78" s="7">
        <f t="shared" si="11"/>
      </c>
      <c r="CE78" s="7">
        <f t="shared" si="10"/>
      </c>
      <c r="CF78" s="7">
        <f t="shared" si="10"/>
      </c>
      <c r="CG78" s="7">
        <f t="shared" si="10"/>
      </c>
      <c r="CH78" s="7">
        <f t="shared" si="10"/>
      </c>
      <c r="CI78" s="7">
        <f t="shared" si="10"/>
      </c>
      <c r="CJ78" s="7">
        <f t="shared" si="10"/>
      </c>
      <c r="CK78" s="7">
        <f t="shared" si="10"/>
      </c>
      <c r="CL78" s="7">
        <f t="shared" si="10"/>
      </c>
      <c r="CM78" s="7">
        <f t="shared" si="10"/>
      </c>
      <c r="CN78" s="7">
        <f t="shared" si="10"/>
      </c>
      <c r="CO78" s="7">
        <f t="shared" si="10"/>
      </c>
      <c r="CP78" s="7">
        <f t="shared" si="10"/>
      </c>
      <c r="CQ78" s="7">
        <f t="shared" si="10"/>
      </c>
      <c r="CR78" s="7">
        <f t="shared" si="10"/>
      </c>
      <c r="CS78" s="7">
        <f t="shared" si="12"/>
      </c>
      <c r="CT78" s="7">
        <f t="shared" si="12"/>
      </c>
      <c r="CU78" s="7">
        <f t="shared" si="12"/>
      </c>
      <c r="CV78" s="7">
        <f t="shared" si="12"/>
      </c>
      <c r="CW78" s="7">
        <f t="shared" si="12"/>
      </c>
      <c r="CX78" s="7">
        <f t="shared" si="12"/>
      </c>
      <c r="CY78" s="7">
        <f t="shared" si="12"/>
      </c>
      <c r="CZ78" s="7">
        <f t="shared" si="12"/>
      </c>
      <c r="DA78" s="7">
        <f t="shared" si="12"/>
      </c>
      <c r="DB78" s="7" t="str">
        <f t="shared" si="12"/>
      </c>
      <c r="DC78" s="7" t="str">
        <f t="shared" si="12"/>
      </c>
      <c r="DD78" s="7">
        <f t="shared" si="12"/>
      </c>
      <c r="DE78" s="7">
        <f t="shared" si="12"/>
      </c>
      <c r="DF78" s="7">
        <f t="shared" si="12"/>
      </c>
      <c r="DG78" s="7">
        <f t="shared" si="12"/>
      </c>
      <c r="DH78" s="7">
        <f t="shared" si="12"/>
      </c>
      <c r="DI78" s="7">
        <f t="shared" si="12"/>
      </c>
    </row>
    <row r="79" spans="1:113" x14ac:dyDescent="0.25">
      <c r="A79" s="16" t="str">
        <f t="shared" si="8"/>
      </c>
      <c r="B79" s="16" t="str">
        <f t="shared" si="8"/>
      </c>
      <c r="C79" s="7">
        <f t="shared" si="9"/>
      </c>
      <c r="D79" s="7">
        <f t="shared" si="9"/>
      </c>
      <c r="E79" s="7">
        <f t="shared" si="9"/>
      </c>
      <c r="F79" s="7">
        <f t="shared" si="9"/>
      </c>
      <c r="G79" s="7">
        <f t="shared" si="9"/>
      </c>
      <c r="H79" s="7">
        <f t="shared" si="9"/>
      </c>
      <c r="I79" s="7">
        <f t="shared" si="9"/>
      </c>
      <c r="J79" s="7">
        <f t="shared" si="9"/>
      </c>
      <c r="K79" s="7">
        <f t="shared" si="9"/>
      </c>
      <c r="L79" s="7">
        <f t="shared" si="9"/>
      </c>
      <c r="M79" s="7">
        <f t="shared" si="9"/>
      </c>
      <c r="N79" s="7" t="str">
        <f t="shared" si="9"/>
      </c>
      <c r="O79" s="7" t="str">
        <f t="shared" si="9"/>
      </c>
      <c r="P79" s="7">
        <f t="shared" si="9"/>
      </c>
      <c r="Q79" s="7">
        <f t="shared" si="9"/>
      </c>
      <c r="R79" s="7">
        <f t="shared" si="9"/>
      </c>
      <c r="S79" s="7">
        <f t="shared" si="11"/>
      </c>
      <c r="T79" s="7">
        <f t="shared" si="11"/>
      </c>
      <c r="U79" s="7">
        <f t="shared" si="11"/>
      </c>
      <c r="V79" s="7">
        <f t="shared" si="11"/>
      </c>
      <c r="W79" s="7">
        <f t="shared" si="11"/>
      </c>
      <c r="X79" s="7">
        <f t="shared" si="11"/>
      </c>
      <c r="Y79" s="7">
        <f t="shared" si="11"/>
      </c>
      <c r="Z79" s="7">
        <f t="shared" si="11"/>
      </c>
      <c r="AA79" s="7">
        <f t="shared" si="11"/>
      </c>
      <c r="AB79" s="7">
        <f t="shared" si="11"/>
      </c>
      <c r="AC79" s="7">
        <f t="shared" si="11"/>
      </c>
      <c r="AD79" s="7">
        <f t="shared" si="11"/>
      </c>
      <c r="AE79" s="7">
        <f t="shared" si="11"/>
      </c>
      <c r="AF79" s="7">
        <f t="shared" si="11"/>
      </c>
      <c r="AG79" s="7">
        <f t="shared" si="11"/>
      </c>
      <c r="AH79" s="7">
        <f t="shared" si="11"/>
      </c>
      <c r="AI79" s="7">
        <f t="shared" si="11"/>
      </c>
      <c r="AJ79" s="7">
        <f t="shared" si="11"/>
      </c>
      <c r="AK79" s="7">
        <f t="shared" si="11"/>
      </c>
      <c r="AL79" s="7">
        <f t="shared" si="11"/>
      </c>
      <c r="AM79" s="7">
        <f t="shared" si="11"/>
      </c>
      <c r="AN79" s="7">
        <f t="shared" si="11"/>
      </c>
      <c r="AO79" s="7">
        <f t="shared" si="11"/>
      </c>
      <c r="AP79" s="7">
        <f t="shared" si="11"/>
      </c>
      <c r="AQ79" s="7">
        <f t="shared" si="11"/>
      </c>
      <c r="AR79" s="7">
        <f t="shared" si="11"/>
      </c>
      <c r="AS79" s="7">
        <f t="shared" si="11"/>
      </c>
      <c r="AT79" s="7">
        <f t="shared" si="11"/>
      </c>
      <c r="AU79" s="7">
        <f t="shared" si="11"/>
      </c>
      <c r="AV79" s="7" t="str">
        <f t="shared" si="11"/>
      </c>
      <c r="AW79" s="7" t="str">
        <f t="shared" si="11"/>
      </c>
      <c r="AX79" s="7">
        <f t="shared" si="11"/>
      </c>
      <c r="AY79" s="7">
        <f t="shared" si="11"/>
      </c>
      <c r="AZ79" s="7">
        <f t="shared" si="11"/>
      </c>
      <c r="BA79" s="7">
        <f t="shared" si="11"/>
      </c>
      <c r="BB79" s="7">
        <f t="shared" si="11"/>
      </c>
      <c r="BC79" s="7">
        <f t="shared" si="11"/>
      </c>
      <c r="BD79" s="7">
        <f t="shared" si="11"/>
      </c>
      <c r="BE79" s="7">
        <f t="shared" si="11"/>
      </c>
      <c r="BF79" s="7">
        <f t="shared" si="11"/>
      </c>
      <c r="BG79" s="7">
        <f t="shared" si="11"/>
      </c>
      <c r="BH79" s="7">
        <f t="shared" si="11"/>
      </c>
      <c r="BI79" s="7">
        <f t="shared" si="11"/>
      </c>
      <c r="BJ79" s="7">
        <f t="shared" si="11"/>
      </c>
      <c r="BK79" s="7">
        <f t="shared" si="11"/>
      </c>
      <c r="BL79" s="7">
        <f t="shared" si="11"/>
      </c>
      <c r="BM79" s="7">
        <f t="shared" si="11"/>
      </c>
      <c r="BN79" s="7" t="str">
        <f t="shared" si="11"/>
      </c>
      <c r="BO79" s="7">
        <f t="shared" si="11"/>
      </c>
      <c r="BP79" s="7">
        <f t="shared" si="11"/>
      </c>
      <c r="BQ79" s="7">
        <f t="shared" si="11"/>
      </c>
      <c r="BR79" s="7">
        <f t="shared" si="11"/>
      </c>
      <c r="BS79" s="7">
        <f t="shared" si="11"/>
      </c>
      <c r="BT79" s="7">
        <f t="shared" si="11"/>
      </c>
      <c r="BU79" s="7">
        <f t="shared" si="11"/>
      </c>
      <c r="BV79" s="7">
        <f t="shared" si="11"/>
      </c>
      <c r="BW79" s="7" t="str">
        <f t="shared" si="11"/>
      </c>
      <c r="BX79" s="7" t="str">
        <f t="shared" si="11"/>
      </c>
      <c r="BY79" s="7">
        <f t="shared" si="11"/>
      </c>
      <c r="BZ79" s="7">
        <f t="shared" si="11"/>
      </c>
      <c r="CA79" s="7">
        <f t="shared" si="11"/>
      </c>
      <c r="CB79" s="7">
        <f t="shared" si="11"/>
      </c>
      <c r="CC79" s="7">
        <f t="shared" si="11"/>
      </c>
      <c r="CD79" s="7">
        <f t="shared" si="11"/>
      </c>
      <c r="CE79" s="7">
        <f t="shared" si="10"/>
      </c>
      <c r="CF79" s="7">
        <f t="shared" si="10"/>
      </c>
      <c r="CG79" s="7">
        <f t="shared" si="10"/>
      </c>
      <c r="CH79" s="7">
        <f t="shared" si="10"/>
      </c>
      <c r="CI79" s="7">
        <f t="shared" si="10"/>
      </c>
      <c r="CJ79" s="7">
        <f t="shared" si="10"/>
      </c>
      <c r="CK79" s="7">
        <f t="shared" si="10"/>
      </c>
      <c r="CL79" s="7">
        <f t="shared" si="10"/>
      </c>
      <c r="CM79" s="7">
        <f t="shared" si="10"/>
      </c>
      <c r="CN79" s="7">
        <f t="shared" si="10"/>
      </c>
      <c r="CO79" s="7">
        <f t="shared" si="10"/>
      </c>
      <c r="CP79" s="7">
        <f t="shared" si="10"/>
      </c>
      <c r="CQ79" s="7">
        <f t="shared" si="10"/>
      </c>
      <c r="CR79" s="7">
        <f t="shared" si="10"/>
      </c>
      <c r="CS79" s="7">
        <f t="shared" si="12"/>
      </c>
      <c r="CT79" s="7">
        <f t="shared" si="12"/>
      </c>
      <c r="CU79" s="7">
        <f t="shared" si="12"/>
      </c>
      <c r="CV79" s="7">
        <f t="shared" si="12"/>
      </c>
      <c r="CW79" s="7">
        <f t="shared" si="12"/>
      </c>
      <c r="CX79" s="7">
        <f t="shared" si="12"/>
      </c>
      <c r="CY79" s="7">
        <f t="shared" si="12"/>
      </c>
      <c r="CZ79" s="7">
        <f t="shared" si="12"/>
      </c>
      <c r="DA79" s="7">
        <f t="shared" si="12"/>
      </c>
      <c r="DB79" s="7" t="str">
        <f t="shared" si="12"/>
      </c>
      <c r="DC79" s="7" t="str">
        <f t="shared" si="12"/>
      </c>
      <c r="DD79" s="7">
        <f t="shared" si="12"/>
      </c>
      <c r="DE79" s="7">
        <f t="shared" si="12"/>
      </c>
      <c r="DF79" s="7">
        <f t="shared" si="12"/>
      </c>
      <c r="DG79" s="7">
        <f t="shared" si="12"/>
      </c>
      <c r="DH79" s="7">
        <f t="shared" si="12"/>
      </c>
      <c r="DI79" s="7">
        <f t="shared" si="12"/>
      </c>
    </row>
    <row r="80" spans="1:113" x14ac:dyDescent="0.25">
      <c r="A80" s="16" t="str">
        <f t="shared" si="8"/>
      </c>
      <c r="B80" s="16" t="str">
        <f t="shared" si="8"/>
      </c>
      <c r="C80" s="7">
        <f t="shared" si="9"/>
      </c>
      <c r="D80" s="7">
        <f t="shared" si="9"/>
      </c>
      <c r="E80" s="7">
        <f t="shared" si="9"/>
      </c>
      <c r="F80" s="7">
        <f t="shared" si="9"/>
      </c>
      <c r="G80" s="7">
        <f t="shared" si="9"/>
      </c>
      <c r="H80" s="7">
        <f t="shared" si="9"/>
      </c>
      <c r="I80" s="7">
        <f t="shared" si="9"/>
      </c>
      <c r="J80" s="7">
        <f t="shared" si="9"/>
      </c>
      <c r="K80" s="7">
        <f t="shared" si="9"/>
      </c>
      <c r="L80" s="7">
        <f t="shared" si="9"/>
      </c>
      <c r="M80" s="7">
        <f t="shared" si="9"/>
      </c>
      <c r="N80" s="7" t="str">
        <f t="shared" si="9"/>
      </c>
      <c r="O80" s="7" t="str">
        <f t="shared" si="9"/>
      </c>
      <c r="P80" s="7">
        <f t="shared" si="9"/>
      </c>
      <c r="Q80" s="7">
        <f t="shared" si="9"/>
      </c>
      <c r="R80" s="7">
        <f t="shared" si="9"/>
      </c>
      <c r="S80" s="7">
        <f t="shared" si="11"/>
      </c>
      <c r="T80" s="7">
        <f t="shared" si="11"/>
      </c>
      <c r="U80" s="7">
        <f t="shared" si="11"/>
      </c>
      <c r="V80" s="7">
        <f t="shared" si="11"/>
      </c>
      <c r="W80" s="7">
        <f t="shared" si="11"/>
      </c>
      <c r="X80" s="7">
        <f t="shared" si="11"/>
      </c>
      <c r="Y80" s="7">
        <f t="shared" si="11"/>
      </c>
      <c r="Z80" s="7">
        <f t="shared" si="11"/>
      </c>
      <c r="AA80" s="7">
        <f t="shared" si="11"/>
      </c>
      <c r="AB80" s="7">
        <f t="shared" si="11"/>
      </c>
      <c r="AC80" s="7">
        <f t="shared" si="11"/>
      </c>
      <c r="AD80" s="7">
        <f t="shared" si="11"/>
      </c>
      <c r="AE80" s="7">
        <f t="shared" si="11"/>
      </c>
      <c r="AF80" s="7">
        <f t="shared" si="11"/>
      </c>
      <c r="AG80" s="7">
        <f t="shared" si="11"/>
      </c>
      <c r="AH80" s="7">
        <f t="shared" si="11"/>
      </c>
      <c r="AI80" s="7">
        <f t="shared" si="11"/>
      </c>
      <c r="AJ80" s="7">
        <f t="shared" si="11"/>
      </c>
      <c r="AK80" s="7">
        <f t="shared" si="11"/>
      </c>
      <c r="AL80" s="7">
        <f t="shared" si="11"/>
      </c>
      <c r="AM80" s="7">
        <f t="shared" si="11"/>
      </c>
      <c r="AN80" s="7">
        <f t="shared" si="11"/>
      </c>
      <c r="AO80" s="7">
        <f t="shared" si="11"/>
      </c>
      <c r="AP80" s="7">
        <f t="shared" si="11"/>
      </c>
      <c r="AQ80" s="7">
        <f t="shared" si="11"/>
      </c>
      <c r="AR80" s="7">
        <f t="shared" si="11"/>
      </c>
      <c r="AS80" s="7">
        <f t="shared" si="11"/>
      </c>
      <c r="AT80" s="7">
        <f t="shared" si="11"/>
      </c>
      <c r="AU80" s="7">
        <f t="shared" si="11"/>
      </c>
      <c r="AV80" s="7" t="str">
        <f t="shared" si="11"/>
      </c>
      <c r="AW80" s="7" t="str">
        <f t="shared" ref="AW80:DH82" si="13">IF(AW55=AW$40,0,AW55)</f>
      </c>
      <c r="AX80" s="7">
        <f t="shared" si="13"/>
      </c>
      <c r="AY80" s="7">
        <f t="shared" si="13"/>
      </c>
      <c r="AZ80" s="7">
        <f t="shared" si="13"/>
      </c>
      <c r="BA80" s="7">
        <f t="shared" si="13"/>
      </c>
      <c r="BB80" s="7">
        <f t="shared" si="13"/>
      </c>
      <c r="BC80" s="7">
        <f t="shared" si="13"/>
      </c>
      <c r="BD80" s="7">
        <f t="shared" si="13"/>
      </c>
      <c r="BE80" s="7">
        <f t="shared" si="13"/>
      </c>
      <c r="BF80" s="7">
        <f t="shared" si="13"/>
      </c>
      <c r="BG80" s="7">
        <f t="shared" si="13"/>
      </c>
      <c r="BH80" s="7" t="str">
        <f t="shared" si="13"/>
      </c>
      <c r="BI80" s="7" t="str">
        <f t="shared" si="13"/>
      </c>
      <c r="BJ80" s="7">
        <f t="shared" si="13"/>
      </c>
      <c r="BK80" s="7">
        <f t="shared" si="13"/>
      </c>
      <c r="BL80" s="7">
        <f t="shared" si="13"/>
      </c>
      <c r="BM80" s="7">
        <f t="shared" si="13"/>
      </c>
      <c r="BN80" s="7" t="str">
        <f t="shared" si="13"/>
      </c>
      <c r="BO80" s="7">
        <f t="shared" si="13"/>
      </c>
      <c r="BP80" s="7">
        <f t="shared" si="13"/>
      </c>
      <c r="BQ80" s="7">
        <f t="shared" si="13"/>
      </c>
      <c r="BR80" s="7">
        <f t="shared" si="13"/>
      </c>
      <c r="BS80" s="7">
        <f t="shared" si="13"/>
      </c>
      <c r="BT80" s="7">
        <f t="shared" si="13"/>
      </c>
      <c r="BU80" s="7">
        <f t="shared" si="13"/>
      </c>
      <c r="BV80" s="7">
        <f t="shared" si="13"/>
      </c>
      <c r="BW80" s="7" t="str">
        <f t="shared" si="13"/>
      </c>
      <c r="BX80" s="7" t="str">
        <f t="shared" si="13"/>
      </c>
      <c r="BY80" s="7">
        <f t="shared" si="13"/>
      </c>
      <c r="BZ80" s="7">
        <f t="shared" si="13"/>
      </c>
      <c r="CA80" s="7">
        <f t="shared" si="13"/>
      </c>
      <c r="CB80" s="7">
        <f t="shared" si="13"/>
      </c>
      <c r="CC80" s="7">
        <f t="shared" si="13"/>
      </c>
      <c r="CD80" s="7">
        <f t="shared" si="13"/>
      </c>
      <c r="CE80" s="7">
        <f t="shared" si="13"/>
      </c>
      <c r="CF80" s="7">
        <f t="shared" si="13"/>
      </c>
      <c r="CG80" s="7">
        <f t="shared" si="13"/>
      </c>
      <c r="CH80" s="7">
        <f t="shared" si="13"/>
      </c>
      <c r="CI80" s="7">
        <f t="shared" si="13"/>
      </c>
      <c r="CJ80" s="7">
        <f t="shared" si="13"/>
      </c>
      <c r="CK80" s="7">
        <f t="shared" si="13"/>
      </c>
      <c r="CL80" s="7">
        <f t="shared" si="13"/>
      </c>
      <c r="CM80" s="7">
        <f t="shared" si="13"/>
      </c>
      <c r="CN80" s="7">
        <f t="shared" si="13"/>
      </c>
      <c r="CO80" s="7">
        <f t="shared" si="13"/>
      </c>
      <c r="CP80" s="7">
        <f t="shared" si="13"/>
      </c>
      <c r="CQ80" s="7">
        <f t="shared" si="13"/>
      </c>
      <c r="CR80" s="7">
        <f t="shared" si="13"/>
      </c>
      <c r="CS80" s="7">
        <f t="shared" si="13"/>
      </c>
      <c r="CT80" s="7">
        <f t="shared" si="13"/>
      </c>
      <c r="CU80" s="7">
        <f t="shared" si="13"/>
      </c>
      <c r="CV80" s="7">
        <f t="shared" si="13"/>
      </c>
      <c r="CW80" s="7">
        <f t="shared" si="13"/>
      </c>
      <c r="CX80" s="7">
        <f t="shared" si="13"/>
      </c>
      <c r="CY80" s="7">
        <f t="shared" si="13"/>
      </c>
      <c r="CZ80" s="7">
        <f t="shared" si="13"/>
      </c>
      <c r="DA80" s="7">
        <f t="shared" si="13"/>
      </c>
      <c r="DB80" s="7" t="str">
        <f t="shared" si="13"/>
      </c>
      <c r="DC80" s="7" t="str">
        <f t="shared" si="13"/>
      </c>
      <c r="DD80" s="7">
        <f t="shared" si="13"/>
      </c>
      <c r="DE80" s="7">
        <f t="shared" si="13"/>
      </c>
      <c r="DF80" s="7">
        <f t="shared" si="13"/>
      </c>
      <c r="DG80" s="7">
        <f t="shared" si="13"/>
      </c>
      <c r="DH80" s="7">
        <f t="shared" si="13"/>
      </c>
      <c r="DI80" s="7">
        <f t="shared" si="12"/>
      </c>
    </row>
    <row r="81" spans="1:113" x14ac:dyDescent="0.25">
      <c r="A81" s="16" t="str">
        <f t="shared" si="8"/>
      </c>
      <c r="B81" s="16" t="str">
        <f t="shared" si="8"/>
      </c>
      <c r="C81" s="7">
        <f t="shared" si="9"/>
      </c>
      <c r="D81" s="7">
        <f t="shared" si="9"/>
      </c>
      <c r="E81" s="7" t="str">
        <f t="shared" si="9"/>
      </c>
      <c r="F81" s="7">
        <f t="shared" si="9"/>
      </c>
      <c r="G81" s="7">
        <f t="shared" si="9"/>
      </c>
      <c r="H81" s="7">
        <f t="shared" si="9"/>
      </c>
      <c r="I81" s="7">
        <f t="shared" si="9"/>
      </c>
      <c r="J81" s="7">
        <f t="shared" si="9"/>
      </c>
      <c r="K81" s="7">
        <f t="shared" si="9"/>
      </c>
      <c r="L81" s="7">
        <f t="shared" si="9"/>
      </c>
      <c r="M81" s="7">
        <f t="shared" si="9"/>
      </c>
      <c r="N81" s="7" t="str">
        <f t="shared" si="9"/>
      </c>
      <c r="O81" s="7" t="str">
        <f t="shared" si="9"/>
      </c>
      <c r="P81" s="7">
        <f t="shared" si="9"/>
      </c>
      <c r="Q81" s="7">
        <f t="shared" si="9"/>
      </c>
      <c r="R81" s="7">
        <f t="shared" si="9"/>
      </c>
      <c r="S81" s="7">
        <f t="shared" ref="S81:BO82" si="14">IF(S56=S$40,0,S56)</f>
      </c>
      <c r="T81" s="7">
        <f t="shared" si="14"/>
      </c>
      <c r="U81" s="7">
        <f t="shared" si="14"/>
      </c>
      <c r="V81" s="7">
        <f t="shared" si="14"/>
      </c>
      <c r="W81" s="7">
        <f t="shared" si="14"/>
      </c>
      <c r="X81" s="7">
        <f t="shared" si="14"/>
      </c>
      <c r="Y81" s="7">
        <f t="shared" si="14"/>
      </c>
      <c r="Z81" s="7">
        <f t="shared" si="14"/>
      </c>
      <c r="AA81" s="7">
        <f t="shared" si="14"/>
      </c>
      <c r="AB81" s="7">
        <f t="shared" si="14"/>
      </c>
      <c r="AC81" s="7">
        <f t="shared" si="14"/>
      </c>
      <c r="AD81" s="7">
        <f t="shared" si="14"/>
      </c>
      <c r="AE81" s="7">
        <f t="shared" si="14"/>
      </c>
      <c r="AF81" s="7">
        <f t="shared" si="14"/>
      </c>
      <c r="AG81" s="7" t="str">
        <f t="shared" si="14"/>
      </c>
      <c r="AH81" s="7" t="str">
        <f t="shared" si="14"/>
      </c>
      <c r="AI81" s="7">
        <f t="shared" si="14"/>
      </c>
      <c r="AJ81" s="7">
        <f t="shared" si="14"/>
      </c>
      <c r="AK81" s="7">
        <f t="shared" si="14"/>
      </c>
      <c r="AL81" s="7">
        <f t="shared" si="14"/>
      </c>
      <c r="AM81" s="7">
        <f t="shared" si="14"/>
      </c>
      <c r="AN81" s="7">
        <f t="shared" si="14"/>
      </c>
      <c r="AO81" s="7">
        <f t="shared" si="14"/>
      </c>
      <c r="AP81" s="7">
        <f t="shared" si="14"/>
      </c>
      <c r="AQ81" s="7">
        <f t="shared" si="14"/>
      </c>
      <c r="AR81" s="7">
        <f t="shared" si="14"/>
      </c>
      <c r="AS81" s="7">
        <f t="shared" si="14"/>
      </c>
      <c r="AT81" s="7">
        <f t="shared" si="14"/>
      </c>
      <c r="AU81" s="7">
        <f t="shared" si="14"/>
      </c>
      <c r="AV81" s="7" t="str">
        <f t="shared" si="14"/>
      </c>
      <c r="AW81" s="7" t="str">
        <f t="shared" si="14"/>
      </c>
      <c r="AX81" s="7">
        <f t="shared" si="14"/>
      </c>
      <c r="AY81" s="7">
        <f t="shared" si="14"/>
      </c>
      <c r="AZ81" s="7">
        <f t="shared" si="14"/>
      </c>
      <c r="BA81" s="7">
        <f t="shared" si="14"/>
      </c>
      <c r="BB81" s="7">
        <f t="shared" si="14"/>
      </c>
      <c r="BC81" s="7">
        <f t="shared" si="14"/>
      </c>
      <c r="BD81" s="7">
        <f t="shared" si="14"/>
      </c>
      <c r="BE81" s="7">
        <f t="shared" si="14"/>
      </c>
      <c r="BF81" s="7">
        <f t="shared" si="14"/>
      </c>
      <c r="BG81" s="7">
        <f t="shared" si="14"/>
      </c>
      <c r="BH81" s="7" t="str">
        <f t="shared" si="14"/>
      </c>
      <c r="BI81" s="7" t="str">
        <f t="shared" si="14"/>
      </c>
      <c r="BJ81" s="7">
        <f t="shared" si="14"/>
      </c>
      <c r="BK81" s="7">
        <f t="shared" si="14"/>
      </c>
      <c r="BL81" s="7" t="str">
        <f t="shared" si="14"/>
      </c>
      <c r="BM81" s="7" t="str">
        <f t="shared" si="14"/>
      </c>
      <c r="BN81" s="7" t="str">
        <f t="shared" si="14"/>
      </c>
      <c r="BO81" s="7">
        <f t="shared" si="14"/>
      </c>
      <c r="BP81" s="7">
        <f t="shared" si="13"/>
      </c>
      <c r="BQ81" s="7">
        <f t="shared" si="13"/>
      </c>
      <c r="BR81" s="7">
        <f t="shared" si="13"/>
      </c>
      <c r="BS81" s="7">
        <f t="shared" si="13"/>
      </c>
      <c r="BT81" s="7">
        <f t="shared" si="13"/>
      </c>
      <c r="BU81" s="7">
        <f t="shared" si="13"/>
      </c>
      <c r="BV81" s="7">
        <f t="shared" si="13"/>
      </c>
      <c r="BW81" s="7" t="str">
        <f t="shared" si="13"/>
      </c>
      <c r="BX81" s="7" t="str">
        <f t="shared" si="13"/>
      </c>
      <c r="BY81" s="7">
        <f t="shared" si="13"/>
      </c>
      <c r="BZ81" s="7">
        <f t="shared" si="13"/>
      </c>
      <c r="CA81" s="7">
        <f t="shared" si="13"/>
      </c>
      <c r="CB81" s="7">
        <f t="shared" si="13"/>
      </c>
      <c r="CC81" s="7">
        <f t="shared" si="13"/>
      </c>
      <c r="CD81" s="7">
        <f t="shared" si="13"/>
      </c>
      <c r="CE81" s="7">
        <f t="shared" si="13"/>
      </c>
      <c r="CF81" s="7">
        <f t="shared" si="13"/>
      </c>
      <c r="CG81" s="7">
        <f t="shared" si="13"/>
      </c>
      <c r="CH81" s="7">
        <f t="shared" si="13"/>
      </c>
      <c r="CI81" s="7">
        <f t="shared" si="13"/>
      </c>
      <c r="CJ81" s="7">
        <f t="shared" si="13"/>
      </c>
      <c r="CK81" s="7" t="str">
        <f t="shared" si="13"/>
      </c>
      <c r="CL81" s="7">
        <f t="shared" si="13"/>
      </c>
      <c r="CM81" s="7">
        <f t="shared" si="13"/>
      </c>
      <c r="CN81" s="7">
        <f t="shared" si="13"/>
      </c>
      <c r="CO81" s="7">
        <f t="shared" si="13"/>
      </c>
      <c r="CP81" s="7">
        <f t="shared" si="13"/>
      </c>
      <c r="CQ81" s="7">
        <f t="shared" si="13"/>
      </c>
      <c r="CR81" s="7">
        <f t="shared" si="13"/>
      </c>
      <c r="CS81" s="7">
        <f t="shared" si="13"/>
      </c>
      <c r="CT81" s="7">
        <f t="shared" si="13"/>
      </c>
      <c r="CU81" s="7">
        <f t="shared" si="13"/>
      </c>
      <c r="CV81" s="7">
        <f t="shared" si="13"/>
      </c>
      <c r="CW81" s="7">
        <f t="shared" si="13"/>
      </c>
      <c r="CX81" s="7">
        <f t="shared" si="13"/>
      </c>
      <c r="CY81" s="7">
        <f t="shared" si="13"/>
      </c>
      <c r="CZ81" s="7">
        <f t="shared" si="13"/>
      </c>
      <c r="DA81" s="7">
        <f t="shared" si="13"/>
      </c>
      <c r="DB81" s="7" t="str">
        <f t="shared" si="13"/>
      </c>
      <c r="DC81" s="7" t="str">
        <f t="shared" si="13"/>
      </c>
      <c r="DD81" s="7">
        <f t="shared" si="13"/>
      </c>
      <c r="DE81" s="7">
        <f t="shared" si="13"/>
      </c>
      <c r="DF81" s="7">
        <f t="shared" si="13"/>
      </c>
      <c r="DG81" s="7">
        <f t="shared" si="13"/>
      </c>
      <c r="DH81" s="7">
        <f t="shared" si="13"/>
      </c>
      <c r="DI81" s="7">
        <f t="shared" si="12"/>
      </c>
    </row>
    <row r="82" spans="1:113" x14ac:dyDescent="0.25">
      <c r="A82" s="16" t="str">
        <f t="shared" si="8"/>
      </c>
      <c r="B82" s="16" t="str">
        <f t="shared" si="8"/>
      </c>
      <c r="C82" s="7">
        <f t="shared" si="9"/>
      </c>
      <c r="D82" s="7">
        <f t="shared" si="9"/>
      </c>
      <c r="E82" s="7">
        <f t="shared" si="9"/>
      </c>
      <c r="F82" s="7">
        <f t="shared" si="9"/>
      </c>
      <c r="G82" s="7">
        <f t="shared" si="9"/>
      </c>
      <c r="H82" s="7">
        <f t="shared" si="9"/>
      </c>
      <c r="I82" s="7">
        <f t="shared" si="9"/>
      </c>
      <c r="J82" s="7">
        <f t="shared" si="9"/>
      </c>
      <c r="K82" s="7">
        <f t="shared" si="9"/>
      </c>
      <c r="L82" s="7">
        <f t="shared" si="9"/>
      </c>
      <c r="M82" s="7">
        <f t="shared" si="9"/>
      </c>
      <c r="N82" s="7" t="str">
        <f t="shared" si="9"/>
      </c>
      <c r="O82" s="7" t="str">
        <f t="shared" si="9"/>
      </c>
      <c r="P82" s="7">
        <f t="shared" si="9"/>
      </c>
      <c r="Q82" s="7">
        <f t="shared" si="9"/>
      </c>
      <c r="R82" s="7">
        <f t="shared" si="9"/>
      </c>
      <c r="S82" s="7">
        <f t="shared" si="14"/>
      </c>
      <c r="T82" s="7">
        <f t="shared" si="14"/>
      </c>
      <c r="U82" s="7">
        <f t="shared" si="14"/>
      </c>
      <c r="V82" s="7">
        <f t="shared" si="14"/>
      </c>
      <c r="W82" s="7">
        <f t="shared" si="14"/>
      </c>
      <c r="X82" s="7">
        <f t="shared" si="14"/>
      </c>
      <c r="Y82" s="7">
        <f t="shared" si="14"/>
      </c>
      <c r="Z82" s="7">
        <f t="shared" si="14"/>
      </c>
      <c r="AA82" s="7">
        <f t="shared" si="14"/>
      </c>
      <c r="AB82" s="7">
        <f t="shared" si="14"/>
      </c>
      <c r="AC82" s="7">
        <f t="shared" si="14"/>
      </c>
      <c r="AD82" s="7">
        <f t="shared" si="14"/>
      </c>
      <c r="AE82" s="7">
        <f t="shared" si="14"/>
      </c>
      <c r="AF82" s="7">
        <f t="shared" si="14"/>
      </c>
      <c r="AG82" s="7">
        <f t="shared" si="14"/>
      </c>
      <c r="AH82" s="7">
        <f t="shared" si="14"/>
      </c>
      <c r="AI82" s="7">
        <f t="shared" si="14"/>
      </c>
      <c r="AJ82" s="7">
        <f t="shared" si="14"/>
      </c>
      <c r="AK82" s="7">
        <f t="shared" si="14"/>
      </c>
      <c r="AL82" s="7">
        <f t="shared" si="14"/>
      </c>
      <c r="AM82" s="7">
        <f t="shared" si="14"/>
      </c>
      <c r="AN82" s="7">
        <f t="shared" si="14"/>
      </c>
      <c r="AO82" s="7">
        <f t="shared" si="14"/>
      </c>
      <c r="AP82" s="7">
        <f t="shared" si="14"/>
      </c>
      <c r="AQ82" s="7">
        <f t="shared" si="14"/>
      </c>
      <c r="AR82" s="7">
        <f t="shared" si="14"/>
      </c>
      <c r="AS82" s="7">
        <f t="shared" si="14"/>
      </c>
      <c r="AT82" s="7">
        <f t="shared" si="14"/>
      </c>
      <c r="AU82" s="7">
        <f t="shared" si="14"/>
      </c>
      <c r="AV82" s="7" t="str">
        <f t="shared" si="14"/>
      </c>
      <c r="AW82" s="7" t="str">
        <f t="shared" si="14"/>
      </c>
      <c r="AX82" s="7">
        <f t="shared" si="14"/>
      </c>
      <c r="AY82" s="7">
        <f t="shared" si="14"/>
      </c>
      <c r="AZ82" s="7">
        <f t="shared" si="14"/>
      </c>
      <c r="BA82" s="7">
        <f t="shared" si="14"/>
      </c>
      <c r="BB82" s="7">
        <f t="shared" si="14"/>
      </c>
      <c r="BC82" s="7">
        <f t="shared" si="14"/>
      </c>
      <c r="BD82" s="7">
        <f t="shared" si="14"/>
      </c>
      <c r="BE82" s="7">
        <f t="shared" si="14"/>
      </c>
      <c r="BF82" s="7">
        <f t="shared" si="14"/>
      </c>
      <c r="BG82" s="7">
        <f t="shared" si="14"/>
      </c>
      <c r="BH82" s="7" t="str">
        <f t="shared" si="14"/>
      </c>
      <c r="BI82" s="7" t="str">
        <f t="shared" si="14"/>
      </c>
      <c r="BJ82" s="7">
        <f t="shared" si="14"/>
      </c>
      <c r="BK82" s="7">
        <f t="shared" si="14"/>
      </c>
      <c r="BL82" s="7">
        <f t="shared" si="14"/>
      </c>
      <c r="BM82" s="7">
        <f t="shared" si="14"/>
      </c>
      <c r="BN82" s="7" t="str">
        <f t="shared" si="14"/>
      </c>
      <c r="BO82" s="7">
        <f t="shared" si="14"/>
      </c>
      <c r="BP82" s="7">
        <f t="shared" si="13"/>
      </c>
      <c r="BQ82" s="7">
        <f t="shared" si="13"/>
      </c>
      <c r="BR82" s="7">
        <f t="shared" si="13"/>
      </c>
      <c r="BS82" s="7">
        <f t="shared" si="13"/>
      </c>
      <c r="BT82" s="7">
        <f t="shared" si="13"/>
      </c>
      <c r="BU82" s="7">
        <f t="shared" si="13"/>
      </c>
      <c r="BV82" s="7">
        <f t="shared" si="13"/>
      </c>
      <c r="BW82" s="7" t="str">
        <f t="shared" si="13"/>
      </c>
      <c r="BX82" s="7" t="str">
        <f t="shared" si="13"/>
      </c>
      <c r="BY82" s="7">
        <f t="shared" si="13"/>
      </c>
      <c r="BZ82" s="7">
        <f t="shared" si="13"/>
      </c>
      <c r="CA82" s="7">
        <f t="shared" si="13"/>
      </c>
      <c r="CB82" s="7">
        <f t="shared" si="13"/>
      </c>
      <c r="CC82" s="7">
        <f t="shared" si="13"/>
      </c>
      <c r="CD82" s="7">
        <f t="shared" si="13"/>
      </c>
      <c r="CE82" s="7">
        <f t="shared" si="13"/>
      </c>
      <c r="CF82" s="7">
        <f t="shared" si="13"/>
      </c>
      <c r="CG82" s="7">
        <f t="shared" si="13"/>
      </c>
      <c r="CH82" s="7">
        <f t="shared" si="13"/>
      </c>
      <c r="CI82" s="7">
        <f t="shared" si="13"/>
      </c>
      <c r="CJ82" s="7">
        <f t="shared" si="13"/>
      </c>
      <c r="CK82" s="7">
        <f t="shared" si="13"/>
      </c>
      <c r="CL82" s="7">
        <f t="shared" si="13"/>
      </c>
      <c r="CM82" s="7">
        <f t="shared" si="13"/>
      </c>
      <c r="CN82" s="7">
        <f t="shared" si="13"/>
      </c>
      <c r="CO82" s="7">
        <f t="shared" si="13"/>
      </c>
      <c r="CP82" s="7">
        <f t="shared" si="13"/>
      </c>
      <c r="CQ82" s="7">
        <f t="shared" si="13"/>
      </c>
      <c r="CR82" s="7">
        <f t="shared" si="13"/>
      </c>
      <c r="CS82" s="7">
        <f t="shared" si="13"/>
      </c>
      <c r="CT82" s="7">
        <f t="shared" si="13"/>
      </c>
      <c r="CU82" s="7">
        <f t="shared" si="13"/>
      </c>
      <c r="CV82" s="7">
        <f t="shared" si="13"/>
      </c>
      <c r="CW82" s="7">
        <f t="shared" si="13"/>
      </c>
      <c r="CX82" s="7">
        <f t="shared" si="13"/>
      </c>
      <c r="CY82" s="7">
        <f t="shared" si="13"/>
      </c>
      <c r="CZ82" s="7">
        <f t="shared" si="13"/>
      </c>
      <c r="DA82" s="7">
        <f t="shared" si="13"/>
      </c>
      <c r="DB82" s="7" t="str">
        <f t="shared" si="13"/>
      </c>
      <c r="DC82" s="7" t="str">
        <f t="shared" si="13"/>
      </c>
      <c r="DD82" s="7">
        <f t="shared" si="13"/>
      </c>
      <c r="DE82" s="7">
        <f t="shared" si="13"/>
      </c>
      <c r="DF82" s="7">
        <f t="shared" si="13"/>
      </c>
      <c r="DG82" s="7">
        <f t="shared" si="13"/>
      </c>
      <c r="DH82" s="7">
        <f t="shared" si="13"/>
      </c>
      <c r="DI82" s="7">
        <f t="shared" si="12"/>
      </c>
    </row>
    <row r="83" spans="1:113" x14ac:dyDescent="0.25">
      <c r="A83" s="16" t="str">
        <f t="shared" si="8"/>
      </c>
      <c r="B83" s="16" t="str">
        <f t="shared" si="8"/>
      </c>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row>
    <row r="84" spans="1:113" x14ac:dyDescent="0.25">
      <c r="A84" s="16" t="str">
        <f t="shared" si="8"/>
      </c>
      <c r="B84" s="16" t="str">
        <f t="shared" si="8"/>
      </c>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row>
    <row r="85" spans="1:113" x14ac:dyDescent="0.25">
      <c r="A85" s="16" t="str">
        <f t="shared" si="8"/>
      </c>
      <c r="B85" s="16" t="str">
        <f t="shared" si="8"/>
      </c>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row>
    <row r="86" spans="1:113" x14ac:dyDescent="0.25">
      <c r="A86" s="16" t="str">
        <f t="shared" si="8"/>
      </c>
      <c r="B86" s="16" t="str">
        <f t="shared" si="8"/>
      </c>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row>
    <row r="87" spans="1:113" x14ac:dyDescent="0.25">
      <c r="A87" s="16" t="str">
        <f t="shared" si="8"/>
      </c>
      <c r="B87" s="16" t="str">
        <f t="shared" si="8"/>
      </c>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row>
    <row r="88" spans="1:113" x14ac:dyDescent="0.25">
      <c r="A88" s="16" t="str">
        <f t="shared" ref="A88:B90" si="15">A36</f>
      </c>
      <c r="B88" s="16" t="str">
        <f t="shared" si="15"/>
      </c>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row>
    <row r="89" spans="1:113" x14ac:dyDescent="0.25">
      <c r="A89" s="16" t="str">
        <f t="shared" si="15"/>
      </c>
      <c r="B89" s="16" t="str">
        <f t="shared" si="15"/>
      </c>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row>
    <row r="90" spans="1:113" x14ac:dyDescent="0.25">
      <c r="A90" s="16" t="str">
        <f t="shared" si="15"/>
      </c>
      <c r="B90" s="16" t="str">
        <f t="shared" si="15"/>
      </c>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row>
    <row r="91" spans="1:113" x14ac:dyDescent="0.25">
      <c r="A91" s="9"/>
      <c r="B91" s="10"/>
      <c r="C91" s="15"/>
      <c r="D91" s="11"/>
      <c r="E91" s="12"/>
      <c r="F91" s="13"/>
      <c r="G91" s="17"/>
      <c r="H91" s="11"/>
      <c r="I91" s="11"/>
      <c r="J91" s="11"/>
      <c r="K91" s="12"/>
      <c r="L91" s="12"/>
      <c r="M91" s="12"/>
      <c r="N91" s="15"/>
      <c r="O91" s="15"/>
      <c r="P91" s="15"/>
      <c r="Q91" s="12"/>
      <c r="R91" s="17"/>
      <c r="S91" s="11"/>
      <c r="T91" s="12"/>
      <c r="U91" s="11"/>
      <c r="V91" s="14"/>
      <c r="W91" s="11"/>
      <c r="X91" s="11"/>
      <c r="Y91" s="13"/>
    </row>
    <row r="93" spans="1:113" x14ac:dyDescent="0.25">
      <c r="A93" s="46" t="s">
        <v>292</v>
      </c>
      <c r="B93" s="10"/>
      <c r="C93" s="15"/>
      <c r="D93" s="13"/>
      <c r="E93" s="11"/>
      <c r="F93" s="15"/>
      <c r="G93" s="12"/>
      <c r="H93" s="13"/>
      <c r="I93"/>
      <c r="J93"/>
      <c r="K93"/>
      <c r="L93"/>
      <c r="M93"/>
      <c r="N93"/>
      <c r="O93"/>
      <c r="P93"/>
      <c r="Q93"/>
      <c r="R93"/>
      <c r="S93"/>
      <c r="T93"/>
      <c r="U93"/>
      <c r="V93"/>
      <c r="W93"/>
      <c r="X93"/>
      <c r="Y93"/>
    </row>
    <row r="94" spans="1:113" x14ac:dyDescent="0.25">
      <c r="A94" s="100" t="s">
        <v>309</v>
      </c>
      <c r="B94" s="100"/>
      <c r="C94" s="48" t="str">
        <f>C17</f>
      </c>
      <c r="D94" s="8" t="str">
        <f t="shared" ref="D94:BO95" si="16">D17</f>
      </c>
      <c r="E94" s="48" t="str">
        <f t="shared" si="16"/>
      </c>
      <c r="F94" s="48" t="str">
        <f t="shared" si="16"/>
      </c>
      <c r="G94" s="8" t="str">
        <f t="shared" si="16"/>
      </c>
      <c r="H94" s="8" t="str">
        <f t="shared" si="16"/>
      </c>
      <c r="I94" s="48" t="str">
        <f t="shared" si="16"/>
      </c>
      <c r="J94" s="8" t="str">
        <f t="shared" si="16"/>
      </c>
      <c r="K94" s="48" t="str">
        <f t="shared" si="16"/>
      </c>
      <c r="L94" s="8" t="str">
        <f t="shared" si="16"/>
      </c>
      <c r="M94" s="48" t="str">
        <f t="shared" si="16"/>
      </c>
      <c r="N94" s="8" t="str">
        <f t="shared" si="16"/>
      </c>
      <c r="O94" s="48" t="str">
        <f t="shared" si="16"/>
      </c>
      <c r="P94" s="48" t="str">
        <f t="shared" si="16"/>
      </c>
      <c r="Q94" s="8" t="str">
        <f t="shared" si="16"/>
      </c>
      <c r="R94" s="48" t="str">
        <f t="shared" si="16"/>
      </c>
      <c r="S94" s="8" t="str">
        <f t="shared" si="16"/>
      </c>
      <c r="T94" s="48" t="str">
        <f t="shared" si="16"/>
      </c>
      <c r="U94" s="8" t="str">
        <f t="shared" si="16"/>
      </c>
      <c r="V94" s="48" t="str">
        <f t="shared" si="16"/>
      </c>
      <c r="W94" s="8" t="str">
        <f t="shared" si="16"/>
      </c>
      <c r="X94" s="8" t="str">
        <f t="shared" si="16"/>
      </c>
      <c r="Y94" s="48" t="str">
        <f t="shared" si="16"/>
      </c>
      <c r="Z94" s="48" t="str">
        <f t="shared" si="16"/>
      </c>
      <c r="AA94" s="8" t="str">
        <f t="shared" si="16"/>
      </c>
      <c r="AB94" s="48" t="str">
        <f t="shared" si="16"/>
      </c>
      <c r="AC94" s="8" t="str">
        <f t="shared" si="16"/>
      </c>
      <c r="AD94" s="48" t="str">
        <f t="shared" si="16"/>
      </c>
      <c r="AE94" s="8" t="str">
        <f t="shared" si="16"/>
      </c>
      <c r="AF94" s="48" t="str">
        <f t="shared" si="16"/>
      </c>
      <c r="AG94" s="8" t="str">
        <f t="shared" si="16"/>
      </c>
      <c r="AH94" s="48" t="str">
        <f t="shared" si="16"/>
      </c>
      <c r="AI94" s="48" t="str">
        <f t="shared" si="16"/>
      </c>
      <c r="AJ94" s="8" t="str">
        <f t="shared" si="16"/>
      </c>
      <c r="AK94" s="8" t="str">
        <f t="shared" si="16"/>
      </c>
      <c r="AL94" s="48" t="str">
        <f t="shared" si="16"/>
      </c>
      <c r="AM94" s="8" t="str">
        <f t="shared" si="16"/>
      </c>
      <c r="AN94" s="48" t="str">
        <f t="shared" si="16"/>
      </c>
      <c r="AO94" s="8" t="str">
        <f t="shared" si="16"/>
      </c>
      <c r="AP94" s="48" t="str">
        <f t="shared" si="16"/>
      </c>
      <c r="AQ94" s="8" t="str">
        <f t="shared" si="16"/>
      </c>
      <c r="AR94" s="48" t="str">
        <f t="shared" si="16"/>
      </c>
      <c r="AS94" s="48" t="str">
        <f t="shared" si="16"/>
      </c>
      <c r="AT94" s="48" t="str">
        <f t="shared" si="16"/>
      </c>
      <c r="AU94" s="8" t="str">
        <f t="shared" si="16"/>
      </c>
      <c r="AV94" s="8" t="str">
        <f t="shared" si="16"/>
      </c>
      <c r="AW94" s="48" t="str">
        <f t="shared" si="16"/>
      </c>
      <c r="AX94" s="48" t="str">
        <f t="shared" si="16"/>
      </c>
      <c r="AY94" s="8" t="str">
        <f t="shared" si="16"/>
      </c>
      <c r="AZ94" s="48" t="str">
        <f t="shared" si="16"/>
      </c>
      <c r="BA94" s="8" t="str">
        <f t="shared" si="16"/>
      </c>
      <c r="BB94" s="48" t="str">
        <f t="shared" si="16"/>
      </c>
      <c r="BC94" s="8" t="str">
        <f t="shared" si="16"/>
      </c>
      <c r="BD94" s="48" t="str">
        <f t="shared" si="16"/>
      </c>
      <c r="BE94" s="8" t="str">
        <f t="shared" si="16"/>
      </c>
      <c r="BF94" s="8" t="str">
        <f t="shared" si="16"/>
      </c>
      <c r="BG94" s="48" t="str">
        <f t="shared" si="16"/>
      </c>
      <c r="BH94" s="8" t="str">
        <f t="shared" si="16"/>
      </c>
      <c r="BI94" s="48" t="str">
        <f t="shared" si="16"/>
      </c>
      <c r="BJ94" s="48" t="str">
        <f t="shared" si="16"/>
      </c>
      <c r="BK94" s="8" t="str">
        <f t="shared" si="16"/>
      </c>
      <c r="BL94" s="8" t="str">
        <f t="shared" si="16"/>
      </c>
      <c r="BM94" s="48" t="str">
        <f t="shared" si="16"/>
      </c>
      <c r="BN94" s="8" t="str">
        <f t="shared" si="16"/>
      </c>
      <c r="BO94" s="8" t="str">
        <f t="shared" si="16"/>
      </c>
      <c r="BP94" s="48" t="str">
        <f t="shared" ref="BP94:DI95" si="17">BP17</f>
      </c>
      <c r="BQ94" s="48" t="str">
        <f t="shared" si="17"/>
      </c>
      <c r="BR94" s="48" t="str">
        <f t="shared" si="17"/>
      </c>
      <c r="BS94" s="8" t="str">
        <f t="shared" si="17"/>
      </c>
      <c r="BT94" s="48" t="str">
        <f t="shared" si="17"/>
      </c>
      <c r="BU94" s="48" t="str">
        <f t="shared" si="17"/>
      </c>
      <c r="BV94" s="8" t="str">
        <f t="shared" si="17"/>
      </c>
      <c r="BW94" s="8" t="str">
        <f t="shared" si="17"/>
      </c>
      <c r="BX94" s="48" t="str">
        <f t="shared" si="17"/>
      </c>
      <c r="BY94" s="48" t="str">
        <f t="shared" si="17"/>
      </c>
      <c r="BZ94" s="8" t="str">
        <f t="shared" si="17"/>
      </c>
      <c r="CA94" s="48" t="str">
        <f t="shared" si="17"/>
      </c>
      <c r="CB94" s="8" t="str">
        <f t="shared" si="17"/>
      </c>
      <c r="CC94" s="48" t="str">
        <f t="shared" si="17"/>
      </c>
      <c r="CD94" s="8" t="str">
        <f t="shared" si="17"/>
      </c>
      <c r="CE94" s="48" t="str">
        <f t="shared" si="17"/>
      </c>
      <c r="CF94" s="8" t="str">
        <f t="shared" si="17"/>
      </c>
      <c r="CG94" s="48" t="str">
        <f t="shared" si="17"/>
      </c>
      <c r="CH94" s="8" t="str">
        <f t="shared" si="17"/>
      </c>
      <c r="CI94" s="8" t="str">
        <f t="shared" si="17"/>
      </c>
      <c r="CJ94" s="48" t="str">
        <f t="shared" si="17"/>
      </c>
      <c r="CK94" s="8" t="str">
        <f t="shared" si="17"/>
      </c>
      <c r="CL94" s="48" t="str">
        <f t="shared" si="17"/>
      </c>
      <c r="CM94" s="8" t="str">
        <f t="shared" si="17"/>
      </c>
      <c r="CN94" s="48" t="str">
        <f t="shared" si="17"/>
      </c>
      <c r="CO94" s="48" t="str">
        <f t="shared" si="17"/>
      </c>
      <c r="CP94" s="8" t="str">
        <f t="shared" si="17"/>
      </c>
      <c r="CQ94" s="48" t="str">
        <f t="shared" si="17"/>
      </c>
      <c r="CR94" s="8" t="str">
        <f t="shared" si="17"/>
      </c>
      <c r="CS94" s="8" t="str">
        <f t="shared" si="17"/>
      </c>
      <c r="CT94" s="48" t="str">
        <f t="shared" si="17"/>
      </c>
      <c r="CU94" s="8" t="str">
        <f t="shared" si="17"/>
      </c>
      <c r="CV94" s="8" t="str">
        <f t="shared" si="17"/>
      </c>
      <c r="CW94" s="48" t="str">
        <f t="shared" si="17"/>
      </c>
      <c r="CX94" s="48" t="str">
        <f t="shared" si="17"/>
      </c>
      <c r="CY94" s="8" t="str">
        <f t="shared" si="17"/>
      </c>
      <c r="CZ94" s="48" t="str">
        <f t="shared" si="17"/>
      </c>
      <c r="DA94" s="8" t="str">
        <f t="shared" si="17"/>
      </c>
      <c r="DB94" s="8" t="str">
        <f t="shared" si="17"/>
      </c>
      <c r="DC94" s="48" t="str">
        <f t="shared" si="17"/>
      </c>
      <c r="DD94" s="48" t="str">
        <f t="shared" si="17"/>
      </c>
      <c r="DE94" s="8" t="str">
        <f t="shared" si="17"/>
      </c>
      <c r="DF94" s="8" t="str">
        <f t="shared" si="17"/>
      </c>
      <c r="DG94" s="48" t="str">
        <f t="shared" si="17"/>
      </c>
      <c r="DH94" s="8" t="str">
        <f t="shared" si="17"/>
      </c>
      <c r="DI94" s="48" t="str">
        <f t="shared" si="17"/>
      </c>
    </row>
    <row r="95" spans="1:113" x14ac:dyDescent="0.25">
      <c r="A95" s="47" t="s">
        <v>122</v>
      </c>
      <c r="B95" s="47" t="s">
        <v>123</v>
      </c>
      <c r="C95" s="48" t="str">
        <f>C18</f>
      </c>
      <c r="D95" s="8" t="str">
        <f t="shared" si="16"/>
      </c>
      <c r="E95" s="48" t="str">
        <f t="shared" si="16"/>
      </c>
      <c r="F95" s="48" t="str">
        <f t="shared" si="16"/>
      </c>
      <c r="G95" s="8" t="str">
        <f t="shared" si="16"/>
      </c>
      <c r="H95" s="8" t="str">
        <f t="shared" si="16"/>
      </c>
      <c r="I95" s="48" t="str">
        <f t="shared" si="16"/>
      </c>
      <c r="J95" s="8" t="str">
        <f t="shared" si="16"/>
      </c>
      <c r="K95" s="48" t="str">
        <f t="shared" si="16"/>
      </c>
      <c r="L95" s="8" t="str">
        <f t="shared" si="16"/>
      </c>
      <c r="M95" s="48" t="str">
        <f t="shared" si="16"/>
      </c>
      <c r="N95" s="8" t="str">
        <f t="shared" si="16"/>
      </c>
      <c r="O95" s="48" t="str">
        <f t="shared" si="16"/>
      </c>
      <c r="P95" s="48" t="str">
        <f t="shared" si="16"/>
      </c>
      <c r="Q95" s="8" t="str">
        <f t="shared" si="16"/>
      </c>
      <c r="R95" s="48" t="str">
        <f t="shared" si="16"/>
      </c>
      <c r="S95" s="8" t="str">
        <f t="shared" si="16"/>
      </c>
      <c r="T95" s="48" t="str">
        <f t="shared" si="16"/>
      </c>
      <c r="U95" s="8" t="str">
        <f t="shared" si="16"/>
      </c>
      <c r="V95" s="48" t="str">
        <f t="shared" si="16"/>
      </c>
      <c r="W95" s="8" t="str">
        <f t="shared" si="16"/>
      </c>
      <c r="X95" s="8" t="str">
        <f t="shared" si="16"/>
      </c>
      <c r="Y95" s="48" t="str">
        <f t="shared" si="16"/>
      </c>
      <c r="Z95" s="48" t="str">
        <f t="shared" si="16"/>
      </c>
      <c r="AA95" s="8" t="str">
        <f t="shared" si="16"/>
      </c>
      <c r="AB95" s="48" t="str">
        <f t="shared" si="16"/>
      </c>
      <c r="AC95" s="8" t="str">
        <f t="shared" si="16"/>
      </c>
      <c r="AD95" s="48" t="str">
        <f t="shared" si="16"/>
      </c>
      <c r="AE95" s="8" t="str">
        <f t="shared" si="16"/>
      </c>
      <c r="AF95" s="48" t="str">
        <f t="shared" si="16"/>
      </c>
      <c r="AG95" s="8" t="str">
        <f t="shared" si="16"/>
      </c>
      <c r="AH95" s="48" t="str">
        <f t="shared" si="16"/>
      </c>
      <c r="AI95" s="48" t="str">
        <f t="shared" si="16"/>
      </c>
      <c r="AJ95" s="8" t="str">
        <f t="shared" si="16"/>
      </c>
      <c r="AK95" s="8" t="str">
        <f t="shared" si="16"/>
      </c>
      <c r="AL95" s="48" t="str">
        <f t="shared" si="16"/>
      </c>
      <c r="AM95" s="8" t="str">
        <f t="shared" si="16"/>
      </c>
      <c r="AN95" s="48" t="str">
        <f t="shared" si="16"/>
      </c>
      <c r="AO95" s="8" t="str">
        <f t="shared" si="16"/>
      </c>
      <c r="AP95" s="48" t="str">
        <f t="shared" si="16"/>
      </c>
      <c r="AQ95" s="8" t="str">
        <f t="shared" si="16"/>
      </c>
      <c r="AR95" s="48" t="str">
        <f t="shared" si="16"/>
      </c>
      <c r="AS95" s="48" t="str">
        <f t="shared" si="16"/>
      </c>
      <c r="AT95" s="48" t="str">
        <f t="shared" si="16"/>
      </c>
      <c r="AU95" s="8" t="str">
        <f t="shared" si="16"/>
      </c>
      <c r="AV95" s="8" t="str">
        <f t="shared" si="16"/>
      </c>
      <c r="AW95" s="48" t="str">
        <f t="shared" si="16"/>
      </c>
      <c r="AX95" s="48" t="str">
        <f t="shared" si="16"/>
      </c>
      <c r="AY95" s="8" t="str">
        <f t="shared" si="16"/>
      </c>
      <c r="AZ95" s="48" t="str">
        <f t="shared" si="16"/>
      </c>
      <c r="BA95" s="8" t="str">
        <f t="shared" si="16"/>
      </c>
      <c r="BB95" s="48" t="str">
        <f t="shared" si="16"/>
      </c>
      <c r="BC95" s="8" t="str">
        <f t="shared" si="16"/>
      </c>
      <c r="BD95" s="48" t="str">
        <f t="shared" si="16"/>
      </c>
      <c r="BE95" s="8" t="str">
        <f t="shared" si="16"/>
      </c>
      <c r="BF95" s="8" t="str">
        <f t="shared" si="16"/>
      </c>
      <c r="BG95" s="48" t="str">
        <f t="shared" si="16"/>
      </c>
      <c r="BH95" s="8" t="str">
        <f t="shared" si="16"/>
      </c>
      <c r="BI95" s="48" t="str">
        <f t="shared" si="16"/>
      </c>
      <c r="BJ95" s="48" t="str">
        <f t="shared" si="16"/>
      </c>
      <c r="BK95" s="8" t="str">
        <f t="shared" si="16"/>
      </c>
      <c r="BL95" s="8" t="str">
        <f t="shared" si="16"/>
      </c>
      <c r="BM95" s="48" t="str">
        <f t="shared" si="16"/>
      </c>
      <c r="BN95" s="8" t="str">
        <f t="shared" si="16"/>
      </c>
      <c r="BO95" s="8" t="str">
        <f t="shared" si="16"/>
      </c>
      <c r="BP95" s="48" t="str">
        <f t="shared" si="17"/>
      </c>
      <c r="BQ95" s="48" t="str">
        <f t="shared" si="17"/>
      </c>
      <c r="BR95" s="48" t="str">
        <f t="shared" si="17"/>
      </c>
      <c r="BS95" s="8" t="str">
        <f t="shared" si="17"/>
      </c>
      <c r="BT95" s="48" t="str">
        <f t="shared" si="17"/>
      </c>
      <c r="BU95" s="48" t="str">
        <f t="shared" si="17"/>
      </c>
      <c r="BV95" s="8" t="str">
        <f t="shared" si="17"/>
      </c>
      <c r="BW95" s="8" t="str">
        <f t="shared" si="17"/>
      </c>
      <c r="BX95" s="48" t="str">
        <f t="shared" si="17"/>
      </c>
      <c r="BY95" s="48" t="str">
        <f t="shared" si="17"/>
      </c>
      <c r="BZ95" s="8" t="str">
        <f t="shared" si="17"/>
      </c>
      <c r="CA95" s="48" t="str">
        <f t="shared" si="17"/>
      </c>
      <c r="CB95" s="8" t="str">
        <f t="shared" si="17"/>
      </c>
      <c r="CC95" s="48" t="str">
        <f t="shared" si="17"/>
      </c>
      <c r="CD95" s="8" t="str">
        <f t="shared" si="17"/>
      </c>
      <c r="CE95" s="48" t="str">
        <f t="shared" si="17"/>
      </c>
      <c r="CF95" s="8" t="str">
        <f t="shared" si="17"/>
      </c>
      <c r="CG95" s="48" t="str">
        <f t="shared" si="17"/>
      </c>
      <c r="CH95" s="8" t="str">
        <f t="shared" si="17"/>
      </c>
      <c r="CI95" s="8" t="str">
        <f t="shared" si="17"/>
      </c>
      <c r="CJ95" s="48" t="str">
        <f t="shared" si="17"/>
      </c>
      <c r="CK95" s="8" t="str">
        <f t="shared" si="17"/>
      </c>
      <c r="CL95" s="48" t="str">
        <f t="shared" si="17"/>
      </c>
      <c r="CM95" s="8" t="str">
        <f t="shared" si="17"/>
      </c>
      <c r="CN95" s="48" t="str">
        <f t="shared" si="17"/>
      </c>
      <c r="CO95" s="48" t="str">
        <f t="shared" si="17"/>
      </c>
      <c r="CP95" s="8" t="str">
        <f t="shared" si="17"/>
      </c>
      <c r="CQ95" s="48" t="str">
        <f t="shared" si="17"/>
      </c>
      <c r="CR95" s="8" t="str">
        <f t="shared" si="17"/>
      </c>
      <c r="CS95" s="8" t="str">
        <f t="shared" si="17"/>
      </c>
      <c r="CT95" s="48" t="str">
        <f t="shared" si="17"/>
      </c>
      <c r="CU95" s="8" t="str">
        <f t="shared" si="17"/>
      </c>
      <c r="CV95" s="8" t="str">
        <f t="shared" si="17"/>
      </c>
      <c r="CW95" s="48" t="str">
        <f t="shared" si="17"/>
      </c>
      <c r="CX95" s="48" t="str">
        <f t="shared" si="17"/>
      </c>
      <c r="CY95" s="8" t="str">
        <f t="shared" si="17"/>
      </c>
      <c r="CZ95" s="48" t="str">
        <f t="shared" si="17"/>
      </c>
      <c r="DA95" s="8" t="str">
        <f t="shared" si="17"/>
      </c>
      <c r="DB95" s="8" t="str">
        <f t="shared" si="17"/>
      </c>
      <c r="DC95" s="48" t="str">
        <f t="shared" si="17"/>
      </c>
      <c r="DD95" s="48" t="str">
        <f t="shared" si="17"/>
      </c>
      <c r="DE95" s="8" t="str">
        <f t="shared" si="17"/>
      </c>
      <c r="DF95" s="8" t="str">
        <f t="shared" si="17"/>
      </c>
      <c r="DG95" s="48" t="str">
        <f t="shared" si="17"/>
      </c>
      <c r="DH95" s="8" t="str">
        <f t="shared" si="17"/>
      </c>
      <c r="DI95" s="48" t="str">
        <f t="shared" si="17"/>
      </c>
    </row>
    <row r="96" spans="1:113" x14ac:dyDescent="0.25">
      <c r="A96" s="16" t="str">
        <f>A19</f>
      </c>
      <c r="B96" s="16" t="str">
        <f>B19</f>
      </c>
      <c r="C96" s="7" t="str">
        <f>IF(C46=C40,"PASS","FAIL")</f>
      </c>
      <c r="D96" s="7" t="str">
        <f t="shared" ref="D96:BO96" si="18">IF(D46=D40,"PASS","FAIL")</f>
      </c>
      <c r="E96" s="7" t="str">
        <f t="shared" si="18"/>
      </c>
      <c r="F96" s="7" t="str">
        <f t="shared" si="18"/>
      </c>
      <c r="G96" s="7" t="str">
        <f t="shared" si="18"/>
      </c>
      <c r="H96" s="7" t="str">
        <f t="shared" si="18"/>
      </c>
      <c r="I96" s="7" t="str">
        <f t="shared" si="18"/>
      </c>
      <c r="J96" s="7" t="str">
        <f t="shared" si="18"/>
      </c>
      <c r="K96" s="7" t="str">
        <f t="shared" si="18"/>
      </c>
      <c r="L96" s="7" t="str">
        <f t="shared" si="18"/>
      </c>
      <c r="M96" s="7" t="str">
        <f t="shared" si="18"/>
      </c>
      <c r="N96" s="7" t="str">
        <f t="shared" si="18"/>
      </c>
      <c r="O96" s="7" t="str">
        <f t="shared" si="18"/>
      </c>
      <c r="P96" s="7" t="str">
        <f t="shared" si="18"/>
      </c>
      <c r="Q96" s="7" t="str">
        <f t="shared" si="18"/>
      </c>
      <c r="R96" s="7" t="str">
        <f t="shared" si="18"/>
      </c>
      <c r="S96" s="7" t="str">
        <f t="shared" si="18"/>
      </c>
      <c r="T96" s="7" t="str">
        <f t="shared" si="18"/>
      </c>
      <c r="U96" s="7" t="str">
        <f t="shared" si="18"/>
      </c>
      <c r="V96" s="7" t="str">
        <f t="shared" si="18"/>
      </c>
      <c r="W96" s="7" t="str">
        <f t="shared" si="18"/>
      </c>
      <c r="X96" s="7" t="str">
        <f t="shared" si="18"/>
      </c>
      <c r="Y96" s="7" t="str">
        <f t="shared" si="18"/>
      </c>
      <c r="Z96" s="7" t="str">
        <f t="shared" si="18"/>
      </c>
      <c r="AA96" s="7" t="str">
        <f t="shared" si="18"/>
      </c>
      <c r="AB96" s="7" t="str">
        <f t="shared" si="18"/>
      </c>
      <c r="AC96" s="7" t="str">
        <f t="shared" si="18"/>
      </c>
      <c r="AD96" s="7" t="str">
        <f t="shared" si="18"/>
      </c>
      <c r="AE96" s="7" t="str">
        <f t="shared" si="18"/>
      </c>
      <c r="AF96" s="7" t="str">
        <f t="shared" si="18"/>
      </c>
      <c r="AG96" s="7" t="str">
        <f t="shared" si="18"/>
      </c>
      <c r="AH96" s="7" t="str">
        <f t="shared" si="18"/>
      </c>
      <c r="AI96" s="7" t="str">
        <f t="shared" si="18"/>
      </c>
      <c r="AJ96" s="7" t="str">
        <f t="shared" si="18"/>
      </c>
      <c r="AK96" s="7" t="str">
        <f t="shared" si="18"/>
      </c>
      <c r="AL96" s="7" t="str">
        <f t="shared" si="18"/>
      </c>
      <c r="AM96" s="7" t="str">
        <f t="shared" si="18"/>
      </c>
      <c r="AN96" s="7" t="str">
        <f t="shared" si="18"/>
      </c>
      <c r="AO96" s="7" t="str">
        <f t="shared" si="18"/>
      </c>
      <c r="AP96" s="7" t="str">
        <f t="shared" si="18"/>
      </c>
      <c r="AQ96" s="7" t="str">
        <f t="shared" si="18"/>
      </c>
      <c r="AR96" s="7" t="str">
        <f t="shared" si="18"/>
      </c>
      <c r="AS96" s="7" t="str">
        <f t="shared" si="18"/>
      </c>
      <c r="AT96" s="7" t="str">
        <f t="shared" si="18"/>
      </c>
      <c r="AU96" s="7" t="str">
        <f t="shared" si="18"/>
      </c>
      <c r="AV96" s="7" t="str">
        <f t="shared" si="18"/>
      </c>
      <c r="AW96" s="7" t="str">
        <f t="shared" si="18"/>
      </c>
      <c r="AX96" s="7" t="str">
        <f t="shared" si="18"/>
      </c>
      <c r="AY96" s="7" t="str">
        <f t="shared" si="18"/>
      </c>
      <c r="AZ96" s="7" t="str">
        <f t="shared" si="18"/>
      </c>
      <c r="BA96" s="7" t="str">
        <f t="shared" si="18"/>
      </c>
      <c r="BB96" s="7" t="str">
        <f t="shared" si="18"/>
      </c>
      <c r="BC96" s="7" t="str">
        <f t="shared" si="18"/>
      </c>
      <c r="BD96" s="7" t="str">
        <f t="shared" si="18"/>
      </c>
      <c r="BE96" s="7" t="str">
        <f t="shared" si="18"/>
      </c>
      <c r="BF96" s="7" t="str">
        <f t="shared" si="18"/>
      </c>
      <c r="BG96" s="7" t="str">
        <f t="shared" si="18"/>
      </c>
      <c r="BH96" s="7" t="str">
        <f t="shared" si="18"/>
      </c>
      <c r="BI96" s="7" t="str">
        <f t="shared" si="18"/>
      </c>
      <c r="BJ96" s="7" t="str">
        <f t="shared" si="18"/>
      </c>
      <c r="BK96" s="7" t="str">
        <f t="shared" si="18"/>
      </c>
      <c r="BL96" s="7" t="str">
        <f t="shared" si="18"/>
      </c>
      <c r="BM96" s="7" t="str">
        <f t="shared" si="18"/>
      </c>
      <c r="BN96" s="7" t="str">
        <f t="shared" si="18"/>
      </c>
      <c r="BO96" s="7" t="str">
        <f t="shared" si="18"/>
      </c>
      <c r="BP96" s="7" t="str">
        <f t="shared" ref="BP96:DI96" si="19">IF(BP46=BP40,"PASS","FAIL")</f>
      </c>
      <c r="BQ96" s="7" t="str">
        <f t="shared" si="19"/>
      </c>
      <c r="BR96" s="7" t="str">
        <f t="shared" si="19"/>
      </c>
      <c r="BS96" s="7" t="str">
        <f t="shared" si="19"/>
      </c>
      <c r="BT96" s="7" t="str">
        <f t="shared" si="19"/>
      </c>
      <c r="BU96" s="7" t="str">
        <f t="shared" si="19"/>
      </c>
      <c r="BV96" s="7" t="str">
        <f t="shared" si="19"/>
      </c>
      <c r="BW96" s="7" t="str">
        <f t="shared" si="19"/>
      </c>
      <c r="BX96" s="7" t="str">
        <f t="shared" si="19"/>
      </c>
      <c r="BY96" s="7" t="str">
        <f t="shared" si="19"/>
      </c>
      <c r="BZ96" s="7" t="str">
        <f t="shared" si="19"/>
      </c>
      <c r="CA96" s="7" t="str">
        <f t="shared" si="19"/>
      </c>
      <c r="CB96" s="7" t="str">
        <f t="shared" si="19"/>
      </c>
      <c r="CC96" s="7" t="str">
        <f t="shared" si="19"/>
      </c>
      <c r="CD96" s="7" t="str">
        <f t="shared" si="19"/>
      </c>
      <c r="CE96" s="7" t="str">
        <f t="shared" si="19"/>
      </c>
      <c r="CF96" s="7" t="str">
        <f t="shared" si="19"/>
      </c>
      <c r="CG96" s="7" t="str">
        <f t="shared" si="19"/>
      </c>
      <c r="CH96" s="7" t="str">
        <f t="shared" si="19"/>
      </c>
      <c r="CI96" s="7" t="str">
        <f t="shared" si="19"/>
      </c>
      <c r="CJ96" s="7" t="str">
        <f t="shared" si="19"/>
      </c>
      <c r="CK96" s="7" t="str">
        <f t="shared" si="19"/>
      </c>
      <c r="CL96" s="7" t="str">
        <f t="shared" si="19"/>
      </c>
      <c r="CM96" s="7" t="str">
        <f t="shared" si="19"/>
      </c>
      <c r="CN96" s="7" t="str">
        <f t="shared" si="19"/>
      </c>
      <c r="CO96" s="7" t="str">
        <f t="shared" si="19"/>
      </c>
      <c r="CP96" s="7" t="str">
        <f t="shared" si="19"/>
      </c>
      <c r="CQ96" s="7" t="str">
        <f t="shared" si="19"/>
      </c>
      <c r="CR96" s="7" t="str">
        <f t="shared" si="19"/>
      </c>
      <c r="CS96" s="7" t="str">
        <f t="shared" si="19"/>
      </c>
      <c r="CT96" s="7" t="str">
        <f t="shared" si="19"/>
      </c>
      <c r="CU96" s="7" t="str">
        <f t="shared" si="19"/>
      </c>
      <c r="CV96" s="7" t="str">
        <f t="shared" si="19"/>
      </c>
      <c r="CW96" s="7" t="str">
        <f t="shared" si="19"/>
      </c>
      <c r="CX96" s="7" t="str">
        <f t="shared" si="19"/>
      </c>
      <c r="CY96" s="7" t="str">
        <f t="shared" si="19"/>
      </c>
      <c r="CZ96" s="7" t="str">
        <f t="shared" si="19"/>
      </c>
      <c r="DA96" s="7" t="str">
        <f t="shared" si="19"/>
      </c>
      <c r="DB96" s="7" t="str">
        <f t="shared" si="19"/>
      </c>
      <c r="DC96" s="7" t="str">
        <f t="shared" si="19"/>
      </c>
      <c r="DD96" s="7" t="str">
        <f t="shared" si="19"/>
      </c>
      <c r="DE96" s="7" t="str">
        <f t="shared" si="19"/>
      </c>
      <c r="DF96" s="7" t="str">
        <f t="shared" si="19"/>
      </c>
      <c r="DG96" s="7" t="str">
        <f t="shared" si="19"/>
      </c>
      <c r="DH96" s="7" t="str">
        <f t="shared" si="19"/>
      </c>
      <c r="DI96" s="7" t="str">
        <f t="shared" si="19"/>
      </c>
    </row>
    <row r="97" spans="1:113" x14ac:dyDescent="0.25">
      <c r="A97" s="16" t="str">
        <f t="shared" ref="A97:B100" si="20">A20</f>
      </c>
      <c r="B97" s="16" t="str">
        <f t="shared" si="20"/>
      </c>
      <c r="C97" s="7">
        <f>((C72)/CODES!$B$49)*100</f>
      </c>
      <c r="D97" s="7">
        <f>((D72)/CODES!$B$49)*100</f>
      </c>
      <c r="E97" s="7">
        <f>((E72)/CODES!$B$49)*100</f>
      </c>
      <c r="F97" s="7">
        <f>((F72)/CODES!$B$49)*100</f>
      </c>
      <c r="G97" s="7">
        <f>((G72)/CODES!$B$49)*100</f>
      </c>
      <c r="H97" s="7">
        <f>((H72)/CODES!$B$49)*100</f>
      </c>
      <c r="I97" s="7">
        <f>((I72)/CODES!$B$49)*100</f>
      </c>
      <c r="J97" s="7">
        <f>((J72)/CODES!$B$49)*100</f>
      </c>
      <c r="K97" s="7">
        <f>((K72)/CODES!$B$49)*100</f>
      </c>
      <c r="L97" s="7">
        <f>((L72)/CODES!$B$49)*100</f>
      </c>
      <c r="M97" s="7">
        <f>((M72)/CODES!$B$49)*100</f>
      </c>
      <c r="N97" s="7" t="e">
        <f>((N72)/CODES!$B$49)*100</f>
      </c>
      <c r="O97" s="7" t="e">
        <f>((O72)/CODES!$B$49)*100</f>
      </c>
      <c r="P97" s="7">
        <f>((P72)/CODES!$B$49)*100</f>
      </c>
      <c r="Q97" s="7">
        <f>((Q72)/CODES!$B$49)*100</f>
      </c>
      <c r="R97" s="7">
        <f>((R72)/CODES!$B$49)*100</f>
      </c>
      <c r="S97" s="7">
        <f>((S72)/CODES!$B$49)*100</f>
      </c>
      <c r="T97" s="7">
        <f>((T72)/CODES!$B$49)*100</f>
      </c>
      <c r="U97" s="7">
        <f>((U72)/CODES!$B$49)*100</f>
      </c>
      <c r="V97" s="7">
        <f>((V72)/CODES!$B$49)*100</f>
      </c>
      <c r="W97" s="7">
        <f>((W72)/CODES!$B$49)*100</f>
      </c>
      <c r="X97" s="7">
        <f>((X72)/CODES!$B$49)*100</f>
      </c>
      <c r="Y97" s="7">
        <f>((Y72)/CODES!$B$49)*100</f>
      </c>
      <c r="Z97" s="7">
        <f>((Z72)/CODES!$B$49)*100</f>
      </c>
      <c r="AA97" s="7">
        <f>((AA72)/CODES!$B$49)*100</f>
      </c>
      <c r="AB97" s="7">
        <f>((AB72)/CODES!$B$49)*100</f>
      </c>
      <c r="AC97" s="7">
        <f>((AC72)/CODES!$B$49)*100</f>
      </c>
      <c r="AD97" s="7">
        <f>((AD72)/CODES!$B$49)*100</f>
      </c>
      <c r="AE97" s="7">
        <f>((AE72)/CODES!$B$49)*100</f>
      </c>
      <c r="AF97" s="7">
        <f>((AF72)/CODES!$B$49)*100</f>
      </c>
      <c r="AG97" s="7">
        <f>((AG72)/CODES!$B$49)*100</f>
      </c>
      <c r="AH97" s="7">
        <f>((AH72)/CODES!$B$49)*100</f>
      </c>
      <c r="AI97" s="7">
        <f>((AI72)/CODES!$B$49)*100</f>
      </c>
      <c r="AJ97" s="7">
        <f>((AJ72)/CODES!$B$49)*100</f>
      </c>
      <c r="AK97" s="7">
        <f>((AK72)/CODES!$B$49)*100</f>
      </c>
      <c r="AL97" s="7">
        <f>((AL72)/CODES!$B$49)*100</f>
      </c>
      <c r="AM97" s="7">
        <f>((AM72)/CODES!$B$49)*100</f>
      </c>
      <c r="AN97" s="7">
        <f>((AN72)/CODES!$B$49)*100</f>
      </c>
      <c r="AO97" s="7">
        <f>((AO72)/CODES!$B$49)*100</f>
      </c>
      <c r="AP97" s="7">
        <f>((AP72)/CODES!$B$49)*100</f>
      </c>
      <c r="AQ97" s="7">
        <f>((AQ72)/CODES!$B$49)*100</f>
      </c>
      <c r="AR97" s="7">
        <f>((AR72)/CODES!$B$49)*100</f>
      </c>
      <c r="AS97" s="7">
        <f>((AS72)/CODES!$B$49)*100</f>
      </c>
      <c r="AT97" s="7">
        <f>((AT72)/CODES!$B$49)*100</f>
      </c>
      <c r="AU97" s="7">
        <f>((AU72)/CODES!$B$49)*100</f>
      </c>
      <c r="AV97" s="7" t="e">
        <f>((AV72)/CODES!$B$49)*100</f>
      </c>
      <c r="AW97" s="7" t="e">
        <f>((AW72)/CODES!$B$49)*100</f>
      </c>
      <c r="AX97" s="7">
        <f>((AX72)/CODES!$B$49)*100</f>
      </c>
      <c r="AY97" s="7">
        <f>((AY72)/CODES!$B$49)*100</f>
      </c>
      <c r="AZ97" s="7">
        <f>((AZ72)/CODES!$B$49)*100</f>
      </c>
      <c r="BA97" s="7">
        <f>((BA72)/CODES!$B$49)*100</f>
      </c>
      <c r="BB97" s="7">
        <f>((BB72)/CODES!$B$49)*100</f>
      </c>
      <c r="BC97" s="7">
        <f>((BC72)/CODES!$B$49)*100</f>
      </c>
      <c r="BD97" s="7">
        <f>((BD72)/CODES!$B$49)*100</f>
      </c>
      <c r="BE97" s="7">
        <f>((BE72)/CODES!$B$49)*100</f>
      </c>
      <c r="BF97" s="7">
        <f>((BF72)/CODES!$B$49)*100</f>
      </c>
      <c r="BG97" s="7">
        <f>((BG72)/CODES!$B$49)*100</f>
      </c>
      <c r="BH97" s="7">
        <f>((BH72)/CODES!$B$49)*100</f>
      </c>
      <c r="BI97" s="7">
        <f>((BI72)/CODES!$B$49)*100</f>
      </c>
      <c r="BJ97" s="7">
        <f>((BJ72)/CODES!$B$49)*100</f>
      </c>
      <c r="BK97" s="7">
        <f>((BK72)/CODES!$B$49)*100</f>
      </c>
      <c r="BL97" s="7">
        <f>((BL72)/CODES!$B$49)*100</f>
      </c>
      <c r="BM97" s="7">
        <f>((BM72)/CODES!$B$49)*100</f>
      </c>
      <c r="BN97" s="7" t="e">
        <f>((BN72)/CODES!$B$49)*100</f>
      </c>
      <c r="BO97" s="7">
        <f>((BO72)/CODES!$B$49)*100</f>
      </c>
      <c r="BP97" s="7">
        <f>((BP72)/CODES!$B$49)*100</f>
      </c>
      <c r="BQ97" s="7">
        <f>((BQ72)/CODES!$B$49)*100</f>
      </c>
      <c r="BR97" s="7">
        <f>((BR72)/CODES!$B$49)*100</f>
      </c>
      <c r="BS97" s="7">
        <f>((BS72)/CODES!$B$49)*100</f>
      </c>
      <c r="BT97" s="7">
        <f>((BT72)/CODES!$B$49)*100</f>
      </c>
      <c r="BU97" s="7">
        <f>((BU72)/CODES!$B$49)*100</f>
      </c>
      <c r="BV97" s="7">
        <f>((BV72)/CODES!$B$49)*100</f>
      </c>
      <c r="BW97" s="7" t="e">
        <f>((BW72)/CODES!$B$49)*100</f>
      </c>
      <c r="BX97" s="7" t="e">
        <f>((BX72)/CODES!$B$49)*100</f>
      </c>
      <c r="BY97" s="7">
        <f>((BY72)/CODES!$B$49)*100</f>
      </c>
      <c r="BZ97" s="7">
        <f>((BZ72)/CODES!$B$49)*100</f>
      </c>
      <c r="CA97" s="7">
        <f>((CA72)/CODES!$B$49)*100</f>
      </c>
      <c r="CB97" s="7">
        <f>((CB72)/CODES!$B$49)*100</f>
      </c>
      <c r="CC97" s="7">
        <f>((CC72)/CODES!$B$49)*100</f>
      </c>
      <c r="CD97" s="7">
        <f>((CD72)/CODES!$B$49)*100</f>
      </c>
      <c r="CE97" s="7">
        <f>((CE72)/CODES!$B$49)*100</f>
      </c>
      <c r="CF97" s="7">
        <f>((CF72)/CODES!$B$49)*100</f>
      </c>
      <c r="CG97" s="7">
        <f>((CG72)/CODES!$B$49)*100</f>
      </c>
      <c r="CH97" s="7">
        <f>((CH72)/CODES!$B$49)*100</f>
      </c>
      <c r="CI97" s="7">
        <f>((CI72)/CODES!$B$49)*100</f>
      </c>
      <c r="CJ97" s="7">
        <f>((CJ72)/CODES!$B$49)*100</f>
      </c>
      <c r="CK97" s="7">
        <f>((CK72)/CODES!$B$49)*100</f>
      </c>
      <c r="CL97" s="7">
        <f>((CL72)/CODES!$B$49)*100</f>
      </c>
      <c r="CM97" s="7">
        <f>((CM72)/CODES!$B$49)*100</f>
      </c>
      <c r="CN97" s="7">
        <f>((CN72)/CODES!$B$49)*100</f>
      </c>
      <c r="CO97" s="7">
        <f>((CO72)/CODES!$B$49)*100</f>
      </c>
      <c r="CP97" s="7">
        <f>((CP72)/CODES!$B$49)*100</f>
      </c>
      <c r="CQ97" s="7">
        <f>((CQ72)/CODES!$B$49)*100</f>
      </c>
      <c r="CR97" s="7">
        <f>((CR72)/CODES!$B$49)*100</f>
      </c>
      <c r="CS97" s="7">
        <f>((CS72)/CODES!$B$49)*100</f>
      </c>
      <c r="CT97" s="7">
        <f>((CT72)/CODES!$B$49)*100</f>
      </c>
      <c r="CU97" s="7">
        <f>((CU72)/CODES!$B$49)*100</f>
      </c>
      <c r="CV97" s="7">
        <f>((CV72)/CODES!$B$49)*100</f>
      </c>
      <c r="CW97" s="7">
        <f>((CW72)/CODES!$B$49)*100</f>
      </c>
      <c r="CX97" s="7">
        <f>((CX72)/CODES!$B$49)*100</f>
      </c>
      <c r="CY97" s="7">
        <f>((CY72)/CODES!$B$49)*100</f>
      </c>
      <c r="CZ97" s="7">
        <f>((CZ72)/CODES!$B$49)*100</f>
      </c>
      <c r="DA97" s="7">
        <f>((DA72)/CODES!$B$49)*100</f>
      </c>
      <c r="DB97" s="7" t="e">
        <f>((DB72)/CODES!$B$49)*100</f>
      </c>
      <c r="DC97" s="7" t="e">
        <f>((DC72)/CODES!$B$49)*100</f>
      </c>
      <c r="DD97" s="7">
        <f>((DD72)/CODES!$B$49)*100</f>
      </c>
      <c r="DE97" s="7">
        <f>((DE72)/CODES!$B$49)*100</f>
      </c>
      <c r="DF97" s="7">
        <f>((DF72)/CODES!$B$49)*100</f>
      </c>
      <c r="DG97" s="7">
        <f>((DG72)/CODES!$B$49)*100</f>
      </c>
      <c r="DH97" s="7">
        <f>((DH72)/CODES!$B$49)*100</f>
      </c>
      <c r="DI97" s="7">
        <f>((DI72)/CODES!$B$49)*100</f>
      </c>
    </row>
    <row r="98" spans="1:113" x14ac:dyDescent="0.25">
      <c r="A98" s="16" t="str">
        <f t="shared" si="20"/>
      </c>
      <c r="B98" s="16" t="str">
        <f t="shared" si="20"/>
      </c>
      <c r="C98" s="7">
        <f>((C73)/CODES!$B$49)*100</f>
      </c>
      <c r="D98" s="7">
        <f>((D73)/CODES!$B$49)*100</f>
      </c>
      <c r="E98" s="7">
        <f>((E73)/CODES!$B$49)*100</f>
      </c>
      <c r="F98" s="7">
        <f>((F73)/CODES!$B$49)*100</f>
      </c>
      <c r="G98" s="7">
        <f>((G73)/CODES!$B$49)*100</f>
      </c>
      <c r="H98" s="7">
        <f>((H73)/CODES!$B$49)*100</f>
      </c>
      <c r="I98" s="7">
        <f>((I73)/CODES!$B$49)*100</f>
      </c>
      <c r="J98" s="7">
        <f>((J73)/CODES!$B$49)*100</f>
      </c>
      <c r="K98" s="7">
        <f>((K73)/CODES!$B$49)*100</f>
      </c>
      <c r="L98" s="7">
        <f>((L73)/CODES!$B$49)*100</f>
      </c>
      <c r="M98" s="7">
        <f>((M73)/CODES!$B$49)*100</f>
      </c>
      <c r="N98" s="7" t="e">
        <f>((N73)/CODES!$B$49)*100</f>
      </c>
      <c r="O98" s="7" t="e">
        <f>((O73)/CODES!$B$49)*100</f>
      </c>
      <c r="P98" s="7">
        <f>((P73)/CODES!$B$49)*100</f>
      </c>
      <c r="Q98" s="7">
        <f>((Q73)/CODES!$B$49)*100</f>
      </c>
      <c r="R98" s="7">
        <f>((R73)/CODES!$B$49)*100</f>
      </c>
      <c r="S98" s="7">
        <f>((S73)/CODES!$B$49)*100</f>
      </c>
      <c r="T98" s="7">
        <f>((T73)/CODES!$B$49)*100</f>
      </c>
      <c r="U98" s="7">
        <f>((U73)/CODES!$B$49)*100</f>
      </c>
      <c r="V98" s="7">
        <f>((V73)/CODES!$B$49)*100</f>
      </c>
      <c r="W98" s="7">
        <f>((W73)/CODES!$B$49)*100</f>
      </c>
      <c r="X98" s="7">
        <f>((X73)/CODES!$B$49)*100</f>
      </c>
      <c r="Y98" s="7">
        <f>((Y73)/CODES!$B$49)*100</f>
      </c>
      <c r="Z98" s="7">
        <f>((Z73)/CODES!$B$49)*100</f>
      </c>
      <c r="AA98" s="7">
        <f>((AA73)/CODES!$B$49)*100</f>
      </c>
      <c r="AB98" s="7">
        <f>((AB73)/CODES!$B$49)*100</f>
      </c>
      <c r="AC98" s="7">
        <f>((AC73)/CODES!$B$49)*100</f>
      </c>
      <c r="AD98" s="7">
        <f>((AD73)/CODES!$B$49)*100</f>
      </c>
      <c r="AE98" s="7">
        <f>((AE73)/CODES!$B$49)*100</f>
      </c>
      <c r="AF98" s="7">
        <f>((AF73)/CODES!$B$49)*100</f>
      </c>
      <c r="AG98" s="7">
        <f>((AG73)/CODES!$B$49)*100</f>
      </c>
      <c r="AH98" s="7">
        <f>((AH73)/CODES!$B$49)*100</f>
      </c>
      <c r="AI98" s="7">
        <f>((AI73)/CODES!$B$49)*100</f>
      </c>
      <c r="AJ98" s="7">
        <f>((AJ73)/CODES!$B$49)*100</f>
      </c>
      <c r="AK98" s="7">
        <f>((AK73)/CODES!$B$49)*100</f>
      </c>
      <c r="AL98" s="7">
        <f>((AL73)/CODES!$B$49)*100</f>
      </c>
      <c r="AM98" s="7">
        <f>((AM73)/CODES!$B$49)*100</f>
      </c>
      <c r="AN98" s="7">
        <f>((AN73)/CODES!$B$49)*100</f>
      </c>
      <c r="AO98" s="7">
        <f>((AO73)/CODES!$B$49)*100</f>
      </c>
      <c r="AP98" s="7">
        <f>((AP73)/CODES!$B$49)*100</f>
      </c>
      <c r="AQ98" s="7">
        <f>((AQ73)/CODES!$B$49)*100</f>
      </c>
      <c r="AR98" s="7">
        <f>((AR73)/CODES!$B$49)*100</f>
      </c>
      <c r="AS98" s="7">
        <f>((AS73)/CODES!$B$49)*100</f>
      </c>
      <c r="AT98" s="7">
        <f>((AT73)/CODES!$B$49)*100</f>
      </c>
      <c r="AU98" s="7">
        <f>((AU73)/CODES!$B$49)*100</f>
      </c>
      <c r="AV98" s="7" t="e">
        <f>((AV73)/CODES!$B$49)*100</f>
      </c>
      <c r="AW98" s="7" t="e">
        <f>((AW73)/CODES!$B$49)*100</f>
      </c>
      <c r="AX98" s="7">
        <f>((AX73)/CODES!$B$49)*100</f>
      </c>
      <c r="AY98" s="7">
        <f>((AY73)/CODES!$B$49)*100</f>
      </c>
      <c r="AZ98" s="7">
        <f>((AZ73)/CODES!$B$49)*100</f>
      </c>
      <c r="BA98" s="7">
        <f>((BA73)/CODES!$B$49)*100</f>
      </c>
      <c r="BB98" s="7">
        <f>((BB73)/CODES!$B$49)*100</f>
      </c>
      <c r="BC98" s="7">
        <f>((BC73)/CODES!$B$49)*100</f>
      </c>
      <c r="BD98" s="7">
        <f>((BD73)/CODES!$B$49)*100</f>
      </c>
      <c r="BE98" s="7">
        <f>((BE73)/CODES!$B$49)*100</f>
      </c>
      <c r="BF98" s="7">
        <f>((BF73)/CODES!$B$49)*100</f>
      </c>
      <c r="BG98" s="7">
        <f>((BG73)/CODES!$B$49)*100</f>
      </c>
      <c r="BH98" s="7">
        <f>((BH73)/CODES!$B$49)*100</f>
      </c>
      <c r="BI98" s="7">
        <f>((BI73)/CODES!$B$49)*100</f>
      </c>
      <c r="BJ98" s="7">
        <f>((BJ73)/CODES!$B$49)*100</f>
      </c>
      <c r="BK98" s="7">
        <f>((BK73)/CODES!$B$49)*100</f>
      </c>
      <c r="BL98" s="7">
        <f>((BL73)/CODES!$B$49)*100</f>
      </c>
      <c r="BM98" s="7">
        <f>((BM73)/CODES!$B$49)*100</f>
      </c>
      <c r="BN98" s="7" t="e">
        <f>((BN73)/CODES!$B$49)*100</f>
      </c>
      <c r="BO98" s="7">
        <f>((BO73)/CODES!$B$49)*100</f>
      </c>
      <c r="BP98" s="7">
        <f>((BP73)/CODES!$B$49)*100</f>
      </c>
      <c r="BQ98" s="7">
        <f>((BQ73)/CODES!$B$49)*100</f>
      </c>
      <c r="BR98" s="7">
        <f>((BR73)/CODES!$B$49)*100</f>
      </c>
      <c r="BS98" s="7">
        <f>((BS73)/CODES!$B$49)*100</f>
      </c>
      <c r="BT98" s="7">
        <f>((BT73)/CODES!$B$49)*100</f>
      </c>
      <c r="BU98" s="7">
        <f>((BU73)/CODES!$B$49)*100</f>
      </c>
      <c r="BV98" s="7">
        <f>((BV73)/CODES!$B$49)*100</f>
      </c>
      <c r="BW98" s="7" t="e">
        <f>((BW73)/CODES!$B$49)*100</f>
      </c>
      <c r="BX98" s="7" t="e">
        <f>((BX73)/CODES!$B$49)*100</f>
      </c>
      <c r="BY98" s="7">
        <f>((BY73)/CODES!$B$49)*100</f>
      </c>
      <c r="BZ98" s="7">
        <f>((BZ73)/CODES!$B$49)*100</f>
      </c>
      <c r="CA98" s="7">
        <f>((CA73)/CODES!$B$49)*100</f>
      </c>
      <c r="CB98" s="7">
        <f>((CB73)/CODES!$B$49)*100</f>
      </c>
      <c r="CC98" s="7">
        <f>((CC73)/CODES!$B$49)*100</f>
      </c>
      <c r="CD98" s="7">
        <f>((CD73)/CODES!$B$49)*100</f>
      </c>
      <c r="CE98" s="7">
        <f>((CE73)/CODES!$B$49)*100</f>
      </c>
      <c r="CF98" s="7">
        <f>((CF73)/CODES!$B$49)*100</f>
      </c>
      <c r="CG98" s="7">
        <f>((CG73)/CODES!$B$49)*100</f>
      </c>
      <c r="CH98" s="7">
        <f>((CH73)/CODES!$B$49)*100</f>
      </c>
      <c r="CI98" s="7">
        <f>((CI73)/CODES!$B$49)*100</f>
      </c>
      <c r="CJ98" s="7">
        <f>((CJ73)/CODES!$B$49)*100</f>
      </c>
      <c r="CK98" s="7">
        <f>((CK73)/CODES!$B$49)*100</f>
      </c>
      <c r="CL98" s="7">
        <f>((CL73)/CODES!$B$49)*100</f>
      </c>
      <c r="CM98" s="7">
        <f>((CM73)/CODES!$B$49)*100</f>
      </c>
      <c r="CN98" s="7">
        <f>((CN73)/CODES!$B$49)*100</f>
      </c>
      <c r="CO98" s="7">
        <f>((CO73)/CODES!$B$49)*100</f>
      </c>
      <c r="CP98" s="7">
        <f>((CP73)/CODES!$B$49)*100</f>
      </c>
      <c r="CQ98" s="7">
        <f>((CQ73)/CODES!$B$49)*100</f>
      </c>
      <c r="CR98" s="7">
        <f>((CR73)/CODES!$B$49)*100</f>
      </c>
      <c r="CS98" s="7">
        <f>((CS73)/CODES!$B$49)*100</f>
      </c>
      <c r="CT98" s="7">
        <f>((CT73)/CODES!$B$49)*100</f>
      </c>
      <c r="CU98" s="7">
        <f>((CU73)/CODES!$B$49)*100</f>
      </c>
      <c r="CV98" s="7">
        <f>((CV73)/CODES!$B$49)*100</f>
      </c>
      <c r="CW98" s="7">
        <f>((CW73)/CODES!$B$49)*100</f>
      </c>
      <c r="CX98" s="7">
        <f>((CX73)/CODES!$B$49)*100</f>
      </c>
      <c r="CY98" s="7">
        <f>((CY73)/CODES!$B$49)*100</f>
      </c>
      <c r="CZ98" s="7">
        <f>((CZ73)/CODES!$B$49)*100</f>
      </c>
      <c r="DA98" s="7">
        <f>((DA73)/CODES!$B$49)*100</f>
      </c>
      <c r="DB98" s="7" t="e">
        <f>((DB73)/CODES!$B$49)*100</f>
      </c>
      <c r="DC98" s="7" t="e">
        <f>((DC73)/CODES!$B$49)*100</f>
      </c>
      <c r="DD98" s="7">
        <f>((DD73)/CODES!$B$49)*100</f>
      </c>
      <c r="DE98" s="7">
        <f>((DE73)/CODES!$B$49)*100</f>
      </c>
      <c r="DF98" s="7">
        <f>((DF73)/CODES!$B$49)*100</f>
      </c>
      <c r="DG98" s="7">
        <f>((DG73)/CODES!$B$49)*100</f>
      </c>
      <c r="DH98" s="7">
        <f>((DH73)/CODES!$B$49)*100</f>
      </c>
      <c r="DI98" s="7">
        <f>((DI73)/CODES!$B$49)*100</f>
      </c>
    </row>
    <row r="99" spans="1:113" x14ac:dyDescent="0.25">
      <c r="A99" s="16" t="str">
        <f t="shared" si="20"/>
      </c>
      <c r="B99" s="16" t="str">
        <f t="shared" si="20"/>
      </c>
      <c r="C99" s="7" t="str">
        <f>IF(C49=C40,"PASS","FAIL")</f>
      </c>
      <c r="D99" s="7" t="str">
        <f t="shared" ref="D99:BO99" si="21">IF(D49=D40,"PASS","FAIL")</f>
      </c>
      <c r="E99" s="7" t="str">
        <f t="shared" si="21"/>
      </c>
      <c r="F99" s="7" t="str">
        <f t="shared" si="21"/>
      </c>
      <c r="G99" s="7" t="str">
        <f t="shared" si="21"/>
      </c>
      <c r="H99" s="7" t="str">
        <f t="shared" si="21"/>
      </c>
      <c r="I99" s="7" t="str">
        <f t="shared" si="21"/>
      </c>
      <c r="J99" s="7" t="str">
        <f t="shared" si="21"/>
      </c>
      <c r="K99" s="7" t="str">
        <f t="shared" si="21"/>
      </c>
      <c r="L99" s="7" t="str">
        <f t="shared" si="21"/>
      </c>
      <c r="M99" s="7" t="str">
        <f t="shared" si="21"/>
      </c>
      <c r="N99" s="7" t="str">
        <f t="shared" si="21"/>
      </c>
      <c r="O99" s="7" t="str">
        <f t="shared" si="21"/>
      </c>
      <c r="P99" s="7" t="str">
        <f t="shared" si="21"/>
      </c>
      <c r="Q99" s="7" t="str">
        <f t="shared" si="21"/>
      </c>
      <c r="R99" s="7" t="str">
        <f t="shared" si="21"/>
      </c>
      <c r="S99" s="7" t="str">
        <f t="shared" si="21"/>
      </c>
      <c r="T99" s="7" t="str">
        <f t="shared" si="21"/>
      </c>
      <c r="U99" s="7" t="str">
        <f t="shared" si="21"/>
      </c>
      <c r="V99" s="7" t="str">
        <f t="shared" si="21"/>
      </c>
      <c r="W99" s="7" t="str">
        <f t="shared" si="21"/>
      </c>
      <c r="X99" s="7" t="str">
        <f t="shared" si="21"/>
      </c>
      <c r="Y99" s="7" t="str">
        <f t="shared" si="21"/>
      </c>
      <c r="Z99" s="7" t="str">
        <f t="shared" si="21"/>
      </c>
      <c r="AA99" s="7" t="str">
        <f t="shared" si="21"/>
      </c>
      <c r="AB99" s="7" t="str">
        <f t="shared" si="21"/>
      </c>
      <c r="AC99" s="7" t="str">
        <f t="shared" si="21"/>
      </c>
      <c r="AD99" s="7" t="str">
        <f t="shared" si="21"/>
      </c>
      <c r="AE99" s="7" t="str">
        <f t="shared" si="21"/>
      </c>
      <c r="AF99" s="7" t="str">
        <f t="shared" si="21"/>
      </c>
      <c r="AG99" s="7" t="str">
        <f t="shared" si="21"/>
      </c>
      <c r="AH99" s="7" t="str">
        <f t="shared" si="21"/>
      </c>
      <c r="AI99" s="7" t="str">
        <f t="shared" si="21"/>
      </c>
      <c r="AJ99" s="7" t="str">
        <f t="shared" si="21"/>
      </c>
      <c r="AK99" s="7" t="str">
        <f t="shared" si="21"/>
      </c>
      <c r="AL99" s="7" t="str">
        <f t="shared" si="21"/>
      </c>
      <c r="AM99" s="7" t="str">
        <f t="shared" si="21"/>
      </c>
      <c r="AN99" s="7" t="str">
        <f t="shared" si="21"/>
      </c>
      <c r="AO99" s="7" t="str">
        <f t="shared" si="21"/>
      </c>
      <c r="AP99" s="7" t="str">
        <f t="shared" si="21"/>
      </c>
      <c r="AQ99" s="7" t="str">
        <f t="shared" si="21"/>
      </c>
      <c r="AR99" s="7" t="str">
        <f t="shared" si="21"/>
      </c>
      <c r="AS99" s="7" t="str">
        <f t="shared" si="21"/>
      </c>
      <c r="AT99" s="7" t="str">
        <f t="shared" si="21"/>
      </c>
      <c r="AU99" s="7" t="str">
        <f t="shared" si="21"/>
      </c>
      <c r="AV99" s="7" t="str">
        <f t="shared" si="21"/>
      </c>
      <c r="AW99" s="7" t="str">
        <f t="shared" si="21"/>
      </c>
      <c r="AX99" s="7" t="str">
        <f t="shared" si="21"/>
      </c>
      <c r="AY99" s="7" t="str">
        <f t="shared" si="21"/>
      </c>
      <c r="AZ99" s="7" t="str">
        <f t="shared" si="21"/>
      </c>
      <c r="BA99" s="7" t="str">
        <f t="shared" si="21"/>
      </c>
      <c r="BB99" s="7" t="str">
        <f t="shared" si="21"/>
      </c>
      <c r="BC99" s="7" t="str">
        <f t="shared" si="21"/>
      </c>
      <c r="BD99" s="7" t="str">
        <f t="shared" si="21"/>
      </c>
      <c r="BE99" s="7" t="str">
        <f t="shared" si="21"/>
      </c>
      <c r="BF99" s="7" t="str">
        <f t="shared" si="21"/>
      </c>
      <c r="BG99" s="7" t="str">
        <f t="shared" si="21"/>
      </c>
      <c r="BH99" s="7" t="str">
        <f t="shared" si="21"/>
      </c>
      <c r="BI99" s="7" t="str">
        <f t="shared" si="21"/>
      </c>
      <c r="BJ99" s="7" t="str">
        <f t="shared" si="21"/>
      </c>
      <c r="BK99" s="7" t="str">
        <f t="shared" si="21"/>
      </c>
      <c r="BL99" s="7" t="str">
        <f t="shared" si="21"/>
      </c>
      <c r="BM99" s="7" t="str">
        <f t="shared" si="21"/>
      </c>
      <c r="BN99" s="7" t="str">
        <f t="shared" si="21"/>
      </c>
      <c r="BO99" s="7" t="str">
        <f t="shared" si="21"/>
      </c>
      <c r="BP99" s="7" t="str">
        <f t="shared" ref="BP99:DI99" si="22">IF(BP49=BP40,"PASS","FAIL")</f>
      </c>
      <c r="BQ99" s="7" t="str">
        <f t="shared" si="22"/>
      </c>
      <c r="BR99" s="7" t="str">
        <f t="shared" si="22"/>
      </c>
      <c r="BS99" s="7" t="str">
        <f t="shared" si="22"/>
      </c>
      <c r="BT99" s="7" t="str">
        <f t="shared" si="22"/>
      </c>
      <c r="BU99" s="7" t="str">
        <f t="shared" si="22"/>
      </c>
      <c r="BV99" s="7" t="str">
        <f t="shared" si="22"/>
      </c>
      <c r="BW99" s="7" t="str">
        <f t="shared" si="22"/>
      </c>
      <c r="BX99" s="7" t="str">
        <f t="shared" si="22"/>
      </c>
      <c r="BY99" s="7" t="str">
        <f t="shared" si="22"/>
      </c>
      <c r="BZ99" s="7" t="str">
        <f t="shared" si="22"/>
      </c>
      <c r="CA99" s="7" t="str">
        <f t="shared" si="22"/>
      </c>
      <c r="CB99" s="7" t="str">
        <f t="shared" si="22"/>
      </c>
      <c r="CC99" s="7" t="str">
        <f t="shared" si="22"/>
      </c>
      <c r="CD99" s="7" t="str">
        <f t="shared" si="22"/>
      </c>
      <c r="CE99" s="7" t="str">
        <f t="shared" si="22"/>
      </c>
      <c r="CF99" s="7" t="str">
        <f t="shared" si="22"/>
      </c>
      <c r="CG99" s="7" t="str">
        <f t="shared" si="22"/>
      </c>
      <c r="CH99" s="7" t="str">
        <f t="shared" si="22"/>
      </c>
      <c r="CI99" s="7" t="str">
        <f t="shared" si="22"/>
      </c>
      <c r="CJ99" s="7" t="str">
        <f t="shared" si="22"/>
      </c>
      <c r="CK99" s="7" t="str">
        <f t="shared" si="22"/>
      </c>
      <c r="CL99" s="7" t="str">
        <f t="shared" si="22"/>
      </c>
      <c r="CM99" s="7" t="str">
        <f t="shared" si="22"/>
      </c>
      <c r="CN99" s="7" t="str">
        <f t="shared" si="22"/>
      </c>
      <c r="CO99" s="7" t="str">
        <f t="shared" si="22"/>
      </c>
      <c r="CP99" s="7" t="str">
        <f t="shared" si="22"/>
      </c>
      <c r="CQ99" s="7" t="str">
        <f t="shared" si="22"/>
      </c>
      <c r="CR99" s="7" t="str">
        <f t="shared" si="22"/>
      </c>
      <c r="CS99" s="7" t="str">
        <f t="shared" si="22"/>
      </c>
      <c r="CT99" s="7" t="str">
        <f t="shared" si="22"/>
      </c>
      <c r="CU99" s="7" t="str">
        <f t="shared" si="22"/>
      </c>
      <c r="CV99" s="7" t="str">
        <f t="shared" si="22"/>
      </c>
      <c r="CW99" s="7" t="str">
        <f t="shared" si="22"/>
      </c>
      <c r="CX99" s="7" t="str">
        <f t="shared" si="22"/>
      </c>
      <c r="CY99" s="7" t="str">
        <f t="shared" si="22"/>
      </c>
      <c r="CZ99" s="7" t="str">
        <f t="shared" si="22"/>
      </c>
      <c r="DA99" s="7" t="str">
        <f t="shared" si="22"/>
      </c>
      <c r="DB99" s="7" t="str">
        <f t="shared" si="22"/>
      </c>
      <c r="DC99" s="7" t="str">
        <f t="shared" si="22"/>
      </c>
      <c r="DD99" s="7" t="str">
        <f t="shared" si="22"/>
      </c>
      <c r="DE99" s="7" t="str">
        <f t="shared" si="22"/>
      </c>
      <c r="DF99" s="7" t="str">
        <f t="shared" si="22"/>
      </c>
      <c r="DG99" s="7" t="str">
        <f t="shared" si="22"/>
      </c>
      <c r="DH99" s="7" t="str">
        <f t="shared" si="22"/>
      </c>
      <c r="DI99" s="7" t="str">
        <f t="shared" si="22"/>
      </c>
    </row>
    <row r="100" spans="1:113" x14ac:dyDescent="0.25">
      <c r="A100" s="16" t="str">
        <f t="shared" si="20"/>
      </c>
      <c r="B100" s="16" t="str">
        <f t="shared" si="20"/>
      </c>
      <c r="C100" s="7">
        <f>((C75-C74)/CODES!$B$48)*100</f>
      </c>
      <c r="D100" s="7">
        <f>((D75-D74)/CODES!$B$48)*100</f>
      </c>
      <c r="E100" s="7">
        <f>((E75-E74)/CODES!$B$48)*100</f>
      </c>
      <c r="F100" s="7">
        <f>((F75-F74)/CODES!$B$48)*100</f>
      </c>
      <c r="G100" s="7">
        <f>((G75-G74)/CODES!$B$48)*100</f>
      </c>
      <c r="H100" s="7">
        <f>((H75-H74)/CODES!$B$48)*100</f>
      </c>
      <c r="I100" s="7">
        <f>((I75-I74)/CODES!$B$48)*100</f>
      </c>
      <c r="J100" s="7">
        <f>((J75-J74)/CODES!$B$48)*100</f>
      </c>
      <c r="K100" s="7">
        <f>((K75-K74)/CODES!$B$48)*100</f>
      </c>
      <c r="L100" s="7">
        <f>((L75-L74)/CODES!$B$48)*100</f>
      </c>
      <c r="M100" s="7">
        <f>((M75-M74)/CODES!$B$48)*100</f>
      </c>
      <c r="N100" s="7" t="e">
        <f>((N75-N74)/CODES!$B$48)*100</f>
      </c>
      <c r="O100" s="7" t="e">
        <f>((O75-O74)/CODES!$B$48)*100</f>
      </c>
      <c r="P100" s="7">
        <f>((P75-P74)/CODES!$B$48)*100</f>
      </c>
      <c r="Q100" s="7">
        <f>((Q75-Q74)/CODES!$B$48)*100</f>
      </c>
      <c r="R100" s="7">
        <f>((R75-R74)/CODES!$B$48)*100</f>
      </c>
      <c r="S100" s="7">
        <f>((S75-S74)/CODES!$B$48)*100</f>
      </c>
      <c r="T100" s="7">
        <f>((T75-T74)/CODES!$B$48)*100</f>
      </c>
      <c r="U100" s="7">
        <f>((U75-U74)/CODES!$B$48)*100</f>
      </c>
      <c r="V100" s="7">
        <f>((V75-V74)/CODES!$B$48)*100</f>
      </c>
      <c r="W100" s="7">
        <f>((W75-W74)/CODES!$B$48)*100</f>
      </c>
      <c r="X100" s="7">
        <f>((X75-X74)/CODES!$B$48)*100</f>
      </c>
      <c r="Y100" s="7">
        <f>((Y75-Y74)/CODES!$B$48)*100</f>
      </c>
      <c r="Z100" s="7">
        <f>((Z75-Z74)/CODES!$B$48)*100</f>
      </c>
      <c r="AA100" s="7">
        <f>((AA75-AA74)/CODES!$B$48)*100</f>
      </c>
      <c r="AB100" s="7">
        <f>((AB75-AB74)/CODES!$B$48)*100</f>
      </c>
      <c r="AC100" s="7">
        <f>((AC75-AC74)/CODES!$B$48)*100</f>
      </c>
      <c r="AD100" s="7">
        <f>((AD75-AD74)/CODES!$B$48)*100</f>
      </c>
      <c r="AE100" s="7">
        <f>((AE75-AE74)/CODES!$B$48)*100</f>
      </c>
      <c r="AF100" s="7">
        <f>((AF75-AF74)/CODES!$B$48)*100</f>
      </c>
      <c r="AG100" s="7">
        <f>((AG75-AG74)/CODES!$B$48)*100</f>
      </c>
      <c r="AH100" s="7">
        <f>((AH75-AH74)/CODES!$B$48)*100</f>
      </c>
      <c r="AI100" s="7">
        <f>((AI75-AI74)/CODES!$B$48)*100</f>
      </c>
      <c r="AJ100" s="7">
        <f>((AJ75-AJ74)/CODES!$B$48)*100</f>
      </c>
      <c r="AK100" s="7">
        <f>((AK75-AK74)/CODES!$B$48)*100</f>
      </c>
      <c r="AL100" s="7">
        <f>((AL75-AL74)/CODES!$B$48)*100</f>
      </c>
      <c r="AM100" s="7">
        <f>((AM75-AM74)/CODES!$B$48)*100</f>
      </c>
      <c r="AN100" s="7">
        <f>((AN75-AN74)/CODES!$B$48)*100</f>
      </c>
      <c r="AO100" s="7">
        <f>((AO75-AO74)/CODES!$C$48)*100</f>
      </c>
      <c r="AP100" s="7">
        <f>((AP75-AP74)/CODES!$C$48)*100</f>
      </c>
      <c r="AQ100" s="7">
        <f>((AQ75-AQ74)/CODES!$B$48)*100</f>
      </c>
      <c r="AR100" s="7">
        <f>((AR75-AR74)/CODES!$B$48)*100</f>
      </c>
      <c r="AS100" s="7">
        <f>((AS75-AS74)/CODES!$B$48)*100</f>
      </c>
      <c r="AT100" s="7">
        <f>((AT75-AT74)/CODES!$B$48)*100</f>
      </c>
      <c r="AU100" s="7">
        <f>((AU75-AU74)/CODES!$B$48)*100</f>
      </c>
      <c r="AV100" s="7" t="e">
        <f>((AV75-AV74)/CODES!$B$48)*100</f>
      </c>
      <c r="AW100" s="7" t="e">
        <f>((AW75-AW74)/CODES!$B$48)*100</f>
      </c>
      <c r="AX100" s="7">
        <f>((AX75-AX74)/CODES!$B$48)*100</f>
      </c>
      <c r="AY100" s="7">
        <f>((AY75-AY74)/CODES!$B$48)*100</f>
      </c>
      <c r="AZ100" s="7">
        <f>((AZ75-AZ74)/CODES!$B$48)*100</f>
      </c>
      <c r="BA100" s="7">
        <f>((BA75-BA74)/CODES!$B$48)*100</f>
      </c>
      <c r="BB100" s="7">
        <f>((BB75-BB74)/CODES!$B$48)*100</f>
      </c>
      <c r="BC100" s="7">
        <f>((BC75-BC74)/CODES!$B$48)*100</f>
      </c>
      <c r="BD100" s="7">
        <f>((BD75-BD74)/CODES!$B$48)*100</f>
      </c>
      <c r="BE100" s="7">
        <f>((BE75-BE74)/CODES!$B$48)*100</f>
      </c>
      <c r="BF100" s="7">
        <f>((BF75-BF74)/CODES!$B$48)*100</f>
      </c>
      <c r="BG100" s="7">
        <f>((BG75-BG74)/CODES!$B$48)*100</f>
      </c>
      <c r="BH100" s="7">
        <f>((BH75-BH74)/CODES!$B$48)*100</f>
      </c>
      <c r="BI100" s="7">
        <f>((BI75-BI74)/CODES!$B$48)*100</f>
      </c>
      <c r="BJ100" s="7">
        <f>((BJ75-BJ74)/CODES!$B$48)*100</f>
      </c>
      <c r="BK100" s="7">
        <f>((BK75-BK74)/CODES!$B$48)*100</f>
      </c>
      <c r="BL100" s="7">
        <f>((BL75-BL74)/CODES!$B$48)*100</f>
      </c>
      <c r="BM100" s="7">
        <f>((BM75-BM74)/CODES!$B$48)*100</f>
      </c>
      <c r="BN100" s="7" t="e">
        <f>((BN75-BN74)/CODES!$B$48)*100</f>
      </c>
      <c r="BO100" s="7">
        <f>((BO75-BO74)/CODES!$B$48)*100</f>
      </c>
      <c r="BP100" s="7">
        <f>((BP75-BP74)/CODES!$B$48)*100</f>
      </c>
      <c r="BQ100" s="7">
        <f>((BQ75-BQ74)/CODES!$B$48)*100</f>
      </c>
      <c r="BR100" s="7">
        <f>((BR75-BR74)/CODES!$B$48)*100</f>
      </c>
      <c r="BS100" s="7">
        <f>((BS75-BS74)/CODES!$B$48)*100</f>
      </c>
      <c r="BT100" s="7">
        <f>((BT75-BT74)/CODES!$B$48)*100</f>
      </c>
      <c r="BU100" s="7">
        <f>((BU75-BU74)/CODES!$B$48)*100</f>
      </c>
      <c r="BV100" s="7">
        <f>((BV75-BV74)/CODES!$B$48)*100</f>
      </c>
      <c r="BW100" s="7" t="e">
        <f>((BW75-BW74)/CODES!$B$48)*100</f>
      </c>
      <c r="BX100" s="7" t="e">
        <f>((BX75-BX74)/CODES!$B$48)*100</f>
      </c>
      <c r="BY100" s="7">
        <f>((BY75-BY74)/CODES!$B$48)*100</f>
      </c>
      <c r="BZ100" s="7">
        <f>((BZ75-BZ74)/CODES!$B$48)*100</f>
      </c>
      <c r="CA100" s="7">
        <f>((CA75-CA74)/CODES!$B$48)*100</f>
      </c>
      <c r="CB100" s="7">
        <f>((CB75-CB74)/CODES!$B$48)*100</f>
      </c>
      <c r="CC100" s="7">
        <f>((CC75-CC74)/CODES!$B$48)*100</f>
      </c>
      <c r="CD100" s="7">
        <f>((CD75-CD74)/CODES!$B$48)*100</f>
      </c>
      <c r="CE100" s="7">
        <f>((CE75-CE74)/CODES!$B$48)*100</f>
      </c>
      <c r="CF100" s="7">
        <f>((CF75-CF74)/CODES!$B$48)*100</f>
      </c>
      <c r="CG100" s="7">
        <f>((CG75-CG74)/CODES!$B$48)*100</f>
      </c>
      <c r="CH100" s="7">
        <f>((CH75-CH74)/CODES!$B$48)*100</f>
      </c>
      <c r="CI100" s="7">
        <f>((CI75-CI74)/CODES!$B$48)*100</f>
      </c>
      <c r="CJ100" s="7">
        <f>((CJ75-CJ74)/CODES!$B$48)*100</f>
      </c>
      <c r="CK100" s="7">
        <f>((CK75-CK74)/CODES!$B$48)*100</f>
      </c>
      <c r="CL100" s="7">
        <f>((CL75-CL74)/CODES!$B$48)*100</f>
      </c>
      <c r="CM100" s="7">
        <f>((CM75-CM74)/CODES!$B$48)*100</f>
      </c>
      <c r="CN100" s="7">
        <f>((CN75-CN74)/CODES!$B$48)*100</f>
      </c>
      <c r="CO100" s="7">
        <f>((CO75-CO74)/CODES!$B$48)*100</f>
      </c>
      <c r="CP100" s="7">
        <f>((CP75-CP74)/CODES!$B$48)*100</f>
      </c>
      <c r="CQ100" s="7">
        <f>((CQ75-CQ74)/CODES!$B$48)*100</f>
      </c>
      <c r="CR100" s="7">
        <f>((CR75-CR74)/CODES!$B$48)*100</f>
      </c>
      <c r="CS100" s="7">
        <f>((CS75-CS74)/CODES!$B$48)*100</f>
      </c>
      <c r="CT100" s="7">
        <f>((CT75-CT74)/CODES!$B$48)*100</f>
      </c>
      <c r="CU100" s="7">
        <f>((CU75-CU74)/CODES!$B$48)*100</f>
      </c>
      <c r="CV100" s="7">
        <f>((CV75-CV74)/CODES!$B$48)*100</f>
      </c>
      <c r="CW100" s="7">
        <f>((CW75-CW74)/CODES!$B$48)*100</f>
      </c>
      <c r="CX100" s="7">
        <f>((CX75-CX74)/CODES!$B$48)*100</f>
      </c>
      <c r="CY100" s="7">
        <f>((CY75-CY74)/CODES!$B$48)*100</f>
      </c>
      <c r="CZ100" s="7">
        <f>((CZ75-CZ74)/CODES!$B$48)*100</f>
      </c>
      <c r="DA100" s="7">
        <f>((DA75-DA74)/CODES!$B$48)*100</f>
      </c>
      <c r="DB100" s="7" t="e">
        <f>((DB75-DB74)/CODES!$B$48)*100</f>
      </c>
      <c r="DC100" s="7" t="e">
        <f>((DC75-DC74)/CODES!$B$48)*100</f>
      </c>
      <c r="DD100" s="7">
        <f>((DD75-DD74)/CODES!$B$48)*100</f>
      </c>
      <c r="DE100" s="7">
        <f>((DE75-DE74)/CODES!$B$48)*100</f>
      </c>
      <c r="DF100" s="7">
        <f>((DF75-DF74)/CODES!$B$48)*100</f>
      </c>
      <c r="DG100" s="7">
        <f>((DG75-DG74)/CODES!$B$48)*100</f>
      </c>
      <c r="DH100" s="7">
        <f>((DH75-DH74)/CODES!$B$48)*100</f>
      </c>
      <c r="DI100" s="7">
        <f>((DI75-DI74)/CODES!$B$48)*100</f>
      </c>
    </row>
    <row r="101" spans="1:113" x14ac:dyDescent="0.25">
      <c r="A101" s="16" t="str">
        <f t="shared" ref="A101:B101" si="23">A25</f>
      </c>
      <c r="B101" s="16" t="str">
        <f t="shared" si="23"/>
      </c>
      <c r="C101" s="7" t="str">
        <f>IF(AND(C76=0,C77=0),"PASS, Both &lt;RL",(ABS(C77-C76)/((C77+C76)/2))*100)</f>
      </c>
      <c r="D101" s="7" t="str">
        <f t="shared" ref="D101:BO101" si="24">IF(AND(D76=0,D77=0),"PASS, Both &lt;RL",(ABS(D77-D76)/((D77+D76)/2))*100)</f>
      </c>
      <c r="E101" s="7" t="str">
        <f t="shared" si="24"/>
      </c>
      <c r="F101" s="7" t="str">
        <f t="shared" si="24"/>
      </c>
      <c r="G101" s="7" t="str">
        <f t="shared" si="24"/>
      </c>
      <c r="H101" s="7">
        <f t="shared" si="24"/>
      </c>
      <c r="I101" s="7">
        <f t="shared" si="24"/>
      </c>
      <c r="J101" s="7">
        <f t="shared" si="24"/>
      </c>
      <c r="K101" s="7">
        <f t="shared" si="24"/>
      </c>
      <c r="L101" s="7" t="str">
        <f t="shared" si="24"/>
      </c>
      <c r="M101" s="7" t="str">
        <f t="shared" si="24"/>
      </c>
      <c r="N101" s="7" t="e">
        <f t="shared" si="24"/>
      </c>
      <c r="O101" s="7" t="e">
        <f t="shared" si="24"/>
      </c>
      <c r="P101" s="7">
        <f t="shared" si="24"/>
      </c>
      <c r="Q101" s="7">
        <f t="shared" si="24"/>
      </c>
      <c r="R101" s="7" t="str">
        <f t="shared" si="24"/>
      </c>
      <c r="S101" s="7" t="str">
        <f t="shared" si="24"/>
      </c>
      <c r="T101" s="7" t="str">
        <f t="shared" si="24"/>
      </c>
      <c r="U101" s="7" t="str">
        <f t="shared" si="24"/>
      </c>
      <c r="V101" s="7" t="str">
        <f t="shared" si="24"/>
      </c>
      <c r="W101" s="7" t="str">
        <f t="shared" si="24"/>
      </c>
      <c r="X101" s="7" t="str">
        <f t="shared" si="24"/>
      </c>
      <c r="Y101" s="7" t="str">
        <f t="shared" si="24"/>
      </c>
      <c r="Z101" s="7">
        <f t="shared" si="24"/>
      </c>
      <c r="AA101" s="7" t="str">
        <f t="shared" si="24"/>
      </c>
      <c r="AB101" s="7" t="str">
        <f t="shared" si="24"/>
      </c>
      <c r="AC101" s="7" t="str">
        <f t="shared" si="24"/>
      </c>
      <c r="AD101" s="7" t="str">
        <f t="shared" si="24"/>
      </c>
      <c r="AE101" s="7" t="str">
        <f t="shared" si="24"/>
      </c>
      <c r="AF101" s="7" t="str">
        <f t="shared" si="24"/>
      </c>
      <c r="AG101" s="7">
        <f t="shared" si="24"/>
      </c>
      <c r="AH101" s="7">
        <f t="shared" si="24"/>
      </c>
      <c r="AI101" s="7" t="str">
        <f t="shared" si="24"/>
      </c>
      <c r="AJ101" s="7" t="str">
        <f t="shared" si="24"/>
      </c>
      <c r="AK101" s="7">
        <f t="shared" si="24"/>
      </c>
      <c r="AL101" s="7" t="str">
        <f t="shared" si="24"/>
      </c>
      <c r="AM101" s="7" t="str">
        <f t="shared" si="24"/>
      </c>
      <c r="AN101" s="7" t="str">
        <f t="shared" si="24"/>
      </c>
      <c r="AO101" s="7" t="str">
        <f t="shared" si="24"/>
      </c>
      <c r="AP101" s="7" t="str">
        <f t="shared" si="24"/>
      </c>
      <c r="AQ101" s="7" t="str">
        <f t="shared" si="24"/>
      </c>
      <c r="AR101" s="7" t="str">
        <f t="shared" si="24"/>
      </c>
      <c r="AS101" s="7">
        <f t="shared" si="24"/>
      </c>
      <c r="AT101" s="7">
        <f t="shared" si="24"/>
      </c>
      <c r="AU101" s="7" t="str">
        <f t="shared" si="24"/>
      </c>
      <c r="AV101" s="7" t="e">
        <f t="shared" si="24"/>
      </c>
      <c r="AW101" s="7" t="e">
        <f t="shared" si="24"/>
      </c>
      <c r="AX101" s="7" t="str">
        <f t="shared" si="24"/>
      </c>
      <c r="AY101" s="7" t="str">
        <f t="shared" si="24"/>
      </c>
      <c r="AZ101" s="7">
        <f t="shared" si="24"/>
      </c>
      <c r="BA101" s="7">
        <f t="shared" si="24"/>
      </c>
      <c r="BB101" s="7">
        <f t="shared" si="24"/>
      </c>
      <c r="BC101" s="7">
        <f t="shared" si="24"/>
      </c>
      <c r="BD101" s="7">
        <f t="shared" si="24"/>
      </c>
      <c r="BE101" s="7">
        <f t="shared" si="24"/>
      </c>
      <c r="BF101" s="7">
        <f t="shared" si="24"/>
      </c>
      <c r="BG101" s="7">
        <f t="shared" si="24"/>
      </c>
      <c r="BH101" s="7" t="str">
        <f t="shared" si="24"/>
      </c>
      <c r="BI101" s="7" t="str">
        <f t="shared" si="24"/>
      </c>
      <c r="BJ101" s="7" t="str">
        <f t="shared" si="24"/>
      </c>
      <c r="BK101" s="7" t="str">
        <f t="shared" si="24"/>
      </c>
      <c r="BL101" s="7" t="str">
        <f t="shared" si="24"/>
      </c>
      <c r="BM101" s="7" t="str">
        <f t="shared" si="24"/>
      </c>
      <c r="BN101" s="7" t="e">
        <f t="shared" si="24"/>
      </c>
      <c r="BO101" s="7" t="str">
        <f t="shared" si="24"/>
      </c>
      <c r="BP101" s="7">
        <f t="shared" ref="BP101:DI101" si="25">IF(AND(BP76=0,BP77=0),"PASS, Both &lt;RL",(ABS(BP77-BP76)/((BP77+BP76)/2))*100)</f>
      </c>
      <c r="BQ101" s="7" t="str">
        <f t="shared" si="25"/>
      </c>
      <c r="BR101" s="7" t="str">
        <f t="shared" si="25"/>
      </c>
      <c r="BS101" s="7">
        <f t="shared" si="25"/>
      </c>
      <c r="BT101" s="7">
        <f t="shared" si="25"/>
      </c>
      <c r="BU101" s="7" t="str">
        <f t="shared" si="25"/>
      </c>
      <c r="BV101" s="7" t="str">
        <f t="shared" si="25"/>
      </c>
      <c r="BW101" s="7" t="e">
        <f t="shared" si="25"/>
      </c>
      <c r="BX101" s="7" t="e">
        <f t="shared" si="25"/>
      </c>
      <c r="BY101" s="7" t="str">
        <f t="shared" si="25"/>
      </c>
      <c r="BZ101" s="7" t="str">
        <f t="shared" si="25"/>
      </c>
      <c r="CA101" s="7" t="e">
        <f t="shared" si="25"/>
      </c>
      <c r="CB101" s="7" t="e">
        <f t="shared" si="25"/>
      </c>
      <c r="CC101" s="7" t="str">
        <f t="shared" si="25"/>
      </c>
      <c r="CD101" s="7" t="str">
        <f t="shared" si="25"/>
      </c>
      <c r="CE101" s="7" t="str">
        <f t="shared" si="25"/>
      </c>
      <c r="CF101" s="7">
        <f t="shared" si="25"/>
      </c>
      <c r="CG101" s="7">
        <f t="shared" si="25"/>
      </c>
      <c r="CH101" s="7">
        <f t="shared" si="25"/>
      </c>
      <c r="CI101" s="7" t="str">
        <f t="shared" si="25"/>
      </c>
      <c r="CJ101" s="7" t="str">
        <f t="shared" si="25"/>
      </c>
      <c r="CK101" s="7" t="str">
        <f t="shared" si="25"/>
      </c>
      <c r="CL101" s="7" t="str">
        <f t="shared" si="25"/>
      </c>
      <c r="CM101" s="7" t="str">
        <f t="shared" si="25"/>
      </c>
      <c r="CN101" s="7" t="str">
        <f t="shared" si="25"/>
      </c>
      <c r="CO101" s="7" t="str">
        <f t="shared" si="25"/>
      </c>
      <c r="CP101" s="7" t="str">
        <f t="shared" si="25"/>
      </c>
      <c r="CQ101" s="7" t="str">
        <f t="shared" si="25"/>
      </c>
      <c r="CR101" s="7" t="str">
        <f t="shared" si="25"/>
      </c>
      <c r="CS101" s="7" t="str">
        <f t="shared" si="25"/>
      </c>
      <c r="CT101" s="7" t="str">
        <f t="shared" si="25"/>
      </c>
      <c r="CU101" s="7" t="str">
        <f t="shared" si="25"/>
      </c>
      <c r="CV101" s="7">
        <f t="shared" si="25"/>
      </c>
      <c r="CW101" s="7" t="str">
        <f t="shared" si="25"/>
      </c>
      <c r="CX101" s="7">
        <f t="shared" si="25"/>
      </c>
      <c r="CY101" s="7">
        <f t="shared" si="25"/>
      </c>
      <c r="CZ101" s="7" t="str">
        <f t="shared" si="25"/>
      </c>
      <c r="DA101" s="7" t="str">
        <f t="shared" si="25"/>
      </c>
      <c r="DB101" s="7" t="e">
        <f t="shared" si="25"/>
      </c>
      <c r="DC101" s="7" t="e">
        <f t="shared" si="25"/>
      </c>
      <c r="DD101" s="7" t="str">
        <f t="shared" si="25"/>
      </c>
      <c r="DE101" s="7" t="str">
        <f t="shared" si="25"/>
      </c>
      <c r="DF101" s="7">
        <f t="shared" si="25"/>
      </c>
      <c r="DG101" s="7">
        <f t="shared" si="25"/>
      </c>
      <c r="DH101" s="7" t="str">
        <f t="shared" si="25"/>
      </c>
      <c r="DI101" s="7" t="str">
        <f t="shared" si="25"/>
      </c>
    </row>
    <row r="102" spans="1:113" x14ac:dyDescent="0.25">
      <c r="A102" s="16" t="str">
        <f t="shared" ref="A102:B113" si="26">A27</f>
      </c>
      <c r="B102" s="16" t="str">
        <f t="shared" si="26"/>
      </c>
      <c r="C102" s="7">
        <f>IF(C53=C40,((C79-C78)/CODES!$B$48)*100,IF(CODES!$B$48/C78&lt;0.3,"Spike &lt; 30% of Sample Matrix",((C79-C78)/CODES!$B$48)*100))</f>
      </c>
      <c r="D102" s="7">
        <f>IF(D53=D40,((D79-D78)/CODES!$B$48)*100,IF(CODES!$B$48/D78&lt;0.3,"Spike &lt; 30% of Sample Matrix",((D79-D78)/CODES!$B$48)*100))</f>
      </c>
      <c r="E102" s="7">
        <f>IF(E53=E40,((E79-E78)/CODES!$B$48)*100,IF(CODES!$B$48/E78&lt;0.3,"Spike &lt; 30% of Sample Matrix",((E79-E78)/CODES!$B$48)*100))</f>
      </c>
      <c r="F102" s="7">
        <f>IF(F53=F40,((F79-F78)/CODES!$B$48)*100,IF(CODES!$B$48/F78&lt;0.3,"Spike &lt; 30% of Sample Matrix",((F79-F78)/CODES!$B$48)*100))</f>
      </c>
      <c r="G102" s="7">
        <f>IF(G53=G40,((G79-G78)/CODES!$B$48)*100,IF(CODES!$B$48/G78&lt;0.3,"Spike &lt; 30% of Sample Matrix",((G79-G78)/CODES!$B$48)*100))</f>
      </c>
      <c r="H102" s="7">
        <f>IF(H53=H40,((H79-H78)/CODES!$B$48)*100,IF(CODES!$B$48/H78&lt;0.3,"Spike &lt; 30% of Sample Matrix",((H79-H78)/CODES!$B$48)*100))</f>
      </c>
      <c r="I102" s="7">
        <f>IF(I53=I40,((I79-I78)/CODES!$B$48)*100,IF(CODES!$B$48/I78&lt;0.3,"Spike &lt; 30% of Sample Matrix",((I79-I78)/CODES!$B$48)*100))</f>
      </c>
      <c r="J102" s="7">
        <f>IF(J53=J40,((J79-J78)/CODES!$B$48)*100,IF(CODES!$B$48/J78&lt;0.3,"Spike &lt; 30% of Sample Matrix",((J79-J78)/CODES!$B$48)*100))</f>
      </c>
      <c r="K102" s="7">
        <f>IF(K53=K40,((K79-K78)/CODES!$B$48)*100,IF(CODES!$B$48/K78&lt;0.3,"Spike &lt; 30% of Sample Matrix",((K79-K78)/CODES!$B$48)*100))</f>
      </c>
      <c r="L102" s="7">
        <f>IF(L53=L40,((L79-L78)/CODES!$B$48)*100,IF(CODES!$B$48/L78&lt;0.3,"Spike &lt; 30% of Sample Matrix",((L79-L78)/CODES!$B$48)*100))</f>
      </c>
      <c r="M102" s="7">
        <f>IF(M53=M40,((M79-M78)/CODES!$B$48)*100,IF(CODES!$B$48/M78&lt;0.3,"Spike &lt; 30% of Sample Matrix",((M79-M78)/CODES!$B$48)*100))</f>
      </c>
      <c r="N102" s="7" t="e">
        <f>IF(N53=N40,((N79-N78)/CODES!$B$48)*100,IF(CODES!$B$48/N78&lt;0.3,"Spike &lt; 30% of Sample Matrix",((N79-N78)/CODES!$B$48)*100))</f>
      </c>
      <c r="O102" s="7" t="e">
        <f>IF(O53=O40,((O79-O78)/CODES!$B$48)*100,IF(CODES!$B$48/O78&lt;0.3,"Spike &lt; 30% of Sample Matrix",((O79-O78)/CODES!$B$48)*100))</f>
      </c>
      <c r="P102" s="7" t="str">
        <f>IF(P53=P40,((P79-P78)/CODES!$B$48)*100,IF(CODES!$B$48/P78&lt;0.3,"Spike &lt; 30% of Sample Matrix",((P79-P78)/CODES!$B$48)*100))</f>
      </c>
      <c r="Q102" s="7" t="str">
        <f>IF(Q53=Q40,((Q79-Q78)/CODES!$B$48)*100,IF(CODES!$B$48/Q78&lt;0.3,"Spike &lt; 30% of Sample Matrix",((Q79-Q78)/CODES!$B$48)*100))</f>
      </c>
      <c r="R102" s="7">
        <f>IF(R53=R40,((R79-R78)/CODES!$B$48)*100,IF(CODES!$B$48/R78&lt;0.3,"Spike &lt; 30% of Sample Matrix",((R79-R78)/CODES!$B$48)*100))</f>
      </c>
      <c r="S102" s="7">
        <f>IF(S53=S40,((S79-S78)/CODES!$B$48)*100,IF(CODES!$B$48/S78&lt;0.3,"Spike &lt; 30% of Sample Matrix",((S79-S78)/CODES!$B$48)*100))</f>
      </c>
      <c r="T102" s="7">
        <f>IF(T53=T40,((T79-T78)/CODES!$B$48)*100,IF(CODES!$B$48/T78&lt;0.3,"Spike &lt; 30% of Sample Matrix",((T79-T78)/CODES!$B$48)*100))</f>
      </c>
      <c r="U102" s="7">
        <f>IF(U53=U40,((U79-U78)/CODES!$B$48)*100,IF(CODES!$B$48/U78&lt;0.3,"Spike &lt; 30% of Sample Matrix",((U79-U78)/CODES!$B$48)*100))</f>
      </c>
      <c r="V102" s="7">
        <f>IF(V53=V40,((V79-V78)/CODES!$B$48)*100,IF(CODES!$B$48/V78&lt;0.3,"Spike &lt; 30% of Sample Matrix",((V79-V78)/CODES!$B$48)*100))</f>
      </c>
      <c r="W102" s="7">
        <f>IF(W53=W40,((W79-W78)/CODES!$B$48)*100,IF(CODES!$B$48/W78&lt;0.3,"Spike &lt; 30% of Sample Matrix",((W79-W78)/CODES!$B$48)*100))</f>
      </c>
      <c r="X102" s="7">
        <f>IF(X53=X40,((X79-X78)/CODES!$B$48)*100,IF(CODES!$B$48/X78&lt;0.3,"Spike &lt; 30% of Sample Matrix",((X79-X78)/CODES!$B$48)*100))</f>
      </c>
      <c r="Y102" s="7">
        <f>IF(Y53=Y40,((Y79-Y78)/CODES!$B$48)*100,IF(CODES!$B$48/Y78&lt;0.3,"Spike &lt; 30% of Sample Matrix",((Y79-Y78)/CODES!$B$48)*100))</f>
      </c>
      <c r="Z102" s="7">
        <f>IF(Z53=Z40,((Z79-Z78)/CODES!$B$48)*100,IF(CODES!$B$48/Z78&lt;0.3,"Spike &lt; 30% of Sample Matrix",((Z79-Z78)/CODES!$B$48)*100))</f>
      </c>
      <c r="AA102" s="7">
        <f>IF(AA53=AA40,((AA79-AA78)/CODES!$B$48)*100,IF(CODES!$B$48/AA78&lt;0.3,"Spike &lt; 30% of Sample Matrix",((AA79-AA78)/CODES!$B$48)*100))</f>
      </c>
      <c r="AB102" s="7">
        <f>IF(AB53=AB40,((AB79-AB78)/CODES!$B$48)*100,IF(CODES!$B$48/AB78&lt;0.3,"Spike &lt; 30% of Sample Matrix",((AB79-AB78)/CODES!$B$48)*100))</f>
      </c>
      <c r="AC102" s="7">
        <f>IF(AC53=AC40,((AC79-AC78)/CODES!$B$48)*100,IF(CODES!$B$48/AC78&lt;0.3,"Spike &lt; 30% of Sample Matrix",((AC79-AC78)/CODES!$B$48)*100))</f>
      </c>
      <c r="AD102" s="7">
        <f>IF(AD53=AD40,((AD79-AD78)/CODES!$B$48)*100,IF(CODES!$B$48/AD78&lt;0.3,"Spike &lt; 30% of Sample Matrix",((AD79-AD78)/CODES!$B$48)*100))</f>
      </c>
      <c r="AE102" s="7">
        <f>IF(AE53=AE40,((AE79-AE78)/CODES!$B$48)*100,IF(CODES!$B$48/AE78&lt;0.3,"Spike &lt; 30% of Sample Matrix",((AE79-AE78)/CODES!$B$48)*100))</f>
      </c>
      <c r="AF102" s="7">
        <f>IF(AF53=AF40,((AF79-AF78)/CODES!$B$48)*100,IF(CODES!$B$48/AF78&lt;0.3,"Spike &lt; 30% of Sample Matrix",((AF79-AF78)/CODES!$B$48)*100))</f>
      </c>
      <c r="AG102" s="7">
        <f>IF(AG53=AG40,((AG79-AG78)/CODES!$B$48)*100,IF(CODES!$B$48/AG78&lt;0.3,"Spike &lt; 30% of Sample Matrix",((AG79-AG78)/CODES!$B$48)*100))</f>
      </c>
      <c r="AH102" s="7">
        <f>IF(AH53=AH40,((AH79-AH78)/CODES!$B$48)*100,IF(CODES!$B$48/AH78&lt;0.3,"Spike &lt; 30% of Sample Matrix",((AH79-AH78)/CODES!$B$48)*100))</f>
      </c>
      <c r="AI102" s="7">
        <f>IF(AI53=AI40,((AI79-AI78)/CODES!$B$48)*100,IF(CODES!$B$48/AI78&lt;0.3,"Spike &lt; 30% of Sample Matrix",((AI79-AI78)/CODES!$B$48)*100))</f>
      </c>
      <c r="AJ102" s="7">
        <f>IF(AJ53=AJ40,((AJ79-AJ78)/CODES!$B$48)*100,IF(CODES!$B$48/AJ78&lt;0.3,"Spike &lt; 30% of Sample Matrix",((AJ79-AJ78)/CODES!$B$48)*100))</f>
      </c>
      <c r="AK102" s="7">
        <f>IF(AK53=AK40,((AK79-AK78)/CODES!$B$48)*100,IF(CODES!$B$48/AK78&lt;0.3,"Spike &lt; 30% of Sample Matrix",((AK79-AK78)/CODES!$B$48)*100))</f>
      </c>
      <c r="AL102" s="7">
        <f>IF(AL53=AL40,((AL79-AL78)/CODES!$B$48)*100,IF(CODES!$B$48/AL78&lt;0.3,"Spike &lt; 30% of Sample Matrix",((AL79-AL78)/CODES!$B$48)*100))</f>
      </c>
      <c r="AM102" s="7">
        <f>IF(AM53=AM40,((AM79-AM78)/CODES!$B$48)*100,IF(CODES!$B$48/AM78&lt;0.3,"Spike &lt; 30% of Sample Matrix",((AM79-AM78)/CODES!$B$48)*100))</f>
      </c>
      <c r="AN102" s="7">
        <f>IF(AN53=AN40,((AN79-AN78)/CODES!$B$48)*100,IF(CODES!$B$48/AN78&lt;0.3,"Spike &lt; 30% of Sample Matrix",((AN79-AN78)/CODES!$B$48)*100))</f>
      </c>
      <c r="AO102" s="7">
        <f>IF(AO53=AO40,((AO79-AO78)/CODES!$B$48)*100,IF(CODES!$B$48/AO78&lt;0.3,"Spike &lt; 30% of Sample Matrix",((AO79-AO78)/CODES!$B$48)*100))</f>
      </c>
      <c r="AP102" s="7">
        <f>IF(AP53=AP40,((AP79-AP78)/CODES!$B$48)*100,IF(CODES!$B$48/AP78&lt;0.3,"Spike &lt; 30% of Sample Matrix",((AP79-AP78)/CODES!$B$48)*100))</f>
      </c>
      <c r="AQ102" s="7">
        <f>IF(AQ53=AQ40,((AQ79-AQ78)/CODES!$B$48)*100,IF(CODES!$B$48/AQ78&lt;0.3,"Spike &lt; 30% of Sample Matrix",((AQ79-AQ78)/CODES!$B$48)*100))</f>
      </c>
      <c r="AR102" s="7">
        <f>IF(AR53=AR40,((AR79-AR78)/CODES!$B$48)*100,IF(CODES!$B$48/AR78&lt;0.3,"Spike &lt; 30% of Sample Matrix",((AR79-AR78)/CODES!$B$48)*100))</f>
      </c>
      <c r="AS102" s="7">
        <f>IF(AS53=AS40,((AS79-AS78)/CODES!$B$48)*100,IF(CODES!$B$48/AS78&lt;0.3,"Spike &lt; 30% of Sample Matrix",((AS79-AS78)/CODES!$B$48)*100))</f>
      </c>
      <c r="AT102" s="7">
        <f>IF(AT53=AT40,((AT79-AT78)/CODES!$B$48)*100,IF(CODES!$B$48/AT78&lt;0.3,"Spike &lt; 30% of Sample Matrix",((AT79-AT78)/CODES!$B$48)*100))</f>
      </c>
      <c r="AU102" s="7">
        <f>IF(AU53=AU40,((AU79-AU78)/CODES!$B$48)*100,IF(CODES!$B$48/AU78&lt;0.3,"Spike &lt; 30% of Sample Matrix",((AU79-AU78)/CODES!$B$48)*100))</f>
      </c>
      <c r="AV102" s="7" t="e">
        <f>IF(AV53=AV40,((AV79-AV78)/CODES!$B$48)*100,IF(CODES!$B$48/AV78&lt;0.3,"Spike &lt; 30% of Sample Matrix",((AV79-AV78)/CODES!$B$48)*100))</f>
      </c>
      <c r="AW102" s="7" t="e">
        <f>IF(AW53=AW40,((AW79-AW78)/CODES!$B$48)*100,IF(CODES!$B$48/AW78&lt;0.3,"Spike &lt; 30% of Sample Matrix",((AW79-AW78)/CODES!$B$48)*100))</f>
      </c>
      <c r="AX102" s="7">
        <f>IF(AX53=AX40,((AX79-AX78)/CODES!$B$48)*100,IF(CODES!$B$48/AX78&lt;0.3,"Spike &lt; 30% of Sample Matrix",((AX79-AX78)/CODES!$B$48)*100))</f>
      </c>
      <c r="AY102" s="7">
        <f>IF(AY53=AY40,((AY79-AY78)/CODES!$B$48)*100,IF(CODES!$B$48/AY78&lt;0.3,"Spike &lt; 30% of Sample Matrix",((AY79-AY78)/CODES!$B$48)*100))</f>
      </c>
      <c r="AZ102" s="7" t="str">
        <f>IF(AZ53=AZ40,((AZ79-AZ78)/CODES!$B$48)*100,IF(CODES!$B$48/AZ78&lt;0.3,"Spike &lt; 30% of Sample Matrix",((AZ79-AZ78)/CODES!$B$48)*100))</f>
      </c>
      <c r="BA102" s="7" t="str">
        <f>IF(BA53=BA40,((BA79-BA78)/CODES!$B$48)*100,IF(CODES!$B$48/BA78&lt;0.3,"Spike &lt; 30% of Sample Matrix",((BA79-BA78)/CODES!$B$48)*100))</f>
      </c>
      <c r="BB102" s="7">
        <f>IF(BB53=BB40,((BB79-BB78)/CODES!$B$48)*100,IF(CODES!$B$48/BB78&lt;0.3,"Spike &lt; 30% of Sample Matrix",((BB79-BB78)/CODES!$B$48)*100))</f>
      </c>
      <c r="BC102" s="7">
        <f>IF(BC53=BC40,((BC79-BC78)/CODES!$B$48)*100,IF(CODES!$B$48/BC78&lt;0.3,"Spike &lt; 30% of Sample Matrix",((BC79-BC78)/CODES!$B$48)*100))</f>
      </c>
      <c r="BD102" s="7">
        <f>IF(BD53=BD40,((BD79-BD78)/CODES!$B$48)*100,IF(CODES!$B$48/BD78&lt;0.3,"Spike &lt; 30% of Sample Matrix",((BD79-BD78)/CODES!$B$48)*100))</f>
      </c>
      <c r="BE102" s="7">
        <f>IF(BE53=BE40,((BE79-BE78)/CODES!$B$48)*100,IF(CODES!$B$48/BE78&lt;0.3,"Spike &lt; 30% of Sample Matrix",((BE79-BE78)/CODES!$B$48)*100))</f>
      </c>
      <c r="BF102" s="7" t="str">
        <f>IF(BF53=BF40,((BF79-BF78)/CODES!$B$48)*100,IF(CODES!$B$48/BF78&lt;0.3,"Spike &lt; 30% of Sample Matrix",((BF79-BF78)/CODES!$B$48)*100))</f>
      </c>
      <c r="BG102" s="7" t="str">
        <f>IF(BG53=BG40,((BG79-BG78)/CODES!$B$48)*100,IF(CODES!$B$48/BG78&lt;0.3,"Spike &lt; 30% of Sample Matrix",((BG79-BG78)/CODES!$B$48)*100))</f>
      </c>
      <c r="BH102" s="7">
        <f>IF(BH53=BH40,((BH79-BH78)/CODES!$B$48)*100,IF(CODES!$B$48/BH78&lt;0.3,"Spike &lt; 30% of Sample Matrix",((BH79-BH78)/CODES!$B$48)*100))</f>
      </c>
      <c r="BI102" s="7">
        <f>IF(BI53=BI40,((BI79-BI78)/CODES!$B$48)*100,IF(CODES!$B$48/BI78&lt;0.3,"Spike &lt; 30% of Sample Matrix",((BI79-BI78)/CODES!$B$48)*100))</f>
      </c>
      <c r="BJ102" s="7">
        <f>IF(BJ53=BJ40,((BJ79-BJ78)/CODES!$B$48)*100,IF(CODES!$B$48/BJ78&lt;0.3,"Spike &lt; 30% of Sample Matrix",((BJ79-BJ78)/CODES!$B$48)*100))</f>
      </c>
      <c r="BK102" s="7">
        <f>IF(BK53=BK40,((BK79-BK78)/CODES!$B$48)*100,IF(CODES!$B$48/BK78&lt;0.3,"Spike &lt; 30% of Sample Matrix",((BK79-BK78)/CODES!$B$48)*100))</f>
      </c>
      <c r="BL102" s="7">
        <f>IF(BL53=BL40,((BL79-BL78)/CODES!$B$48)*100,IF(CODES!$B$48/BL78&lt;0.3,"Spike &lt; 30% of Sample Matrix",((BL79-BL78)/CODES!$B$48)*100))</f>
      </c>
      <c r="BM102" s="7">
        <f>IF(BM53=BM40,((BM79-BM78)/CODES!$B$48)*100,IF(CODES!$B$48/BM78&lt;0.3,"Spike &lt; 30% of Sample Matrix",((BM79-BM78)/CODES!$B$48)*100))</f>
      </c>
      <c r="BN102" s="7" t="e">
        <f>IF(BN53=BN40,((BN79-BN78)/CODES!$B$48)*100,IF(CODES!$B$48/BN78&lt;0.3,"Spike &lt; 30% of Sample Matrix",((BN79-BN78)/CODES!$B$48)*100))</f>
      </c>
      <c r="BO102" s="7">
        <f>IF(BO53=BO40,((BO79-BO78)/CODES!$B$48)*100,IF(CODES!$B$48/BO78&lt;0.3,"Spike &lt; 30% of Sample Matrix",((BO79-BO78)/CODES!$B$48)*100))</f>
      </c>
      <c r="BP102" s="7">
        <f>IF(BP53=BP40,((BP79-BP78)/CODES!$B$48)*100,IF(CODES!$B$48/BP78&lt;0.3,"Spike &lt; 30% of Sample Matrix",((BP79-BP78)/CODES!$B$48)*100))</f>
      </c>
      <c r="BQ102" s="7">
        <f>IF(BQ53=BQ40,((BQ79-BQ78)/CODES!$B$48)*100,IF(CODES!$B$48/BQ78&lt;0.3,"Spike &lt; 30% of Sample Matrix",((BQ79-BQ78)/CODES!$B$48)*100))</f>
      </c>
      <c r="BR102" s="7">
        <f>IF(BR53=BR40,((BR79-BR78)/CODES!$B$48)*100,IF(CODES!$B$48/BR78&lt;0.3,"Spike &lt; 30% of Sample Matrix",((BR79-BR78)/CODES!$B$48)*100))</f>
      </c>
      <c r="BS102" s="7" t="str">
        <f>IF(BS53=BS40,((BS79-BS78)/CODES!$B$48)*100,IF(CODES!$B$48/BS78&lt;0.3,"Spike &lt; 30% of Sample Matrix",((BS79-BS78)/CODES!$B$48)*100))</f>
      </c>
      <c r="BT102" s="7" t="str">
        <f>IF(BT53=BT40,((BT79-BT78)/CODES!$B$48)*100,IF(CODES!$B$48/BT78&lt;0.3,"Spike &lt; 30% of Sample Matrix",((BT79-BT78)/CODES!$B$48)*100))</f>
      </c>
      <c r="BU102" s="7">
        <f>IF(BU53=BU40,((BU79-BU78)/CODES!$B$48)*100,IF(CODES!$B$48/BU78&lt;0.3,"Spike &lt; 30% of Sample Matrix",((BU79-BU78)/CODES!$B$48)*100))</f>
      </c>
      <c r="BV102" s="7">
        <f>IF(BV53=BV40,((BV79-BV78)/CODES!$B$48)*100,IF(CODES!$B$48/BV78&lt;0.3,"Spike &lt; 30% of Sample Matrix",((BV79-BV78)/CODES!$B$48)*100))</f>
      </c>
      <c r="BW102" s="7" t="e">
        <f>IF(BW53=BW40,((BW79-BW78)/CODES!$B$48)*100,IF(CODES!$B$48/BW78&lt;0.3,"Spike &lt; 30% of Sample Matrix",((BW79-BW78)/CODES!$B$48)*100))</f>
      </c>
      <c r="BX102" s="7" t="e">
        <f>IF(BX53=BX40,((BX79-BX78)/CODES!$B$48)*100,IF(CODES!$B$48/BX78&lt;0.3,"Spike &lt; 30% of Sample Matrix",((BX79-BX78)/CODES!$B$48)*100))</f>
      </c>
      <c r="BY102" s="7">
        <f>IF(BY53=BY40,((BY79-BY78)/CODES!$B$48)*100,IF(CODES!$B$48/BY78&lt;0.3,"Spike &lt; 30% of Sample Matrix",((BY79-BY78)/CODES!$B$48)*100))</f>
      </c>
      <c r="BZ102" s="7">
        <f>IF(BZ53=BZ40,((BZ79-BZ78)/CODES!$B$48)*100,IF(CODES!$B$48/BZ78&lt;0.3,"Spike &lt; 30% of Sample Matrix",((BZ79-BZ78)/CODES!$B$48)*100))</f>
      </c>
      <c r="CA102" s="7" t="str">
        <f>IF(CA53=CA40,((CA79-CA78)/CODES!$B$48)*100,IF(CODES!$B$48/CA78&lt;0.3,"Spike &lt; 30% of Sample Matrix",((CA79-CA78)/CODES!$B$48)*100))</f>
      </c>
      <c r="CB102" s="7" t="str">
        <f>IF(CB53=CB40,((CB79-CB78)/CODES!$B$48)*100,IF(CODES!$B$48/CB78&lt;0.3,"Spike &lt; 30% of Sample Matrix",((CB79-CB78)/CODES!$B$48)*100))</f>
      </c>
      <c r="CC102" s="7">
        <f>IF(CC53=CC40,((CC79-CC78)/CODES!$B$48)*100,IF(CODES!$B$48/CC78&lt;0.3,"Spike &lt; 30% of Sample Matrix",((CC79-CC78)/CODES!$B$48)*100))</f>
      </c>
      <c r="CD102" s="7">
        <f>IF(CD53=CD40,((CD79-CD78)/CODES!$B$48)*100,IF(CODES!$B$48/CD78&lt;0.3,"Spike &lt; 30% of Sample Matrix",((CD79-CD78)/CODES!$B$48)*100))</f>
      </c>
      <c r="CE102" s="7">
        <f>IF(CE53=CE40,((CE79-CE78)/CODES!$B$48)*100,IF(CODES!$B$48/CE78&lt;0.3,"Spike &lt; 30% of Sample Matrix",((CE79-CE78)/CODES!$B$48)*100))</f>
      </c>
      <c r="CF102" s="7">
        <f>IF(CF53=CF40,((CF79-CF78)/CODES!$B$48)*100,IF(CODES!$B$48/CF78&lt;0.3,"Spike &lt; 30% of Sample Matrix",((CF79-CF78)/CODES!$B$48)*100))</f>
      </c>
      <c r="CG102" s="7">
        <f>IF(CG53=CG40,((CG79-CG78)/CODES!$B$48)*100,IF(CODES!$B$48/CG78&lt;0.3,"Spike &lt; 30% of Sample Matrix",((CG79-CG78)/CODES!$B$48)*100))</f>
      </c>
      <c r="CH102" s="7">
        <f>IF(CH53=CH40,((CH79-CH78)/CODES!$B$48)*100,IF(CODES!$B$48/CH78&lt;0.3,"Spike &lt; 30% of Sample Matrix",((CH79-CH78)/CODES!$B$48)*100))</f>
      </c>
      <c r="CI102" s="7">
        <f>IF(CI53=CI40,((CI79-CI78)/CODES!$B$48)*100,IF(CODES!$B$48/CI78&lt;0.3,"Spike &lt; 30% of Sample Matrix",((CI79-CI78)/CODES!$B$48)*100))</f>
      </c>
      <c r="CJ102" s="7">
        <f>IF(CJ53=CJ40,((CJ79-CJ78)/CODES!$B$48)*100,IF(CODES!$B$48/CJ78&lt;0.3,"Spike &lt; 30% of Sample Matrix",((CJ79-CJ78)/CODES!$B$48)*100))</f>
      </c>
      <c r="CK102" s="7">
        <f>IF(CK53=CK40,((CK79-CK78)/CODES!$B$48)*100,IF(CODES!$B$48/CK78&lt;0.3,"Spike &lt; 30% of Sample Matrix",((CK79-CK78)/CODES!$B$48)*100))</f>
      </c>
      <c r="CL102" s="7">
        <f>IF(CL53=CL40,((CL79-CL78)/CODES!$B$48)*100,IF(CODES!$B$48/CL78&lt;0.3,"Spike &lt; 30% of Sample Matrix",((CL79-CL78)/CODES!$B$48)*100))</f>
      </c>
      <c r="CM102" s="7">
        <f>IF(CM53=CM40,((CM79-CM78)/CODES!$B$48)*100,IF(CODES!$B$48/CM78&lt;0.3,"Spike &lt; 30% of Sample Matrix",((CM79-CM78)/CODES!$B$48)*100))</f>
      </c>
      <c r="CN102" s="7">
        <f>IF(CN53=CN40,((CN79-CN78)/CODES!$B$48)*100,IF(CODES!$B$48/CN78&lt;0.3,"Spike &lt; 30% of Sample Matrix",((CN79-CN78)/CODES!$B$48)*100))</f>
      </c>
      <c r="CO102" s="7">
        <f>IF(CO53=CO40,((CO79-CO78)/CODES!$B$48)*100,IF(CODES!$B$48/CO78&lt;0.3,"Spike &lt; 30% of Sample Matrix",((CO79-CO78)/CODES!$B$48)*100))</f>
      </c>
      <c r="CP102" s="7">
        <f>IF(CP53=CP40,((CP79-CP78)/CODES!$B$48)*100,IF(CODES!$B$48/CP78&lt;0.3,"Spike &lt; 30% of Sample Matrix",((CP79-CP78)/CODES!$B$48)*100))</f>
      </c>
      <c r="CQ102" s="7">
        <f>IF(CQ53=CQ40,((CQ79-CQ78)/CODES!$B$48)*100,IF(CODES!$B$48/CQ78&lt;0.3,"Spike &lt; 30% of Sample Matrix",((CQ79-CQ78)/CODES!$B$48)*100))</f>
      </c>
      <c r="CR102" s="7">
        <f>IF(CR53=CR40,((CR79-CR78)/CODES!$B$48)*100,IF(CODES!$B$48/CR78&lt;0.3,"Spike &lt; 30% of Sample Matrix",((CR79-CR78)/CODES!$B$48)*100))</f>
      </c>
      <c r="CS102" s="7">
        <f>IF(CS53=CS40,((CS79-CS78)/CODES!$B$48)*100,IF(CODES!$B$48/CS78&lt;0.3,"Spike &lt; 30% of Sample Matrix",((CS79-CS78)/CODES!$B$48)*100))</f>
      </c>
      <c r="CT102" s="7">
        <f>IF(CT53=CT40,((CT79-CT78)/CODES!$B$48)*100,IF(CODES!$B$48/CT78&lt;0.3,"Spike &lt; 30% of Sample Matrix",((CT79-CT78)/CODES!$B$48)*100))</f>
      </c>
      <c r="CU102" s="7">
        <f>IF(CU53=CU40,((CU79-CU78)/CODES!$B$48)*100,IF(CODES!$B$48/CU78&lt;0.3,"Spike &lt; 30% of Sample Matrix",((CU79-CU78)/CODES!$B$48)*100))</f>
      </c>
      <c r="CV102" s="7">
        <f>IF(CV53=CV40,((CV79-CV78)/CODES!$B$48)*100,IF(CODES!$B$48/CV78&lt;0.3,"Spike &lt; 30% of Sample Matrix",((CV79-CV78)/CODES!$B$48)*100))</f>
      </c>
      <c r="CW102" s="7">
        <f>IF(CW53=CW40,((CW79-CW78)/CODES!$B$48)*100,IF(CODES!$B$48/CW78&lt;0.3,"Spike &lt; 30% of Sample Matrix",((CW79-CW78)/CODES!$B$48)*100))</f>
      </c>
      <c r="CX102" s="7">
        <f>IF(CX53=CX40,((CX79-CX78)/CODES!$B$48)*100,IF(CODES!$B$48/CX78&lt;0.3,"Spike &lt; 30% of Sample Matrix",((CX79-CX78)/CODES!$B$48)*100))</f>
      </c>
      <c r="CY102" s="7">
        <f>IF(CY53=CY40,((CY79-CY78)/CODES!$B$48)*100,IF(CODES!$B$48/CY78&lt;0.3,"Spike &lt; 30% of Sample Matrix",((CY79-CY78)/CODES!$B$48)*100))</f>
      </c>
      <c r="CZ102" s="7">
        <f>IF(CZ53=CZ40,((CZ79-CZ78)/CODES!$B$48)*100,IF(CODES!$B$48/CZ78&lt;0.3,"Spike &lt; 30% of Sample Matrix",((CZ79-CZ78)/CODES!$B$48)*100))</f>
      </c>
      <c r="DA102" s="7">
        <f>IF(DA53=DA40,((DA79-DA78)/CODES!$B$48)*100,IF(CODES!$B$48/DA78&lt;0.3,"Spike &lt; 30% of Sample Matrix",((DA79-DA78)/CODES!$B$48)*100))</f>
      </c>
      <c r="DB102" s="7" t="e">
        <f>IF(DB53=DB40,((DB79-DB78)/CODES!$B$48)*100,IF(CODES!$B$48/DB78&lt;0.3,"Spike &lt; 30% of Sample Matrix",((DB79-DB78)/CODES!$B$48)*100))</f>
      </c>
      <c r="DC102" s="7" t="e">
        <f>IF(DC53=DC40,((DC79-DC78)/CODES!$B$48)*100,IF(CODES!$B$48/DC78&lt;0.3,"Spike &lt; 30% of Sample Matrix",((DC79-DC78)/CODES!$B$48)*100))</f>
      </c>
      <c r="DD102" s="7">
        <f>IF(DD53=DD40,((DD79-DD78)/CODES!$B$48)*100,IF(CODES!$B$48/DD78&lt;0.3,"Spike &lt; 30% of Sample Matrix",((DD79-DD78)/CODES!$B$48)*100))</f>
      </c>
      <c r="DE102" s="7">
        <f>IF(DE53=DE40,((DE79-DE78)/CODES!$B$48)*100,IF(CODES!$B$48/DE78&lt;0.3,"Spike &lt; 30% of Sample Matrix",((DE79-DE78)/CODES!$B$48)*100))</f>
      </c>
      <c r="DF102" s="7">
        <f>IF(DF53=DF40,((DF79-DF78)/CODES!$B$48)*100,IF(CODES!$B$48/DF78&lt;0.3,"Spike &lt; 30% of Sample Matrix",((DF79-DF78)/CODES!$B$48)*100))</f>
      </c>
      <c r="DG102" s="7">
        <f>IF(DG53=DG40,((DG79-DG78)/CODES!$B$48)*100,IF(CODES!$B$48/DG78&lt;0.3,"Spike &lt; 30% of Sample Matrix",((DG79-DG78)/CODES!$B$48)*100))</f>
      </c>
      <c r="DH102" s="7">
        <f>IF(DH53=DH40,((DH79-DH78)/CODES!$B$48)*100,IF(CODES!$B$48/DH78&lt;0.3,"Spike &lt; 30% of Sample Matrix",((DH79-DH78)/CODES!$B$48)*100))</f>
      </c>
      <c r="DI102" s="7">
        <f>IF(DI53=DI40,((DI79-DI78)/CODES!$B$48)*100,IF(CODES!$B$48/DI78&lt;0.3,"Spike &lt; 30% of Sample Matrix",((DI79-DI78)/CODES!$B$48)*100))</f>
      </c>
    </row>
    <row r="103" spans="1:113" x14ac:dyDescent="0.25">
      <c r="A103" s="16" t="str">
        <f t="shared" si="26"/>
      </c>
      <c r="B103" s="16" t="str">
        <f t="shared" si="26"/>
      </c>
      <c r="C103" s="7">
        <f>((C80-C71)/CODES!$B$48)*100</f>
      </c>
      <c r="D103" s="7">
        <f>((D80-D71)/CODES!$B$48)*100</f>
      </c>
      <c r="E103" s="7">
        <f>((E80-E71)/CODES!$B$48)*100</f>
      </c>
      <c r="F103" s="7">
        <f>((F80-F71)/CODES!$B$48)*100</f>
      </c>
      <c r="G103" s="7">
        <f>((G80-G71)/CODES!$B$48)*100</f>
      </c>
      <c r="H103" s="7">
        <f>((H80-H71)/CODES!$B$48)*100</f>
      </c>
      <c r="I103" s="7">
        <f>((I80-I71)/CODES!$B$48)*100</f>
      </c>
      <c r="J103" s="7">
        <f>((J80-J71)/CODES!$B$48)*100</f>
      </c>
      <c r="K103" s="7">
        <f>((K80-K71)/CODES!$B$48)*100</f>
      </c>
      <c r="L103" s="7">
        <f>((L80-L71)/CODES!$B$48)*100</f>
      </c>
      <c r="M103" s="7">
        <f>((M80-M71)/CODES!$B$48)*100</f>
      </c>
      <c r="N103" s="7" t="e">
        <f>((N80-N71)/CODES!$B$48)*100</f>
      </c>
      <c r="O103" s="7" t="e">
        <f>((O80-O71)/CODES!$B$48)*100</f>
      </c>
      <c r="P103" s="7">
        <f>((P80-P71)/CODES!$B$48)*100</f>
      </c>
      <c r="Q103" s="7">
        <f>((Q80-Q71)/CODES!$B$48)*100</f>
      </c>
      <c r="R103" s="7">
        <f>((R80-R71)/CODES!$B$48)*100</f>
      </c>
      <c r="S103" s="7">
        <f>((S80-S71)/CODES!$B$48)*100</f>
      </c>
      <c r="T103" s="7">
        <f>((T80-T71)/CODES!$B$48)*100</f>
      </c>
      <c r="U103" s="7">
        <f>((U80-U71)/CODES!$B$48)*100</f>
      </c>
      <c r="V103" s="7">
        <f>((V80-V71)/CODES!$B$48)*100</f>
      </c>
      <c r="W103" s="7">
        <f>((W80-W71)/CODES!$B$48)*100</f>
      </c>
      <c r="X103" s="7">
        <f>((X80-X71)/CODES!$B$48)*100</f>
      </c>
      <c r="Y103" s="7">
        <f>((Y80-Y71)/CODES!$B$48)*100</f>
      </c>
      <c r="Z103" s="7">
        <f>((Z80-Z71)/CODES!$B$48)*100</f>
      </c>
      <c r="AA103" s="7">
        <f>((AA80-AA71)/CODES!$B$48)*100</f>
      </c>
      <c r="AB103" s="7">
        <f>((AB80-AB71)/CODES!$B$48)*100</f>
      </c>
      <c r="AC103" s="7">
        <f>((AC80-AC71)/CODES!$B$48)*100</f>
      </c>
      <c r="AD103" s="7">
        <f>((AD80-AD71)/CODES!$B$48)*100</f>
      </c>
      <c r="AE103" s="7">
        <f>((AE80-AE71)/CODES!$B$48)*100</f>
      </c>
      <c r="AF103" s="7">
        <f>((AF80-AF71)/CODES!$B$48)*100</f>
      </c>
      <c r="AG103" s="7">
        <f>((AG80-AG71)/CODES!$B$48)*100</f>
      </c>
      <c r="AH103" s="7">
        <f>((AH80-AH71)/CODES!$B$48)*100</f>
      </c>
      <c r="AI103" s="7">
        <f>((AI80-AI71)/CODES!$B$48)*100</f>
      </c>
      <c r="AJ103" s="7">
        <f>((AJ80-AJ71)/CODES!$B$48)*100</f>
      </c>
      <c r="AK103" s="7">
        <f>((AK80-AK71)/CODES!$B$48)*100</f>
      </c>
      <c r="AL103" s="7">
        <f>((AL80-AL71)/CODES!$B$48)*100</f>
      </c>
      <c r="AM103" s="7">
        <f>((AM80-AM71)/CODES!$B$48)*100</f>
      </c>
      <c r="AN103" s="7">
        <f>((AN80-AN71)/CODES!$B$48)*100</f>
      </c>
      <c r="AO103" s="7">
        <f>((AO80-AO71)/CODES!$C$48)*100</f>
      </c>
      <c r="AP103" s="7">
        <f>((AP80-AP71)/CODES!$C$48)*100</f>
      </c>
      <c r="AQ103" s="7">
        <f>((AQ80-AQ71)/CODES!$B$48)*100</f>
      </c>
      <c r="AR103" s="7">
        <f>((AR80-AR71)/CODES!$B$48)*100</f>
      </c>
      <c r="AS103" s="7">
        <f>((AS80-AS71)/CODES!$B$48)*100</f>
      </c>
      <c r="AT103" s="7">
        <f>((AT80-AT71)/CODES!$B$48)*100</f>
      </c>
      <c r="AU103" s="7">
        <f>((AU80-AU71)/CODES!$B$48)*100</f>
      </c>
      <c r="AV103" s="7" t="e">
        <f>((AV80-AV71)/CODES!$B$48)*100</f>
      </c>
      <c r="AW103" s="7" t="e">
        <f>((AW80-AW71)/CODES!$B$48)*100</f>
      </c>
      <c r="AX103" s="7">
        <f>((AX80-AX71)/CODES!$B$48)*100</f>
      </c>
      <c r="AY103" s="7">
        <f>((AY80-AY71)/CODES!$B$48)*100</f>
      </c>
      <c r="AZ103" s="7">
        <f>((AZ80-AZ71)/CODES!$B$48)*100</f>
      </c>
      <c r="BA103" s="7">
        <f>((BA80-BA71)/CODES!$B$48)*100</f>
      </c>
      <c r="BB103" s="7">
        <f>((BB80-BB71)/CODES!$B$48)*100</f>
      </c>
      <c r="BC103" s="7">
        <f>((BC80-BC71)/CODES!$B$48)*100</f>
      </c>
      <c r="BD103" s="7">
        <f>((BD80-BD71)/CODES!$B$48)*100</f>
      </c>
      <c r="BE103" s="7">
        <f>((BE80-BE71)/CODES!$B$48)*100</f>
      </c>
      <c r="BF103" s="7">
        <f>((BF80-BF71)/CODES!$B$48)*100</f>
      </c>
      <c r="BG103" s="7">
        <f>((BG80-BG71)/CODES!$B$48)*100</f>
      </c>
      <c r="BH103" s="7" t="e">
        <f>((BH80-BH71)/CODES!$B$48)*100</f>
      </c>
      <c r="BI103" s="7" t="e">
        <f>((BI80-BI71)/CODES!$B$48)*100</f>
      </c>
      <c r="BJ103" s="7">
        <f>((BJ80-BJ71)/CODES!$B$48)*100</f>
      </c>
      <c r="BK103" s="7">
        <f>((BK80-BK71)/CODES!$B$48)*100</f>
      </c>
      <c r="BL103" s="7">
        <f>((BL80-BL71)/CODES!$B$48)*100</f>
      </c>
      <c r="BM103" s="7">
        <f>((BM80-BM71)/CODES!$B$48)*100</f>
      </c>
      <c r="BN103" s="7" t="e">
        <f>((BN80-BN71)/CODES!$B$48)*100</f>
      </c>
      <c r="BO103" s="7">
        <f>((BO80-BO71)/CODES!$B$48)*100</f>
      </c>
      <c r="BP103" s="7">
        <f>((BP80-BP71)/CODES!$B$48)*100</f>
      </c>
      <c r="BQ103" s="7">
        <f>((BQ80-BQ71)/CODES!$B$48)*100</f>
      </c>
      <c r="BR103" s="7">
        <f>((BR80-BR71)/CODES!$B$48)*100</f>
      </c>
      <c r="BS103" s="7">
        <f>((BS80-BS71)/CODES!$B$48)*100</f>
      </c>
      <c r="BT103" s="7">
        <f>((BT80-BT71)/CODES!$B$48)*100</f>
      </c>
      <c r="BU103" s="7">
        <f>((BU80-BU71)/CODES!$B$48)*100</f>
      </c>
      <c r="BV103" s="7">
        <f>((BV80-BV71)/CODES!$B$48)*100</f>
      </c>
      <c r="BW103" s="7" t="e">
        <f>((BW80-BW71)/CODES!$B$48)*100</f>
      </c>
      <c r="BX103" s="7" t="e">
        <f>((BX80-BX71)/CODES!$B$48)*100</f>
      </c>
      <c r="BY103" s="7">
        <f>((BY80-BY71)/CODES!$B$48)*100</f>
      </c>
      <c r="BZ103" s="7">
        <f>((BZ80-BZ71)/CODES!$B$48)*100</f>
      </c>
      <c r="CA103" s="7">
        <f>((CA80-CA71)/CODES!$B$48)*100</f>
      </c>
      <c r="CB103" s="7">
        <f>((CB80-CB71)/CODES!$B$48)*100</f>
      </c>
      <c r="CC103" s="7">
        <f>((CC80-CC71)/CODES!$B$48)*100</f>
      </c>
      <c r="CD103" s="7">
        <f>((CD80-CD71)/CODES!$B$48)*100</f>
      </c>
      <c r="CE103" s="7">
        <f>((CE80-CE71)/CODES!$B$48)*100</f>
      </c>
      <c r="CF103" s="7">
        <f>((CF80-CF71)/CODES!$B$48)*100</f>
      </c>
      <c r="CG103" s="7">
        <f>((CG80-CG71)/CODES!$B$48)*100</f>
      </c>
      <c r="CH103" s="7">
        <f>((CH80-CH71)/CODES!$B$48)*100</f>
      </c>
      <c r="CI103" s="7">
        <f>((CI80-CI71)/CODES!$B$48)*100</f>
      </c>
      <c r="CJ103" s="7">
        <f>((CJ80-CJ71)/CODES!$B$48)*100</f>
      </c>
      <c r="CK103" s="7">
        <f>((CK80-CK71)/CODES!$B$48)*100</f>
      </c>
      <c r="CL103" s="7">
        <f>((CL80-CL71)/CODES!$B$48)*100</f>
      </c>
      <c r="CM103" s="7">
        <f>((CM80-CM71)/CODES!$B$48)*100</f>
      </c>
      <c r="CN103" s="7">
        <f>((CN80-CN71)/CODES!$B$48)*100</f>
      </c>
      <c r="CO103" s="7">
        <f>((CO80-CO71)/CODES!$B$48)*100</f>
      </c>
      <c r="CP103" s="7">
        <f>((CP80-CP71)/CODES!$B$48)*100</f>
      </c>
      <c r="CQ103" s="7">
        <f>((CQ80-CQ71)/CODES!$B$48)*100</f>
      </c>
      <c r="CR103" s="7">
        <f>((CR80-CR71)/CODES!$B$48)*100</f>
      </c>
      <c r="CS103" s="7">
        <f>((CS80-CS71)/CODES!$B$48)*100</f>
      </c>
      <c r="CT103" s="7">
        <f>((CT80-CT71)/CODES!$B$48)*100</f>
      </c>
      <c r="CU103" s="7">
        <f>((CU80-CU71)/CODES!$B$48)*100</f>
      </c>
      <c r="CV103" s="7">
        <f>((CV80-CV71)/CODES!$B$48)*100</f>
      </c>
      <c r="CW103" s="7">
        <f>((CW80-CW71)/CODES!$B$48)*100</f>
      </c>
      <c r="CX103" s="7">
        <f>((CX80-CX71)/CODES!$B$48)*100</f>
      </c>
      <c r="CY103" s="7">
        <f>((CY80-CY71)/CODES!$B$48)*100</f>
      </c>
      <c r="CZ103" s="7">
        <f>((CZ80-CZ71)/CODES!$B$48)*100</f>
      </c>
      <c r="DA103" s="7">
        <f>((DA80-DA71)/CODES!$B$48)*100</f>
      </c>
      <c r="DB103" s="7" t="e">
        <f>((DB80-DB71)/CODES!$B$48)*100</f>
      </c>
      <c r="DC103" s="7" t="e">
        <f>((DC80-DC71)/CODES!$B$48)*100</f>
      </c>
      <c r="DD103" s="7">
        <f>((DD80-DD71)/CODES!$B$48)*100</f>
      </c>
      <c r="DE103" s="7">
        <f>((DE80-DE71)/CODES!$B$48)*100</f>
      </c>
      <c r="DF103" s="7">
        <f>((DF80-DF71)/CODES!$B$48)*100</f>
      </c>
      <c r="DG103" s="7">
        <f>((DG80-DG71)/CODES!$B$48)*100</f>
      </c>
      <c r="DH103" s="7">
        <f>((DH80-DH71)/CODES!$B$48)*100</f>
      </c>
      <c r="DI103" s="7">
        <f>((DI80-DI71)/CODES!$B$48)*100</f>
      </c>
    </row>
    <row r="104" spans="1:113" x14ac:dyDescent="0.25">
      <c r="A104" s="16" t="str">
        <f t="shared" si="26"/>
      </c>
      <c r="B104" s="16" t="str">
        <f t="shared" si="26"/>
      </c>
      <c r="C104" s="7">
        <f>((C81-C71)/CODES!$B$48)*100</f>
      </c>
      <c r="D104" s="7">
        <f>((D81-D71)/CODES!$B$48)*100</f>
      </c>
      <c r="E104" s="7" t="e">
        <f>((E81-E71)/CODES!$B$48)*100</f>
      </c>
      <c r="F104" s="7">
        <f>((F81-F71)/CODES!$B$48)*100</f>
      </c>
      <c r="G104" s="7">
        <f>((G81-G71)/CODES!$B$48)*100</f>
      </c>
      <c r="H104" s="7">
        <f>((H81-H71)/CODES!$B$48)*100</f>
      </c>
      <c r="I104" s="7">
        <f>((I81-I71)/CODES!$B$48)*100</f>
      </c>
      <c r="J104" s="7">
        <f>((J81-J71)/CODES!$B$48)*100</f>
      </c>
      <c r="K104" s="7">
        <f>((K81-K71)/CODES!$B$48)*100</f>
      </c>
      <c r="L104" s="7">
        <f>((L81-L71)/CODES!$B$48)*100</f>
      </c>
      <c r="M104" s="7">
        <f>((M81-M71)/CODES!$B$48)*100</f>
      </c>
      <c r="N104" s="7" t="e">
        <f>((N81-N71)/CODES!$B$48)*100</f>
      </c>
      <c r="O104" s="7" t="e">
        <f>((O81-O71)/CODES!$B$48)*100</f>
      </c>
      <c r="P104" s="7">
        <f>((P81-P71)/CODES!$B$48)*100</f>
      </c>
      <c r="Q104" s="7">
        <f>((Q81-Q71)/CODES!$B$48)*100</f>
      </c>
      <c r="R104" s="7">
        <f>((R81-R71)/CODES!$B$48)*100</f>
      </c>
      <c r="S104" s="7">
        <f>((S81-S71)/CODES!$B$48)*100</f>
      </c>
      <c r="T104" s="7">
        <f>((T81-T71)/CODES!$B$48)*100</f>
      </c>
      <c r="U104" s="7">
        <f>((U81-U71)/CODES!$B$48)*100</f>
      </c>
      <c r="V104" s="7">
        <f>((V81-V71)/CODES!$B$48)*100</f>
      </c>
      <c r="W104" s="7">
        <f>((W81-W71)/CODES!$B$48)*100</f>
      </c>
      <c r="X104" s="7">
        <f>((X81-X71)/CODES!$B$48)*100</f>
      </c>
      <c r="Y104" s="7">
        <f>((Y81-Y71)/CODES!$B$48)*100</f>
      </c>
      <c r="Z104" s="7">
        <f>((Z81-Z71)/CODES!$B$48)*100</f>
      </c>
      <c r="AA104" s="7">
        <f>((AA81-AA71)/CODES!$B$48)*100</f>
      </c>
      <c r="AB104" s="7">
        <f>((AB81-AB71)/CODES!$B$48)*100</f>
      </c>
      <c r="AC104" s="7">
        <f>((AC81-AC71)/CODES!$B$48)*100</f>
      </c>
      <c r="AD104" s="7">
        <f>((AD81-AD71)/CODES!$B$48)*100</f>
      </c>
      <c r="AE104" s="7">
        <f>((AE81-AE71)/CODES!$B$48)*100</f>
      </c>
      <c r="AF104" s="7">
        <f>((AF81-AF71)/CODES!$B$48)*100</f>
      </c>
      <c r="AG104" s="7" t="e">
        <f>((AG81-AG71)/CODES!$B$48)*100</f>
      </c>
      <c r="AH104" s="7" t="e">
        <f>((AH81-AH71)/CODES!$B$48)*100</f>
      </c>
      <c r="AI104" s="7">
        <f>((AI81-AI71)/CODES!$B$48)*100</f>
      </c>
      <c r="AJ104" s="7">
        <f>((AJ81-AJ71)/CODES!$B$48)*100</f>
      </c>
      <c r="AK104" s="7">
        <f>((AK81-AK71)/CODES!$B$48)*100</f>
      </c>
      <c r="AL104" s="7">
        <f>((AL81-AL71)/CODES!$B$48)*100</f>
      </c>
      <c r="AM104" s="7">
        <f>((AM81-AM71)/CODES!$B$48)*100</f>
      </c>
      <c r="AN104" s="7">
        <f>((AN81-AN71)/CODES!$B$48)*100</f>
      </c>
      <c r="AO104" s="7">
        <f>((AO81-AO71)/CODES!$C$48)*100</f>
      </c>
      <c r="AP104" s="7">
        <f>((AP81-AP71)/CODES!$C$48)*100</f>
      </c>
      <c r="AQ104" s="7">
        <f>((AQ81-AQ71)/CODES!$B$48)*100</f>
      </c>
      <c r="AR104" s="7">
        <f>((AR81-AR71)/CODES!$B$48)*100</f>
      </c>
      <c r="AS104" s="7">
        <f>((AS81-AS71)/CODES!$B$48)*100</f>
      </c>
      <c r="AT104" s="7">
        <f>((AT81-AT71)/CODES!$B$48)*100</f>
      </c>
      <c r="AU104" s="7">
        <f>((AU81-AU71)/CODES!$B$48)*100</f>
      </c>
      <c r="AV104" s="7" t="e">
        <f>((AV81-AV71)/CODES!$B$48)*100</f>
      </c>
      <c r="AW104" s="7" t="e">
        <f>((AW81-AW71)/CODES!$B$48)*100</f>
      </c>
      <c r="AX104" s="7">
        <f>((AX81-AX71)/CODES!$B$48)*100</f>
      </c>
      <c r="AY104" s="7">
        <f>((AY81-AY71)/CODES!$B$48)*100</f>
      </c>
      <c r="AZ104" s="7">
        <f>((AZ81-AZ71)/CODES!$B$48)*100</f>
      </c>
      <c r="BA104" s="7">
        <f>((BA81-BA71)/CODES!$B$48)*100</f>
      </c>
      <c r="BB104" s="7">
        <f>((BB81-BB71)/CODES!$B$48)*100</f>
      </c>
      <c r="BC104" s="7">
        <f>((BC81-BC71)/CODES!$B$48)*100</f>
      </c>
      <c r="BD104" s="7">
        <f>((BD81-BD71)/CODES!$B$48)*100</f>
      </c>
      <c r="BE104" s="7">
        <f>((BE81-BE71)/CODES!$B$48)*100</f>
      </c>
      <c r="BF104" s="7">
        <f>((BF81-BF71)/CODES!$B$48)*100</f>
      </c>
      <c r="BG104" s="7">
        <f>((BG81-BG71)/CODES!$B$48)*100</f>
      </c>
      <c r="BH104" s="7" t="e">
        <f>((BH81-BH71)/CODES!$B$48)*100</f>
      </c>
      <c r="BI104" s="7" t="e">
        <f>((BI81-BI71)/CODES!$B$48)*100</f>
      </c>
      <c r="BJ104" s="7">
        <f>((BJ81-BJ71)/CODES!$B$48)*100</f>
      </c>
      <c r="BK104" s="7">
        <f>((BK81-BK71)/CODES!$B$48)*100</f>
      </c>
      <c r="BL104" s="7" t="e">
        <f>((BL81-BL71)/CODES!$B$48)*100</f>
      </c>
      <c r="BM104" s="7" t="e">
        <f>((BM81-BM71)/CODES!$B$48)*100</f>
      </c>
      <c r="BN104" s="7" t="e">
        <f>((BN81-BN71)/CODES!$B$48)*100</f>
      </c>
      <c r="BO104" s="7">
        <f>((BO81-BO71)/CODES!$B$48)*100</f>
      </c>
      <c r="BP104" s="7">
        <f>((BP81-BP71)/CODES!$B$48)*100</f>
      </c>
      <c r="BQ104" s="7">
        <f>((BQ81-BQ71)/CODES!$B$48)*100</f>
      </c>
      <c r="BR104" s="7">
        <f>((BR81-BR71)/CODES!$B$48)*100</f>
      </c>
      <c r="BS104" s="7">
        <f>((BS81-BS71)/CODES!$B$48)*100</f>
      </c>
      <c r="BT104" s="7">
        <f>((BT81-BT71)/CODES!$B$48)*100</f>
      </c>
      <c r="BU104" s="7">
        <f>((BU81-BU71)/CODES!$B$48)*100</f>
      </c>
      <c r="BV104" s="7">
        <f>((BV81-BV71)/CODES!$B$48)*100</f>
      </c>
      <c r="BW104" s="7" t="e">
        <f>((BW81-BW71)/CODES!$B$48)*100</f>
      </c>
      <c r="BX104" s="7" t="e">
        <f>((BX81-BX71)/CODES!$B$48)*100</f>
      </c>
      <c r="BY104" s="7">
        <f>((BY81-BY71)/CODES!$B$48)*100</f>
      </c>
      <c r="BZ104" s="7">
        <f>((BZ81-BZ71)/CODES!$B$48)*100</f>
      </c>
      <c r="CA104" s="7">
        <f>((CA81-CA71)/CODES!$B$48)*100</f>
      </c>
      <c r="CB104" s="7">
        <f>((CB81-CB71)/CODES!$B$48)*100</f>
      </c>
      <c r="CC104" s="7">
        <f>((CC81-CC71)/CODES!$B$48)*100</f>
      </c>
      <c r="CD104" s="7">
        <f>((CD81-CD71)/CODES!$B$48)*100</f>
      </c>
      <c r="CE104" s="7">
        <f>((CE81-CE71)/CODES!$B$48)*100</f>
      </c>
      <c r="CF104" s="7">
        <f>((CF81-CF71)/CODES!$B$48)*100</f>
      </c>
      <c r="CG104" s="7">
        <f>((CG81-CG71)/CODES!$B$48)*100</f>
      </c>
      <c r="CH104" s="7">
        <f>((CH81-CH71)/CODES!$B$48)*100</f>
      </c>
      <c r="CI104" s="7">
        <f>((CI81-CI71)/CODES!$B$48)*100</f>
      </c>
      <c r="CJ104" s="7">
        <f>((CJ81-CJ71)/CODES!$B$48)*100</f>
      </c>
      <c r="CK104" s="7" t="e">
        <f>((CK81-CK71)/CODES!$B$48)*100</f>
      </c>
      <c r="CL104" s="7">
        <f>((CL81-CL71)/CODES!$B$48)*100</f>
      </c>
      <c r="CM104" s="7">
        <f>((CM81-CM71)/CODES!$B$48)*100</f>
      </c>
      <c r="CN104" s="7">
        <f>((CN81-CN71)/CODES!$B$48)*100</f>
      </c>
      <c r="CO104" s="7">
        <f>((CO81-CO71)/CODES!$B$48)*100</f>
      </c>
      <c r="CP104" s="7">
        <f>((CP81-CP71)/CODES!$B$48)*100</f>
      </c>
      <c r="CQ104" s="7">
        <f>((CQ81-CQ71)/CODES!$B$48)*100</f>
      </c>
      <c r="CR104" s="7">
        <f>((CR81-CR71)/CODES!$B$48)*100</f>
      </c>
      <c r="CS104" s="7">
        <f>((CS81-CS71)/CODES!$B$48)*100</f>
      </c>
      <c r="CT104" s="7">
        <f>((CT81-CT71)/CODES!$B$48)*100</f>
      </c>
      <c r="CU104" s="7">
        <f>((CU81-CU71)/CODES!$B$48)*100</f>
      </c>
      <c r="CV104" s="7">
        <f>((CV81-CV71)/CODES!$B$48)*100</f>
      </c>
      <c r="CW104" s="7">
        <f>((CW81-CW71)/CODES!$B$48)*100</f>
      </c>
      <c r="CX104" s="7">
        <f>((CX81-CX71)/CODES!$B$48)*100</f>
      </c>
      <c r="CY104" s="7">
        <f>((CY81-CY71)/CODES!$B$48)*100</f>
      </c>
      <c r="CZ104" s="7">
        <f>((CZ81-CZ71)/CODES!$B$48)*100</f>
      </c>
      <c r="DA104" s="7">
        <f>((DA81-DA71)/CODES!$B$48)*100</f>
      </c>
      <c r="DB104" s="7" t="e">
        <f>((DB81-DB71)/CODES!$B$48)*100</f>
      </c>
      <c r="DC104" s="7" t="e">
        <f>((DC81-DC71)/CODES!$B$48)*100</f>
      </c>
      <c r="DD104" s="7">
        <f>((DD81-DD71)/CODES!$B$48)*100</f>
      </c>
      <c r="DE104" s="7">
        <f>((DE81-DE71)/CODES!$B$48)*100</f>
      </c>
      <c r="DF104" s="7">
        <f>((DF81-DF71)/CODES!$B$48)*100</f>
      </c>
      <c r="DG104" s="7">
        <f>((DG81-DG71)/CODES!$B$48)*100</f>
      </c>
      <c r="DH104" s="7">
        <f>((DH81-DH71)/CODES!$B$48)*100</f>
      </c>
      <c r="DI104" s="7">
        <f>((DI81-DI71)/CODES!$B$48)*100</f>
      </c>
    </row>
    <row r="105" spans="1:113" x14ac:dyDescent="0.25">
      <c r="A105" s="16" t="str">
        <f t="shared" si="26"/>
      </c>
      <c r="B105" s="16" t="str">
        <f t="shared" si="26"/>
      </c>
      <c r="C105" s="7">
        <f>((C82)/CODES!$B$50)*100</f>
      </c>
      <c r="D105" s="7">
        <f>((D82)/CODES!$B$50)*100</f>
      </c>
      <c r="E105" s="7">
        <f>((E82)/CODES!$B$50)*100</f>
      </c>
      <c r="F105" s="7">
        <f>((F82)/CODES!$B$50)*100</f>
      </c>
      <c r="G105" s="7">
        <f>((G82)/CODES!$B$50)*100</f>
      </c>
      <c r="H105" s="7">
        <f>((H82)/CODES!$B$50)*100</f>
      </c>
      <c r="I105" s="7">
        <f>((I82)/CODES!$B$50)*100</f>
      </c>
      <c r="J105" s="7">
        <f>((J82)/CODES!$B$50)*100</f>
      </c>
      <c r="K105" s="7">
        <f>((K82)/CODES!$B$50)*100</f>
      </c>
      <c r="L105" s="7">
        <f>((L82)/CODES!$B$50)*100</f>
      </c>
      <c r="M105" s="7">
        <f>((M82)/CODES!$B$50)*100</f>
      </c>
      <c r="N105" s="7" t="e">
        <f>((N82)/CODES!$B$50)*100</f>
      </c>
      <c r="O105" s="7" t="e">
        <f>((O82)/CODES!$B$50)*100</f>
      </c>
      <c r="P105" s="7">
        <f>((P82)/CODES!$B$50)*100</f>
      </c>
      <c r="Q105" s="7">
        <f>((Q82)/CODES!$B$50)*100</f>
      </c>
      <c r="R105" s="7">
        <f>((R82)/CODES!$B$50)*100</f>
      </c>
      <c r="S105" s="7">
        <f>((S82)/CODES!$B$50)*100</f>
      </c>
      <c r="T105" s="7">
        <f>((T82)/CODES!$B$50)*100</f>
      </c>
      <c r="U105" s="7">
        <f>((U82)/CODES!$B$50)*100</f>
      </c>
      <c r="V105" s="7">
        <f>((V82)/CODES!$B$50)*100</f>
      </c>
      <c r="W105" s="7">
        <f>((W82)/CODES!$B$50)*100</f>
      </c>
      <c r="X105" s="7">
        <f>((X82)/CODES!$B$50)*100</f>
      </c>
      <c r="Y105" s="7">
        <f>((Y82)/CODES!$B$50)*100</f>
      </c>
      <c r="Z105" s="7">
        <f>((Z82)/CODES!$B$50)*100</f>
      </c>
      <c r="AA105" s="7">
        <f>((AA82)/CODES!$B$50)*100</f>
      </c>
      <c r="AB105" s="7">
        <f>((AB82)/CODES!$B$50)*100</f>
      </c>
      <c r="AC105" s="7">
        <f>((AC82)/CODES!$B$50)*100</f>
      </c>
      <c r="AD105" s="7">
        <f>((AD82)/CODES!$B$50)*100</f>
      </c>
      <c r="AE105" s="7">
        <f>((AE82)/CODES!$B$50)*100</f>
      </c>
      <c r="AF105" s="7">
        <f>((AF82)/CODES!$B$50)*100</f>
      </c>
      <c r="AG105" s="7">
        <f>((AG82)/CODES!$B$50)*100</f>
      </c>
      <c r="AH105" s="7">
        <f>((AH82)/CODES!$B$50)*100</f>
      </c>
      <c r="AI105" s="7">
        <f>((AI82)/CODES!$B$50)*100</f>
      </c>
      <c r="AJ105" s="7">
        <f>((AJ82)/CODES!$B$50)*100</f>
      </c>
      <c r="AK105" s="7">
        <f>((AK82)/CODES!$B$50)*100</f>
      </c>
      <c r="AL105" s="7">
        <f>((AL82)/CODES!$B$50)*100</f>
      </c>
      <c r="AM105" s="7">
        <f>((AM82)/CODES!$B$50)*100</f>
      </c>
      <c r="AN105" s="7">
        <f>((AN82)/CODES!$B$50)*100</f>
      </c>
      <c r="AO105" s="7">
        <f>((AO82)/CODES!$B$50)*100</f>
      </c>
      <c r="AP105" s="7">
        <f>((AP82)/CODES!$B$50)*100</f>
      </c>
      <c r="AQ105" s="7">
        <f>((AQ82)/CODES!$B$50)*100</f>
      </c>
      <c r="AR105" s="7">
        <f>((AR82)/CODES!$B$50)*100</f>
      </c>
      <c r="AS105" s="7">
        <f>((AS82)/CODES!$B$50)*100</f>
      </c>
      <c r="AT105" s="7">
        <f>((AT82)/CODES!$B$50)*100</f>
      </c>
      <c r="AU105" s="7">
        <f>((AU82)/CODES!$B$50)*100</f>
      </c>
      <c r="AV105" s="7" t="e">
        <f>((AV82)/CODES!$B$50)*100</f>
      </c>
      <c r="AW105" s="7" t="e">
        <f>((AW82)/CODES!$B$50)*100</f>
      </c>
      <c r="AX105" s="7">
        <f>((AX82)/CODES!$B$50)*100</f>
      </c>
      <c r="AY105" s="7">
        <f>((AY82)/CODES!$B$50)*100</f>
      </c>
      <c r="AZ105" s="7">
        <f>((AZ82)/CODES!$B$50)*100</f>
      </c>
      <c r="BA105" s="7">
        <f>((BA82)/CODES!$B$50)*100</f>
      </c>
      <c r="BB105" s="7">
        <f>((BB82)/CODES!$B$50)*100</f>
      </c>
      <c r="BC105" s="7">
        <f>((BC82)/CODES!$B$50)*100</f>
      </c>
      <c r="BD105" s="7">
        <f>((BD82)/CODES!$B$50)*100</f>
      </c>
      <c r="BE105" s="7">
        <f>((BE82)/CODES!$B$50)*100</f>
      </c>
      <c r="BF105" s="7">
        <f>((BF82)/CODES!$B$50)*100</f>
      </c>
      <c r="BG105" s="7">
        <f>((BG82)/CODES!$B$50)*100</f>
      </c>
      <c r="BH105" s="7" t="e">
        <f>((BH82)/CODES!$B$50)*100</f>
      </c>
      <c r="BI105" s="7" t="e">
        <f>((BI82)/CODES!$B$50)*100</f>
      </c>
      <c r="BJ105" s="7">
        <f>((BJ82)/CODES!$B$50)*100</f>
      </c>
      <c r="BK105" s="7">
        <f>((BK82)/CODES!$B$50)*100</f>
      </c>
      <c r="BL105" s="7">
        <f>((BL82)/CODES!$B$50)*100</f>
      </c>
      <c r="BM105" s="7">
        <f>((BM82)/CODES!$B$50)*100</f>
      </c>
      <c r="BN105" s="7" t="e">
        <f>((BN82)/CODES!$B$50)*100</f>
      </c>
      <c r="BO105" s="7">
        <f>((BO82)/CODES!$B$50)*100</f>
      </c>
      <c r="BP105" s="7">
        <f>((BP82)/CODES!$B$50)*100</f>
      </c>
      <c r="BQ105" s="7">
        <f>((BQ82)/CODES!$B$50)*100</f>
      </c>
      <c r="BR105" s="7">
        <f>((BR82)/CODES!$B$50)*100</f>
      </c>
      <c r="BS105" s="7">
        <f>((BS82)/CODES!$B$50)*100</f>
      </c>
      <c r="BT105" s="7">
        <f>((BT82)/CODES!$B$50)*100</f>
      </c>
      <c r="BU105" s="7">
        <f>((BU82)/CODES!$B$50)*100</f>
      </c>
      <c r="BV105" s="7">
        <f>((BV82)/CODES!$B$50)*100</f>
      </c>
      <c r="BW105" s="7" t="e">
        <f>((BW82)/CODES!$B$50)*100</f>
      </c>
      <c r="BX105" s="7" t="e">
        <f>((BX82)/CODES!$B$50)*100</f>
      </c>
      <c r="BY105" s="7">
        <f>((BY82)/CODES!$B$50)*100</f>
      </c>
      <c r="BZ105" s="7">
        <f>((BZ82)/CODES!$B$50)*100</f>
      </c>
      <c r="CA105" s="7">
        <f>((CA82)/CODES!$B$50)*100</f>
      </c>
      <c r="CB105" s="7">
        <f>((CB82)/CODES!$B$50)*100</f>
      </c>
      <c r="CC105" s="7">
        <f>((CC82)/CODES!$B$50)*100</f>
      </c>
      <c r="CD105" s="7">
        <f>((CD82)/CODES!$B$50)*100</f>
      </c>
      <c r="CE105" s="7">
        <f>((CE82)/CODES!$B$50)*100</f>
      </c>
      <c r="CF105" s="7">
        <f>((CF82)/CODES!$B$50)*100</f>
      </c>
      <c r="CG105" s="7">
        <f>((CG82)/CODES!$B$50)*100</f>
      </c>
      <c r="CH105" s="7">
        <f>((CH82)/CODES!$B$50)*100</f>
      </c>
      <c r="CI105" s="7">
        <f>((CI82)/CODES!$B$50)*100</f>
      </c>
      <c r="CJ105" s="7">
        <f>((CJ82)/CODES!$B$50)*100</f>
      </c>
      <c r="CK105" s="7">
        <f>((CK82)/CODES!$B$50)*100</f>
      </c>
      <c r="CL105" s="7">
        <f>((CL82)/CODES!$B$50)*100</f>
      </c>
      <c r="CM105" s="7">
        <f>((CM82)/CODES!$B$50)*100</f>
      </c>
      <c r="CN105" s="7">
        <f>((CN82)/CODES!$B$50)*100</f>
      </c>
      <c r="CO105" s="7">
        <f>((CO82)/CODES!$B$50)*100</f>
      </c>
      <c r="CP105" s="7">
        <f>((CP82)/CODES!$B$50)*100</f>
      </c>
      <c r="CQ105" s="7">
        <f>((CQ82)/CODES!$B$50)*100</f>
      </c>
      <c r="CR105" s="7">
        <f>((CR82)/CODES!$B$50)*100</f>
      </c>
      <c r="CS105" s="7">
        <f>((CS82)/CODES!$B$50)*100</f>
      </c>
      <c r="CT105" s="7">
        <f>((CT82)/CODES!$B$50)*100</f>
      </c>
      <c r="CU105" s="7">
        <f>((CU82)/CODES!$B$50)*100</f>
      </c>
      <c r="CV105" s="7">
        <f>((CV82)/CODES!$B$50)*100</f>
      </c>
      <c r="CW105" s="7">
        <f>((CW82)/CODES!$B$50)*100</f>
      </c>
      <c r="CX105" s="7">
        <f>((CX82)/CODES!$B$50)*100</f>
      </c>
      <c r="CY105" s="7">
        <f>((CY82)/CODES!$B$50)*100</f>
      </c>
      <c r="CZ105" s="7">
        <f>((CZ82)/CODES!$B$50)*100</f>
      </c>
      <c r="DA105" s="7">
        <f>((DA82)/CODES!$B$50)*100</f>
      </c>
      <c r="DB105" s="7" t="e">
        <f>((DB82)/CODES!$B$50)*100</f>
      </c>
      <c r="DC105" s="7" t="e">
        <f>((DC82)/CODES!$B$50)*100</f>
      </c>
      <c r="DD105" s="7">
        <f>((DD82)/CODES!$B$50)*100</f>
      </c>
      <c r="DE105" s="7">
        <f>((DE82)/CODES!$B$50)*100</f>
      </c>
      <c r="DF105" s="7">
        <f>((DF82)/CODES!$B$50)*100</f>
      </c>
      <c r="DG105" s="7">
        <f>((DG82)/CODES!$B$50)*100</f>
      </c>
      <c r="DH105" s="7">
        <f>((DH82)/CODES!$B$50)*100</f>
      </c>
      <c r="DI105" s="7">
        <f>((DI82)/CODES!$B$50)*100</f>
      </c>
    </row>
    <row r="106" spans="1:113" x14ac:dyDescent="0.25">
      <c r="A106" s="16" t="str">
        <f t="shared" si="26"/>
      </c>
      <c r="B106" s="16" t="str">
        <f t="shared" si="26"/>
      </c>
      <c r="C106" s="7" t="str">
        <f>IF(C99="FAIL",IF(C74/C76*100&lt;CODES!$C$36,"&lt;10% Matrix","&gt;10% Matrix"),"N.A.")</f>
      </c>
      <c r="D106" s="7" t="str">
        <f>IF(D99="FAIL",IF(D74/D76*100&lt;CODES!$C$36,"&lt;10% Matrix","&gt;10% Matrix"),"N.A.")</f>
      </c>
      <c r="E106" s="7" t="str">
        <f>IF(E99="FAIL",IF(E74/E76*100&lt;CODES!$C$36,"&lt;10% Matrix","&gt;10% Matrix"),"N.A.")</f>
      </c>
      <c r="F106" s="7" t="str">
        <f>IF(F99="FAIL",IF(F74/F76*100&lt;CODES!$C$36,"&lt;10% Matrix","&gt;10% Matrix"),"N.A.")</f>
      </c>
      <c r="G106" s="7" t="str">
        <f>IF(G99="FAIL",IF(G74/G76*100&lt;CODES!$C$36,"&lt;10% Matrix","&gt;10% Matrix"),"N.A.")</f>
      </c>
      <c r="H106" s="7" t="str">
        <f>IF(H99="FAIL",IF(H74/H76*100&lt;CODES!$C$36,"&lt;10% Matrix","&gt;10% Matrix"),"N.A.")</f>
      </c>
      <c r="I106" s="7" t="str">
        <f>IF(I99="FAIL",IF(I74/I76*100&lt;CODES!$C$36,"&lt;10% Matrix","&gt;10% Matrix"),"N.A.")</f>
      </c>
      <c r="J106" s="7" t="str">
        <f>IF(J99="FAIL",IF(J74/J76*100&lt;CODES!$C$36,"&lt;10% Matrix","&gt;10% Matrix"),"N.A.")</f>
      </c>
      <c r="K106" s="7" t="str">
        <f>IF(K99="FAIL",IF(K74/K76*100&lt;CODES!$C$36,"&lt;10% Matrix","&gt;10% Matrix"),"N.A.")</f>
      </c>
      <c r="L106" s="7" t="str">
        <f>IF(L99="FAIL",IF(L74/L76*100&lt;CODES!$C$36,"&lt;10% Matrix","&gt;10% Matrix"),"N.A.")</f>
      </c>
      <c r="M106" s="7" t="str">
        <f>IF(M99="FAIL",IF(M74/M76*100&lt;CODES!$C$36,"&lt;10% Matrix","&gt;10% Matrix"),"N.A.")</f>
      </c>
      <c r="N106" s="7" t="e">
        <f>IF(N99="FAIL",IF(N74/N76*100&lt;CODES!$C$36,"&lt;10% Matrix","&gt;10% Matrix"),"N.A.")</f>
      </c>
      <c r="O106" s="7" t="e">
        <f>IF(O99="FAIL",IF(O74/O76*100&lt;CODES!$C$36,"&lt;10% Matrix","&gt;10% Matrix"),"N.A.")</f>
      </c>
      <c r="P106" s="7" t="str">
        <f>IF(P99="FAIL",IF(P74/P76*100&lt;CODES!$C$36,"&lt;10% Matrix","&gt;10% Matrix"),"N.A.")</f>
      </c>
      <c r="Q106" s="7" t="str">
        <f>IF(Q99="FAIL",IF(Q74/Q76*100&lt;CODES!$C$36,"&lt;10% Matrix","&gt;10% Matrix"),"N.A.")</f>
      </c>
      <c r="R106" s="7" t="str">
        <f>IF(R99="FAIL",IF(R74/R76*100&lt;CODES!$C$36,"&lt;10% Matrix","&gt;10% Matrix"),"N.A.")</f>
      </c>
      <c r="S106" s="7" t="str">
        <f>IF(S99="FAIL",IF(S74/S76*100&lt;CODES!$C$36,"&lt;10% Matrix","&gt;10% Matrix"),"N.A.")</f>
      </c>
      <c r="T106" s="7" t="str">
        <f>IF(T99="FAIL",IF(T74/T76*100&lt;CODES!$C$36,"&lt;10% Matrix","&gt;10% Matrix"),"N.A.")</f>
      </c>
      <c r="U106" s="7" t="str">
        <f>IF(U99="FAIL",IF(U74/U76*100&lt;CODES!$C$36,"&lt;10% Matrix","&gt;10% Matrix"),"N.A.")</f>
      </c>
      <c r="V106" s="7" t="str">
        <f>IF(V99="FAIL",IF(V74/V76*100&lt;CODES!$C$36,"&lt;10% Matrix","&gt;10% Matrix"),"N.A.")</f>
      </c>
      <c r="W106" s="7" t="str">
        <f>IF(W99="FAIL",IF(W74/W76*100&lt;CODES!$C$36,"&lt;10% Matrix","&gt;10% Matrix"),"N.A.")</f>
      </c>
      <c r="X106" s="7" t="str">
        <f>IF(X99="FAIL",IF(X74/X76*100&lt;CODES!$C$36,"&lt;10% Matrix","&gt;10% Matrix"),"N.A.")</f>
      </c>
      <c r="Y106" s="7" t="str">
        <f>IF(Y99="FAIL",IF(Y74/Y76*100&lt;CODES!$C$36,"&lt;10% Matrix","&gt;10% Matrix"),"N.A.")</f>
      </c>
      <c r="Z106" s="7" t="str">
        <f>IF(Z99="FAIL",IF(Z74/Z76*100&lt;CODES!$C$36,"&lt;10% Matrix","&gt;10% Matrix"),"N.A.")</f>
      </c>
      <c r="AA106" s="7" t="str">
        <f>IF(AA99="FAIL",IF(AA74/AA76*100&lt;CODES!$C$36,"&lt;10% Matrix","&gt;10% Matrix"),"N.A.")</f>
      </c>
      <c r="AB106" s="7" t="str">
        <f>IF(AB99="FAIL",IF(AB74/AB76*100&lt;CODES!$C$36,"&lt;10% Matrix","&gt;10% Matrix"),"N.A.")</f>
      </c>
      <c r="AC106" s="7" t="str">
        <f>IF(AC99="FAIL",IF(AC74/AC76*100&lt;CODES!$C$36,"&lt;10% Matrix","&gt;10% Matrix"),"N.A.")</f>
      </c>
      <c r="AD106" s="7" t="str">
        <f>IF(AD99="FAIL",IF(AD74/AD76*100&lt;CODES!$C$36,"&lt;10% Matrix","&gt;10% Matrix"),"N.A.")</f>
      </c>
      <c r="AE106" s="7" t="str">
        <f>IF(AE99="FAIL",IF(AE74/AE76*100&lt;CODES!$C$36,"&lt;10% Matrix","&gt;10% Matrix"),"N.A.")</f>
      </c>
      <c r="AF106" s="7" t="str">
        <f>IF(AF99="FAIL",IF(AF74/AF76*100&lt;CODES!$C$36,"&lt;10% Matrix","&gt;10% Matrix"),"N.A.")</f>
      </c>
      <c r="AG106" s="7" t="str">
        <f>IF(AG99="FAIL",IF(AG74/AG76*100&lt;CODES!$C$36,"&lt;10% Matrix","&gt;10% Matrix"),"N.A.")</f>
      </c>
      <c r="AH106" s="7" t="str">
        <f>IF(AH99="FAIL",IF(AH74/AH76*100&lt;CODES!$C$36,"&lt;10% Matrix","&gt;10% Matrix"),"N.A.")</f>
      </c>
      <c r="AI106" s="7" t="str">
        <f>IF(AI99="FAIL",IF(AI74/AI76*100&lt;CODES!$C$36,"&lt;10% Matrix","&gt;10% Matrix"),"N.A.")</f>
      </c>
      <c r="AJ106" s="7" t="str">
        <f>IF(AJ99="FAIL",IF(AJ74/AJ76*100&lt;CODES!$C$36,"&lt;10% Matrix","&gt;10% Matrix"),"N.A.")</f>
      </c>
      <c r="AK106" s="7" t="str">
        <f>IF(AK99="FAIL",IF(AK74/AK76*100&lt;CODES!$C$36,"&lt;10% Matrix","&gt;10% Matrix"),"N.A.")</f>
      </c>
      <c r="AL106" s="7" t="str">
        <f>IF(AL99="FAIL",IF(AL74/AL76*100&lt;CODES!$C$36,"&lt;10% Matrix","&gt;10% Matrix"),"N.A.")</f>
      </c>
      <c r="AM106" s="7" t="str">
        <f>IF(AM99="FAIL",IF(AM74/AM76*100&lt;CODES!$C$36,"&lt;10% Matrix","&gt;10% Matrix"),"N.A.")</f>
      </c>
      <c r="AN106" s="7" t="str">
        <f>IF(AN99="FAIL",IF(AN74/AN76*100&lt;CODES!$C$36,"&lt;10% Matrix","&gt;10% Matrix"),"N.A.")</f>
      </c>
      <c r="AO106" s="7" t="str">
        <f>IF(AO99="FAIL",IF(AO74/AO76*100&lt;CODES!$C$36,"&lt;10% Matrix","&gt;10% Matrix"),"N.A.")</f>
      </c>
      <c r="AP106" s="7" t="str">
        <f>IF(AP99="FAIL",IF(AP74/AP76*100&lt;CODES!$C$36,"&lt;10% Matrix","&gt;10% Matrix"),"N.A.")</f>
      </c>
      <c r="AQ106" s="7" t="str">
        <f>IF(AQ99="FAIL",IF(AQ74/AQ76*100&lt;CODES!$C$36,"&lt;10% Matrix","&gt;10% Matrix"),"N.A.")</f>
      </c>
      <c r="AR106" s="7" t="str">
        <f>IF(AR99="FAIL",IF(AR74/AR76*100&lt;CODES!$C$36,"&lt;10% Matrix","&gt;10% Matrix"),"N.A.")</f>
      </c>
      <c r="AS106" s="7" t="str">
        <f>IF(AS99="FAIL",IF(AS74/AS76*100&lt;CODES!$C$36,"&lt;10% Matrix","&gt;10% Matrix"),"N.A.")</f>
      </c>
      <c r="AT106" s="7" t="str">
        <f>IF(AT99="FAIL",IF(AT74/AT76*100&lt;CODES!$C$36,"&lt;10% Matrix","&gt;10% Matrix"),"N.A.")</f>
      </c>
      <c r="AU106" s="7" t="str">
        <f>IF(AU99="FAIL",IF(AU74/AU76*100&lt;CODES!$C$36,"&lt;10% Matrix","&gt;10% Matrix"),"N.A.")</f>
      </c>
      <c r="AV106" s="7" t="e">
        <f>IF(AV99="FAIL",IF(AV74/AV76*100&lt;CODES!$C$36,"&lt;10% Matrix","&gt;10% Matrix"),"N.A.")</f>
      </c>
      <c r="AW106" s="7" t="e">
        <f>IF(AW99="FAIL",IF(AW74/AW76*100&lt;CODES!$C$36,"&lt;10% Matrix","&gt;10% Matrix"),"N.A.")</f>
      </c>
      <c r="AX106" s="7" t="str">
        <f>IF(AX99="FAIL",IF(AX74/AX76*100&lt;CODES!$C$36,"&lt;10% Matrix","&gt;10% Matrix"),"N.A.")</f>
      </c>
      <c r="AY106" s="7" t="str">
        <f>IF(AY99="FAIL",IF(AY74/AY76*100&lt;CODES!$C$36,"&lt;10% Matrix","&gt;10% Matrix"),"N.A.")</f>
      </c>
      <c r="AZ106" s="7" t="str">
        <f>IF(AZ99="FAIL",IF(AZ74/AZ76*100&lt;CODES!$C$36,"&lt;10% Matrix","&gt;10% Matrix"),"N.A.")</f>
      </c>
      <c r="BA106" s="7" t="str">
        <f>IF(BA99="FAIL",IF(BA74/BA76*100&lt;CODES!$C$36,"&lt;10% Matrix","&gt;10% Matrix"),"N.A.")</f>
      </c>
      <c r="BB106" s="7" t="str">
        <f>IF(BB99="FAIL",IF(BB74/BB76*100&lt;CODES!$C$36,"&lt;10% Matrix","&gt;10% Matrix"),"N.A.")</f>
      </c>
      <c r="BC106" s="7" t="str">
        <f>IF(BC99="FAIL",IF(BC74/BC76*100&lt;CODES!$C$36,"&lt;10% Matrix","&gt;10% Matrix"),"N.A.")</f>
      </c>
      <c r="BD106" s="7" t="str">
        <f>IF(BD99="FAIL",IF(BD74/BD76*100&lt;CODES!$C$36,"&lt;10% Matrix","&gt;10% Matrix"),"N.A.")</f>
      </c>
      <c r="BE106" s="7" t="str">
        <f>IF(BE99="FAIL",IF(BE74/BE76*100&lt;CODES!$C$36,"&lt;10% Matrix","&gt;10% Matrix"),"N.A.")</f>
      </c>
      <c r="BF106" s="7" t="str">
        <f>IF(BF99="FAIL",IF(BF74/BF76*100&lt;CODES!$C$36,"&lt;10% Matrix","&gt;10% Matrix"),"N.A.")</f>
      </c>
      <c r="BG106" s="7" t="str">
        <f>IF(BG99="FAIL",IF(BG74/BG76*100&lt;CODES!$C$36,"&lt;10% Matrix","&gt;10% Matrix"),"N.A.")</f>
      </c>
      <c r="BH106" s="7" t="str">
        <f>IF(BH99="FAIL",IF(BH74/BH76*100&lt;CODES!$C$36,"&lt;10% Matrix","&gt;10% Matrix"),"N.A.")</f>
      </c>
      <c r="BI106" s="7" t="str">
        <f>IF(BI99="FAIL",IF(BI74/BI76*100&lt;CODES!$C$36,"&lt;10% Matrix","&gt;10% Matrix"),"N.A.")</f>
      </c>
      <c r="BJ106" s="7" t="str">
        <f>IF(BJ99="FAIL",IF(BJ74/BJ76*100&lt;CODES!$C$36,"&lt;10% Matrix","&gt;10% Matrix"),"N.A.")</f>
      </c>
      <c r="BK106" s="7" t="str">
        <f>IF(BK99="FAIL",IF(BK74/BK76*100&lt;CODES!$C$36,"&lt;10% Matrix","&gt;10% Matrix"),"N.A.")</f>
      </c>
      <c r="BL106" s="7" t="str">
        <f>IF(BL99="FAIL",IF(BL74/BL76*100&lt;CODES!$C$36,"&lt;10% Matrix","&gt;10% Matrix"),"N.A.")</f>
      </c>
      <c r="BM106" s="7" t="str">
        <f>IF(BM99="FAIL",IF(BM74/BM76*100&lt;CODES!$C$36,"&lt;10% Matrix","&gt;10% Matrix"),"N.A.")</f>
      </c>
      <c r="BN106" s="7" t="e">
        <f>IF(BN99="FAIL",IF(BN74/BN76*100&lt;CODES!$C$36,"&lt;10% Matrix","&gt;10% Matrix"),"N.A.")</f>
      </c>
      <c r="BO106" s="7" t="str">
        <f>IF(BO99="FAIL",IF(BO74/BO76*100&lt;CODES!$C$36,"&lt;10% Matrix","&gt;10% Matrix"),"N.A.")</f>
      </c>
      <c r="BP106" s="7" t="str">
        <f>IF(BP99="FAIL",IF(BP74/BP76*100&lt;CODES!$C$36,"&lt;10% Matrix","&gt;10% Matrix"),"N.A.")</f>
      </c>
      <c r="BQ106" s="7" t="str">
        <f>IF(BQ99="FAIL",IF(BQ74/BQ76*100&lt;CODES!$C$36,"&lt;10% Matrix","&gt;10% Matrix"),"N.A.")</f>
      </c>
      <c r="BR106" s="7" t="str">
        <f>IF(BR99="FAIL",IF(BR74/BR76*100&lt;CODES!$C$36,"&lt;10% Matrix","&gt;10% Matrix"),"N.A.")</f>
      </c>
      <c r="BS106" s="7" t="str">
        <f>IF(BS99="FAIL",IF(BS74/BS76*100&lt;CODES!$C$36,"&lt;10% Matrix","&gt;10% Matrix"),"N.A.")</f>
      </c>
      <c r="BT106" s="7" t="str">
        <f>IF(BT99="FAIL",IF(BT74/BT76*100&lt;CODES!$C$36,"&lt;10% Matrix","&gt;10% Matrix"),"N.A.")</f>
      </c>
      <c r="BU106" s="7" t="str">
        <f>IF(BU99="FAIL",IF(BU74/BU76*100&lt;CODES!$C$36,"&lt;10% Matrix","&gt;10% Matrix"),"N.A.")</f>
      </c>
      <c r="BV106" s="7" t="str">
        <f>IF(BV99="FAIL",IF(BV74/BV76*100&lt;CODES!$C$36,"&lt;10% Matrix","&gt;10% Matrix"),"N.A.")</f>
      </c>
      <c r="BW106" s="7" t="e">
        <f>IF(BW99="FAIL",IF(BW74/BW76*100&lt;CODES!$C$36,"&lt;10% Matrix","&gt;10% Matrix"),"N.A.")</f>
      </c>
      <c r="BX106" s="7" t="e">
        <f>IF(BX99="FAIL",IF(BX74/BX76*100&lt;CODES!$C$36,"&lt;10% Matrix","&gt;10% Matrix"),"N.A.")</f>
      </c>
      <c r="BY106" s="7" t="str">
        <f>IF(BY99="FAIL",IF(BY74/BY76*100&lt;CODES!$C$36,"&lt;10% Matrix","&gt;10% Matrix"),"N.A.")</f>
      </c>
      <c r="BZ106" s="7" t="str">
        <f>IF(BZ99="FAIL",IF(BZ74/BZ76*100&lt;CODES!$C$36,"&lt;10% Matrix","&gt;10% Matrix"),"N.A.")</f>
      </c>
      <c r="CA106" s="7" t="e">
        <f>IF(CA99="FAIL",IF(CA74/CA76*100&lt;CODES!$C$36,"&lt;10% Matrix","&gt;10% Matrix"),"N.A.")</f>
      </c>
      <c r="CB106" s="7" t="e">
        <f>IF(CB99="FAIL",IF(CB74/CB76*100&lt;CODES!$C$36,"&lt;10% Matrix","&gt;10% Matrix"),"N.A.")</f>
      </c>
      <c r="CC106" s="7" t="str">
        <f>IF(CC99="FAIL",IF(CC74/CC76*100&lt;CODES!$C$36,"&lt;10% Matrix","&gt;10% Matrix"),"N.A.")</f>
      </c>
      <c r="CD106" s="7" t="str">
        <f>IF(CD99="FAIL",IF(CD74/CD76*100&lt;CODES!$C$36,"&lt;10% Matrix","&gt;10% Matrix"),"N.A.")</f>
      </c>
      <c r="CE106" s="7" t="str">
        <f>IF(CE99="FAIL",IF(CE74/CE76*100&lt;CODES!$C$36,"&lt;10% Matrix","&gt;10% Matrix"),"N.A.")</f>
      </c>
      <c r="CF106" s="7" t="str">
        <f>IF(CF99="FAIL",IF(CF74/CF76*100&lt;CODES!$C$36,"&lt;10% Matrix","&gt;10% Matrix"),"N.A.")</f>
      </c>
      <c r="CG106" s="7" t="str">
        <f>IF(CG99="FAIL",IF(CG74/CG76*100&lt;CODES!$C$36,"&lt;10% Matrix","&gt;10% Matrix"),"N.A.")</f>
      </c>
      <c r="CH106" s="7" t="str">
        <f>IF(CH99="FAIL",IF(CH74/CH76*100&lt;CODES!$C$36,"&lt;10% Matrix","&gt;10% Matrix"),"N.A.")</f>
      </c>
      <c r="CI106" s="7" t="str">
        <f>IF(CI99="FAIL",IF(CI74/CI76*100&lt;CODES!$C$36,"&lt;10% Matrix","&gt;10% Matrix"),"N.A.")</f>
      </c>
      <c r="CJ106" s="7" t="str">
        <f>IF(CJ99="FAIL",IF(CJ74/CJ76*100&lt;CODES!$C$36,"&lt;10% Matrix","&gt;10% Matrix"),"N.A.")</f>
      </c>
      <c r="CK106" s="7" t="str">
        <f>IF(CK99="FAIL",IF(CK74/CK76*100&lt;CODES!$C$36,"&lt;10% Matrix","&gt;10% Matrix"),"N.A.")</f>
      </c>
      <c r="CL106" s="7" t="str">
        <f>IF(CL99="FAIL",IF(CL74/CL76*100&lt;CODES!$C$36,"&lt;10% Matrix","&gt;10% Matrix"),"N.A.")</f>
      </c>
      <c r="CM106" s="7" t="str">
        <f>IF(CM99="FAIL",IF(CM74/CM76*100&lt;CODES!$C$36,"&lt;10% Matrix","&gt;10% Matrix"),"N.A.")</f>
      </c>
      <c r="CN106" s="7" t="str">
        <f>IF(CN99="FAIL",IF(CN74/CN76*100&lt;CODES!$C$36,"&lt;10% Matrix","&gt;10% Matrix"),"N.A.")</f>
      </c>
      <c r="CO106" s="7" t="str">
        <f>IF(CO99="FAIL",IF(CO74/CO76*100&lt;CODES!$C$36,"&lt;10% Matrix","&gt;10% Matrix"),"N.A.")</f>
      </c>
      <c r="CP106" s="7" t="str">
        <f>IF(CP99="FAIL",IF(CP74/CP76*100&lt;CODES!$C$36,"&lt;10% Matrix","&gt;10% Matrix"),"N.A.")</f>
      </c>
      <c r="CQ106" s="7" t="str">
        <f>IF(CQ99="FAIL",IF(CQ74/CQ76*100&lt;CODES!$C$36,"&lt;10% Matrix","&gt;10% Matrix"),"N.A.")</f>
      </c>
      <c r="CR106" s="7" t="str">
        <f>IF(CR99="FAIL",IF(CR74/CR76*100&lt;CODES!$C$36,"&lt;10% Matrix","&gt;10% Matrix"),"N.A.")</f>
      </c>
      <c r="CS106" s="7" t="str">
        <f>IF(CS99="FAIL",IF(CS74/CS76*100&lt;CODES!$C$36,"&lt;10% Matrix","&gt;10% Matrix"),"N.A.")</f>
      </c>
      <c r="CT106" s="7" t="str">
        <f>IF(CT99="FAIL",IF(CT74/CT76*100&lt;CODES!$C$36,"&lt;10% Matrix","&gt;10% Matrix"),"N.A.")</f>
      </c>
      <c r="CU106" s="7" t="str">
        <f>IF(CU99="FAIL",IF(CU74/CU76*100&lt;CODES!$C$36,"&lt;10% Matrix","&gt;10% Matrix"),"N.A.")</f>
      </c>
      <c r="CV106" s="7" t="str">
        <f>IF(CV99="FAIL",IF(CV74/CV76*100&lt;CODES!$C$36,"&lt;10% Matrix","&gt;10% Matrix"),"N.A.")</f>
      </c>
      <c r="CW106" s="7" t="str">
        <f>IF(CW99="FAIL",IF(CW74/CW76*100&lt;CODES!$C$36,"&lt;10% Matrix","&gt;10% Matrix"),"N.A.")</f>
      </c>
      <c r="CX106" s="7" t="str">
        <f>IF(CX99="FAIL",IF(CX74/CX76*100&lt;CODES!$C$36,"&lt;10% Matrix","&gt;10% Matrix"),"N.A.")</f>
      </c>
      <c r="CY106" s="7" t="str">
        <f>IF(CY99="FAIL",IF(CY74/CY76*100&lt;CODES!$C$36,"&lt;10% Matrix","&gt;10% Matrix"),"N.A.")</f>
      </c>
      <c r="CZ106" s="7" t="str">
        <f>IF(CZ99="FAIL",IF(CZ74/CZ76*100&lt;CODES!$C$36,"&lt;10% Matrix","&gt;10% Matrix"),"N.A.")</f>
      </c>
      <c r="DA106" s="7" t="str">
        <f>IF(DA99="FAIL",IF(DA74/DA76*100&lt;CODES!$C$36,"&lt;10% Matrix","&gt;10% Matrix"),"N.A.")</f>
      </c>
      <c r="DB106" s="7" t="e">
        <f>IF(DB99="FAIL",IF(DB74/DB76*100&lt;CODES!$C$36,"&lt;10% Matrix","&gt;10% Matrix"),"N.A.")</f>
      </c>
      <c r="DC106" s="7" t="e">
        <f>IF(DC99="FAIL",IF(DC74/DC76*100&lt;CODES!$C$36,"&lt;10% Matrix","&gt;10% Matrix"),"N.A.")</f>
      </c>
      <c r="DD106" s="7" t="str">
        <f>IF(DD99="FAIL",IF(DD74/DD76*100&lt;CODES!$C$36,"&lt;10% Matrix","&gt;10% Matrix"),"N.A.")</f>
      </c>
      <c r="DE106" s="7" t="str">
        <f>IF(DE99="FAIL",IF(DE74/DE76*100&lt;CODES!$C$36,"&lt;10% Matrix","&gt;10% Matrix"),"N.A.")</f>
      </c>
      <c r="DF106" s="7" t="str">
        <f>IF(DF99="FAIL",IF(DF74/DF76*100&lt;CODES!$C$36,"&lt;10% Matrix","&gt;10% Matrix"),"N.A.")</f>
      </c>
      <c r="DG106" s="7" t="str">
        <f>IF(DG99="FAIL",IF(DG74/DG76*100&lt;CODES!$C$36,"&lt;10% Matrix","&gt;10% Matrix"),"N.A.")</f>
      </c>
      <c r="DH106" s="7" t="str">
        <f>IF(DH99="FAIL",IF(DH74/DH76*100&lt;CODES!$C$36,"&lt;10% Matrix","&gt;10% Matrix"),"N.A.")</f>
      </c>
      <c r="DI106" s="7" t="str">
        <f>IF(DI99="FAIL",IF(DI74/DI76*100&lt;CODES!$C$36,"&lt;10% Matrix","&gt;10% Matrix"),"N.A.")</f>
      </c>
    </row>
    <row r="107" spans="1:113" x14ac:dyDescent="0.25">
      <c r="A107" s="16" t="str">
        <f t="shared" si="26"/>
      </c>
      <c r="B107" s="16" t="str">
        <f t="shared" si="26"/>
      </c>
      <c r="C107" s="7" t="str">
        <f>IF(C99="FAIL",IF(C74&lt;CODES!$D$36*C39,"&lt;2.2X RL","&gt;2.2X RL"),"N.A.")</f>
      </c>
      <c r="D107" s="7" t="str">
        <f>IF(D99="FAIL",IF(D74&lt;CODES!$D$36*D39,"&lt;2.2X RL","&gt;2.2X RL"),"N.A.")</f>
      </c>
      <c r="E107" s="7" t="str">
        <f>IF(E99="FAIL",IF(E74&lt;CODES!$D$36*E39,"&lt;2.2X RL","&gt;2.2X RL"),"N.A.")</f>
      </c>
      <c r="F107" s="7" t="str">
        <f>IF(F99="FAIL",IF(F74&lt;CODES!$D$36*F39,"&lt;2.2X RL","&gt;2.2X RL"),"N.A.")</f>
      </c>
      <c r="G107" s="7" t="str">
        <f>IF(G99="FAIL",IF(G74&lt;CODES!$D$36*G39,"&lt;2.2X RL","&gt;2.2X RL"),"N.A.")</f>
      </c>
      <c r="H107" s="7" t="str">
        <f>IF(H99="FAIL",IF(H74&lt;CODES!$D$36*H39,"&lt;2.2X RL","&gt;2.2X RL"),"N.A.")</f>
      </c>
      <c r="I107" s="7" t="str">
        <f>IF(I99="FAIL",IF(I74&lt;CODES!$D$36*I39,"&lt;2.2X RL","&gt;2.2X RL"),"N.A.")</f>
      </c>
      <c r="J107" s="7" t="str">
        <f>IF(J99="FAIL",IF(J74&lt;CODES!$D$36*J39,"&lt;2.2X RL","&gt;2.2X RL"),"N.A.")</f>
      </c>
      <c r="K107" s="7" t="str">
        <f>IF(K99="FAIL",IF(K74&lt;CODES!$D$36*K39,"&lt;2.2X RL","&gt;2.2X RL"),"N.A.")</f>
      </c>
      <c r="L107" s="7" t="str">
        <f>IF(L99="FAIL",IF(L74&lt;CODES!$D$36*L39,"&lt;2.2X RL","&gt;2.2X RL"),"N.A.")</f>
      </c>
      <c r="M107" s="7" t="str">
        <f>IF(M99="FAIL",IF(M74&lt;CODES!$D$36*M39,"&lt;2.2X RL","&gt;2.2X RL"),"N.A.")</f>
      </c>
      <c r="N107" s="7" t="e">
        <f>IF(N99="FAIL",IF(N74&lt;CODES!$D$36*N39,"&lt;2.2X RL","&gt;2.2X RL"),"N.A.")</f>
      </c>
      <c r="O107" s="7" t="e">
        <f>IF(O99="FAIL",IF(O74&lt;CODES!$D$36*O39,"&lt;2.2X RL","&gt;2.2X RL"),"N.A.")</f>
      </c>
      <c r="P107" s="7" t="str">
        <f>IF(P99="FAIL",IF(P74&lt;CODES!$D$36*P39,"&lt;2.2X RL","&gt;2.2X RL"),"N.A.")</f>
      </c>
      <c r="Q107" s="7" t="str">
        <f>IF(Q99="FAIL",IF(Q74&lt;CODES!$D$36*Q39,"&lt;2.2X RL","&gt;2.2X RL"),"N.A.")</f>
      </c>
      <c r="R107" s="7" t="str">
        <f>IF(R99="FAIL",IF(R74&lt;CODES!$D$36*R39,"&lt;2.2X RL","&gt;2.2X RL"),"N.A.")</f>
      </c>
      <c r="S107" s="7" t="str">
        <f>IF(S99="FAIL",IF(S74&lt;CODES!$D$36*S39,"&lt;2.2X RL","&gt;2.2X RL"),"N.A.")</f>
      </c>
      <c r="T107" s="7" t="str">
        <f>IF(T99="FAIL",IF(T74&lt;CODES!$D$36*T39,"&lt;2.2X RL","&gt;2.2X RL"),"N.A.")</f>
      </c>
      <c r="U107" s="7" t="str">
        <f>IF(U99="FAIL",IF(U74&lt;CODES!$D$36*U39,"&lt;2.2X RL","&gt;2.2X RL"),"N.A.")</f>
      </c>
      <c r="V107" s="7" t="str">
        <f>IF(V99="FAIL",IF(V74&lt;CODES!$D$36*V39,"&lt;2.2X RL","&gt;2.2X RL"),"N.A.")</f>
      </c>
      <c r="W107" s="7" t="str">
        <f>IF(W99="FAIL",IF(W74&lt;CODES!$D$36*W39,"&lt;2.2X RL","&gt;2.2X RL"),"N.A.")</f>
      </c>
      <c r="X107" s="7" t="str">
        <f>IF(X99="FAIL",IF(X74&lt;CODES!$D$36*X39,"&lt;2.2X RL","&gt;2.2X RL"),"N.A.")</f>
      </c>
      <c r="Y107" s="7" t="str">
        <f>IF(Y99="FAIL",IF(Y74&lt;CODES!$D$36*Y39,"&lt;2.2X RL","&gt;2.2X RL"),"N.A.")</f>
      </c>
      <c r="Z107" s="7" t="str">
        <f>IF(Z99="FAIL",IF(Z74&lt;CODES!$D$36*Z39,"&lt;2.2X RL","&gt;2.2X RL"),"N.A.")</f>
      </c>
      <c r="AA107" s="7" t="str">
        <f>IF(AA99="FAIL",IF(AA74&lt;CODES!$D$36*AA39,"&lt;2.2X RL","&gt;2.2X RL"),"N.A.")</f>
      </c>
      <c r="AB107" s="7" t="str">
        <f>IF(AB99="FAIL",IF(AB74&lt;CODES!$D$36*AB39,"&lt;2.2X RL","&gt;2.2X RL"),"N.A.")</f>
      </c>
      <c r="AC107" s="7" t="str">
        <f>IF(AC99="FAIL",IF(AC74&lt;CODES!$D$36*AC39,"&lt;2.2X RL","&gt;2.2X RL"),"N.A.")</f>
      </c>
      <c r="AD107" s="7" t="str">
        <f>IF(AD99="FAIL",IF(AD74&lt;CODES!$D$36*AD39,"&lt;2.2X RL","&gt;2.2X RL"),"N.A.")</f>
      </c>
      <c r="AE107" s="7" t="str">
        <f>IF(AE99="FAIL",IF(AE74&lt;CODES!$D$36*AE39,"&lt;2.2X RL","&gt;2.2X RL"),"N.A.")</f>
      </c>
      <c r="AF107" s="7" t="str">
        <f>IF(AF99="FAIL",IF(AF74&lt;CODES!$D$36*AF39,"&lt;2.2X RL","&gt;2.2X RL"),"N.A.")</f>
      </c>
      <c r="AG107" s="7" t="str">
        <f>IF(AG99="FAIL",IF(AG74&lt;CODES!$D$36*AG39,"&lt;2.2X RL","&gt;2.2X RL"),"N.A.")</f>
      </c>
      <c r="AH107" s="7" t="str">
        <f>IF(AH99="FAIL",IF(AH74&lt;CODES!$D$36*AH39,"&lt;2.2X RL","&gt;2.2X RL"),"N.A.")</f>
      </c>
      <c r="AI107" s="7" t="str">
        <f>IF(AI99="FAIL",IF(AI74&lt;CODES!$D$36*AI39,"&lt;2.2X RL","&gt;2.2X RL"),"N.A.")</f>
      </c>
      <c r="AJ107" s="7" t="str">
        <f>IF(AJ99="FAIL",IF(AJ74&lt;CODES!$D$36*AJ39,"&lt;2.2X RL","&gt;2.2X RL"),"N.A.")</f>
      </c>
      <c r="AK107" s="7" t="str">
        <f>IF(AK99="FAIL",IF(AK74&lt;CODES!$D$36*AK39,"&lt;2.2X RL","&gt;2.2X RL"),"N.A.")</f>
      </c>
      <c r="AL107" s="7" t="str">
        <f>IF(AL99="FAIL",IF(AL74&lt;CODES!$D$36*AL39,"&lt;2.2X RL","&gt;2.2X RL"),"N.A.")</f>
      </c>
      <c r="AM107" s="7" t="str">
        <f>IF(AM99="FAIL",IF(AM74&lt;CODES!$D$36*AM39,"&lt;2.2X RL","&gt;2.2X RL"),"N.A.")</f>
      </c>
      <c r="AN107" s="7" t="str">
        <f>IF(AN99="FAIL",IF(AN74&lt;CODES!$D$36*AN39,"&lt;2.2X RL","&gt;2.2X RL"),"N.A.")</f>
      </c>
      <c r="AO107" s="7" t="str">
        <f>IF(AO99="FAIL",IF(AO74&lt;CODES!$D$36*AO39,"&lt;2.2X RL","&gt;2.2X RL"),"N.A.")</f>
      </c>
      <c r="AP107" s="7" t="str">
        <f>IF(AP99="FAIL",IF(AP74&lt;CODES!$D$36*AP39,"&lt;2.2X RL","&gt;2.2X RL"),"N.A.")</f>
      </c>
      <c r="AQ107" s="7" t="str">
        <f>IF(AQ99="FAIL",IF(AQ74&lt;CODES!$D$36*AQ39,"&lt;2.2X RL","&gt;2.2X RL"),"N.A.")</f>
      </c>
      <c r="AR107" s="7" t="str">
        <f>IF(AR99="FAIL",IF(AR74&lt;CODES!$D$36*AR39,"&lt;2.2X RL","&gt;2.2X RL"),"N.A.")</f>
      </c>
      <c r="AS107" s="7" t="str">
        <f>IF(AS99="FAIL",IF(AS74&lt;CODES!$D$36*AS39,"&lt;2.2X RL","&gt;2.2X RL"),"N.A.")</f>
      </c>
      <c r="AT107" s="7" t="str">
        <f>IF(AT99="FAIL",IF(AT74&lt;CODES!$D$36*AT39,"&lt;2.2X RL","&gt;2.2X RL"),"N.A.")</f>
      </c>
      <c r="AU107" s="7" t="str">
        <f>IF(AU99="FAIL",IF(AU74&lt;CODES!$D$36*AU39,"&lt;2.2X RL","&gt;2.2X RL"),"N.A.")</f>
      </c>
      <c r="AV107" s="7" t="e">
        <f>IF(AV99="FAIL",IF(AV74&lt;CODES!$D$36*AV39,"&lt;2.2X RL","&gt;2.2X RL"),"N.A.")</f>
      </c>
      <c r="AW107" s="7" t="e">
        <f>IF(AW99="FAIL",IF(AW74&lt;CODES!$D$36*AW39,"&lt;2.2X RL","&gt;2.2X RL"),"N.A.")</f>
      </c>
      <c r="AX107" s="7" t="str">
        <f>IF(AX99="FAIL",IF(AX74&lt;CODES!$D$36*AX39,"&lt;2.2X RL","&gt;2.2X RL"),"N.A.")</f>
      </c>
      <c r="AY107" s="7" t="str">
        <f>IF(AY99="FAIL",IF(AY74&lt;CODES!$D$36*AY39,"&lt;2.2X RL","&gt;2.2X RL"),"N.A.")</f>
      </c>
      <c r="AZ107" s="7" t="str">
        <f>IF(AZ99="FAIL",IF(AZ74&lt;CODES!$D$36*AZ39,"&lt;2.2X RL","&gt;2.2X RL"),"N.A.")</f>
      </c>
      <c r="BA107" s="7" t="str">
        <f>IF(BA99="FAIL",IF(BA74&lt;CODES!$D$36*BA39,"&lt;2.2X RL","&gt;2.2X RL"),"N.A.")</f>
      </c>
      <c r="BB107" s="7" t="str">
        <f>IF(BB99="FAIL",IF(BB74&lt;CODES!$D$36*BB39,"&lt;2.2X RL","&gt;2.2X RL"),"N.A.")</f>
      </c>
      <c r="BC107" s="7" t="str">
        <f>IF(BC99="FAIL",IF(BC74&lt;CODES!$D$36*BC39,"&lt;2.2X RL","&gt;2.2X RL"),"N.A.")</f>
      </c>
      <c r="BD107" s="7" t="str">
        <f>IF(BD99="FAIL",IF(BD74&lt;CODES!$D$36*BD39,"&lt;2.2X RL","&gt;2.2X RL"),"N.A.")</f>
      </c>
      <c r="BE107" s="7" t="str">
        <f>IF(BE99="FAIL",IF(BE74&lt;CODES!$D$36*BE39,"&lt;2.2X RL","&gt;2.2X RL"),"N.A.")</f>
      </c>
      <c r="BF107" s="7" t="str">
        <f>IF(BF99="FAIL",IF(BF74&lt;CODES!$D$36*BF39,"&lt;2.2X RL","&gt;2.2X RL"),"N.A.")</f>
      </c>
      <c r="BG107" s="7" t="str">
        <f>IF(BG99="FAIL",IF(BG74&lt;CODES!$D$36*BG39,"&lt;2.2X RL","&gt;2.2X RL"),"N.A.")</f>
      </c>
      <c r="BH107" s="7" t="str">
        <f>IF(BH99="FAIL",IF(BH74&lt;CODES!$D$36*BH39,"&lt;2.2X RL","&gt;2.2X RL"),"N.A.")</f>
      </c>
      <c r="BI107" s="7" t="str">
        <f>IF(BI99="FAIL",IF(BI74&lt;CODES!$D$36*BI39,"&lt;2.2X RL","&gt;2.2X RL"),"N.A.")</f>
      </c>
      <c r="BJ107" s="7" t="str">
        <f>IF(BJ99="FAIL",IF(BJ74&lt;CODES!$D$36*BJ39,"&lt;2.2X RL","&gt;2.2X RL"),"N.A.")</f>
      </c>
      <c r="BK107" s="7" t="str">
        <f>IF(BK99="FAIL",IF(BK74&lt;CODES!$D$36*BK39,"&lt;2.2X RL","&gt;2.2X RL"),"N.A.")</f>
      </c>
      <c r="BL107" s="7" t="str">
        <f>IF(BL99="FAIL",IF(BL74&lt;CODES!$D$36*BL39,"&lt;2.2X RL","&gt;2.2X RL"),"N.A.")</f>
      </c>
      <c r="BM107" s="7" t="str">
        <f>IF(BM99="FAIL",IF(BM74&lt;CODES!$D$36*BM39,"&lt;2.2X RL","&gt;2.2X RL"),"N.A.")</f>
      </c>
      <c r="BN107" s="7" t="e">
        <f>IF(BN99="FAIL",IF(BN74&lt;CODES!$D$36*BN39,"&lt;2.2X RL","&gt;2.2X RL"),"N.A.")</f>
      </c>
      <c r="BO107" s="7" t="str">
        <f>IF(BO99="FAIL",IF(BO74&lt;CODES!$D$36*BO39,"&lt;2.2X RL","&gt;2.2X RL"),"N.A.")</f>
      </c>
      <c r="BP107" s="7" t="str">
        <f>IF(BP99="FAIL",IF(BP74&lt;CODES!$D$36*BP39,"&lt;2.2X RL","&gt;2.2X RL"),"N.A.")</f>
      </c>
      <c r="BQ107" s="7" t="str">
        <f>IF(BQ99="FAIL",IF(BQ74&lt;CODES!$D$36*BQ39,"&lt;2.2X RL","&gt;2.2X RL"),"N.A.")</f>
      </c>
      <c r="BR107" s="7" t="str">
        <f>IF(BR99="FAIL",IF(BR74&lt;CODES!$D$36*BR39,"&lt;2.2X RL","&gt;2.2X RL"),"N.A.")</f>
      </c>
      <c r="BS107" s="7" t="str">
        <f>IF(BS99="FAIL",IF(BS74&lt;CODES!$D$36*BS39,"&lt;2.2X RL","&gt;2.2X RL"),"N.A.")</f>
      </c>
      <c r="BT107" s="7" t="str">
        <f>IF(BT99="FAIL",IF(BT74&lt;CODES!$D$36*BT39,"&lt;2.2X RL","&gt;2.2X RL"),"N.A.")</f>
      </c>
      <c r="BU107" s="7" t="str">
        <f>IF(BU99="FAIL",IF(BU74&lt;CODES!$D$36*BU39,"&lt;2.2X RL","&gt;2.2X RL"),"N.A.")</f>
      </c>
      <c r="BV107" s="7" t="str">
        <f>IF(BV99="FAIL",IF(BV74&lt;CODES!$D$36*BV39,"&lt;2.2X RL","&gt;2.2X RL"),"N.A.")</f>
      </c>
      <c r="BW107" s="7" t="e">
        <f>IF(BW99="FAIL",IF(BW74&lt;CODES!$D$36*BW39,"&lt;2.2X RL","&gt;2.2X RL"),"N.A.")</f>
      </c>
      <c r="BX107" s="7" t="e">
        <f>IF(BX99="FAIL",IF(BX74&lt;CODES!$D$36*BX39,"&lt;2.2X RL","&gt;2.2X RL"),"N.A.")</f>
      </c>
      <c r="BY107" s="7" t="str">
        <f>IF(BY99="FAIL",IF(BY74&lt;CODES!$D$36*BY39,"&lt;2.2X RL","&gt;2.2X RL"),"N.A.")</f>
      </c>
      <c r="BZ107" s="7" t="str">
        <f>IF(BZ99="FAIL",IF(BZ74&lt;CODES!$D$36*BZ39,"&lt;2.2X RL","&gt;2.2X RL"),"N.A.")</f>
      </c>
      <c r="CA107" s="7" t="str">
        <f>IF(CA99="FAIL",IF(CA74&lt;CODES!$D$36*CA39,"&lt;2.2X RL","&gt;2.2X RL"),"N.A.")</f>
      </c>
      <c r="CB107" s="7" t="str">
        <f>IF(CB99="FAIL",IF(CB74&lt;CODES!$D$36*CB39,"&lt;2.2X RL","&gt;2.2X RL"),"N.A.")</f>
      </c>
      <c r="CC107" s="7" t="str">
        <f>IF(CC99="FAIL",IF(CC74&lt;CODES!$D$36*CC39,"&lt;2.2X RL","&gt;2.2X RL"),"N.A.")</f>
      </c>
      <c r="CD107" s="7" t="str">
        <f>IF(CD99="FAIL",IF(CD74&lt;CODES!$D$36*CD39,"&lt;2.2X RL","&gt;2.2X RL"),"N.A.")</f>
      </c>
      <c r="CE107" s="7" t="str">
        <f>IF(CE99="FAIL",IF(CE74&lt;CODES!$D$36*CE39,"&lt;2.2X RL","&gt;2.2X RL"),"N.A.")</f>
      </c>
      <c r="CF107" s="7" t="str">
        <f>IF(CF99="FAIL",IF(CF74&lt;CODES!$D$36*CF39,"&lt;2.2X RL","&gt;2.2X RL"),"N.A.")</f>
      </c>
      <c r="CG107" s="7" t="str">
        <f>IF(CG99="FAIL",IF(CG74&lt;CODES!$D$36*CG39,"&lt;2.2X RL","&gt;2.2X RL"),"N.A.")</f>
      </c>
      <c r="CH107" s="7" t="str">
        <f>IF(CH99="FAIL",IF(CH74&lt;CODES!$D$36*CH39,"&lt;2.2X RL","&gt;2.2X RL"),"N.A.")</f>
      </c>
      <c r="CI107" s="7" t="str">
        <f>IF(CI99="FAIL",IF(CI74&lt;CODES!$D$36*CI39,"&lt;2.2X RL","&gt;2.2X RL"),"N.A.")</f>
      </c>
      <c r="CJ107" s="7" t="str">
        <f>IF(CJ99="FAIL",IF(CJ74&lt;CODES!$D$36*CJ39,"&lt;2.2X RL","&gt;2.2X RL"),"N.A.")</f>
      </c>
      <c r="CK107" s="7" t="str">
        <f>IF(CK99="FAIL",IF(CK74&lt;CODES!$D$36*CK39,"&lt;2.2X RL","&gt;2.2X RL"),"N.A.")</f>
      </c>
      <c r="CL107" s="7" t="str">
        <f>IF(CL99="FAIL",IF(CL74&lt;CODES!$D$36*CL39,"&lt;2.2X RL","&gt;2.2X RL"),"N.A.")</f>
      </c>
      <c r="CM107" s="7" t="str">
        <f>IF(CM99="FAIL",IF(CM74&lt;CODES!$D$36*CM39,"&lt;2.2X RL","&gt;2.2X RL"),"N.A.")</f>
      </c>
      <c r="CN107" s="7" t="str">
        <f>IF(CN99="FAIL",IF(CN74&lt;CODES!$D$36*CN39,"&lt;2.2X RL","&gt;2.2X RL"),"N.A.")</f>
      </c>
      <c r="CO107" s="7" t="str">
        <f>IF(CO99="FAIL",IF(CO74&lt;CODES!$D$36*CO39,"&lt;2.2X RL","&gt;2.2X RL"),"N.A.")</f>
      </c>
      <c r="CP107" s="7" t="str">
        <f>IF(CP99="FAIL",IF(CP74&lt;CODES!$D$36*CP39,"&lt;2.2X RL","&gt;2.2X RL"),"N.A.")</f>
      </c>
      <c r="CQ107" s="7" t="str">
        <f>IF(CQ99="FAIL",IF(CQ74&lt;CODES!$D$36*CQ39,"&lt;2.2X RL","&gt;2.2X RL"),"N.A.")</f>
      </c>
      <c r="CR107" s="7" t="str">
        <f>IF(CR99="FAIL",IF(CR74&lt;CODES!$D$36*CR39,"&lt;2.2X RL","&gt;2.2X RL"),"N.A.")</f>
      </c>
      <c r="CS107" s="7" t="str">
        <f>IF(CS99="FAIL",IF(CS74&lt;CODES!$D$36*CS39,"&lt;2.2X RL","&gt;2.2X RL"),"N.A.")</f>
      </c>
      <c r="CT107" s="7" t="str">
        <f>IF(CT99="FAIL",IF(CT74&lt;CODES!$D$36*CT39,"&lt;2.2X RL","&gt;2.2X RL"),"N.A.")</f>
      </c>
      <c r="CU107" s="7" t="str">
        <f>IF(CU99="FAIL",IF(CU74&lt;CODES!$D$36*CU39,"&lt;2.2X RL","&gt;2.2X RL"),"N.A.")</f>
      </c>
      <c r="CV107" s="7" t="str">
        <f>IF(CV99="FAIL",IF(CV74&lt;CODES!$D$36*CV39,"&lt;2.2X RL","&gt;2.2X RL"),"N.A.")</f>
      </c>
      <c r="CW107" s="7" t="str">
        <f>IF(CW99="FAIL",IF(CW74&lt;CODES!$D$36*CW39,"&lt;2.2X RL","&gt;2.2X RL"),"N.A.")</f>
      </c>
      <c r="CX107" s="7" t="str">
        <f>IF(CX99="FAIL",IF(CX74&lt;CODES!$D$36*CX39,"&lt;2.2X RL","&gt;2.2X RL"),"N.A.")</f>
      </c>
      <c r="CY107" s="7" t="str">
        <f>IF(CY99="FAIL",IF(CY74&lt;CODES!$D$36*CY39,"&lt;2.2X RL","&gt;2.2X RL"),"N.A.")</f>
      </c>
      <c r="CZ107" s="7" t="str">
        <f>IF(CZ99="FAIL",IF(CZ74&lt;CODES!$D$36*CZ39,"&lt;2.2X RL","&gt;2.2X RL"),"N.A.")</f>
      </c>
      <c r="DA107" s="7" t="str">
        <f>IF(DA99="FAIL",IF(DA74&lt;CODES!$D$36*DA39,"&lt;2.2X RL","&gt;2.2X RL"),"N.A.")</f>
      </c>
      <c r="DB107" s="7" t="e">
        <f>IF(DB99="FAIL",IF(DB74&lt;CODES!$D$36*DB39,"&lt;2.2X RL","&gt;2.2X RL"),"N.A.")</f>
      </c>
      <c r="DC107" s="7" t="e">
        <f>IF(DC99="FAIL",IF(DC74&lt;CODES!$D$36*DC39,"&lt;2.2X RL","&gt;2.2X RL"),"N.A.")</f>
      </c>
      <c r="DD107" s="7" t="str">
        <f>IF(DD99="FAIL",IF(DD74&lt;CODES!$D$36*DD39,"&lt;2.2X RL","&gt;2.2X RL"),"N.A.")</f>
      </c>
      <c r="DE107" s="7" t="str">
        <f>IF(DE99="FAIL",IF(DE74&lt;CODES!$D$36*DE39,"&lt;2.2X RL","&gt;2.2X RL"),"N.A.")</f>
      </c>
      <c r="DF107" s="7" t="str">
        <f>IF(DF99="FAIL",IF(DF74&lt;CODES!$D$36*DF39,"&lt;2.2X RL","&gt;2.2X RL"),"N.A.")</f>
      </c>
      <c r="DG107" s="7" t="str">
        <f>IF(DG99="FAIL",IF(DG74&lt;CODES!$D$36*DG39,"&lt;2.2X RL","&gt;2.2X RL"),"N.A.")</f>
      </c>
      <c r="DH107" s="7" t="str">
        <f>IF(DH99="FAIL",IF(DH74&lt;CODES!$D$36*DH39,"&lt;2.2X RL","&gt;2.2X RL"),"N.A.")</f>
      </c>
      <c r="DI107" s="7" t="str">
        <f>IF(DI99="FAIL",IF(DI74&lt;CODES!$D$36*DI39,"&lt;2.2X RL","&gt;2.2X RL"),"N.A.")</f>
      </c>
    </row>
    <row r="108" spans="1:113" x14ac:dyDescent="0.25">
      <c r="A108" s="16" t="str">
        <f t="shared" si="26"/>
      </c>
      <c r="B108" s="16" t="str">
        <f t="shared" si="26"/>
      </c>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row>
    <row r="109" spans="1:113" x14ac:dyDescent="0.25">
      <c r="A109" s="16" t="str">
        <f t="shared" si="26"/>
      </c>
      <c r="B109" s="16" t="str">
        <f t="shared" si="26"/>
      </c>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row>
    <row r="110" spans="1:113" x14ac:dyDescent="0.25">
      <c r="A110" s="16" t="str">
        <f t="shared" si="26"/>
      </c>
      <c r="B110" s="16" t="str">
        <f t="shared" si="26"/>
      </c>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row>
    <row r="111" spans="1:113" x14ac:dyDescent="0.25">
      <c r="A111" s="16" t="str">
        <f t="shared" si="26"/>
      </c>
      <c r="B111" s="16" t="str">
        <f t="shared" si="26"/>
      </c>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row>
    <row r="112" spans="1:113" x14ac:dyDescent="0.25">
      <c r="A112" s="16" t="str">
        <f t="shared" si="26"/>
      </c>
      <c r="B112" s="16" t="str">
        <f t="shared" si="26"/>
      </c>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row>
    <row r="113" spans="1:113" x14ac:dyDescent="0.25">
      <c r="A113" s="16" t="str">
        <f t="shared" si="26"/>
      </c>
      <c r="B113" s="16" t="str">
        <f t="shared" si="26"/>
      </c>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row>
    <row r="114" spans="1:113" x14ac:dyDescent="0.25">
      <c r="A114" s="60" t="s">
        <v>335</v>
      </c>
    </row>
  </sheetData>
  <sheetProtection algorithmName="SHA-512" hashValue="jSnsjOuY19ty+sdTXdOxdvslZJktD2rF+oPnkII5TOLD0vDzKEOhCiqgWVHiCxBVLu92CwrD8nDEjpbNI/l/yw==" saltValue="cbT1clliyn5D02jLc7kOPA==" spinCount="100000" sheet="1" objects="1" scenarios="1"/>
  <mergeCells count="4">
    <mergeCell ref="A17:B17"/>
    <mergeCell ref="A44:B44"/>
    <mergeCell ref="A69:B69"/>
    <mergeCell ref="A94:B9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95959-6C96-42AC-8C9C-02DDA34E5728}">
  <dimension ref="A1:R116"/>
  <sheetViews>
    <sheetView zoomScale="85" zoomScaleNormal="85" workbookViewId="0">
      <selection activeCell="F121" sqref="F121"/>
    </sheetView>
  </sheetViews>
  <sheetFormatPr defaultRowHeight="15" x14ac:dyDescent="0.25"/>
  <cols>
    <col min="2" max="2" width="18.7109375" customWidth="1"/>
    <col min="3" max="3" width="9.85546875" customWidth="1"/>
    <col min="4" max="4" width="52.140625" style="19" customWidth="1"/>
    <col min="5" max="5" width="35.85546875" style="19" customWidth="1"/>
    <col min="6" max="6" width="29.28515625" style="19" customWidth="1"/>
    <col min="7" max="7" width="36.42578125" style="19" customWidth="1"/>
    <col min="8" max="8" width="23.42578125" style="19" customWidth="1"/>
    <col min="9" max="9" width="48.5703125" style="19" customWidth="1"/>
    <col min="10" max="11" width="23.42578125" style="19" customWidth="1"/>
    <col min="12" max="12" width="38.42578125" style="19" customWidth="1"/>
    <col min="13" max="13" width="23.42578125" style="19" customWidth="1"/>
    <col min="14" max="14" width="31.7109375" style="19" customWidth="1"/>
    <col min="15" max="15" width="28.140625" style="19" customWidth="1"/>
    <col min="16" max="16" width="74.85546875" customWidth="1"/>
    <col min="18" max="18" width="53.85546875" customWidth="1"/>
  </cols>
  <sheetData>
    <row r="1" spans="1:15" x14ac:dyDescent="0.25">
      <c r="A1" s="26" t="s">
        <v>322</v>
      </c>
    </row>
    <row r="2" spans="1:15" x14ac:dyDescent="0.25">
      <c r="A2" s="9"/>
    </row>
    <row r="3" spans="1:15" x14ac:dyDescent="0.25">
      <c r="A3" s="2" t="str">
        <f>INSTRUCTIONS!A3</f>
      </c>
    </row>
    <row r="5" spans="1:15" x14ac:dyDescent="0.25">
      <c r="B5" s="49" t="str">
        <f>"BATCH "&amp;BATCH!B4</f>
      </c>
    </row>
    <row r="6" spans="1:15" x14ac:dyDescent="0.25">
      <c r="B6" s="24"/>
      <c r="C6" s="24"/>
      <c r="D6" s="25"/>
      <c r="E6" s="25"/>
      <c r="F6" s="25"/>
      <c r="G6" s="25"/>
      <c r="H6" s="25"/>
      <c r="I6" s="25"/>
      <c r="J6" s="25"/>
      <c r="K6" s="25"/>
      <c r="L6" s="25"/>
      <c r="M6" s="25"/>
      <c r="N6" s="25"/>
      <c r="O6" s="25"/>
    </row>
    <row r="7" spans="1:15" x14ac:dyDescent="0.25">
      <c r="B7" s="20" t="s">
        <v>138</v>
      </c>
      <c r="C7" s="21" t="s">
        <v>137</v>
      </c>
      <c r="D7" s="21" t="str" cm="1">
        <f t="array" ref="D7:O7">TRANSPOSE(BATCH!A96:A107)</f>
      </c>
      <c r="E7" s="21" t="str">
        <v>IPC CCV5 after Calibration</v>
      </c>
      <c r="F7" s="21" t="str">
        <v>IPC CCV5 after Batch</v>
      </c>
      <c r="G7" s="21" t="str">
        <v>Digest Method Blank (LRB)</v>
      </c>
      <c r="H7" s="21" t="str">
        <v>Digest LFB</v>
      </c>
      <c r="I7" s="21" t="str">
        <v>SAMPLE DUPLICATE, RPD Calculated</v>
      </c>
      <c r="J7" s="21" t="str">
        <v>LFM Spike</v>
      </c>
      <c r="K7" s="21" t="str">
        <v>Instrument LFB</v>
      </c>
      <c r="L7" s="21" t="str">
        <v>Instrument Interference Check</v>
      </c>
      <c r="M7" s="21" t="str">
        <v>Instrument ICV</v>
      </c>
      <c r="N7" s="21" t="str">
        <v>Digest Method Blank Comparison to Sample Matrix</v>
      </c>
      <c r="O7" s="21" t="str">
        <v>Digest Method Blank Comparison to 2.2X RL</v>
      </c>
    </row>
    <row r="8" spans="1:15" x14ac:dyDescent="0.25">
      <c r="B8" s="21" t="s">
        <v>174</v>
      </c>
      <c r="C8" s="21" t="str">
        <f>CODES!$A$17</f>
      </c>
      <c r="D8" s="21" t="str" cm="1">
        <f t="array" ref="D8:O8">TRANSPOSE('BATCH VERIFICATION'!C96:C107)</f>
      </c>
      <c r="E8" s="29">
        <v>80.179999999999993</v>
      </c>
      <c r="F8" s="29">
        <v>80</v>
      </c>
      <c r="G8" s="29" t="str">
        <v>PASS</v>
      </c>
      <c r="H8" s="29">
        <v>29.7</v>
      </c>
      <c r="I8" s="27" t="str">
        <v>PASS, Both &lt;RL</v>
      </c>
      <c r="J8" s="29">
        <v>29.2</v>
      </c>
      <c r="K8" s="29">
        <v>32.099999999999994</v>
      </c>
      <c r="L8" s="29">
        <v>30.599999999999998</v>
      </c>
      <c r="M8" s="29">
        <v>79.739999999999995</v>
      </c>
      <c r="N8" s="21" t="str">
        <v>N.A.</v>
      </c>
      <c r="O8" s="21" t="str">
        <v>N.A.</v>
      </c>
    </row>
    <row r="9" spans="1:15" x14ac:dyDescent="0.25">
      <c r="B9" s="21" t="s">
        <v>139</v>
      </c>
      <c r="C9" s="21" t="str">
        <f>CODES!$A$17</f>
      </c>
      <c r="D9" s="21" t="str" cm="1">
        <f t="array" ref="D9:O9">TRANSPOSE('BATCH VERIFICATION'!E96:E107)</f>
      </c>
      <c r="E9" s="29">
        <v>101.74000000000001</v>
      </c>
      <c r="F9" s="29">
        <v>100.84</v>
      </c>
      <c r="G9" s="29" t="str">
        <v>PASS</v>
      </c>
      <c r="H9" s="29">
        <v>103.2</v>
      </c>
      <c r="I9" s="27" t="str">
        <v>PASS, Both &lt;RL</v>
      </c>
      <c r="J9" s="29">
        <v>104.2</v>
      </c>
      <c r="K9" s="29">
        <v>94</v>
      </c>
      <c r="L9" s="29" t="e">
        <v>#VALUE!</v>
      </c>
      <c r="M9" s="29">
        <v>99.3</v>
      </c>
      <c r="N9" s="21" t="str">
        <v>N.A.</v>
      </c>
      <c r="O9" s="21" t="str">
        <v>N.A.</v>
      </c>
    </row>
    <row r="10" spans="1:15" s="32" customFormat="1" x14ac:dyDescent="0.25">
      <c r="B10" s="28" t="s">
        <v>140</v>
      </c>
      <c r="C10" s="21" t="str">
        <f>CODES!$A$17</f>
      </c>
      <c r="D10" s="21" t="str" cm="1">
        <f t="array" ref="D10:O10">TRANSPOSE('BATCH VERIFICATION'!F96:F107)</f>
      </c>
      <c r="E10" s="29">
        <v>99.539999999999992</v>
      </c>
      <c r="F10" s="29">
        <v>99.3</v>
      </c>
      <c r="G10" s="29" t="str">
        <v>PASS</v>
      </c>
      <c r="H10" s="29">
        <v>96.699999999999989</v>
      </c>
      <c r="I10" s="27" t="str">
        <v>PASS, Both &lt;RL</v>
      </c>
      <c r="J10" s="29">
        <v>100.2</v>
      </c>
      <c r="K10" s="29">
        <v>95.6</v>
      </c>
      <c r="L10" s="29">
        <v>102.99999999999999</v>
      </c>
      <c r="M10" s="29">
        <v>99.68</v>
      </c>
      <c r="N10" s="21" t="str">
        <v>N.A.</v>
      </c>
      <c r="O10" s="21" t="str">
        <v>N.A.</v>
      </c>
    </row>
    <row r="11" spans="1:15" x14ac:dyDescent="0.25">
      <c r="B11" s="21" t="s">
        <v>141</v>
      </c>
      <c r="C11" s="21" t="str">
        <f>CODES!$A$17</f>
      </c>
      <c r="D11" s="21" t="str" cm="1">
        <f t="array" ref="D11:O11">TRANSPOSE('BATCH VERIFICATION'!I96:I107)</f>
      </c>
      <c r="E11" s="29">
        <v>100.89999999999999</v>
      </c>
      <c r="F11" s="29">
        <v>101.08</v>
      </c>
      <c r="G11" s="29" t="str">
        <v>PASS</v>
      </c>
      <c r="H11" s="29">
        <v>102.4</v>
      </c>
      <c r="I11" s="27">
        <v>2.0202020202020257</v>
      </c>
      <c r="J11" s="29">
        <v>103.8</v>
      </c>
      <c r="K11" s="29">
        <v>99.699999999999989</v>
      </c>
      <c r="L11" s="29">
        <v>185.79999999999998</v>
      </c>
      <c r="M11" s="29">
        <v>99.78</v>
      </c>
      <c r="N11" s="21" t="str">
        <v>N.A.</v>
      </c>
      <c r="O11" s="21" t="str">
        <v>N.A.</v>
      </c>
    </row>
    <row r="12" spans="1:15" x14ac:dyDescent="0.25">
      <c r="B12" s="21" t="s">
        <v>142</v>
      </c>
      <c r="C12" s="21" t="str">
        <f>CODES!$A$17</f>
      </c>
      <c r="D12" s="21" t="str" cm="1">
        <f t="array" ref="D12:O12">TRANSPOSE('BATCH VERIFICATION'!K96:K107)</f>
      </c>
      <c r="E12" s="29">
        <v>100.12</v>
      </c>
      <c r="F12" s="29">
        <v>100.36</v>
      </c>
      <c r="G12" s="29" t="str">
        <v>PASS</v>
      </c>
      <c r="H12" s="29">
        <v>104.3</v>
      </c>
      <c r="I12" s="27">
        <v>0</v>
      </c>
      <c r="J12" s="29">
        <v>104</v>
      </c>
      <c r="K12" s="29">
        <v>101.69999999999999</v>
      </c>
      <c r="L12" s="29">
        <v>99.699999999999989</v>
      </c>
      <c r="M12" s="29">
        <v>100.88</v>
      </c>
      <c r="N12" s="21" t="str">
        <v>N.A.</v>
      </c>
      <c r="O12" s="21" t="str">
        <v>N.A.</v>
      </c>
    </row>
    <row r="13" spans="1:15" x14ac:dyDescent="0.25">
      <c r="B13" s="21" t="s">
        <v>169</v>
      </c>
      <c r="C13" s="21" t="str">
        <f>CODES!$A$17</f>
      </c>
      <c r="D13" s="21" t="str" cm="1">
        <f t="array" ref="D13:O13">TRANSPOSE('BATCH VERIFICATION'!M96:M107)</f>
      </c>
      <c r="E13" s="29">
        <v>103</v>
      </c>
      <c r="F13" s="29">
        <v>103.32</v>
      </c>
      <c r="G13" s="29" t="str">
        <v>PASS</v>
      </c>
      <c r="H13" s="29">
        <v>105.80000000000001</v>
      </c>
      <c r="I13" s="27" t="str">
        <v>PASS, Both &lt;RL</v>
      </c>
      <c r="J13" s="29">
        <v>106.89999999999999</v>
      </c>
      <c r="K13" s="29">
        <v>101.29999999999998</v>
      </c>
      <c r="L13" s="29">
        <v>100.1</v>
      </c>
      <c r="M13" s="29">
        <v>100.46</v>
      </c>
      <c r="N13" s="21" t="str">
        <v>N.A.</v>
      </c>
      <c r="O13" s="21" t="str">
        <v>N.A.</v>
      </c>
    </row>
    <row r="14" spans="1:15" x14ac:dyDescent="0.25">
      <c r="B14" s="21" t="s">
        <v>143</v>
      </c>
      <c r="C14" s="21" t="str">
        <f>CODES!$A$17</f>
      </c>
      <c r="D14" s="21" t="str" cm="1">
        <f t="array" ref="D14:O14">TRANSPOSE('BATCH VERIFICATION'!P96:P107)</f>
      </c>
      <c r="E14" s="29">
        <v>99.839999999999989</v>
      </c>
      <c r="F14" s="29">
        <v>99.7</v>
      </c>
      <c r="G14" s="29" t="str">
        <v>PASS</v>
      </c>
      <c r="H14" s="29">
        <v>97.399999999999991</v>
      </c>
      <c r="I14" s="27">
        <v>1.0875143161063069E-2</v>
      </c>
      <c r="J14" s="29" t="str">
        <v>Spike &lt; 30% of Sample Matrix</v>
      </c>
      <c r="K14" s="29">
        <v>94.3</v>
      </c>
      <c r="L14" s="29">
        <v>112.19999999999999</v>
      </c>
      <c r="M14" s="29">
        <v>99.6</v>
      </c>
      <c r="N14" s="21" t="str">
        <v>N.A.</v>
      </c>
      <c r="O14" s="21" t="str">
        <v>N.A.</v>
      </c>
    </row>
    <row r="15" spans="1:15" x14ac:dyDescent="0.25">
      <c r="B15" s="21" t="s">
        <v>144</v>
      </c>
      <c r="C15" s="21" t="str">
        <f>CODES!$A$17</f>
      </c>
      <c r="D15" s="21" t="str" cm="1">
        <f t="array" ref="D15:O15">TRANSPOSE('BATCH VERIFICATION'!R96:R107)</f>
      </c>
      <c r="E15" s="29">
        <v>99.960000000000008</v>
      </c>
      <c r="F15" s="29">
        <v>100.05999999999999</v>
      </c>
      <c r="G15" s="29" t="str">
        <v>PASS</v>
      </c>
      <c r="H15" s="29">
        <v>102.1</v>
      </c>
      <c r="I15" s="27" t="str">
        <v>PASS, Both &lt;RL</v>
      </c>
      <c r="J15" s="29">
        <v>101.99999999999999</v>
      </c>
      <c r="K15" s="29">
        <v>100.69999999999999</v>
      </c>
      <c r="L15" s="29">
        <v>101.1</v>
      </c>
      <c r="M15" s="29">
        <v>100.27999999999999</v>
      </c>
      <c r="N15" s="21" t="str">
        <v>N.A.</v>
      </c>
      <c r="O15" s="21" t="str">
        <v>N.A.</v>
      </c>
    </row>
    <row r="16" spans="1:15" x14ac:dyDescent="0.25">
      <c r="B16" s="21" t="s">
        <v>175</v>
      </c>
      <c r="C16" s="21" t="str">
        <f>CODES!$A$17</f>
      </c>
      <c r="D16" s="21" t="str" cm="1">
        <f t="array" ref="D16:O16">TRANSPOSE('BATCH VERIFICATION'!T96:T107)</f>
      </c>
      <c r="E16" s="29">
        <v>100.22</v>
      </c>
      <c r="F16" s="29">
        <v>100.27999999999999</v>
      </c>
      <c r="G16" s="29" t="str">
        <v>PASS</v>
      </c>
      <c r="H16" s="29">
        <v>92.399999999999991</v>
      </c>
      <c r="I16" s="27" t="str">
        <v>PASS, Both &lt;RL</v>
      </c>
      <c r="J16" s="29">
        <v>92.2</v>
      </c>
      <c r="K16" s="29">
        <v>90.3</v>
      </c>
      <c r="L16" s="29">
        <v>79.100000000000009</v>
      </c>
      <c r="M16" s="29">
        <v>90.44</v>
      </c>
      <c r="N16" s="21" t="str">
        <v>N.A.</v>
      </c>
      <c r="O16" s="21" t="str">
        <v>N.A.</v>
      </c>
    </row>
    <row r="17" spans="2:15" x14ac:dyDescent="0.25">
      <c r="B17" s="21" t="s">
        <v>145</v>
      </c>
      <c r="C17" s="21" t="str">
        <f>CODES!$A$17</f>
      </c>
      <c r="D17" s="21" t="str" cm="1">
        <f t="array" ref="D17:O17">TRANSPOSE('BATCH VERIFICATION'!V96:V107)</f>
      </c>
      <c r="E17" s="29">
        <v>99.78</v>
      </c>
      <c r="F17" s="29">
        <v>99.9</v>
      </c>
      <c r="G17" s="29" t="str">
        <v>PASS</v>
      </c>
      <c r="H17" s="29">
        <v>103.8</v>
      </c>
      <c r="I17" s="27" t="str">
        <v>PASS, Both &lt;RL</v>
      </c>
      <c r="J17" s="29">
        <v>102.99999999999999</v>
      </c>
      <c r="K17" s="29">
        <v>100.4</v>
      </c>
      <c r="L17" s="29">
        <v>21.6</v>
      </c>
      <c r="M17" s="29">
        <v>99.460000000000008</v>
      </c>
      <c r="N17" s="21" t="str">
        <v>N.A.</v>
      </c>
      <c r="O17" s="21" t="str">
        <v>N.A.</v>
      </c>
    </row>
    <row r="18" spans="2:15" x14ac:dyDescent="0.25">
      <c r="B18" s="21" t="s">
        <v>146</v>
      </c>
      <c r="C18" s="21" t="str">
        <f>CODES!$A$17</f>
      </c>
      <c r="D18" s="21" t="str" cm="1">
        <f t="array" ref="D18:O18">TRANSPOSE('BATCH VERIFICATION'!Y96:Y107)</f>
      </c>
      <c r="E18" s="29">
        <v>100.4</v>
      </c>
      <c r="F18" s="29">
        <v>100.29999999999998</v>
      </c>
      <c r="G18" s="29" t="str">
        <v>PASS</v>
      </c>
      <c r="H18" s="29">
        <v>102.99999999999999</v>
      </c>
      <c r="I18" s="27" t="str">
        <v>PASS, Both &lt;RL</v>
      </c>
      <c r="J18" s="29">
        <v>103.3</v>
      </c>
      <c r="K18" s="29">
        <v>100.4</v>
      </c>
      <c r="L18" s="29">
        <v>98</v>
      </c>
      <c r="M18" s="29">
        <v>100.38</v>
      </c>
      <c r="N18" s="21" t="str">
        <v>N.A.</v>
      </c>
      <c r="O18" s="21" t="str">
        <v>N.A.</v>
      </c>
    </row>
    <row r="19" spans="2:15" x14ac:dyDescent="0.25">
      <c r="B19" s="21" t="s">
        <v>147</v>
      </c>
      <c r="C19" s="21" t="str">
        <f>CODES!$A$17</f>
      </c>
      <c r="D19" s="21" t="str" cm="1">
        <f t="array" ref="D19:O19">TRANSPOSE('BATCH VERIFICATION'!Z96:Z107)</f>
      </c>
      <c r="E19" s="29">
        <v>100</v>
      </c>
      <c r="F19" s="29">
        <v>100.1</v>
      </c>
      <c r="G19" s="29" t="str">
        <v>PASS</v>
      </c>
      <c r="H19" s="29">
        <v>103.2</v>
      </c>
      <c r="I19" s="27">
        <v>0.21306818181817808</v>
      </c>
      <c r="J19" s="29">
        <v>101.4</v>
      </c>
      <c r="K19" s="29">
        <v>98.3</v>
      </c>
      <c r="L19" s="29">
        <v>100</v>
      </c>
      <c r="M19" s="29">
        <v>99.32</v>
      </c>
      <c r="N19" s="21" t="str">
        <v>N.A.</v>
      </c>
      <c r="O19" s="21" t="str">
        <v>N.A.</v>
      </c>
    </row>
    <row r="20" spans="2:15" x14ac:dyDescent="0.25">
      <c r="B20" s="21" t="s">
        <v>176</v>
      </c>
      <c r="C20" s="21" t="str">
        <f>CODES!$A$17</f>
      </c>
      <c r="D20" s="21" t="str" cm="1">
        <f t="array" ref="D20:O20">TRANSPOSE('BATCH VERIFICATION'!AB96:AB107)</f>
      </c>
      <c r="E20" s="29">
        <v>100.64</v>
      </c>
      <c r="F20" s="29">
        <v>100.86</v>
      </c>
      <c r="G20" s="29" t="str">
        <v>PASS</v>
      </c>
      <c r="H20" s="29">
        <v>103.2</v>
      </c>
      <c r="I20" s="27" t="str">
        <v>PASS, Both &lt;RL</v>
      </c>
      <c r="J20" s="29">
        <v>102.99999999999999</v>
      </c>
      <c r="K20" s="29">
        <v>100</v>
      </c>
      <c r="L20" s="29">
        <v>96.199999999999989</v>
      </c>
      <c r="M20" s="29">
        <v>100.42</v>
      </c>
      <c r="N20" s="21" t="str">
        <v>N.A.</v>
      </c>
      <c r="O20" s="21" t="str">
        <v>N.A.</v>
      </c>
    </row>
    <row r="21" spans="2:15" x14ac:dyDescent="0.25">
      <c r="B21" s="21" t="s">
        <v>177</v>
      </c>
      <c r="C21" s="21" t="str">
        <f>CODES!$A$17</f>
      </c>
      <c r="D21" s="21" t="str" cm="1">
        <f t="array" ref="D21:O21">TRANSPOSE('BATCH VERIFICATION'!AD96:AD107)</f>
      </c>
      <c r="E21" s="29">
        <v>100.98</v>
      </c>
      <c r="F21" s="29">
        <v>100.96000000000001</v>
      </c>
      <c r="G21" s="29" t="str">
        <v>PASS</v>
      </c>
      <c r="H21" s="29">
        <v>102.59999999999998</v>
      </c>
      <c r="I21" s="27" t="str">
        <v>PASS, Both &lt;RL</v>
      </c>
      <c r="J21" s="29">
        <v>102.49999999999999</v>
      </c>
      <c r="K21" s="29">
        <v>99.3</v>
      </c>
      <c r="L21" s="29">
        <v>96.5</v>
      </c>
      <c r="M21" s="29">
        <v>100.47999999999999</v>
      </c>
      <c r="N21" s="21" t="str">
        <v>N.A.</v>
      </c>
      <c r="O21" s="21" t="str">
        <v>N.A.</v>
      </c>
    </row>
    <row r="22" spans="2:15" x14ac:dyDescent="0.25">
      <c r="B22" s="21" t="s">
        <v>178</v>
      </c>
      <c r="C22" s="21" t="str">
        <f>CODES!$A$17</f>
      </c>
      <c r="D22" s="21" t="str" cm="1">
        <f t="array" ref="D22:O22">TRANSPOSE('BATCH VERIFICATION'!AF96:AF107)</f>
      </c>
      <c r="E22" s="29">
        <v>102.06</v>
      </c>
      <c r="F22" s="29">
        <v>102.16000000000001</v>
      </c>
      <c r="G22" s="29" t="str">
        <v>PASS</v>
      </c>
      <c r="H22" s="29">
        <v>104.69999999999999</v>
      </c>
      <c r="I22" s="27" t="str">
        <v>PASS, Both &lt;RL</v>
      </c>
      <c r="J22" s="29">
        <v>104.59999999999998</v>
      </c>
      <c r="K22" s="29">
        <v>100.69999999999999</v>
      </c>
      <c r="L22" s="29">
        <v>98</v>
      </c>
      <c r="M22" s="29">
        <v>100.76</v>
      </c>
      <c r="N22" s="21" t="str">
        <v>N.A.</v>
      </c>
      <c r="O22" s="21" t="str">
        <v>N.A.</v>
      </c>
    </row>
    <row r="23" spans="2:15" x14ac:dyDescent="0.25">
      <c r="B23" s="21" t="s">
        <v>148</v>
      </c>
      <c r="C23" s="21" t="str">
        <f>CODES!$A$17</f>
      </c>
      <c r="D23" s="21" t="str" cm="1">
        <f t="array" ref="D23:O23">TRANSPOSE('BATCH VERIFICATION'!AH96:AH107)</f>
      </c>
      <c r="E23" s="29">
        <v>103.06</v>
      </c>
      <c r="F23" s="29">
        <v>100.47999999999999</v>
      </c>
      <c r="G23" s="29" t="str">
        <v>PASS</v>
      </c>
      <c r="H23" s="29">
        <v>103.69999999999999</v>
      </c>
      <c r="I23" s="27">
        <v>0</v>
      </c>
      <c r="J23" s="29">
        <v>104.4</v>
      </c>
      <c r="K23" s="29">
        <v>100</v>
      </c>
      <c r="L23" s="29" t="e">
        <v>#VALUE!</v>
      </c>
      <c r="M23" s="29">
        <v>100.67999999999999</v>
      </c>
      <c r="N23" s="21" t="str">
        <v>N.A.</v>
      </c>
      <c r="O23" s="21" t="str">
        <v>N.A.</v>
      </c>
    </row>
    <row r="24" spans="2:15" x14ac:dyDescent="0.25">
      <c r="B24" s="21" t="s">
        <v>179</v>
      </c>
      <c r="C24" s="21" t="str">
        <f>CODES!$A$17</f>
      </c>
      <c r="D24" s="21" t="str" cm="1">
        <f t="array" ref="D24:O24">TRANSPOSE('BATCH VERIFICATION'!AI96:AI107)</f>
      </c>
      <c r="E24" s="29">
        <v>99.88</v>
      </c>
      <c r="F24" s="29">
        <v>100.07999999999998</v>
      </c>
      <c r="G24" s="29" t="str">
        <v>PASS</v>
      </c>
      <c r="H24" s="29">
        <v>98.3</v>
      </c>
      <c r="I24" s="27" t="str">
        <v>PASS, Both &lt;RL</v>
      </c>
      <c r="J24" s="29">
        <v>99.3</v>
      </c>
      <c r="K24" s="29">
        <v>96</v>
      </c>
      <c r="L24" s="29">
        <v>103.49999999999999</v>
      </c>
      <c r="M24" s="29">
        <v>98.98</v>
      </c>
      <c r="N24" s="21" t="str">
        <v>N.A.</v>
      </c>
      <c r="O24" s="21" t="str">
        <v>N.A.</v>
      </c>
    </row>
    <row r="25" spans="2:15" x14ac:dyDescent="0.25">
      <c r="B25" s="21" t="s">
        <v>180</v>
      </c>
      <c r="C25" s="21" t="str">
        <f>CODES!$A$17</f>
      </c>
      <c r="D25" s="21" t="str" cm="1">
        <f t="array" ref="D25:O25">TRANSPOSE('BATCH VERIFICATION'!AL96:AL107)</f>
      </c>
      <c r="E25" s="29">
        <v>100.58</v>
      </c>
      <c r="F25" s="29">
        <v>100.78</v>
      </c>
      <c r="G25" s="29" t="str">
        <v>PASS</v>
      </c>
      <c r="H25" s="29">
        <v>102.4</v>
      </c>
      <c r="I25" s="27" t="str">
        <v>PASS, Both &lt;RL</v>
      </c>
      <c r="J25" s="29">
        <v>102.69999999999999</v>
      </c>
      <c r="K25" s="29">
        <v>99.5</v>
      </c>
      <c r="L25" s="29">
        <v>120.69999999999999</v>
      </c>
      <c r="M25" s="29">
        <v>100.14</v>
      </c>
      <c r="N25" s="21" t="str">
        <v>N.A.</v>
      </c>
      <c r="O25" s="21" t="str">
        <v>N.A.</v>
      </c>
    </row>
    <row r="26" spans="2:15" x14ac:dyDescent="0.25">
      <c r="B26" s="21" t="s">
        <v>181</v>
      </c>
      <c r="C26" s="21" t="str">
        <f>CODES!$A$17</f>
      </c>
      <c r="D26" s="21" t="str" cm="1">
        <f t="array" ref="D26:O26">TRANSPOSE('BATCH VERIFICATION'!AN96:AN107)</f>
      </c>
      <c r="E26" s="29">
        <v>99.8</v>
      </c>
      <c r="F26" s="29">
        <v>99.539999999999992</v>
      </c>
      <c r="G26" s="29" t="str">
        <v>PASS</v>
      </c>
      <c r="H26" s="29">
        <v>99</v>
      </c>
      <c r="I26" s="27" t="str">
        <v>PASS, Both &lt;RL</v>
      </c>
      <c r="J26" s="29">
        <v>98.4</v>
      </c>
      <c r="K26" s="29">
        <v>95.899999999999991</v>
      </c>
      <c r="L26" s="29">
        <v>89.6</v>
      </c>
      <c r="M26" s="29">
        <v>97.04</v>
      </c>
      <c r="N26" s="21" t="str">
        <v>N.A.</v>
      </c>
      <c r="O26" s="21" t="str">
        <v>N.A.</v>
      </c>
    </row>
    <row r="27" spans="2:15" x14ac:dyDescent="0.25">
      <c r="B27" s="21" t="s">
        <v>149</v>
      </c>
      <c r="C27" s="21" t="str">
        <f>CODES!$A$16</f>
      </c>
      <c r="D27" s="21" t="str" cm="1">
        <f t="array" ref="D27:O27">TRANSPOSE('BATCH VERIFICATION'!AP96:AP107)</f>
      </c>
      <c r="E27" s="29">
        <v>9580.7000000000007</v>
      </c>
      <c r="F27" s="29">
        <v>9805.44</v>
      </c>
      <c r="G27" s="29" t="str">
        <v>PASS</v>
      </c>
      <c r="H27" s="29">
        <v>79.710000000000008</v>
      </c>
      <c r="I27" s="27" t="str">
        <v>PASS, Both &lt;RL</v>
      </c>
      <c r="J27" s="29">
        <v>9800.7999999999993</v>
      </c>
      <c r="K27" s="29">
        <v>84.277999999999992</v>
      </c>
      <c r="L27" s="29">
        <v>88.637999999999991</v>
      </c>
      <c r="M27" s="29">
        <v>9221.18</v>
      </c>
      <c r="N27" s="21" t="str">
        <v>N.A.</v>
      </c>
      <c r="O27" s="21" t="str">
        <v>N.A.</v>
      </c>
    </row>
    <row r="28" spans="2:15" x14ac:dyDescent="0.25">
      <c r="B28" s="21" t="s">
        <v>182</v>
      </c>
      <c r="C28" s="21" t="str">
        <f>CODES!$A$17</f>
      </c>
      <c r="D28" s="21" t="str" cm="1">
        <f t="array" ref="D28:O28">TRANSPOSE('BATCH VERIFICATION'!AR96:AR107)</f>
      </c>
      <c r="E28" s="29">
        <v>100.1</v>
      </c>
      <c r="F28" s="29">
        <v>100.03999999999999</v>
      </c>
      <c r="G28" s="29" t="str">
        <v>PASS</v>
      </c>
      <c r="H28" s="29">
        <v>102.49999999999999</v>
      </c>
      <c r="I28" s="27" t="str">
        <v>PASS, Both &lt;RL</v>
      </c>
      <c r="J28" s="29">
        <v>102.3</v>
      </c>
      <c r="K28" s="29">
        <v>99.199999999999989</v>
      </c>
      <c r="L28" s="29">
        <v>95.3</v>
      </c>
      <c r="M28" s="29">
        <v>99.98</v>
      </c>
      <c r="N28" s="21" t="str">
        <v>N.A.</v>
      </c>
      <c r="O28" s="21" t="str">
        <v>N.A.</v>
      </c>
    </row>
    <row r="29" spans="2:15" x14ac:dyDescent="0.25">
      <c r="B29" s="21" t="s">
        <v>150</v>
      </c>
      <c r="C29" s="21" t="str">
        <f>CODES!$A$17</f>
      </c>
      <c r="D29" s="21" t="str" cm="1">
        <f t="array" ref="D29:O29">TRANSPOSE('BATCH VERIFICATION'!AS96:AS107)</f>
      </c>
      <c r="E29" s="29">
        <v>102.46</v>
      </c>
      <c r="F29" s="29">
        <v>102.86</v>
      </c>
      <c r="G29" s="29" t="str">
        <v>PASS</v>
      </c>
      <c r="H29" s="29">
        <v>100.59999999999998</v>
      </c>
      <c r="I29" s="27">
        <v>0.20631067961164123</v>
      </c>
      <c r="J29" s="29">
        <v>112.19999999999996</v>
      </c>
      <c r="K29" s="29">
        <v>97.199999999999989</v>
      </c>
      <c r="L29" s="29">
        <v>135.1</v>
      </c>
      <c r="M29" s="29">
        <v>102.51999999999998</v>
      </c>
      <c r="N29" s="21" t="str">
        <v>N.A.</v>
      </c>
      <c r="O29" s="21" t="str">
        <v>N.A.</v>
      </c>
    </row>
    <row r="30" spans="2:15" x14ac:dyDescent="0.25">
      <c r="B30" s="21" t="s">
        <v>183</v>
      </c>
      <c r="C30" s="21" t="str">
        <f>CODES!$A$17</f>
      </c>
      <c r="D30" s="21" t="str" cm="1">
        <f t="array" ref="D30:O30">TRANSPOSE('BATCH VERIFICATION'!AT96:AT107)</f>
      </c>
      <c r="E30" s="29">
        <v>101.1</v>
      </c>
      <c r="F30" s="29">
        <v>100.64</v>
      </c>
      <c r="G30" s="29" t="str">
        <v>PASS</v>
      </c>
      <c r="H30" s="29">
        <v>102.69999999999999</v>
      </c>
      <c r="I30" s="27">
        <v>8.2191780821917781</v>
      </c>
      <c r="J30" s="29">
        <v>101.89999999999999</v>
      </c>
      <c r="K30" s="29">
        <v>99.699999999999989</v>
      </c>
      <c r="L30" s="29">
        <v>95.8</v>
      </c>
      <c r="M30" s="29">
        <v>99.88</v>
      </c>
      <c r="N30" s="21" t="str">
        <v>N.A.</v>
      </c>
      <c r="O30" s="21" t="str">
        <v>N.A.</v>
      </c>
    </row>
    <row r="31" spans="2:15" x14ac:dyDescent="0.25">
      <c r="B31" s="21" t="s">
        <v>184</v>
      </c>
      <c r="C31" s="21" t="str">
        <f>CODES!$A$17</f>
      </c>
      <c r="D31" s="21" t="str" cm="1">
        <f t="array" ref="D31:O31">TRANSPOSE('BATCH VERIFICATION'!AX96:AX107)</f>
      </c>
      <c r="E31" s="29">
        <v>100.12</v>
      </c>
      <c r="F31" s="29">
        <v>100.27999999999999</v>
      </c>
      <c r="G31" s="29" t="str">
        <v>PASS</v>
      </c>
      <c r="H31" s="29">
        <v>102.4</v>
      </c>
      <c r="I31" s="27" t="str">
        <v>PASS, Both &lt;RL</v>
      </c>
      <c r="J31" s="29">
        <v>102.3</v>
      </c>
      <c r="K31" s="29">
        <v>101.2</v>
      </c>
      <c r="L31" s="29">
        <v>102.8</v>
      </c>
      <c r="M31" s="29">
        <v>101.1</v>
      </c>
      <c r="N31" s="21" t="str">
        <v>N.A.</v>
      </c>
      <c r="O31" s="21" t="str">
        <v>N.A.</v>
      </c>
    </row>
    <row r="32" spans="2:15" x14ac:dyDescent="0.25">
      <c r="B32" s="21" t="s">
        <v>151</v>
      </c>
      <c r="C32" s="21" t="str">
        <f>CODES!$A$17</f>
      </c>
      <c r="D32" s="21" t="str" cm="1">
        <f t="array" ref="D32:O32">TRANSPOSE('BATCH VERIFICATION'!AZ96:AZ107)</f>
      </c>
      <c r="E32" s="29">
        <v>101.98</v>
      </c>
      <c r="F32" s="29">
        <v>101.89999999999999</v>
      </c>
      <c r="G32" s="29" t="str">
        <v>PASS</v>
      </c>
      <c r="H32" s="29">
        <v>104.4</v>
      </c>
      <c r="I32" s="27">
        <v>0.14165261382800262</v>
      </c>
      <c r="J32" s="29" t="str">
        <v>Spike &lt; 30% of Sample Matrix</v>
      </c>
      <c r="K32" s="29">
        <v>99.9</v>
      </c>
      <c r="L32" s="29">
        <v>98.3</v>
      </c>
      <c r="M32" s="29">
        <v>100.78</v>
      </c>
      <c r="N32" s="21" t="str">
        <v>N.A.</v>
      </c>
      <c r="O32" s="21" t="str">
        <v>N.A.</v>
      </c>
    </row>
    <row r="33" spans="2:15" x14ac:dyDescent="0.25">
      <c r="B33" s="21" t="s">
        <v>152</v>
      </c>
      <c r="C33" s="21" t="str">
        <f>CODES!$A$17</f>
      </c>
      <c r="D33" s="21" t="str" cm="1">
        <f t="array" ref="D33:O33">TRANSPOSE('BATCH VERIFICATION'!BB96:BB107)</f>
      </c>
      <c r="E33" s="29">
        <v>100.82</v>
      </c>
      <c r="F33" s="29">
        <v>100.67999999999999</v>
      </c>
      <c r="G33" s="29" t="str">
        <v>PASS</v>
      </c>
      <c r="H33" s="29">
        <v>101.99999999999999</v>
      </c>
      <c r="I33" s="27">
        <v>0</v>
      </c>
      <c r="J33" s="29">
        <v>101.49999999999999</v>
      </c>
      <c r="K33" s="29">
        <v>98.6</v>
      </c>
      <c r="L33" s="29">
        <v>96.899999999999991</v>
      </c>
      <c r="M33" s="29">
        <v>99.26</v>
      </c>
      <c r="N33" s="21" t="str">
        <v>N.A.</v>
      </c>
      <c r="O33" s="21" t="str">
        <v>N.A.</v>
      </c>
    </row>
    <row r="34" spans="2:15" x14ac:dyDescent="0.25">
      <c r="B34" s="21" t="s">
        <v>153</v>
      </c>
      <c r="C34" s="21" t="str">
        <f>CODES!$A$17</f>
      </c>
      <c r="D34" s="21" t="str" cm="1">
        <f t="array" ref="D34:O34">TRANSPOSE('BATCH VERIFICATION'!BD96:BD107)</f>
      </c>
      <c r="E34" s="29">
        <v>100</v>
      </c>
      <c r="F34" s="29">
        <v>100.32000000000001</v>
      </c>
      <c r="G34" s="29" t="str">
        <v>PASS</v>
      </c>
      <c r="H34" s="29">
        <v>104.99999999999999</v>
      </c>
      <c r="I34" s="27">
        <v>11.32075471698113</v>
      </c>
      <c r="J34" s="29">
        <v>106.3</v>
      </c>
      <c r="K34" s="29">
        <v>102.8</v>
      </c>
      <c r="L34" s="29">
        <v>99.5</v>
      </c>
      <c r="M34" s="29">
        <v>104.03999999999999</v>
      </c>
      <c r="N34" s="21" t="str">
        <v>N.A.</v>
      </c>
      <c r="O34" s="21" t="str">
        <v>N.A.</v>
      </c>
    </row>
    <row r="35" spans="2:15" x14ac:dyDescent="0.25">
      <c r="B35" s="21" t="s">
        <v>154</v>
      </c>
      <c r="C35" s="21" t="str">
        <f>CODES!$A$17</f>
      </c>
      <c r="D35" s="21" t="str" cm="1">
        <f t="array" ref="D35:O35">TRANSPOSE('BATCH VERIFICATION'!BG96:BG107)</f>
      </c>
      <c r="E35" s="29">
        <v>102.56</v>
      </c>
      <c r="F35" s="29">
        <v>103.2</v>
      </c>
      <c r="G35" s="29" t="str">
        <v>FAIL</v>
      </c>
      <c r="H35" s="29">
        <v>102.3</v>
      </c>
      <c r="I35" s="27">
        <v>0.71572028482746242</v>
      </c>
      <c r="J35" s="29" t="str">
        <v>Spike &lt; 30% of Sample Matrix</v>
      </c>
      <c r="K35" s="29">
        <v>100.1</v>
      </c>
      <c r="L35" s="29">
        <v>135</v>
      </c>
      <c r="M35" s="29">
        <v>101.08</v>
      </c>
      <c r="N35" s="21" t="str">
        <v>&lt;10% Matrix</v>
      </c>
      <c r="O35" s="21" t="str">
        <v>&gt;2.2X RL</v>
      </c>
    </row>
    <row r="36" spans="2:15" x14ac:dyDescent="0.25">
      <c r="B36" s="21" t="s">
        <v>185</v>
      </c>
      <c r="C36" s="21" t="str">
        <f>CODES!$A$17</f>
      </c>
      <c r="D36" s="21" t="str" cm="1">
        <f t="array" ref="D36:O36">TRANSPOSE('BATCH VERIFICATION'!BI96:BI107)</f>
      </c>
      <c r="E36" s="29">
        <v>97.22</v>
      </c>
      <c r="F36" s="29">
        <v>97.02</v>
      </c>
      <c r="G36" s="29" t="str">
        <v>PASS</v>
      </c>
      <c r="H36" s="29">
        <v>77.899999999999991</v>
      </c>
      <c r="I36" s="27" t="str">
        <v>PASS, Both &lt;RL</v>
      </c>
      <c r="J36" s="29">
        <v>79.2</v>
      </c>
      <c r="K36" s="29" t="e">
        <v>#VALUE!</v>
      </c>
      <c r="L36" s="29" t="e">
        <v>#VALUE!</v>
      </c>
      <c r="M36" s="29" t="e">
        <v>#VALUE!</v>
      </c>
      <c r="N36" s="21" t="str">
        <v>N.A.</v>
      </c>
      <c r="O36" s="21" t="str">
        <v>N.A.</v>
      </c>
    </row>
    <row r="37" spans="2:15" x14ac:dyDescent="0.25">
      <c r="B37" s="21" t="s">
        <v>186</v>
      </c>
      <c r="C37" s="21" t="str">
        <f>CODES!$A$17</f>
      </c>
      <c r="D37" s="21" t="str" cm="1">
        <f t="array" ref="D37:O37">TRANSPOSE('BATCH VERIFICATION'!BJ96:BJ107)</f>
      </c>
      <c r="E37" s="29">
        <v>99.48</v>
      </c>
      <c r="F37" s="29">
        <v>99.78</v>
      </c>
      <c r="G37" s="29" t="str">
        <v>PASS</v>
      </c>
      <c r="H37" s="29">
        <v>97.699999999999989</v>
      </c>
      <c r="I37" s="27" t="str">
        <v>PASS, Both &lt;RL</v>
      </c>
      <c r="J37" s="29">
        <v>96.899999999999991</v>
      </c>
      <c r="K37" s="29">
        <v>95.899999999999991</v>
      </c>
      <c r="L37" s="29">
        <v>92.5</v>
      </c>
      <c r="M37" s="29">
        <v>99.039999999999992</v>
      </c>
      <c r="N37" s="21" t="str">
        <v>N.A.</v>
      </c>
      <c r="O37" s="21" t="str">
        <v>N.A.</v>
      </c>
    </row>
    <row r="38" spans="2:15" x14ac:dyDescent="0.25">
      <c r="B38" s="21" t="s">
        <v>155</v>
      </c>
      <c r="C38" s="21" t="str">
        <f>CODES!$A$17</f>
      </c>
      <c r="D38" s="21" t="str" cm="1">
        <f t="array" ref="D38:O38">TRANSPOSE('BATCH VERIFICATION'!BM96:BM107)</f>
      </c>
      <c r="E38" s="29">
        <v>100.12</v>
      </c>
      <c r="F38" s="29">
        <v>100.05999999999999</v>
      </c>
      <c r="G38" s="29" t="str">
        <v>PASS</v>
      </c>
      <c r="H38" s="29">
        <v>102.89999999999999</v>
      </c>
      <c r="I38" s="27" t="str">
        <v>PASS, Both &lt;RL</v>
      </c>
      <c r="J38" s="29">
        <v>102.2</v>
      </c>
      <c r="K38" s="29">
        <v>100.59999999999998</v>
      </c>
      <c r="L38" s="29" t="e">
        <v>#VALUE!</v>
      </c>
      <c r="M38" s="29">
        <v>99.6</v>
      </c>
      <c r="N38" s="21" t="str">
        <v>N.A.</v>
      </c>
      <c r="O38" s="21" t="str">
        <v>N.A.</v>
      </c>
    </row>
    <row r="39" spans="2:15" x14ac:dyDescent="0.25">
      <c r="B39" s="21" t="s">
        <v>156</v>
      </c>
      <c r="C39" s="21" t="str">
        <f>CODES!$A$17</f>
      </c>
      <c r="D39" s="21" t="str" cm="1">
        <f t="array" ref="D39:O39">TRANSPOSE('BATCH VERIFICATION'!BP96:BP107)</f>
      </c>
      <c r="E39" s="29">
        <v>102.60000000000001</v>
      </c>
      <c r="F39" s="29">
        <v>101.36</v>
      </c>
      <c r="G39" s="29" t="str">
        <v>PASS</v>
      </c>
      <c r="H39" s="29">
        <v>104.99999999999999</v>
      </c>
      <c r="I39" s="27">
        <v>20.580474934036925</v>
      </c>
      <c r="J39" s="29">
        <v>109.89999999999999</v>
      </c>
      <c r="K39" s="29">
        <v>101.8</v>
      </c>
      <c r="L39" s="29">
        <v>105.39999999999998</v>
      </c>
      <c r="M39" s="29">
        <v>98.98</v>
      </c>
      <c r="N39" s="21" t="str">
        <v>N.A.</v>
      </c>
      <c r="O39" s="21" t="str">
        <v>N.A.</v>
      </c>
    </row>
    <row r="40" spans="2:15" x14ac:dyDescent="0.25">
      <c r="B40" s="21" t="s">
        <v>157</v>
      </c>
      <c r="C40" s="21" t="str">
        <f>CODES!$A$17</f>
      </c>
      <c r="D40" s="21" t="str" cm="1">
        <f t="array" ref="D40:O40">TRANSPOSE('BATCH VERIFICATION'!BQ96:BQ107)</f>
      </c>
      <c r="E40" s="29">
        <v>99.58</v>
      </c>
      <c r="F40" s="29">
        <v>99.38</v>
      </c>
      <c r="G40" s="29" t="str">
        <v>PASS</v>
      </c>
      <c r="H40" s="29">
        <v>101.1</v>
      </c>
      <c r="I40" s="27" t="str">
        <v>PASS, Both &lt;RL</v>
      </c>
      <c r="J40" s="29">
        <v>100.89999999999999</v>
      </c>
      <c r="K40" s="29">
        <v>98.699999999999989</v>
      </c>
      <c r="L40" s="29">
        <v>98.699999999999989</v>
      </c>
      <c r="M40" s="29">
        <v>100</v>
      </c>
      <c r="N40" s="21" t="str">
        <v>N.A.</v>
      </c>
      <c r="O40" s="21" t="str">
        <v>N.A.</v>
      </c>
    </row>
    <row r="41" spans="2:15" x14ac:dyDescent="0.25">
      <c r="B41" s="21" t="s">
        <v>187</v>
      </c>
      <c r="C41" s="21" t="str">
        <f>CODES!$A$17</f>
      </c>
      <c r="D41" s="21" t="str" cm="1">
        <f t="array" ref="D41:O41">TRANSPOSE('BATCH VERIFICATION'!BR96:BR107)</f>
      </c>
      <c r="E41" s="29">
        <v>97.22</v>
      </c>
      <c r="F41" s="29">
        <v>97.34</v>
      </c>
      <c r="G41" s="29" t="str">
        <v>PASS</v>
      </c>
      <c r="H41" s="29">
        <v>96.199999999999989</v>
      </c>
      <c r="I41" s="27" t="str">
        <v>PASS, Both &lt;RL</v>
      </c>
      <c r="J41" s="29">
        <v>98.8</v>
      </c>
      <c r="K41" s="29">
        <v>99.5</v>
      </c>
      <c r="L41" s="29">
        <v>116.9</v>
      </c>
      <c r="M41" s="29">
        <v>102.67999999999999</v>
      </c>
      <c r="N41" s="21" t="str">
        <v>N.A.</v>
      </c>
      <c r="O41" s="21" t="str">
        <v>N.A.</v>
      </c>
    </row>
    <row r="42" spans="2:15" x14ac:dyDescent="0.25">
      <c r="B42" s="21" t="s">
        <v>158</v>
      </c>
      <c r="C42" s="21" t="str">
        <f>CODES!$A$17</f>
      </c>
      <c r="D42" s="21" t="str" cm="1">
        <f t="array" ref="D42:O42">TRANSPOSE('BATCH VERIFICATION'!BT96:BT107)</f>
      </c>
      <c r="E42" s="29">
        <v>98.72</v>
      </c>
      <c r="F42" s="29">
        <v>100.49999999999999</v>
      </c>
      <c r="G42" s="29" t="str">
        <v>PASS</v>
      </c>
      <c r="H42" s="29">
        <v>103.59999999999998</v>
      </c>
      <c r="I42" s="27">
        <v>0.22186193361208381</v>
      </c>
      <c r="J42" s="29" t="str">
        <v>Spike &lt; 30% of Sample Matrix</v>
      </c>
      <c r="K42" s="29">
        <v>96.699999999999989</v>
      </c>
      <c r="L42" s="29">
        <v>90.999999999999986</v>
      </c>
      <c r="M42" s="29">
        <v>97.78</v>
      </c>
      <c r="N42" s="21" t="str">
        <v>N.A.</v>
      </c>
      <c r="O42" s="21" t="str">
        <v>N.A.</v>
      </c>
    </row>
    <row r="43" spans="2:15" x14ac:dyDescent="0.25">
      <c r="B43" s="21" t="s">
        <v>159</v>
      </c>
      <c r="C43" s="21" t="str">
        <f>CODES!$A$17</f>
      </c>
      <c r="D43" s="21" t="str" cm="1">
        <f t="array" ref="D43:O43">TRANSPOSE('BATCH VERIFICATION'!BU96:BU107)</f>
      </c>
      <c r="E43" s="29">
        <v>97.5</v>
      </c>
      <c r="F43" s="29">
        <v>98.32</v>
      </c>
      <c r="G43" s="29" t="str">
        <v>PASS</v>
      </c>
      <c r="H43" s="29">
        <v>99.5</v>
      </c>
      <c r="I43" s="27" t="str">
        <v>PASS, Both &lt;RL</v>
      </c>
      <c r="J43" s="29">
        <v>101.99999999999999</v>
      </c>
      <c r="K43" s="29">
        <v>95.399999999999991</v>
      </c>
      <c r="L43" s="29">
        <v>98.6</v>
      </c>
      <c r="M43" s="29">
        <v>98.94</v>
      </c>
      <c r="N43" s="21" t="str">
        <v>N.A.</v>
      </c>
      <c r="O43" s="21" t="str">
        <v>N.A.</v>
      </c>
    </row>
    <row r="44" spans="2:15" x14ac:dyDescent="0.25">
      <c r="B44" s="21" t="s">
        <v>160</v>
      </c>
      <c r="C44" s="21" t="str">
        <f>CODES!$A$17</f>
      </c>
      <c r="D44" s="21" t="str" cm="1">
        <f t="array" ref="D44:O44">TRANSPOSE('BATCH VERIFICATION'!BY96:BY107)</f>
      </c>
      <c r="E44" s="29">
        <v>100.8</v>
      </c>
      <c r="F44" s="29">
        <v>102.14000000000001</v>
      </c>
      <c r="G44" s="29" t="str">
        <v>PASS</v>
      </c>
      <c r="H44" s="29">
        <v>100.4</v>
      </c>
      <c r="I44" s="27" t="str">
        <v>PASS, Both &lt;RL</v>
      </c>
      <c r="J44" s="29">
        <v>99.699999999999989</v>
      </c>
      <c r="K44" s="29">
        <v>95.1</v>
      </c>
      <c r="L44" s="29">
        <v>77.899999999999991</v>
      </c>
      <c r="M44" s="29">
        <v>99.2</v>
      </c>
      <c r="N44" s="21" t="str">
        <v>N.A.</v>
      </c>
      <c r="O44" s="21" t="str">
        <v>N.A.</v>
      </c>
    </row>
    <row r="45" spans="2:15" x14ac:dyDescent="0.25">
      <c r="B45" s="21" t="s">
        <v>188</v>
      </c>
      <c r="C45" s="21" t="str">
        <f>CODES!$A$17</f>
      </c>
      <c r="D45" s="21" t="str" cm="1">
        <f t="array" ref="D45:O45">TRANSPOSE('BATCH VERIFICATION'!CA96:CA107)</f>
      </c>
      <c r="E45" s="29">
        <v>99.94</v>
      </c>
      <c r="F45" s="29">
        <v>100.24</v>
      </c>
      <c r="G45" s="29" t="str">
        <v>FAIL</v>
      </c>
      <c r="H45" s="29">
        <v>100.4</v>
      </c>
      <c r="I45" s="27" t="e">
        <v>#VALUE!</v>
      </c>
      <c r="J45" s="29" t="str">
        <v>Spike &lt; 30% of Sample Matrix</v>
      </c>
      <c r="K45" s="29">
        <v>100</v>
      </c>
      <c r="L45" s="29">
        <v>91.899999999999991</v>
      </c>
      <c r="M45" s="29">
        <v>103.42</v>
      </c>
      <c r="N45" s="21" t="e">
        <v>#VALUE!</v>
      </c>
      <c r="O45" s="21" t="str">
        <v>&gt;2.2X RL</v>
      </c>
    </row>
    <row r="46" spans="2:15" x14ac:dyDescent="0.25">
      <c r="B46" s="21" t="s">
        <v>189</v>
      </c>
      <c r="C46" s="21" t="str">
        <f>CODES!$A$17</f>
      </c>
      <c r="D46" s="21" t="str" cm="1">
        <f t="array" ref="D46:O46">TRANSPOSE('BATCH VERIFICATION'!CC96:CC107)</f>
      </c>
      <c r="E46" s="29">
        <v>101.64</v>
      </c>
      <c r="F46" s="29">
        <v>102.18</v>
      </c>
      <c r="G46" s="29" t="str">
        <v>PASS</v>
      </c>
      <c r="H46" s="29">
        <v>103.2</v>
      </c>
      <c r="I46" s="27" t="str">
        <v>PASS, Both &lt;RL</v>
      </c>
      <c r="J46" s="29">
        <v>102.99999999999999</v>
      </c>
      <c r="K46" s="29">
        <v>98.8</v>
      </c>
      <c r="L46" s="29">
        <v>99.1</v>
      </c>
      <c r="M46" s="29">
        <v>100.29999999999998</v>
      </c>
      <c r="N46" s="21" t="str">
        <v>N.A.</v>
      </c>
      <c r="O46" s="21" t="str">
        <v>N.A.</v>
      </c>
    </row>
    <row r="47" spans="2:15" x14ac:dyDescent="0.25">
      <c r="B47" s="21" t="s">
        <v>161</v>
      </c>
      <c r="C47" s="21" t="str">
        <f>CODES!$A$17</f>
      </c>
      <c r="D47" s="21" t="str" cm="1">
        <f t="array" ref="D47:O47">TRANSPOSE('BATCH VERIFICATION'!CE96:CE107)</f>
      </c>
      <c r="E47" s="29">
        <v>101.24</v>
      </c>
      <c r="F47" s="29">
        <v>101.29999999999998</v>
      </c>
      <c r="G47" s="29" t="str">
        <v>PASS</v>
      </c>
      <c r="H47" s="29">
        <v>101.4</v>
      </c>
      <c r="I47" s="27" t="str">
        <v>PASS, Both &lt;RL</v>
      </c>
      <c r="J47" s="29">
        <v>103.3</v>
      </c>
      <c r="K47" s="29">
        <v>97.699999999999989</v>
      </c>
      <c r="L47" s="29">
        <v>97.8</v>
      </c>
      <c r="M47" s="29">
        <v>100.2</v>
      </c>
      <c r="N47" s="21" t="str">
        <v>N.A.</v>
      </c>
      <c r="O47" s="21" t="str">
        <v>N.A.</v>
      </c>
    </row>
    <row r="48" spans="2:15" x14ac:dyDescent="0.25">
      <c r="B48" s="21" t="s">
        <v>190</v>
      </c>
      <c r="C48" s="21" t="str">
        <f>CODES!$A$17</f>
      </c>
      <c r="D48" s="21" t="str" cm="1">
        <f t="array" ref="D48:O48">TRANSPOSE('BATCH VERIFICATION'!CG96:CG107)</f>
      </c>
      <c r="E48" s="29">
        <v>99.98</v>
      </c>
      <c r="F48" s="29">
        <v>100.8</v>
      </c>
      <c r="G48" s="29" t="str">
        <v>PASS</v>
      </c>
      <c r="H48" s="29">
        <v>102.69999999999999</v>
      </c>
      <c r="I48" s="27">
        <v>0</v>
      </c>
      <c r="J48" s="29">
        <v>102.69999999999999</v>
      </c>
      <c r="K48" s="29">
        <v>99.5</v>
      </c>
      <c r="L48" s="29">
        <v>99.199999999999989</v>
      </c>
      <c r="M48" s="29">
        <v>100.27999999999999</v>
      </c>
      <c r="N48" s="21" t="str">
        <v>N.A.</v>
      </c>
      <c r="O48" s="21" t="str">
        <v>N.A.</v>
      </c>
    </row>
    <row r="49" spans="2:18" x14ac:dyDescent="0.25">
      <c r="B49" s="21" t="s">
        <v>191</v>
      </c>
      <c r="C49" s="21" t="str">
        <f>CODES!$A$17</f>
      </c>
      <c r="D49" s="21" t="str" cm="1">
        <f t="array" ref="D49:O49">TRANSPOSE('BATCH VERIFICATION'!CJ96:CJ107)</f>
      </c>
      <c r="E49" s="29">
        <v>101.88</v>
      </c>
      <c r="F49" s="29">
        <v>101.36</v>
      </c>
      <c r="G49" s="29" t="str">
        <v>PASS</v>
      </c>
      <c r="H49" s="29">
        <v>62.3</v>
      </c>
      <c r="I49" s="27" t="str">
        <v>PASS, Both &lt;RL</v>
      </c>
      <c r="J49" s="29">
        <v>62.5</v>
      </c>
      <c r="K49" s="29">
        <v>87.4</v>
      </c>
      <c r="L49" s="29">
        <v>87.7</v>
      </c>
      <c r="M49" s="29">
        <v>96.38</v>
      </c>
      <c r="N49" s="21" t="str">
        <v>N.A.</v>
      </c>
      <c r="O49" s="21" t="str">
        <v>N.A.</v>
      </c>
    </row>
    <row r="50" spans="2:18" x14ac:dyDescent="0.25">
      <c r="B50" s="21" t="s">
        <v>192</v>
      </c>
      <c r="C50" s="21" t="str">
        <f>CODES!$A$17</f>
      </c>
      <c r="D50" s="21" t="str" cm="1">
        <f t="array" ref="D50:O50">TRANSPOSE('BATCH VERIFICATION'!CL96:CL107)</f>
      </c>
      <c r="E50" s="29">
        <v>101.14000000000001</v>
      </c>
      <c r="F50" s="29">
        <v>100.76</v>
      </c>
      <c r="G50" s="29" t="str">
        <v>PASS</v>
      </c>
      <c r="H50" s="29">
        <v>97.8</v>
      </c>
      <c r="I50" s="27" t="str">
        <v>PASS, Both &lt;RL</v>
      </c>
      <c r="J50" s="29">
        <v>98.4</v>
      </c>
      <c r="K50" s="29">
        <v>99.3</v>
      </c>
      <c r="L50" s="29">
        <v>116.39999999999999</v>
      </c>
      <c r="M50" s="29">
        <v>99.11999999999999</v>
      </c>
      <c r="N50" s="21" t="str">
        <v>N.A.</v>
      </c>
      <c r="O50" s="21" t="str">
        <v>N.A.</v>
      </c>
    </row>
    <row r="51" spans="2:18" x14ac:dyDescent="0.25">
      <c r="B51" s="21" t="s">
        <v>168</v>
      </c>
      <c r="C51" s="21" t="str">
        <f>CODES!$A$17</f>
      </c>
      <c r="D51" s="21" t="str" cm="1">
        <f t="array" ref="D51:O51">TRANSPOSE('BATCH VERIFICATION'!CN96:CN107)</f>
      </c>
      <c r="E51" s="29">
        <v>103.24</v>
      </c>
      <c r="F51" s="29">
        <v>103.16000000000001</v>
      </c>
      <c r="G51" s="29" t="str">
        <v>PASS</v>
      </c>
      <c r="H51" s="29">
        <v>101.1</v>
      </c>
      <c r="I51" s="27" t="str">
        <v>PASS, Both &lt;RL</v>
      </c>
      <c r="J51" s="29">
        <v>100.89999999999999</v>
      </c>
      <c r="K51" s="29">
        <v>97.5</v>
      </c>
      <c r="L51" s="29">
        <v>212.1</v>
      </c>
      <c r="M51" s="29">
        <v>100.4</v>
      </c>
      <c r="N51" s="21" t="str">
        <v>N.A.</v>
      </c>
      <c r="O51" s="21" t="str">
        <v>N.A.</v>
      </c>
    </row>
    <row r="52" spans="2:18" x14ac:dyDescent="0.25">
      <c r="B52" s="21" t="s">
        <v>193</v>
      </c>
      <c r="C52" s="21" t="str">
        <f>CODES!$A$17</f>
      </c>
      <c r="D52" s="21" t="str" cm="1">
        <f t="array" ref="D52:O52">TRANSPOSE('BATCH VERIFICATION'!CO96:CO107)</f>
      </c>
      <c r="E52" s="29">
        <v>99.8</v>
      </c>
      <c r="F52" s="29">
        <v>100.18</v>
      </c>
      <c r="G52" s="29" t="str">
        <v>PASS</v>
      </c>
      <c r="H52" s="29">
        <v>99.4</v>
      </c>
      <c r="I52" s="27" t="str">
        <v>PASS, Both &lt;RL</v>
      </c>
      <c r="J52" s="29">
        <v>99.4</v>
      </c>
      <c r="K52" s="29">
        <v>98</v>
      </c>
      <c r="L52" s="29">
        <v>96</v>
      </c>
      <c r="M52" s="29">
        <v>96.98</v>
      </c>
      <c r="N52" s="21" t="str">
        <v>N.A.</v>
      </c>
      <c r="O52" s="21" t="str">
        <v>N.A.</v>
      </c>
    </row>
    <row r="53" spans="2:18" x14ac:dyDescent="0.25">
      <c r="B53" s="21" t="s">
        <v>167</v>
      </c>
      <c r="C53" s="21" t="str">
        <f>CODES!$A$17</f>
      </c>
      <c r="D53" s="21" t="str" cm="1">
        <f t="array" ref="D53:O53">TRANSPOSE('BATCH VERIFICATION'!CQ96:CQ107)</f>
      </c>
      <c r="E53" s="29">
        <v>100.47999999999999</v>
      </c>
      <c r="F53" s="29">
        <v>100.6</v>
      </c>
      <c r="G53" s="29" t="str">
        <v>PASS</v>
      </c>
      <c r="H53" s="29">
        <v>99.3</v>
      </c>
      <c r="I53" s="27" t="str">
        <v>PASS, Both &lt;RL</v>
      </c>
      <c r="J53" s="29">
        <v>101.29999999999998</v>
      </c>
      <c r="K53" s="29">
        <v>94.899999999999991</v>
      </c>
      <c r="L53" s="29">
        <v>93</v>
      </c>
      <c r="M53" s="29">
        <v>99.08</v>
      </c>
      <c r="N53" s="21" t="str">
        <v>N.A.</v>
      </c>
      <c r="O53" s="21" t="str">
        <v>N.A.</v>
      </c>
    </row>
    <row r="54" spans="2:18" x14ac:dyDescent="0.25">
      <c r="B54" s="21" t="s">
        <v>194</v>
      </c>
      <c r="C54" s="21" t="str">
        <f>CODES!$A$17</f>
      </c>
      <c r="D54" s="21" t="str" cm="1">
        <f t="array" ref="D54:O54">TRANSPOSE('BATCH VERIFICATION'!CT96:CT107)</f>
      </c>
      <c r="E54" s="29">
        <v>111.33999999999999</v>
      </c>
      <c r="F54" s="29">
        <v>111.75999999999999</v>
      </c>
      <c r="G54" s="29" t="str">
        <v>PASS</v>
      </c>
      <c r="H54" s="29">
        <v>107.59999999999998</v>
      </c>
      <c r="I54" s="27" t="str">
        <v>PASS, Both &lt;RL</v>
      </c>
      <c r="J54" s="29">
        <v>108.7</v>
      </c>
      <c r="K54" s="29">
        <v>102.3</v>
      </c>
      <c r="L54" s="29">
        <v>97.199999999999989</v>
      </c>
      <c r="M54" s="29">
        <v>108.96</v>
      </c>
      <c r="N54" s="21" t="str">
        <v>N.A.</v>
      </c>
      <c r="O54" s="21" t="str">
        <v>N.A.</v>
      </c>
      <c r="R54" s="69" t="s">
        <v>437</v>
      </c>
    </row>
    <row r="55" spans="2:18" x14ac:dyDescent="0.25">
      <c r="B55" s="21" t="s">
        <v>162</v>
      </c>
      <c r="C55" s="21" t="str">
        <f>CODES!$A$17</f>
      </c>
      <c r="D55" s="21" t="str" cm="1">
        <f t="array" ref="D55:O55">TRANSPOSE('BATCH VERIFICATION'!CW96:CW107)</f>
      </c>
      <c r="E55" s="29">
        <v>100.64</v>
      </c>
      <c r="F55" s="29">
        <v>100.58</v>
      </c>
      <c r="G55" s="29" t="str">
        <v>PASS</v>
      </c>
      <c r="H55" s="29">
        <v>100.1</v>
      </c>
      <c r="I55" s="27" t="str">
        <v>PASS, Both &lt;RL</v>
      </c>
      <c r="J55" s="29">
        <v>99.9</v>
      </c>
      <c r="K55" s="29">
        <v>92.3</v>
      </c>
      <c r="L55" s="29">
        <v>303.39999999999998</v>
      </c>
      <c r="M55" s="29">
        <v>99.2</v>
      </c>
      <c r="N55" s="21" t="str">
        <v>N.A.</v>
      </c>
      <c r="O55" s="21" t="str">
        <v>N.A.</v>
      </c>
      <c r="R55" s="42"/>
    </row>
    <row r="56" spans="2:18" x14ac:dyDescent="0.25">
      <c r="B56" s="21" t="s">
        <v>163</v>
      </c>
      <c r="C56" s="21" t="str">
        <f>CODES!$A$17</f>
      </c>
      <c r="D56" s="21" t="str" cm="1">
        <f t="array" ref="D56:O56">TRANSPOSE('BATCH VERIFICATION'!CX96:CX107)</f>
      </c>
      <c r="E56" s="29">
        <v>101.2</v>
      </c>
      <c r="F56" s="29">
        <v>101.25999999999999</v>
      </c>
      <c r="G56" s="29" t="str">
        <v>PASS</v>
      </c>
      <c r="H56" s="29">
        <v>102.8</v>
      </c>
      <c r="I56" s="27">
        <v>200</v>
      </c>
      <c r="J56" s="29">
        <v>103.69999999999999</v>
      </c>
      <c r="K56" s="29">
        <v>99.6</v>
      </c>
      <c r="L56" s="29">
        <v>104.4</v>
      </c>
      <c r="M56" s="29">
        <v>100.74000000000001</v>
      </c>
      <c r="N56" s="21" t="str">
        <v>N.A.</v>
      </c>
      <c r="O56" s="21" t="str">
        <v>N.A.</v>
      </c>
      <c r="R56" s="70" t="s">
        <v>438</v>
      </c>
    </row>
    <row r="57" spans="2:18" x14ac:dyDescent="0.25">
      <c r="B57" s="21" t="s">
        <v>195</v>
      </c>
      <c r="C57" s="21" t="str">
        <f>CODES!$A$17</f>
      </c>
      <c r="D57" s="21" t="str" cm="1">
        <f t="array" ref="D57:O57">TRANSPOSE('BATCH VERIFICATION'!CZ96:CZ107)</f>
      </c>
      <c r="E57" s="29">
        <v>99.52</v>
      </c>
      <c r="F57" s="29">
        <v>99.32</v>
      </c>
      <c r="G57" s="29" t="str">
        <v>PASS</v>
      </c>
      <c r="H57" s="29">
        <v>94.5</v>
      </c>
      <c r="I57" s="27" t="str">
        <v>PASS, Both &lt;RL</v>
      </c>
      <c r="J57" s="29">
        <v>94.1</v>
      </c>
      <c r="K57" s="29">
        <v>92.7</v>
      </c>
      <c r="L57" s="29">
        <v>92.1</v>
      </c>
      <c r="M57" s="29">
        <v>97.56</v>
      </c>
      <c r="N57" s="21" t="str">
        <v>N.A.</v>
      </c>
      <c r="O57" s="21" t="str">
        <v>N.A.</v>
      </c>
      <c r="R57" s="42" t="s">
        <v>439</v>
      </c>
    </row>
    <row r="58" spans="2:18" x14ac:dyDescent="0.25">
      <c r="B58" s="21" t="s">
        <v>196</v>
      </c>
      <c r="C58" s="21" t="str">
        <f>CODES!$A$17</f>
      </c>
      <c r="D58" s="21" t="str" cm="1">
        <f t="array" ref="D58:O58">TRANSPOSE('BATCH VERIFICATION'!DD96:DD107)</f>
      </c>
      <c r="E58" s="29">
        <v>100.84</v>
      </c>
      <c r="F58" s="29">
        <v>101</v>
      </c>
      <c r="G58" s="29" t="str">
        <v>PASS</v>
      </c>
      <c r="H58" s="29">
        <v>104.2</v>
      </c>
      <c r="I58" s="27" t="str">
        <v>PASS, Both &lt;RL</v>
      </c>
      <c r="J58" s="29">
        <v>103.89999999999999</v>
      </c>
      <c r="K58" s="29">
        <v>101</v>
      </c>
      <c r="L58" s="29">
        <v>99.3</v>
      </c>
      <c r="M58" s="29">
        <v>100.64</v>
      </c>
      <c r="N58" s="21" t="str">
        <v>N.A.</v>
      </c>
      <c r="O58" s="21" t="str">
        <v>N.A.</v>
      </c>
      <c r="R58" s="70" t="s">
        <v>440</v>
      </c>
    </row>
    <row r="59" spans="2:18" x14ac:dyDescent="0.25">
      <c r="B59" s="21" t="s">
        <v>164</v>
      </c>
      <c r="C59" s="21" t="str">
        <f>CODES!$A$17</f>
      </c>
      <c r="D59" s="21" t="str" cm="1">
        <f t="array" ref="D59:O59">TRANSPOSE('BATCH VERIFICATION'!DG96:DG107)</f>
      </c>
      <c r="E59" s="29">
        <v>100.05999999999999</v>
      </c>
      <c r="F59" s="29">
        <v>100.36</v>
      </c>
      <c r="G59" s="29" t="str">
        <v>PASS</v>
      </c>
      <c r="H59" s="29">
        <v>103.2</v>
      </c>
      <c r="I59" s="27">
        <v>1.6528925619834756</v>
      </c>
      <c r="J59" s="29">
        <v>102.4</v>
      </c>
      <c r="K59" s="29">
        <v>100.49999999999999</v>
      </c>
      <c r="L59" s="29">
        <v>228.5</v>
      </c>
      <c r="M59" s="29">
        <v>100.05999999999999</v>
      </c>
      <c r="N59" s="21" t="str">
        <v>N.A.</v>
      </c>
      <c r="O59" s="21" t="str">
        <v>N.A.</v>
      </c>
      <c r="R59" s="42" t="s">
        <v>441</v>
      </c>
    </row>
    <row r="60" spans="2:18" x14ac:dyDescent="0.25">
      <c r="B60" s="21" t="s">
        <v>197</v>
      </c>
      <c r="C60" s="21" t="str">
        <f>CODES!$A$17</f>
      </c>
      <c r="D60" s="21" t="str" cm="1">
        <f t="array" ref="D60:O60">TRANSPOSE('BATCH VERIFICATION'!DI96:DI107)</f>
      </c>
      <c r="E60" s="29">
        <v>100.49999999999999</v>
      </c>
      <c r="F60" s="29">
        <v>100.76</v>
      </c>
      <c r="G60" s="29" t="str">
        <v>PASS</v>
      </c>
      <c r="H60" s="29">
        <v>99.6</v>
      </c>
      <c r="I60" s="27" t="str">
        <v>PASS, Both &lt;RL</v>
      </c>
      <c r="J60" s="29">
        <v>99.699999999999989</v>
      </c>
      <c r="K60" s="29">
        <v>96.8</v>
      </c>
      <c r="L60" s="29">
        <v>99.3</v>
      </c>
      <c r="M60" s="29">
        <v>97.82</v>
      </c>
      <c r="N60" s="21" t="str">
        <v>N.A.</v>
      </c>
      <c r="O60" s="21" t="str">
        <v>N.A.</v>
      </c>
      <c r="R60" s="70" t="s">
        <v>442</v>
      </c>
    </row>
    <row r="61" spans="2:18" x14ac:dyDescent="0.25">
      <c r="B61" s="24"/>
      <c r="C61" s="24"/>
      <c r="D61" s="25"/>
      <c r="E61" s="25"/>
      <c r="F61" s="25"/>
      <c r="G61" s="25"/>
      <c r="H61" s="25"/>
      <c r="I61" s="25"/>
      <c r="J61" s="25"/>
      <c r="K61" s="25"/>
      <c r="L61" s="25"/>
      <c r="M61" s="25"/>
      <c r="N61" s="25"/>
      <c r="O61" s="25"/>
      <c r="R61" s="42" t="s">
        <v>443</v>
      </c>
    </row>
    <row r="63" spans="2:18" x14ac:dyDescent="0.25">
      <c r="B63" s="63" t="s">
        <v>138</v>
      </c>
      <c r="C63" s="64" t="s">
        <v>137</v>
      </c>
      <c r="D63" s="64" t="s">
        <v>311</v>
      </c>
      <c r="E63" s="64" t="s">
        <v>225</v>
      </c>
      <c r="F63" s="64" t="s">
        <v>226</v>
      </c>
      <c r="G63" s="64" t="s">
        <v>316</v>
      </c>
      <c r="H63" s="64" t="s">
        <v>227</v>
      </c>
      <c r="I63" s="64" t="s">
        <v>321</v>
      </c>
      <c r="J63" s="64" t="s">
        <v>228</v>
      </c>
      <c r="K63" s="64" t="s">
        <v>232</v>
      </c>
      <c r="L63" s="64" t="s">
        <v>274</v>
      </c>
      <c r="M63" s="64" t="s">
        <v>231</v>
      </c>
      <c r="N63" s="64" t="s">
        <v>313</v>
      </c>
      <c r="O63" s="65" t="s">
        <v>314</v>
      </c>
      <c r="P63" s="64" t="s">
        <v>341</v>
      </c>
    </row>
    <row r="64" spans="2:18" hidden="1" x14ac:dyDescent="0.25">
      <c r="B64" s="61" t="str">
        <f t="shared" ref="B64:O79" si="0">B8</f>
      </c>
      <c r="C64" s="6" t="str">
        <f t="shared" si="0"/>
      </c>
      <c r="D64" s="6" t="str">
        <f t="shared" si="0"/>
      </c>
      <c r="E64" s="6" t="str">
        <f>IF(AND(E8&gt;=CODES!$C$34,E8&lt;=CODES!$D$34),"PASS","FAIL")</f>
      </c>
      <c r="F64" s="6" t="str">
        <f>IF(AND(F8&gt;=CODES!$C$35,F8&lt;=CODES!$D$35),"PASS","FAIL")</f>
      </c>
      <c r="G64" s="6" t="str">
        <f t="shared" si="0"/>
      </c>
      <c r="H64" s="6" t="str">
        <f>IF(AND(H8&gt;=CODES!$C$37,H8&lt;=CODES!$D$37),"PASS","FAIL")</f>
      </c>
      <c r="I64" s="6" t="str">
        <f>IF(ISTEXT(I8),I8,IF(ISERROR(I8),"CHECK DUP",IF(I8&gt;CODES!$B$39,"FAIL","PASS")))</f>
      </c>
      <c r="J64" s="6" t="str">
        <f>IF(AND(J8&gt;=CODES!$C$41,J8&lt;=CODES!$D$41),"PASS","FAIL")</f>
      </c>
      <c r="K64" s="6" t="str">
        <f>IF(AND(K8&gt;=CODES!$C$42,K8&lt;=CODES!$D$42),"PASS","FAIL")</f>
      </c>
      <c r="L64" s="6" t="str">
        <f>IF(AND(L8&gt;=CODES!$C$43,L8&lt;=CODES!$D$43),"PASS","FAIL")</f>
      </c>
      <c r="M64" s="6" t="str">
        <f>IF(AND(M8&gt;=CODES!$C$44,M8&lt;=CODES!$D$44),"PASS","FAIL")</f>
      </c>
      <c r="N64" s="6" t="str">
        <f t="shared" ref="N64:N116" si="1">IF(ISERROR(N8),"Over-range Error",N8)</f>
      </c>
      <c r="O64" s="62" t="str">
        <f t="shared" si="0"/>
      </c>
      <c r="P64" s="64"/>
    </row>
    <row r="65" spans="2:16" x14ac:dyDescent="0.25">
      <c r="B65" s="61" t="str">
        <f t="shared" si="0"/>
      </c>
      <c r="C65" s="6" t="str">
        <f t="shared" si="0"/>
      </c>
      <c r="D65" s="6" t="str">
        <f t="shared" si="0"/>
      </c>
      <c r="E65" s="6" t="str">
        <f>IF(AND(E9&gt;=CODES!$C$34,E9&lt;=CODES!$D$34),"PASS","FAIL")</f>
      </c>
      <c r="F65" s="6" t="str">
        <f>IF(AND(F9&gt;=CODES!$C$35,F9&lt;=CODES!$D$35),"PASS","FAIL")</f>
      </c>
      <c r="G65" s="6" t="str">
        <f t="shared" si="0"/>
      </c>
      <c r="H65" s="6" t="str">
        <f>IF(AND(H9&gt;=CODES!$C$37,H9&lt;=CODES!$D$37),"PASS","FAIL")</f>
      </c>
      <c r="I65" s="6" t="str">
        <f>IF(ISTEXT(I9),I9,IF(ISERROR(I9),"CHECK DUP",IF(I9&gt;CODES!$B$39,"FAIL","PASS")))</f>
      </c>
      <c r="J65" s="6" t="str">
        <f>IF(AND(J9&gt;=CODES!$C$41,J9&lt;=CODES!$D$41),"PASS","FAIL")</f>
      </c>
      <c r="K65" s="6" t="str">
        <f>IF(AND(K9&gt;=CODES!$C$42,K9&lt;=CODES!$D$42),"PASS","FAIL")</f>
      </c>
      <c r="L65" s="6" t="s">
        <v>325</v>
      </c>
      <c r="M65" s="6" t="str">
        <f>IF(AND(M9&gt;=CODES!$C$44,M9&lt;=CODES!$D$44),"PASS","FAIL")</f>
      </c>
      <c r="N65" s="6" t="str">
        <f t="shared" si="1"/>
      </c>
      <c r="O65" s="62" t="str">
        <f t="shared" si="0"/>
      </c>
      <c r="P65" s="6"/>
    </row>
    <row r="66" spans="2:16" x14ac:dyDescent="0.25">
      <c r="B66" s="61" t="str">
        <f t="shared" si="0"/>
      </c>
      <c r="C66" s="6" t="str">
        <f t="shared" si="0"/>
      </c>
      <c r="D66" s="6" t="str">
        <f t="shared" si="0"/>
      </c>
      <c r="E66" s="6" t="str">
        <f>IF(AND(E10&gt;=CODES!$C$34,E10&lt;=CODES!$D$34),"PASS","FAIL")</f>
      </c>
      <c r="F66" s="6" t="str">
        <f>IF(AND(F10&gt;=CODES!$C$35,F10&lt;=CODES!$D$35),"PASS","FAIL")</f>
      </c>
      <c r="G66" s="6" t="str">
        <f t="shared" si="0"/>
      </c>
      <c r="H66" s="6" t="str">
        <f>IF(AND(H10&gt;=CODES!$C$37,H10&lt;=CODES!$D$37),"PASS","FAIL")</f>
      </c>
      <c r="I66" s="6" t="str">
        <f>IF(ISTEXT(I10),I10,IF(ISERROR(I10),"CHECK DUP",IF(I10&gt;CODES!$B$39,"FAIL","PASS")))</f>
      </c>
      <c r="J66" s="6" t="str">
        <f>IF(AND(J10&gt;=CODES!$C$41,J10&lt;=CODES!$D$41),"PASS","FAIL")</f>
      </c>
      <c r="K66" s="6" t="str">
        <f>IF(AND(K10&gt;=CODES!$C$42,K10&lt;=CODES!$D$42),"PASS","FAIL")</f>
      </c>
      <c r="L66" s="6" t="str">
        <f>IF(AND(L10&gt;=CODES!$C$43,L10&lt;=CODES!$D$43),"PASS","FAIL")</f>
      </c>
      <c r="M66" s="6" t="str">
        <f>IF(AND(M10&gt;=CODES!$C$44,M10&lt;=CODES!$D$44),"PASS","FAIL")</f>
      </c>
      <c r="N66" s="6" t="str">
        <f t="shared" si="1"/>
      </c>
      <c r="O66" s="62" t="str">
        <f t="shared" si="0"/>
      </c>
      <c r="P66" s="6"/>
    </row>
    <row r="67" spans="2:16" x14ac:dyDescent="0.25">
      <c r="B67" s="61" t="str">
        <f t="shared" si="0"/>
      </c>
      <c r="C67" s="6" t="str">
        <f t="shared" si="0"/>
      </c>
      <c r="D67" s="6" t="str">
        <f t="shared" si="0"/>
      </c>
      <c r="E67" s="6" t="str">
        <f>IF(AND(E11&gt;=CODES!$C$34,E11&lt;=CODES!$D$34),"PASS","FAIL")</f>
      </c>
      <c r="F67" s="6" t="str">
        <f>IF(AND(F11&gt;=CODES!$C$35,F11&lt;=CODES!$D$35),"PASS","FAIL")</f>
      </c>
      <c r="G67" s="6" t="str">
        <f t="shared" si="0"/>
      </c>
      <c r="H67" s="6" t="str">
        <f>IF(AND(H11&gt;=CODES!$C$37,H11&lt;=CODES!$D$37),"PASS","FAIL")</f>
      </c>
      <c r="I67" s="6" t="str">
        <f>IF(ISTEXT(I11),I11,IF(ISERROR(I11),"CHECK DUP",IF(I11&gt;CODES!$B$39,"FAIL","PASS")))</f>
      </c>
      <c r="J67" s="6" t="str">
        <f>IF(AND(J11&gt;=CODES!$C$41,J11&lt;=CODES!$D$41),"PASS","FAIL")</f>
      </c>
      <c r="K67" s="6" t="str">
        <f>IF(AND(K11&gt;=CODES!$C$42,K11&lt;=CODES!$D$42),"PASS","FAIL")</f>
      </c>
      <c r="L67" s="6" t="str">
        <f>IF(AND(L11&gt;=CODES!$C$43,L11&lt;=CODES!$D$43),"PASS","FAIL")</f>
      </c>
      <c r="M67" s="6" t="str">
        <f>IF(AND(M11&gt;=CODES!$C$44,M11&lt;=CODES!$D$44),"PASS","FAIL")</f>
      </c>
      <c r="N67" s="6" t="str">
        <f t="shared" si="1"/>
      </c>
      <c r="O67" s="62" t="str">
        <f t="shared" si="0"/>
      </c>
      <c r="P67" s="6"/>
    </row>
    <row r="68" spans="2:16" x14ac:dyDescent="0.25">
      <c r="B68" s="61" t="str">
        <f t="shared" si="0"/>
      </c>
      <c r="C68" s="6" t="str">
        <f t="shared" si="0"/>
      </c>
      <c r="D68" s="6" t="str">
        <f t="shared" si="0"/>
      </c>
      <c r="E68" s="6" t="str">
        <f>IF(AND(E12&gt;=CODES!$C$34,E12&lt;=CODES!$D$34),"PASS","FAIL")</f>
      </c>
      <c r="F68" s="6" t="str">
        <f>IF(AND(F12&gt;=CODES!$C$35,F12&lt;=CODES!$D$35),"PASS","FAIL")</f>
      </c>
      <c r="G68" s="6" t="str">
        <f t="shared" si="0"/>
      </c>
      <c r="H68" s="6" t="str">
        <f>IF(AND(H12&gt;=CODES!$C$37,H12&lt;=CODES!$D$37),"PASS","FAIL")</f>
      </c>
      <c r="I68" s="6" t="str">
        <f>IF(ISTEXT(I12),I12,IF(ISERROR(I12),"CHECK DUP",IF(I12&gt;CODES!$B$39,"FAIL","PASS")))</f>
      </c>
      <c r="J68" s="6" t="str">
        <f>IF(AND(J12&gt;=CODES!$C$41,J12&lt;=CODES!$D$41),"PASS","FAIL")</f>
      </c>
      <c r="K68" s="6" t="str">
        <f>IF(AND(K12&gt;=CODES!$C$42,K12&lt;=CODES!$D$42),"PASS","FAIL")</f>
      </c>
      <c r="L68" s="6" t="str">
        <f>IF(AND(L12&gt;=CODES!$C$43,L12&lt;=CODES!$D$43),"PASS","FAIL")</f>
      </c>
      <c r="M68" s="6" t="str">
        <f>IF(AND(M12&gt;=CODES!$C$44,M12&lt;=CODES!$D$44),"PASS","FAIL")</f>
      </c>
      <c r="N68" s="6" t="str">
        <f t="shared" si="1"/>
      </c>
      <c r="O68" s="62" t="str">
        <f t="shared" si="0"/>
      </c>
      <c r="P68" s="6"/>
    </row>
    <row r="69" spans="2:16" x14ac:dyDescent="0.25">
      <c r="B69" s="61" t="str">
        <f t="shared" si="0"/>
      </c>
      <c r="C69" s="6" t="str">
        <f t="shared" si="0"/>
      </c>
      <c r="D69" s="6" t="str">
        <f t="shared" si="0"/>
      </c>
      <c r="E69" s="6" t="str">
        <f>IF(AND(E13&gt;=CODES!$C$34,E13&lt;=CODES!$D$34),"PASS","FAIL")</f>
      </c>
      <c r="F69" s="6" t="str">
        <f>IF(AND(F13&gt;=CODES!$C$35,F13&lt;=CODES!$D$35),"PASS","FAIL")</f>
      </c>
      <c r="G69" s="6" t="str">
        <f t="shared" si="0"/>
      </c>
      <c r="H69" s="6" t="str">
        <f>IF(AND(H13&gt;=CODES!$C$37,H13&lt;=CODES!$D$37),"PASS","FAIL")</f>
      </c>
      <c r="I69" s="6" t="str">
        <f>IF(ISTEXT(I13),I13,IF(ISERROR(I13),"CHECK DUP",IF(I13&gt;CODES!$B$39,"FAIL","PASS")))</f>
      </c>
      <c r="J69" s="6" t="str">
        <f>IF(AND(J13&gt;=CODES!$C$41,J13&lt;=CODES!$D$41),"PASS","FAIL")</f>
      </c>
      <c r="K69" s="6" t="str">
        <f>IF(AND(K13&gt;=CODES!$C$42,K13&lt;=CODES!$D$42),"PASS","FAIL")</f>
      </c>
      <c r="L69" s="6" t="str">
        <f>IF(AND(L13&gt;=CODES!$C$43,L13&lt;=CODES!$D$43),"PASS","FAIL")</f>
      </c>
      <c r="M69" s="6" t="str">
        <f>IF(AND(M13&gt;=CODES!$C$44,M13&lt;=CODES!$D$44),"PASS","FAIL")</f>
      </c>
      <c r="N69" s="6" t="str">
        <f t="shared" si="1"/>
      </c>
      <c r="O69" s="62" t="str">
        <f t="shared" si="0"/>
      </c>
      <c r="P69" s="6"/>
    </row>
    <row r="70" spans="2:16" x14ac:dyDescent="0.25">
      <c r="B70" s="61" t="str">
        <f t="shared" si="0"/>
      </c>
      <c r="C70" s="6" t="str">
        <f t="shared" si="0"/>
      </c>
      <c r="D70" s="6" t="str">
        <f t="shared" si="0"/>
      </c>
      <c r="E70" s="6" t="str">
        <f>IF(AND(E14&gt;=CODES!$C$34,E14&lt;=CODES!$D$34),"PASS","FAIL")</f>
      </c>
      <c r="F70" s="6" t="str">
        <f>IF(AND(F14&gt;=CODES!$C$35,F14&lt;=CODES!$D$35),"PASS","FAIL")</f>
      </c>
      <c r="G70" s="6" t="str">
        <f t="shared" si="0"/>
      </c>
      <c r="H70" s="6" t="str">
        <f>IF(AND(H14&gt;=CODES!$C$37,H14&lt;=CODES!$D$37),"PASS","FAIL")</f>
      </c>
      <c r="I70" s="6" t="str">
        <f>IF(ISTEXT(I14),I14,IF(ISERROR(I14),"CHECK DUP",IF(I14&gt;CODES!$B$39,"FAIL","PASS")))</f>
      </c>
      <c r="J70" s="6" t="str">
        <f>IF(AND(J14&gt;=CODES!$C$41,J14&lt;=CODES!$D$41),"PASS","FAIL")</f>
      </c>
      <c r="K70" s="6" t="str">
        <f>IF(AND(K14&gt;=CODES!$C$42,K14&lt;=CODES!$D$42),"PASS","FAIL")</f>
      </c>
      <c r="L70" s="6" t="str">
        <f>IF(AND(L14&gt;=CODES!$C$43,L14&lt;=CODES!$D$43),"PASS","FAIL")</f>
      </c>
      <c r="M70" s="6" t="str">
        <f>IF(AND(M14&gt;=CODES!$C$44,M14&lt;=CODES!$D$44),"PASS","FAIL")</f>
      </c>
      <c r="N70" s="6" t="str">
        <f t="shared" si="1"/>
      </c>
      <c r="O70" s="62" t="str">
        <f t="shared" si="0"/>
      </c>
      <c r="P70" s="6" t="s">
        <v>342</v>
      </c>
    </row>
    <row r="71" spans="2:16" x14ac:dyDescent="0.25">
      <c r="B71" s="61" t="str">
        <f t="shared" si="0"/>
      </c>
      <c r="C71" s="6" t="str">
        <f t="shared" si="0"/>
      </c>
      <c r="D71" s="6" t="str">
        <f t="shared" si="0"/>
      </c>
      <c r="E71" s="6" t="str">
        <f>IF(AND(E15&gt;=CODES!$C$34,E15&lt;=CODES!$D$34),"PASS","FAIL")</f>
      </c>
      <c r="F71" s="6" t="str">
        <f>IF(AND(F15&gt;=CODES!$C$35,F15&lt;=CODES!$D$35),"PASS","FAIL")</f>
      </c>
      <c r="G71" s="6" t="str">
        <f t="shared" si="0"/>
      </c>
      <c r="H71" s="6" t="str">
        <f>IF(AND(H15&gt;=CODES!$C$37,H15&lt;=CODES!$D$37),"PASS","FAIL")</f>
      </c>
      <c r="I71" s="6" t="str">
        <f>IF(ISTEXT(I15),I15,IF(ISERROR(I15),"CHECK DUP",IF(I15&gt;CODES!$B$39,"FAIL","PASS")))</f>
      </c>
      <c r="J71" s="6" t="str">
        <f>IF(AND(J15&gt;=CODES!$C$41,J15&lt;=CODES!$D$41),"PASS","FAIL")</f>
      </c>
      <c r="K71" s="6" t="str">
        <f>IF(AND(K15&gt;=CODES!$C$42,K15&lt;=CODES!$D$42),"PASS","FAIL")</f>
      </c>
      <c r="L71" s="6" t="str">
        <f>IF(AND(L15&gt;=CODES!$C$43,L15&lt;=CODES!$D$43),"PASS","FAIL")</f>
      </c>
      <c r="M71" s="6" t="str">
        <f>IF(AND(M15&gt;=CODES!$C$44,M15&lt;=CODES!$D$44),"PASS","FAIL")</f>
      </c>
      <c r="N71" s="6" t="str">
        <f t="shared" si="1"/>
      </c>
      <c r="O71" s="62" t="str">
        <f t="shared" si="0"/>
      </c>
      <c r="P71" s="6"/>
    </row>
    <row r="72" spans="2:16" hidden="1" x14ac:dyDescent="0.25">
      <c r="B72" s="61" t="str">
        <f t="shared" si="0"/>
      </c>
      <c r="C72" s="6" t="str">
        <f t="shared" si="0"/>
      </c>
      <c r="D72" s="6" t="str">
        <f t="shared" si="0"/>
      </c>
      <c r="E72" s="6" t="str">
        <f>IF(AND(E16&gt;=CODES!$C$34,E16&lt;=CODES!$D$34),"PASS","FAIL")</f>
      </c>
      <c r="F72" s="6" t="str">
        <f>IF(AND(F16&gt;=CODES!$C$35,F16&lt;=CODES!$D$35),"PASS","FAIL")</f>
      </c>
      <c r="G72" s="6" t="str">
        <f t="shared" si="0"/>
      </c>
      <c r="H72" s="6" t="str">
        <f>IF(AND(H16&gt;=CODES!$C$37,H16&lt;=CODES!$D$37),"PASS","FAIL")</f>
      </c>
      <c r="I72" s="6" t="str">
        <f>IF(ISTEXT(I16),I16,IF(ISERROR(I16),"CHECK DUP",IF(I16&gt;CODES!$B$39,"FAIL","PASS")))</f>
      </c>
      <c r="J72" s="6" t="str">
        <f>IF(AND(J16&gt;=CODES!$C$41,J16&lt;=CODES!$D$41),"PASS","FAIL")</f>
      </c>
      <c r="K72" s="6" t="str">
        <f>IF(AND(K16&gt;=CODES!$C$42,K16&lt;=CODES!$D$42),"PASS","FAIL")</f>
      </c>
      <c r="L72" s="6" t="str">
        <f>IF(AND(L16&gt;=CODES!$C$43,L16&lt;=CODES!$D$43),"PASS","FAIL")</f>
      </c>
      <c r="M72" s="6" t="str">
        <f>IF(AND(M16&gt;=CODES!$C$44,M16&lt;=CODES!$D$44),"PASS","FAIL")</f>
      </c>
      <c r="N72" s="6" t="str">
        <f t="shared" si="1"/>
      </c>
      <c r="O72" s="62" t="str">
        <f t="shared" si="0"/>
      </c>
      <c r="P72" s="6"/>
    </row>
    <row r="73" spans="2:16" x14ac:dyDescent="0.25">
      <c r="B73" s="61" t="str">
        <f t="shared" si="0"/>
      </c>
      <c r="C73" s="6" t="str">
        <f t="shared" si="0"/>
      </c>
      <c r="D73" s="6" t="str">
        <f t="shared" si="0"/>
      </c>
      <c r="E73" s="6" t="str">
        <f>IF(AND(E17&gt;=CODES!$C$34,E17&lt;=CODES!$D$34),"PASS","FAIL")</f>
      </c>
      <c r="F73" s="6" t="str">
        <f>IF(AND(F17&gt;=CODES!$C$35,F17&lt;=CODES!$D$35),"PASS","FAIL")</f>
      </c>
      <c r="G73" s="6" t="str">
        <f t="shared" si="0"/>
      </c>
      <c r="H73" s="6" t="str">
        <f>IF(AND(H17&gt;=CODES!$C$37,H17&lt;=CODES!$D$37),"PASS","FAIL")</f>
      </c>
      <c r="I73" s="6" t="str">
        <f>IF(ISTEXT(I17),I17,IF(ISERROR(I17),"CHECK DUP",IF(I17&gt;CODES!$B$39,"FAIL","PASS")))</f>
      </c>
      <c r="J73" s="6" t="str">
        <f>IF(AND(J17&gt;=CODES!$C$41,J17&lt;=CODES!$D$41),"PASS","FAIL")</f>
      </c>
      <c r="K73" s="6" t="str">
        <f>IF(AND(K17&gt;=CODES!$C$42,K17&lt;=CODES!$D$42),"PASS","FAIL")</f>
      </c>
      <c r="L73" s="6" t="str">
        <f>IF(AND(L17&gt;=CODES!$C$43,L17&lt;=CODES!$D$43),"PASS","FAIL")</f>
      </c>
      <c r="M73" s="6" t="str">
        <f>IF(AND(M17&gt;=CODES!$C$44,M17&lt;=CODES!$D$44),"PASS","FAIL")</f>
      </c>
      <c r="N73" s="6" t="str">
        <f t="shared" si="1"/>
      </c>
      <c r="O73" s="62" t="str">
        <f t="shared" si="0"/>
      </c>
      <c r="P73" s="6"/>
    </row>
    <row r="74" spans="2:16" x14ac:dyDescent="0.25">
      <c r="B74" s="61" t="str">
        <f t="shared" si="0"/>
      </c>
      <c r="C74" s="6" t="str">
        <f t="shared" si="0"/>
      </c>
      <c r="D74" s="6" t="str">
        <f t="shared" si="0"/>
      </c>
      <c r="E74" s="6" t="str">
        <f>IF(AND(E18&gt;=CODES!$C$34,E18&lt;=CODES!$D$34),"PASS","FAIL")</f>
      </c>
      <c r="F74" s="6" t="str">
        <f>IF(AND(F18&gt;=CODES!$C$35,F18&lt;=CODES!$D$35),"PASS","FAIL")</f>
      </c>
      <c r="G74" s="6" t="str">
        <f t="shared" si="0"/>
      </c>
      <c r="H74" s="6" t="str">
        <f>IF(AND(H18&gt;=CODES!$C$37,H18&lt;=CODES!$D$37),"PASS","FAIL")</f>
      </c>
      <c r="I74" s="6" t="str">
        <f>IF(ISTEXT(I18),I18,IF(ISERROR(I18),"CHECK DUP",IF(I18&gt;CODES!$B$39,"FAIL","PASS")))</f>
      </c>
      <c r="J74" s="6" t="str">
        <f>IF(AND(J18&gt;=CODES!$C$41,J18&lt;=CODES!$D$41),"PASS","FAIL")</f>
      </c>
      <c r="K74" s="6" t="str">
        <f>IF(AND(K18&gt;=CODES!$C$42,K18&lt;=CODES!$D$42),"PASS","FAIL")</f>
      </c>
      <c r="L74" s="6" t="str">
        <f>IF(AND(L18&gt;=CODES!$C$43,L18&lt;=CODES!$D$43),"PASS","FAIL")</f>
      </c>
      <c r="M74" s="6" t="str">
        <f>IF(AND(M18&gt;=CODES!$C$44,M18&lt;=CODES!$D$44),"PASS","FAIL")</f>
      </c>
      <c r="N74" s="6" t="str">
        <f t="shared" si="1"/>
      </c>
      <c r="O74" s="62" t="str">
        <f t="shared" si="0"/>
      </c>
      <c r="P74" s="6"/>
    </row>
    <row r="75" spans="2:16" x14ac:dyDescent="0.25">
      <c r="B75" s="61" t="str">
        <f t="shared" si="0"/>
      </c>
      <c r="C75" s="6" t="str">
        <f t="shared" si="0"/>
      </c>
      <c r="D75" s="6" t="str">
        <f t="shared" si="0"/>
      </c>
      <c r="E75" s="6" t="str">
        <f>IF(AND(E19&gt;=CODES!$C$34,E19&lt;=CODES!$D$34),"PASS","FAIL")</f>
      </c>
      <c r="F75" s="6" t="str">
        <f>IF(AND(F19&gt;=CODES!$C$35,F19&lt;=CODES!$D$35),"PASS","FAIL")</f>
      </c>
      <c r="G75" s="6" t="str">
        <f t="shared" si="0"/>
      </c>
      <c r="H75" s="6" t="str">
        <f>IF(AND(H19&gt;=CODES!$C$37,H19&lt;=CODES!$D$37),"PASS","FAIL")</f>
      </c>
      <c r="I75" s="6" t="str">
        <f>IF(ISTEXT(I19),I19,IF(ISERROR(I19),"CHECK DUP",IF(I19&gt;CODES!$B$39,"FAIL","PASS")))</f>
      </c>
      <c r="J75" s="6" t="str">
        <f>IF(AND(J19&gt;=CODES!$C$41,J19&lt;=CODES!$D$41),"PASS","FAIL")</f>
      </c>
      <c r="K75" s="6" t="str">
        <f>IF(AND(K19&gt;=CODES!$C$42,K19&lt;=CODES!$D$42),"PASS","FAIL")</f>
      </c>
      <c r="L75" s="6" t="str">
        <f>IF(AND(L19&gt;=CODES!$C$43,L19&lt;=CODES!$D$43),"PASS","FAIL")</f>
      </c>
      <c r="M75" s="6" t="str">
        <f>IF(AND(M19&gt;=CODES!$C$44,M19&lt;=CODES!$D$44),"PASS","FAIL")</f>
      </c>
      <c r="N75" s="6" t="str">
        <f t="shared" si="1"/>
      </c>
      <c r="O75" s="62" t="str">
        <f t="shared" si="0"/>
      </c>
      <c r="P75" s="6"/>
    </row>
    <row r="76" spans="2:16" hidden="1" x14ac:dyDescent="0.25">
      <c r="B76" s="61" t="str">
        <f t="shared" si="0"/>
      </c>
      <c r="C76" s="6" t="str">
        <f t="shared" si="0"/>
      </c>
      <c r="D76" s="6" t="str">
        <f t="shared" si="0"/>
      </c>
      <c r="E76" s="6" t="str">
        <f>IF(AND(E20&gt;=CODES!$C$34,E20&lt;=CODES!$D$34),"PASS","FAIL")</f>
      </c>
      <c r="F76" s="6" t="str">
        <f>IF(AND(F20&gt;=CODES!$C$35,F20&lt;=CODES!$D$35),"PASS","FAIL")</f>
      </c>
      <c r="G76" s="6" t="str">
        <f t="shared" si="0"/>
      </c>
      <c r="H76" s="6" t="str">
        <f>IF(AND(H20&gt;=CODES!$C$37,H20&lt;=CODES!$D$37),"PASS","FAIL")</f>
      </c>
      <c r="I76" s="6" t="str">
        <f>IF(ISTEXT(I20),I20,IF(ISERROR(I20),"CHECK DUP",IF(I20&gt;CODES!$B$39,"FAIL","PASS")))</f>
      </c>
      <c r="J76" s="6" t="str">
        <f>IF(AND(J20&gt;=CODES!$C$41,J20&lt;=CODES!$D$41),"PASS","FAIL")</f>
      </c>
      <c r="K76" s="6" t="str">
        <f>IF(AND(K20&gt;=CODES!$C$42,K20&lt;=CODES!$D$42),"PASS","FAIL")</f>
      </c>
      <c r="L76" s="6" t="str">
        <f>IF(AND(L20&gt;=CODES!$C$43,L20&lt;=CODES!$D$43),"PASS","FAIL")</f>
      </c>
      <c r="M76" s="6" t="str">
        <f>IF(AND(M20&gt;=CODES!$C$44,M20&lt;=CODES!$D$44),"PASS","FAIL")</f>
      </c>
      <c r="N76" s="6" t="str">
        <f t="shared" si="1"/>
      </c>
      <c r="O76" s="62" t="str">
        <f t="shared" si="0"/>
      </c>
      <c r="P76" s="6"/>
    </row>
    <row r="77" spans="2:16" hidden="1" x14ac:dyDescent="0.25">
      <c r="B77" s="61" t="str">
        <f t="shared" si="0"/>
      </c>
      <c r="C77" s="6" t="str">
        <f t="shared" si="0"/>
      </c>
      <c r="D77" s="6" t="str">
        <f t="shared" si="0"/>
      </c>
      <c r="E77" s="6" t="str">
        <f>IF(AND(E21&gt;=CODES!$C$34,E21&lt;=CODES!$D$34),"PASS","FAIL")</f>
      </c>
      <c r="F77" s="6" t="str">
        <f>IF(AND(F21&gt;=CODES!$C$35,F21&lt;=CODES!$D$35),"PASS","FAIL")</f>
      </c>
      <c r="G77" s="6" t="str">
        <f t="shared" si="0"/>
      </c>
      <c r="H77" s="6" t="str">
        <f>IF(AND(H21&gt;=CODES!$C$37,H21&lt;=CODES!$D$37),"PASS","FAIL")</f>
      </c>
      <c r="I77" s="6" t="str">
        <f>IF(ISTEXT(I21),I21,IF(ISERROR(I21),"CHECK DUP",IF(I21&gt;CODES!$B$39,"FAIL","PASS")))</f>
      </c>
      <c r="J77" s="6" t="str">
        <f>IF(AND(J21&gt;=CODES!$C$41,J21&lt;=CODES!$D$41),"PASS","FAIL")</f>
      </c>
      <c r="K77" s="6" t="str">
        <f>IF(AND(K21&gt;=CODES!$C$42,K21&lt;=CODES!$D$42),"PASS","FAIL")</f>
      </c>
      <c r="L77" s="6" t="str">
        <f>IF(AND(L21&gt;=CODES!$C$43,L21&lt;=CODES!$D$43),"PASS","FAIL")</f>
      </c>
      <c r="M77" s="6" t="str">
        <f>IF(AND(M21&gt;=CODES!$C$44,M21&lt;=CODES!$D$44),"PASS","FAIL")</f>
      </c>
      <c r="N77" s="6" t="str">
        <f t="shared" si="1"/>
      </c>
      <c r="O77" s="62" t="str">
        <f t="shared" si="0"/>
      </c>
      <c r="P77" s="6"/>
    </row>
    <row r="78" spans="2:16" hidden="1" x14ac:dyDescent="0.25">
      <c r="B78" s="61" t="str">
        <f t="shared" si="0"/>
      </c>
      <c r="C78" s="6" t="str">
        <f t="shared" si="0"/>
      </c>
      <c r="D78" s="6" t="str">
        <f t="shared" si="0"/>
      </c>
      <c r="E78" s="6" t="str">
        <f>IF(AND(E22&gt;=CODES!$C$34,E22&lt;=CODES!$D$34),"PASS","FAIL")</f>
      </c>
      <c r="F78" s="6" t="str">
        <f>IF(AND(F22&gt;=CODES!$C$35,F22&lt;=CODES!$D$35),"PASS","FAIL")</f>
      </c>
      <c r="G78" s="6" t="str">
        <f t="shared" si="0"/>
      </c>
      <c r="H78" s="6" t="str">
        <f>IF(AND(H22&gt;=CODES!$C$37,H22&lt;=CODES!$D$37),"PASS","FAIL")</f>
      </c>
      <c r="I78" s="6" t="str">
        <f>IF(ISTEXT(I22),I22,IF(ISERROR(I22),"CHECK DUP",IF(I22&gt;CODES!$B$39,"FAIL","PASS")))</f>
      </c>
      <c r="J78" s="6" t="str">
        <f>IF(AND(J22&gt;=CODES!$C$41,J22&lt;=CODES!$D$41),"PASS","FAIL")</f>
      </c>
      <c r="K78" s="6" t="str">
        <f>IF(AND(K22&gt;=CODES!$C$42,K22&lt;=CODES!$D$42),"PASS","FAIL")</f>
      </c>
      <c r="L78" s="6" t="str">
        <f>IF(AND(L22&gt;=CODES!$C$43,L22&lt;=CODES!$D$43),"PASS","FAIL")</f>
      </c>
      <c r="M78" s="6" t="str">
        <f>IF(AND(M22&gt;=CODES!$C$44,M22&lt;=CODES!$D$44),"PASS","FAIL")</f>
      </c>
      <c r="N78" s="6" t="str">
        <f t="shared" si="1"/>
      </c>
      <c r="O78" s="62" t="str">
        <f t="shared" si="0"/>
      </c>
      <c r="P78" s="6"/>
    </row>
    <row r="79" spans="2:16" x14ac:dyDescent="0.25">
      <c r="B79" s="61" t="str">
        <f t="shared" si="0"/>
      </c>
      <c r="C79" s="6" t="str">
        <f t="shared" si="0"/>
      </c>
      <c r="D79" s="6" t="str">
        <f t="shared" si="0"/>
      </c>
      <c r="E79" s="6" t="str">
        <f>IF(AND(E23&gt;=CODES!$C$34,E23&lt;=CODES!$D$34),"PASS","FAIL")</f>
      </c>
      <c r="F79" s="6" t="str">
        <f>IF(AND(F23&gt;=CODES!$C$35,F23&lt;=CODES!$D$35),"PASS","FAIL")</f>
      </c>
      <c r="G79" s="6" t="str">
        <f t="shared" si="0"/>
      </c>
      <c r="H79" s="6" t="str">
        <f>IF(AND(H23&gt;=CODES!$C$37,H23&lt;=CODES!$D$37),"PASS","FAIL")</f>
      </c>
      <c r="I79" s="6" t="str">
        <f>IF(ISTEXT(I23),I23,IF(ISERROR(I23),"CHECK DUP",IF(I23&gt;CODES!$B$39,"FAIL","PASS")))</f>
      </c>
      <c r="J79" s="6" t="str">
        <f>IF(AND(J23&gt;=CODES!$C$41,J23&lt;=CODES!$D$41),"PASS","FAIL")</f>
      </c>
      <c r="K79" s="6" t="str">
        <f>IF(AND(K23&gt;=CODES!$C$42,K23&lt;=CODES!$D$42),"PASS","FAIL")</f>
      </c>
      <c r="L79" s="6" t="str">
        <f>IFERROR(L23,"IC Metal")</f>
      </c>
      <c r="M79" s="6" t="str">
        <f>IF(AND(M23&gt;=CODES!$C$44,M23&lt;=CODES!$D$44),"PASS","FAIL")</f>
      </c>
      <c r="N79" s="6" t="str">
        <f t="shared" si="1"/>
      </c>
      <c r="O79" s="62" t="str">
        <f t="shared" si="0"/>
      </c>
      <c r="P79" s="6"/>
    </row>
    <row r="80" spans="2:16" hidden="1" x14ac:dyDescent="0.25">
      <c r="B80" s="61" t="str">
        <f t="shared" ref="B80:O95" si="2">B24</f>
      </c>
      <c r="C80" s="6" t="str">
        <f t="shared" si="2"/>
      </c>
      <c r="D80" s="6" t="str">
        <f t="shared" si="2"/>
      </c>
      <c r="E80" s="6" t="str">
        <f>IF(AND(E24&gt;=CODES!$C$34,E24&lt;=CODES!$D$34),"PASS","FAIL")</f>
      </c>
      <c r="F80" s="6" t="str">
        <f>IF(AND(F24&gt;=CODES!$C$35,F24&lt;=CODES!$D$35),"PASS","FAIL")</f>
      </c>
      <c r="G80" s="6" t="str">
        <f t="shared" si="2"/>
      </c>
      <c r="H80" s="6" t="str">
        <f>IF(AND(H24&gt;=CODES!$C$37,H24&lt;=CODES!$D$37),"PASS","FAIL")</f>
      </c>
      <c r="I80" s="6" t="str">
        <f>IF(ISTEXT(I24),I24,IF(ISERROR(I24),"CHECK DUP",IF(I24&gt;CODES!$B$39,"FAIL","PASS")))</f>
      </c>
      <c r="J80" s="6" t="str">
        <f>IF(AND(J24&gt;=CODES!$C$41,J24&lt;=CODES!$D$41),"PASS","FAIL")</f>
      </c>
      <c r="K80" s="6" t="str">
        <f>IF(AND(K24&gt;=CODES!$C$42,K24&lt;=CODES!$D$42),"PASS","FAIL")</f>
      </c>
      <c r="L80" s="6" t="str">
        <f>IF(AND(L24&gt;=CODES!$C$43,L24&lt;=CODES!$D$43),"PASS","FAIL")</f>
      </c>
      <c r="M80" s="6" t="str">
        <f>IF(AND(M24&gt;=CODES!$C$44,M24&lt;=CODES!$D$44),"PASS","FAIL")</f>
      </c>
      <c r="N80" s="6" t="str">
        <f t="shared" si="1"/>
      </c>
      <c r="O80" s="62" t="str">
        <f t="shared" si="2"/>
      </c>
      <c r="P80" s="6"/>
    </row>
    <row r="81" spans="2:16" hidden="1" x14ac:dyDescent="0.25">
      <c r="B81" s="61" t="str">
        <f t="shared" si="2"/>
      </c>
      <c r="C81" s="6" t="str">
        <f t="shared" si="2"/>
      </c>
      <c r="D81" s="6" t="str">
        <f t="shared" si="2"/>
      </c>
      <c r="E81" s="6" t="str">
        <f>IF(AND(E25&gt;=CODES!$C$34,E25&lt;=CODES!$D$34),"PASS","FAIL")</f>
      </c>
      <c r="F81" s="6" t="str">
        <f>IF(AND(F25&gt;=CODES!$C$35,F25&lt;=CODES!$D$35),"PASS","FAIL")</f>
      </c>
      <c r="G81" s="6" t="str">
        <f t="shared" si="2"/>
      </c>
      <c r="H81" s="6" t="str">
        <f>IF(AND(H25&gt;=CODES!$C$37,H25&lt;=CODES!$D$37),"PASS","FAIL")</f>
      </c>
      <c r="I81" s="6" t="str">
        <f>IF(ISTEXT(I25),I25,IF(ISERROR(I25),"CHECK DUP",IF(I25&gt;CODES!$B$39,"FAIL","PASS")))</f>
      </c>
      <c r="J81" s="6" t="str">
        <f>IF(AND(J25&gt;=CODES!$C$41,J25&lt;=CODES!$D$41),"PASS","FAIL")</f>
      </c>
      <c r="K81" s="6" t="str">
        <f>IF(AND(K25&gt;=CODES!$C$42,K25&lt;=CODES!$D$42),"PASS","FAIL")</f>
      </c>
      <c r="L81" s="6" t="str">
        <f>IF(AND(L25&gt;=CODES!$C$43,L25&lt;=CODES!$D$43),"PASS","FAIL")</f>
      </c>
      <c r="M81" s="6" t="str">
        <f>IF(AND(M25&gt;=CODES!$C$44,M25&lt;=CODES!$D$44),"PASS","FAIL")</f>
      </c>
      <c r="N81" s="6" t="str">
        <f t="shared" si="1"/>
      </c>
      <c r="O81" s="62" t="str">
        <f t="shared" si="2"/>
      </c>
      <c r="P81" s="6"/>
    </row>
    <row r="82" spans="2:16" hidden="1" x14ac:dyDescent="0.25">
      <c r="B82" s="61" t="str">
        <f t="shared" si="2"/>
      </c>
      <c r="C82" s="6" t="str">
        <f t="shared" si="2"/>
      </c>
      <c r="D82" s="6" t="str">
        <f t="shared" si="2"/>
      </c>
      <c r="E82" s="6" t="str">
        <f>IF(AND(E26&gt;=CODES!$C$34,E26&lt;=CODES!$D$34),"PASS","FAIL")</f>
      </c>
      <c r="F82" s="6" t="str">
        <f>IF(AND(F26&gt;=CODES!$C$35,F26&lt;=CODES!$D$35),"PASS","FAIL")</f>
      </c>
      <c r="G82" s="6" t="str">
        <f t="shared" si="2"/>
      </c>
      <c r="H82" s="6" t="str">
        <f>IF(AND(H26&gt;=CODES!$C$37,H26&lt;=CODES!$D$37),"PASS","FAIL")</f>
      </c>
      <c r="I82" s="6" t="str">
        <f>IF(ISTEXT(I26),I26,IF(ISERROR(I26),"CHECK DUP",IF(I26&gt;CODES!$B$39,"FAIL","PASS")))</f>
      </c>
      <c r="J82" s="6" t="str">
        <f>IF(AND(J26&gt;=CODES!$C$41,J26&lt;=CODES!$D$41),"PASS","FAIL")</f>
      </c>
      <c r="K82" s="6" t="str">
        <f>IF(AND(K26&gt;=CODES!$C$42,K26&lt;=CODES!$D$42),"PASS","FAIL")</f>
      </c>
      <c r="L82" s="6" t="str">
        <f>IF(AND(L26&gt;=CODES!$C$43,L26&lt;=CODES!$D$43),"PASS","FAIL")</f>
      </c>
      <c r="M82" s="6" t="str">
        <f>IF(AND(M26&gt;=CODES!$C$44,M26&lt;=CODES!$D$44),"PASS","FAIL")</f>
      </c>
      <c r="N82" s="6" t="str">
        <f t="shared" si="1"/>
      </c>
      <c r="O82" s="62" t="str">
        <f t="shared" si="2"/>
      </c>
      <c r="P82" s="6"/>
    </row>
    <row r="83" spans="2:16" hidden="1" x14ac:dyDescent="0.25">
      <c r="B83" s="61" t="str">
        <f t="shared" si="2"/>
      </c>
      <c r="C83" s="6" t="str">
        <f t="shared" si="2"/>
      </c>
      <c r="D83" s="6" t="str">
        <f t="shared" si="2"/>
      </c>
      <c r="E83" s="6" t="str">
        <f>IF(AND(E27&gt;=CODES!$C$34,E27&lt;=CODES!$D$34),"PASS","FAIL")</f>
      </c>
      <c r="F83" s="6" t="str">
        <f>IF(AND(F27&gt;=CODES!$C$35,F27&lt;=CODES!$D$35),"PASS","FAIL")</f>
      </c>
      <c r="G83" s="6" t="str">
        <f t="shared" si="2"/>
      </c>
      <c r="H83" s="6" t="str">
        <f>IF(AND(H27&gt;=CODES!$C$37,H27&lt;=CODES!$D$37),"PASS","FAIL")</f>
      </c>
      <c r="I83" s="6" t="str">
        <f>IF(ISTEXT(I27),I27,IF(ISERROR(I27),"CHECK DUP",IF(I27&gt;CODES!$B$39,"FAIL","PASS")))</f>
      </c>
      <c r="J83" s="6" t="str">
        <f>IF(AND(J27&gt;=CODES!$C$41,J27&lt;=CODES!$D$41),"PASS","FAIL")</f>
      </c>
      <c r="K83" s="6" t="str">
        <f>IF(AND(K27&gt;=CODES!$C$42,K27&lt;=CODES!$D$42),"PASS","FAIL")</f>
      </c>
      <c r="L83" s="6" t="str">
        <f>IF(AND(L27&gt;=CODES!$C$43,L27&lt;=CODES!$D$43),"PASS","FAIL")</f>
      </c>
      <c r="M83" s="6" t="str">
        <f>IF(AND(M27&gt;=CODES!$C$44,M27&lt;=CODES!$D$44),"PASS","FAIL")</f>
      </c>
      <c r="N83" s="6" t="str">
        <f t="shared" si="1"/>
      </c>
      <c r="O83" s="62" t="str">
        <f t="shared" si="2"/>
      </c>
      <c r="P83" s="6"/>
    </row>
    <row r="84" spans="2:16" hidden="1" x14ac:dyDescent="0.25">
      <c r="B84" s="61" t="str">
        <f t="shared" si="2"/>
      </c>
      <c r="C84" s="6" t="str">
        <f t="shared" si="2"/>
      </c>
      <c r="D84" s="6" t="str">
        <f t="shared" si="2"/>
      </c>
      <c r="E84" s="6" t="str">
        <f>IF(AND(E28&gt;=CODES!$C$34,E28&lt;=CODES!$D$34),"PASS","FAIL")</f>
      </c>
      <c r="F84" s="6" t="str">
        <f>IF(AND(F28&gt;=CODES!$C$35,F28&lt;=CODES!$D$35),"PASS","FAIL")</f>
      </c>
      <c r="G84" s="6" t="str">
        <f t="shared" si="2"/>
      </c>
      <c r="H84" s="6" t="str">
        <f>IF(AND(H28&gt;=CODES!$C$37,H28&lt;=CODES!$D$37),"PASS","FAIL")</f>
      </c>
      <c r="I84" s="6" t="str">
        <f>IF(ISTEXT(I28),I28,IF(ISERROR(I28),"CHECK DUP",IF(I28&gt;CODES!$B$39,"FAIL","PASS")))</f>
      </c>
      <c r="J84" s="6" t="str">
        <f>IF(AND(J28&gt;=CODES!$C$41,J28&lt;=CODES!$D$41),"PASS","FAIL")</f>
      </c>
      <c r="K84" s="6" t="str">
        <f>IF(AND(K28&gt;=CODES!$C$42,K28&lt;=CODES!$D$42),"PASS","FAIL")</f>
      </c>
      <c r="L84" s="6" t="str">
        <f>IF(AND(L28&gt;=CODES!$C$43,L28&lt;=CODES!$D$43),"PASS","FAIL")</f>
      </c>
      <c r="M84" s="6" t="str">
        <f>IF(AND(M28&gt;=CODES!$C$44,M28&lt;=CODES!$D$44),"PASS","FAIL")</f>
      </c>
      <c r="N84" s="6" t="str">
        <f t="shared" si="1"/>
      </c>
      <c r="O84" s="62" t="str">
        <f t="shared" si="2"/>
      </c>
      <c r="P84" s="6"/>
    </row>
    <row r="85" spans="2:16" x14ac:dyDescent="0.25">
      <c r="B85" s="61" t="str">
        <f t="shared" si="2"/>
      </c>
      <c r="C85" s="6" t="str">
        <f t="shared" si="2"/>
      </c>
      <c r="D85" s="6" t="str">
        <f t="shared" si="2"/>
      </c>
      <c r="E85" s="6" t="str">
        <f>IF(AND(E29&gt;=CODES!$C$34,E29&lt;=CODES!$D$34),"PASS","FAIL")</f>
      </c>
      <c r="F85" s="6" t="str">
        <f>IF(AND(F29&gt;=CODES!$C$35,F29&lt;=CODES!$D$35),"PASS","FAIL")</f>
      </c>
      <c r="G85" s="6" t="str">
        <f t="shared" si="2"/>
      </c>
      <c r="H85" s="6" t="str">
        <f>IF(AND(H29&gt;=CODES!$C$37,H29&lt;=CODES!$D$37),"PASS","FAIL")</f>
      </c>
      <c r="I85" s="6" t="str">
        <f>IF(ISTEXT(I29),I29,IF(ISERROR(I29),"CHECK DUP",IF(I29&gt;CODES!$B$39,"FAIL","PASS")))</f>
      </c>
      <c r="J85" s="6" t="str">
        <f>IF(AND(J29&gt;=CODES!$C$41,J29&lt;=CODES!$D$41),"PASS","FAIL")</f>
      </c>
      <c r="K85" s="6" t="str">
        <f>IF(AND(K29&gt;=CODES!$C$42,K29&lt;=CODES!$D$42),"PASS","FAIL")</f>
      </c>
      <c r="L85" s="6" t="str">
        <f>IF(AND(L29&gt;=CODES!$C$43,L29&lt;=CODES!$D$43),"PASS","FAIL")</f>
      </c>
      <c r="M85" s="6" t="str">
        <f>IF(AND(M29&gt;=CODES!$C$44,M29&lt;=CODES!$D$44),"PASS","FAIL")</f>
      </c>
      <c r="N85" s="6" t="str">
        <f t="shared" si="1"/>
      </c>
      <c r="O85" s="62" t="str">
        <f t="shared" si="2"/>
      </c>
      <c r="P85" s="6"/>
    </row>
    <row r="86" spans="2:16" hidden="1" x14ac:dyDescent="0.25">
      <c r="B86" s="61" t="str">
        <f t="shared" si="2"/>
      </c>
      <c r="C86" s="6" t="str">
        <f t="shared" si="2"/>
      </c>
      <c r="D86" s="6" t="str">
        <f t="shared" si="2"/>
      </c>
      <c r="E86" s="6" t="str">
        <f>IF(AND(E30&gt;=CODES!$C$34,E30&lt;=CODES!$D$34),"PASS","FAIL")</f>
      </c>
      <c r="F86" s="6" t="str">
        <f>IF(AND(F30&gt;=CODES!$C$35,F30&lt;=CODES!$D$35),"PASS","FAIL")</f>
      </c>
      <c r="G86" s="6" t="str">
        <f t="shared" si="2"/>
      </c>
      <c r="H86" s="6" t="str">
        <f>IF(AND(H30&gt;=CODES!$C$37,H30&lt;=CODES!$D$37),"PASS","FAIL")</f>
      </c>
      <c r="I86" s="6" t="str">
        <f>IF(ISTEXT(I30),I30,IF(ISERROR(I30),"CHECK DUP",IF(I30&gt;CODES!$B$39,"FAIL","PASS")))</f>
      </c>
      <c r="J86" s="6" t="str">
        <f>IF(AND(J30&gt;=CODES!$C$41,J30&lt;=CODES!$D$41),"PASS","FAIL")</f>
      </c>
      <c r="K86" s="6" t="str">
        <f>IF(AND(K30&gt;=CODES!$C$42,K30&lt;=CODES!$D$42),"PASS","FAIL")</f>
      </c>
      <c r="L86" s="6" t="str">
        <f>IF(AND(L30&gt;=CODES!$C$43,L30&lt;=CODES!$D$43),"PASS","FAIL")</f>
      </c>
      <c r="M86" s="6" t="str">
        <f>IF(AND(M30&gt;=CODES!$C$44,M30&lt;=CODES!$D$44),"PASS","FAIL")</f>
      </c>
      <c r="N86" s="6" t="str">
        <f t="shared" si="1"/>
      </c>
      <c r="O86" s="62" t="str">
        <f t="shared" si="2"/>
      </c>
      <c r="P86" s="6"/>
    </row>
    <row r="87" spans="2:16" hidden="1" x14ac:dyDescent="0.25">
      <c r="B87" s="61" t="str">
        <f t="shared" si="2"/>
      </c>
      <c r="C87" s="6" t="str">
        <f t="shared" si="2"/>
      </c>
      <c r="D87" s="6" t="str">
        <f t="shared" si="2"/>
      </c>
      <c r="E87" s="6" t="str">
        <f>IF(AND(E31&gt;=CODES!$C$34,E31&lt;=CODES!$D$34),"PASS","FAIL")</f>
      </c>
      <c r="F87" s="6" t="str">
        <f>IF(AND(F31&gt;=CODES!$C$35,F31&lt;=CODES!$D$35),"PASS","FAIL")</f>
      </c>
      <c r="G87" s="6" t="str">
        <f t="shared" si="2"/>
      </c>
      <c r="H87" s="6" t="str">
        <f>IF(AND(H31&gt;=CODES!$C$37,H31&lt;=CODES!$D$37),"PASS","FAIL")</f>
      </c>
      <c r="I87" s="6" t="str">
        <f>IF(ISTEXT(I31),I31,IF(ISERROR(I31),"CHECK DUP",IF(I31&gt;CODES!$B$39,"FAIL","PASS")))</f>
      </c>
      <c r="J87" s="6" t="str">
        <f>IF(AND(J31&gt;=CODES!$C$41,J31&lt;=CODES!$D$41),"PASS","FAIL")</f>
      </c>
      <c r="K87" s="6" t="str">
        <f>IF(AND(K31&gt;=CODES!$C$42,K31&lt;=CODES!$D$42),"PASS","FAIL")</f>
      </c>
      <c r="L87" s="6" t="str">
        <f>IF(AND(L31&gt;=CODES!$C$43,L31&lt;=CODES!$D$43),"PASS","FAIL")</f>
      </c>
      <c r="M87" s="6" t="str">
        <f>IF(AND(M31&gt;=CODES!$C$44,M31&lt;=CODES!$D$44),"PASS","FAIL")</f>
      </c>
      <c r="N87" s="6" t="str">
        <f t="shared" si="1"/>
      </c>
      <c r="O87" s="62" t="str">
        <f t="shared" si="2"/>
      </c>
      <c r="P87" s="6"/>
    </row>
    <row r="88" spans="2:16" x14ac:dyDescent="0.25">
      <c r="B88" s="61" t="str">
        <f t="shared" si="2"/>
      </c>
      <c r="C88" s="6" t="str">
        <f t="shared" si="2"/>
      </c>
      <c r="D88" s="6" t="str">
        <f t="shared" si="2"/>
      </c>
      <c r="E88" s="6" t="str">
        <f>IF(AND(E32&gt;=CODES!$C$34,E32&lt;=CODES!$D$34),"PASS","FAIL")</f>
      </c>
      <c r="F88" s="6" t="str">
        <f>IF(AND(F32&gt;=CODES!$C$35,F32&lt;=CODES!$D$35),"PASS","FAIL")</f>
      </c>
      <c r="G88" s="6" t="str">
        <f t="shared" si="2"/>
      </c>
      <c r="H88" s="6" t="str">
        <f>IF(AND(H32&gt;=CODES!$C$37,H32&lt;=CODES!$D$37),"PASS","FAIL")</f>
      </c>
      <c r="I88" s="6" t="str">
        <f>IF(ISTEXT(I32),I32,IF(ISERROR(I32),"CHECK DUP",IF(I32&gt;CODES!$B$39,"FAIL","PASS")))</f>
      </c>
      <c r="J88" s="6" t="str">
        <f>IF(AND(J32&gt;=CODES!$C$41,J32&lt;=CODES!$D$41),"PASS","FAIL")</f>
      </c>
      <c r="K88" s="6" t="str">
        <f>IF(AND(K32&gt;=CODES!$C$42,K32&lt;=CODES!$D$42),"PASS","FAIL")</f>
      </c>
      <c r="L88" s="6" t="str">
        <f>IF(AND(L32&gt;=CODES!$C$43,L32&lt;=CODES!$D$43),"PASS","FAIL")</f>
      </c>
      <c r="M88" s="6" t="str">
        <f>IF(AND(M32&gt;=CODES!$C$44,M32&lt;=CODES!$D$44),"PASS","FAIL")</f>
      </c>
      <c r="N88" s="6" t="str">
        <f t="shared" si="1"/>
      </c>
      <c r="O88" s="62" t="str">
        <f t="shared" si="2"/>
      </c>
      <c r="P88" s="6" t="s">
        <v>342</v>
      </c>
    </row>
    <row r="89" spans="2:16" x14ac:dyDescent="0.25">
      <c r="B89" s="61" t="str">
        <f t="shared" si="2"/>
      </c>
      <c r="C89" s="6" t="str">
        <f t="shared" si="2"/>
      </c>
      <c r="D89" s="6" t="str">
        <f t="shared" si="2"/>
      </c>
      <c r="E89" s="6" t="str">
        <f>IF(AND(E33&gt;=CODES!$C$34,E33&lt;=CODES!$D$34),"PASS","FAIL")</f>
      </c>
      <c r="F89" s="6" t="str">
        <f>IF(AND(F33&gt;=CODES!$C$35,F33&lt;=CODES!$D$35),"PASS","FAIL")</f>
      </c>
      <c r="G89" s="6" t="str">
        <f t="shared" si="2"/>
      </c>
      <c r="H89" s="6" t="str">
        <f>IF(AND(H33&gt;=CODES!$C$37,H33&lt;=CODES!$D$37),"PASS","FAIL")</f>
      </c>
      <c r="I89" s="6" t="str">
        <f>IF(ISTEXT(I33),I33,IF(ISERROR(I33),"CHECK DUP",IF(I33&gt;CODES!$B$39,"FAIL","PASS")))</f>
      </c>
      <c r="J89" s="6" t="str">
        <f>IF(AND(J33&gt;=CODES!$C$41,J33&lt;=CODES!$D$41),"PASS","FAIL")</f>
      </c>
      <c r="K89" s="6" t="str">
        <f>IF(AND(K33&gt;=CODES!$C$42,K33&lt;=CODES!$D$42),"PASS","FAIL")</f>
      </c>
      <c r="L89" s="6" t="str">
        <f>IF(AND(L33&gt;=CODES!$C$43,L33&lt;=CODES!$D$43),"PASS","FAIL")</f>
      </c>
      <c r="M89" s="6" t="str">
        <f>IF(AND(M33&gt;=CODES!$C$44,M33&lt;=CODES!$D$44),"PASS","FAIL")</f>
      </c>
      <c r="N89" s="6" t="str">
        <f t="shared" si="1"/>
      </c>
      <c r="O89" s="62" t="str">
        <f t="shared" si="2"/>
      </c>
      <c r="P89" s="6"/>
    </row>
    <row r="90" spans="2:16" x14ac:dyDescent="0.25">
      <c r="B90" s="61" t="str">
        <f t="shared" si="2"/>
      </c>
      <c r="C90" s="6" t="str">
        <f t="shared" si="2"/>
      </c>
      <c r="D90" s="6" t="str">
        <f t="shared" si="2"/>
      </c>
      <c r="E90" s="6" t="str">
        <f>IF(AND(E34&gt;=CODES!$C$34,E34&lt;=CODES!$D$34),"PASS","FAIL")</f>
      </c>
      <c r="F90" s="6" t="str">
        <f>IF(AND(F34&gt;=CODES!$C$35,F34&lt;=CODES!$D$35),"PASS","FAIL")</f>
      </c>
      <c r="G90" s="6" t="str">
        <f t="shared" si="2"/>
      </c>
      <c r="H90" s="6" t="str">
        <f>IF(AND(H34&gt;=CODES!$C$37,H34&lt;=CODES!$D$37),"PASS","FAIL")</f>
      </c>
      <c r="I90" s="6" t="str">
        <f>IF(ISTEXT(I34),I34,IF(ISERROR(I34),"CHECK DUP",IF(I34&gt;CODES!$B$39,"FAIL","PASS")))</f>
      </c>
      <c r="J90" s="6" t="str">
        <f>IF(AND(J34&gt;=CODES!$C$41,J34&lt;=CODES!$D$41),"PASS","FAIL")</f>
      </c>
      <c r="K90" s="6" t="str">
        <f>IF(AND(K34&gt;=CODES!$C$42,K34&lt;=CODES!$D$42),"PASS","FAIL")</f>
      </c>
      <c r="L90" s="6" t="str">
        <f>IF(AND(L34&gt;=CODES!$C$43,L34&lt;=CODES!$D$43),"PASS","FAIL")</f>
      </c>
      <c r="M90" s="6" t="str">
        <f>IF(AND(M34&gt;=CODES!$C$44,M34&lt;=CODES!$D$44),"PASS","FAIL")</f>
      </c>
      <c r="N90" s="6" t="str">
        <f t="shared" si="1"/>
      </c>
      <c r="O90" s="62" t="str">
        <f t="shared" si="2"/>
      </c>
      <c r="P90" s="6"/>
    </row>
    <row r="91" spans="2:16" x14ac:dyDescent="0.25">
      <c r="B91" s="61" t="str">
        <f t="shared" si="2"/>
      </c>
      <c r="C91" s="6" t="str">
        <f t="shared" si="2"/>
      </c>
      <c r="D91" s="6" t="str">
        <f t="shared" si="2"/>
      </c>
      <c r="E91" s="6" t="str">
        <f>IF(AND(E35&gt;=CODES!$C$34,E35&lt;=CODES!$D$34),"PASS","FAIL")</f>
      </c>
      <c r="F91" s="6" t="str">
        <f>IF(AND(F35&gt;=CODES!$C$35,F35&lt;=CODES!$D$35),"PASS","FAIL")</f>
      </c>
      <c r="G91" s="6" t="str">
        <f t="shared" si="2"/>
      </c>
      <c r="H91" s="6" t="str">
        <f>IF(AND(H35&gt;=CODES!$C$37,H35&lt;=CODES!$D$37),"PASS","FAIL")</f>
      </c>
      <c r="I91" s="6" t="str">
        <f>IF(ISTEXT(I35),I35,IF(ISERROR(I35),"CHECK DUP",IF(I35&gt;CODES!$B$39,"FAIL","PASS")))</f>
      </c>
      <c r="J91" s="6" t="str">
        <f>IF(AND(J35&gt;=CODES!$C$41,J35&lt;=CODES!$D$41),"PASS","FAIL")</f>
      </c>
      <c r="K91" s="6" t="str">
        <f>IF(AND(K35&gt;=CODES!$C$42,K35&lt;=CODES!$D$42),"PASS","FAIL")</f>
      </c>
      <c r="L91" s="6" t="str">
        <f>IF(AND(L35&gt;=CODES!$C$43,L35&lt;=CODES!$D$43),"PASS","FAIL")</f>
      </c>
      <c r="M91" s="6" t="str">
        <f>IF(AND(M35&gt;=CODES!$C$44,M35&lt;=CODES!$D$44),"PASS","FAIL")</f>
      </c>
      <c r="N91" s="6" t="str">
        <f t="shared" si="1"/>
      </c>
      <c r="O91" s="62" t="str">
        <f t="shared" si="2"/>
      </c>
      <c r="P91" s="6" t="s">
        <v>374</v>
      </c>
    </row>
    <row r="92" spans="2:16" hidden="1" x14ac:dyDescent="0.25">
      <c r="B92" s="61" t="str">
        <f t="shared" si="2"/>
      </c>
      <c r="C92" s="6" t="str">
        <f t="shared" si="2"/>
      </c>
      <c r="D92" s="6" t="str">
        <f t="shared" si="2"/>
      </c>
      <c r="E92" s="6" t="str">
        <f>IF(AND(E36&gt;=CODES!$C$34,E36&lt;=CODES!$D$34),"PASS","FAIL")</f>
      </c>
      <c r="F92" s="6" t="str">
        <f>IF(AND(F36&gt;=CODES!$C$35,F36&lt;=CODES!$D$35),"PASS","FAIL")</f>
      </c>
      <c r="G92" s="6" t="str">
        <f t="shared" si="2"/>
      </c>
      <c r="H92" s="6" t="str">
        <f>IF(AND(H36&gt;=CODES!$C$37,H36&lt;=CODES!$D$37),"PASS","FAIL")</f>
      </c>
      <c r="I92" s="6" t="str">
        <f>IF(ISTEXT(I36),I36,IF(ISERROR(I36),"CHECK DUP",IF(I36&gt;CODES!$B$39,"FAIL","PASS")))</f>
      </c>
      <c r="J92" s="6" t="str">
        <f>IF(AND(J36&gt;=CODES!$C$41,J36&lt;=CODES!$D$41),"PASS","FAIL")</f>
      </c>
      <c r="K92" s="6" t="e">
        <f>IF(AND(K36&gt;=CODES!$C$42,K36&lt;=CODES!$D$42),"PASS","FAIL")</f>
      </c>
      <c r="L92" s="6" t="e">
        <f>IF(AND(L36&gt;=CODES!$C$43,L36&lt;=CODES!$D$43),"PASS","FAIL")</f>
      </c>
      <c r="M92" s="6" t="e">
        <f>IF(AND(M36&gt;=CODES!$C$44,M36&lt;=CODES!$D$44),"PASS","FAIL")</f>
      </c>
      <c r="N92" s="6" t="str">
        <f t="shared" si="1"/>
      </c>
      <c r="O92" s="62" t="str">
        <f t="shared" si="2"/>
      </c>
      <c r="P92" s="6"/>
    </row>
    <row r="93" spans="2:16" hidden="1" x14ac:dyDescent="0.25">
      <c r="B93" s="61" t="str">
        <f t="shared" si="2"/>
      </c>
      <c r="C93" s="6" t="str">
        <f t="shared" si="2"/>
      </c>
      <c r="D93" s="6" t="str">
        <f t="shared" si="2"/>
      </c>
      <c r="E93" s="6" t="str">
        <f>IF(AND(E37&gt;=CODES!$C$34,E37&lt;=CODES!$D$34),"PASS","FAIL")</f>
      </c>
      <c r="F93" s="6" t="str">
        <f>IF(AND(F37&gt;=CODES!$C$35,F37&lt;=CODES!$D$35),"PASS","FAIL")</f>
      </c>
      <c r="G93" s="6" t="str">
        <f t="shared" si="2"/>
      </c>
      <c r="H93" s="6" t="str">
        <f>IF(AND(H37&gt;=CODES!$C$37,H37&lt;=CODES!$D$37),"PASS","FAIL")</f>
      </c>
      <c r="I93" s="6" t="str">
        <f>IF(ISTEXT(I37),I37,IF(ISERROR(I37),"CHECK DUP",IF(I37&gt;CODES!$B$39,"FAIL","PASS")))</f>
      </c>
      <c r="J93" s="6" t="str">
        <f>IF(AND(J37&gt;=CODES!$C$41,J37&lt;=CODES!$D$41),"PASS","FAIL")</f>
      </c>
      <c r="K93" s="6" t="str">
        <f>IF(AND(K37&gt;=CODES!$C$42,K37&lt;=CODES!$D$42),"PASS","FAIL")</f>
      </c>
      <c r="L93" s="6" t="str">
        <f>IF(AND(L37&gt;=CODES!$C$43,L37&lt;=CODES!$D$43),"PASS","FAIL")</f>
      </c>
      <c r="M93" s="6" t="str">
        <f>IF(AND(M37&gt;=CODES!$C$44,M37&lt;=CODES!$D$44),"PASS","FAIL")</f>
      </c>
      <c r="N93" s="6" t="str">
        <f t="shared" si="1"/>
      </c>
      <c r="O93" s="62" t="str">
        <f t="shared" si="2"/>
      </c>
      <c r="P93" s="6"/>
    </row>
    <row r="94" spans="2:16" x14ac:dyDescent="0.25">
      <c r="B94" s="61" t="str">
        <f t="shared" si="2"/>
      </c>
      <c r="C94" s="6" t="str">
        <f t="shared" si="2"/>
      </c>
      <c r="D94" s="6" t="str">
        <f t="shared" si="2"/>
      </c>
      <c r="E94" s="6" t="str">
        <f>IF(AND(E38&gt;=CODES!$C$34,E38&lt;=CODES!$D$34),"PASS","FAIL")</f>
      </c>
      <c r="F94" s="6" t="str">
        <f>IF(AND(F38&gt;=CODES!$C$35,F38&lt;=CODES!$D$35),"PASS","FAIL")</f>
      </c>
      <c r="G94" s="6" t="str">
        <f t="shared" si="2"/>
      </c>
      <c r="H94" s="6" t="str">
        <f>IF(AND(H38&gt;=CODES!$C$37,H38&lt;=CODES!$D$37),"PASS","FAIL")</f>
      </c>
      <c r="I94" s="6" t="str">
        <f>IF(ISTEXT(I38),I38,IF(ISERROR(I38),"CHECK DUP",IF(I38&gt;CODES!$B$39,"FAIL","PASS")))</f>
      </c>
      <c r="J94" s="6" t="str">
        <f>IF(AND(J38&gt;=CODES!$C$41,J38&lt;=CODES!$D$41),"PASS","FAIL")</f>
      </c>
      <c r="K94" s="6" t="str">
        <f>IF(AND(K38&gt;=CODES!$C$42,K38&lt;=CODES!$D$42),"PASS","FAIL")</f>
      </c>
      <c r="L94" s="6" t="str">
        <f>IFERROR(L38,"IC Metal")</f>
      </c>
      <c r="M94" s="6" t="str">
        <f>IF(AND(M38&gt;=CODES!$C$44,M38&lt;=CODES!$D$44),"PASS","FAIL")</f>
      </c>
      <c r="N94" s="6" t="str">
        <f t="shared" si="1"/>
      </c>
      <c r="O94" s="62" t="str">
        <f t="shared" si="2"/>
      </c>
      <c r="P94" s="6"/>
    </row>
    <row r="95" spans="2:16" x14ac:dyDescent="0.25">
      <c r="B95" s="61" t="str">
        <f t="shared" si="2"/>
      </c>
      <c r="C95" s="6" t="str">
        <f t="shared" si="2"/>
      </c>
      <c r="D95" s="6" t="str">
        <f t="shared" si="2"/>
      </c>
      <c r="E95" s="6" t="str">
        <f>IF(AND(E39&gt;=CODES!$C$34,E39&lt;=CODES!$D$34),"PASS","FAIL")</f>
      </c>
      <c r="F95" s="6" t="str">
        <f>IF(AND(F39&gt;=CODES!$C$35,F39&lt;=CODES!$D$35),"PASS","FAIL")</f>
      </c>
      <c r="G95" s="6" t="str">
        <f t="shared" si="2"/>
      </c>
      <c r="H95" s="6" t="str">
        <f>IF(AND(H39&gt;=CODES!$C$37,H39&lt;=CODES!$D$37),"PASS","FAIL")</f>
      </c>
      <c r="I95" s="6" t="str">
        <f>IF(ISTEXT(I39),I39,IF(ISERROR(I39),"CHECK DUP",IF(I39&gt;CODES!$B$39,"FAIL","PASS")))</f>
      </c>
      <c r="J95" s="6" t="str">
        <f>IF(AND(J39&gt;=CODES!$C$41,J39&lt;=CODES!$D$41),"PASS","FAIL")</f>
      </c>
      <c r="K95" s="6" t="str">
        <f>IF(AND(K39&gt;=CODES!$C$42,K39&lt;=CODES!$D$42),"PASS","FAIL")</f>
      </c>
      <c r="L95" s="6" t="str">
        <f>IF(AND(L39&gt;=CODES!$C$43,L39&lt;=CODES!$D$43),"PASS","FAIL")</f>
      </c>
      <c r="M95" s="6" t="str">
        <f>IF(AND(M39&gt;=CODES!$C$44,M39&lt;=CODES!$D$44),"PASS","FAIL")</f>
      </c>
      <c r="N95" s="6" t="str">
        <f t="shared" si="1"/>
      </c>
      <c r="O95" s="62" t="str">
        <f t="shared" si="2"/>
      </c>
      <c r="P95" s="6" t="s">
        <v>375</v>
      </c>
    </row>
    <row r="96" spans="2:16" x14ac:dyDescent="0.25">
      <c r="B96" s="61" t="str">
        <f t="shared" ref="B96:O111" si="3">B40</f>
      </c>
      <c r="C96" s="6" t="str">
        <f t="shared" si="3"/>
      </c>
      <c r="D96" s="6" t="str">
        <f t="shared" si="3"/>
      </c>
      <c r="E96" s="6" t="str">
        <f>IF(AND(E40&gt;=CODES!$C$34,E40&lt;=CODES!$D$34),"PASS","FAIL")</f>
      </c>
      <c r="F96" s="6" t="str">
        <f>IF(AND(F40&gt;=CODES!$C$35,F40&lt;=CODES!$D$35),"PASS","FAIL")</f>
      </c>
      <c r="G96" s="6" t="str">
        <f t="shared" si="3"/>
      </c>
      <c r="H96" s="6" t="str">
        <f>IF(AND(H40&gt;=CODES!$C$37,H40&lt;=CODES!$D$37),"PASS","FAIL")</f>
      </c>
      <c r="I96" s="6" t="str">
        <f>IF(ISTEXT(I40),I40,IF(ISERROR(I40),"CHECK DUP",IF(I40&gt;CODES!$B$39,"FAIL","PASS")))</f>
      </c>
      <c r="J96" s="6" t="str">
        <f>IF(AND(J40&gt;=CODES!$C$41,J40&lt;=CODES!$D$41),"PASS","FAIL")</f>
      </c>
      <c r="K96" s="6" t="str">
        <f>IF(AND(K40&gt;=CODES!$C$42,K40&lt;=CODES!$D$42),"PASS","FAIL")</f>
      </c>
      <c r="L96" s="6" t="str">
        <f>IF(AND(L40&gt;=CODES!$C$43,L40&lt;=CODES!$D$43),"PASS","FAIL")</f>
      </c>
      <c r="M96" s="6" t="str">
        <f>IF(AND(M40&gt;=CODES!$C$44,M40&lt;=CODES!$D$44),"PASS","FAIL")</f>
      </c>
      <c r="N96" s="6" t="str">
        <f t="shared" si="1"/>
      </c>
      <c r="O96" s="62" t="str">
        <f t="shared" si="3"/>
      </c>
      <c r="P96" s="6"/>
    </row>
    <row r="97" spans="2:16" hidden="1" x14ac:dyDescent="0.25">
      <c r="B97" s="61" t="str">
        <f t="shared" si="3"/>
      </c>
      <c r="C97" s="6" t="str">
        <f t="shared" si="3"/>
      </c>
      <c r="D97" s="6" t="str">
        <f t="shared" si="3"/>
      </c>
      <c r="E97" s="6" t="str">
        <f>IF(AND(E41&gt;=CODES!$C$34,E41&lt;=CODES!$D$34),"PASS","FAIL")</f>
      </c>
      <c r="F97" s="6" t="str">
        <f>IF(AND(F41&gt;=CODES!$C$35,F41&lt;=CODES!$D$35),"PASS","FAIL")</f>
      </c>
      <c r="G97" s="6" t="str">
        <f t="shared" si="3"/>
      </c>
      <c r="H97" s="6" t="str">
        <f>IF(AND(H41&gt;=CODES!$C$37,H41&lt;=CODES!$D$37),"PASS","FAIL")</f>
      </c>
      <c r="I97" s="6" t="str">
        <f>IF(ISTEXT(I41),I41,IF(ISERROR(I41),"CHECK DUP",IF(I41&gt;CODES!$B$39,"FAIL","PASS")))</f>
      </c>
      <c r="J97" s="6" t="str">
        <f>IF(AND(J41&gt;=CODES!$C$41,J41&lt;=CODES!$D$41),"PASS","FAIL")</f>
      </c>
      <c r="K97" s="6" t="str">
        <f>IF(AND(K41&gt;=CODES!$C$42,K41&lt;=CODES!$D$42),"PASS","FAIL")</f>
      </c>
      <c r="L97" s="6" t="str">
        <f>IF(AND(L41&gt;=CODES!$C$43,L41&lt;=CODES!$D$43),"PASS","FAIL")</f>
      </c>
      <c r="M97" s="6" t="str">
        <f>IF(AND(M41&gt;=CODES!$C$44,M41&lt;=CODES!$D$44),"PASS","FAIL")</f>
      </c>
      <c r="N97" s="6" t="str">
        <f t="shared" si="1"/>
      </c>
      <c r="O97" s="62" t="str">
        <f t="shared" si="3"/>
      </c>
      <c r="P97" s="6"/>
    </row>
    <row r="98" spans="2:16" x14ac:dyDescent="0.25">
      <c r="B98" s="61" t="str">
        <f t="shared" si="3"/>
      </c>
      <c r="C98" s="6" t="str">
        <f t="shared" si="3"/>
      </c>
      <c r="D98" s="6" t="str">
        <f t="shared" si="3"/>
      </c>
      <c r="E98" s="6" t="str">
        <f>IF(AND(E42&gt;=CODES!$C$34,E42&lt;=CODES!$D$34),"PASS","FAIL")</f>
      </c>
      <c r="F98" s="6" t="str">
        <f>IF(AND(F42&gt;=CODES!$C$35,F42&lt;=CODES!$D$35),"PASS","FAIL")</f>
      </c>
      <c r="G98" s="6" t="str">
        <f t="shared" si="3"/>
      </c>
      <c r="H98" s="6" t="str">
        <f>IF(AND(H42&gt;=CODES!$C$37,H42&lt;=CODES!$D$37),"PASS","FAIL")</f>
      </c>
      <c r="I98" s="6" t="str">
        <f>IF(ISTEXT(I42),I42,IF(ISERROR(I42),"CHECK DUP",IF(I42&gt;CODES!$B$39,"FAIL","PASS")))</f>
      </c>
      <c r="J98" s="6" t="str">
        <f>IF(AND(J42&gt;=CODES!$C$41,J42&lt;=CODES!$D$41),"PASS","FAIL")</f>
      </c>
      <c r="K98" s="6" t="str">
        <f>IF(AND(K42&gt;=CODES!$C$42,K42&lt;=CODES!$D$42),"PASS","FAIL")</f>
      </c>
      <c r="L98" s="6" t="str">
        <f>IF(AND(L42&gt;=CODES!$C$43,L42&lt;=CODES!$D$43),"PASS","FAIL")</f>
      </c>
      <c r="M98" s="6" t="str">
        <f>IF(AND(M42&gt;=CODES!$C$44,M42&lt;=CODES!$D$44),"PASS","FAIL")</f>
      </c>
      <c r="N98" s="6" t="str">
        <f t="shared" si="1"/>
      </c>
      <c r="O98" s="62" t="str">
        <f t="shared" si="3"/>
      </c>
      <c r="P98" s="6" t="s">
        <v>342</v>
      </c>
    </row>
    <row r="99" spans="2:16" x14ac:dyDescent="0.25">
      <c r="B99" s="61" t="str">
        <f t="shared" si="3"/>
      </c>
      <c r="C99" s="6" t="str">
        <f t="shared" si="3"/>
      </c>
      <c r="D99" s="6" t="str">
        <f t="shared" si="3"/>
      </c>
      <c r="E99" s="6" t="str">
        <f>IF(AND(E43&gt;=CODES!$C$34,E43&lt;=CODES!$D$34),"PASS","FAIL")</f>
      </c>
      <c r="F99" s="6" t="str">
        <f>IF(AND(F43&gt;=CODES!$C$35,F43&lt;=CODES!$D$35),"PASS","FAIL")</f>
      </c>
      <c r="G99" s="6" t="str">
        <f t="shared" si="3"/>
      </c>
      <c r="H99" s="6" t="str">
        <f>IF(AND(H43&gt;=CODES!$C$37,H43&lt;=CODES!$D$37),"PASS","FAIL")</f>
      </c>
      <c r="I99" s="6" t="str">
        <f>IF(ISTEXT(I43),I43,IF(ISERROR(I43),"CHECK DUP",IF(I43&gt;CODES!$B$39,"FAIL","PASS")))</f>
      </c>
      <c r="J99" s="6" t="str">
        <f>IF(AND(J43&gt;=CODES!$C$41,J43&lt;=CODES!$D$41),"PASS","FAIL")</f>
      </c>
      <c r="K99" s="6" t="str">
        <f>IF(AND(K43&gt;=CODES!$C$42,K43&lt;=CODES!$D$42),"PASS","FAIL")</f>
      </c>
      <c r="L99" s="6" t="str">
        <f>IF(AND(L43&gt;=CODES!$C$43,L43&lt;=CODES!$D$43),"PASS","FAIL")</f>
      </c>
      <c r="M99" s="6" t="str">
        <f>IF(AND(M43&gt;=CODES!$C$44,M43&lt;=CODES!$D$44),"PASS","FAIL")</f>
      </c>
      <c r="N99" s="6" t="str">
        <f t="shared" si="1"/>
      </c>
      <c r="O99" s="62" t="str">
        <f t="shared" si="3"/>
      </c>
      <c r="P99" s="6"/>
    </row>
    <row r="100" spans="2:16" x14ac:dyDescent="0.25">
      <c r="B100" s="61" t="str">
        <f t="shared" si="3"/>
      </c>
      <c r="C100" s="6" t="str">
        <f t="shared" si="3"/>
      </c>
      <c r="D100" s="6" t="str">
        <f t="shared" si="3"/>
      </c>
      <c r="E100" s="6" t="str">
        <f>IF(AND(E44&gt;=CODES!$C$34,E44&lt;=CODES!$D$34),"PASS","FAIL")</f>
      </c>
      <c r="F100" s="6" t="str">
        <f>IF(AND(F44&gt;=CODES!$C$35,F44&lt;=CODES!$D$35),"PASS","FAIL")</f>
      </c>
      <c r="G100" s="6" t="str">
        <f t="shared" si="3"/>
      </c>
      <c r="H100" s="6" t="str">
        <f>IF(AND(H44&gt;=CODES!$C$37,H44&lt;=CODES!$D$37),"PASS","FAIL")</f>
      </c>
      <c r="I100" s="6" t="str">
        <f>IF(ISTEXT(I44),I44,IF(ISERROR(I44),"CHECK DUP",IF(I44&gt;CODES!$B$39,"FAIL","PASS")))</f>
      </c>
      <c r="J100" s="6" t="str">
        <f>IF(AND(J44&gt;=CODES!$C$41,J44&lt;=CODES!$D$41),"PASS","FAIL")</f>
      </c>
      <c r="K100" s="6" t="str">
        <f>IF(AND(K44&gt;=CODES!$C$42,K44&lt;=CODES!$D$42),"PASS","FAIL")</f>
      </c>
      <c r="L100" s="6" t="str">
        <f>IF(AND(L44&gt;=CODES!$C$43,L44&lt;=CODES!$D$43),"PASS","FAIL")</f>
      </c>
      <c r="M100" s="6" t="str">
        <f>IF(AND(M44&gt;=CODES!$C$44,M44&lt;=CODES!$D$44),"PASS","FAIL")</f>
      </c>
      <c r="N100" s="6" t="str">
        <f t="shared" si="1"/>
      </c>
      <c r="O100" s="62" t="str">
        <f t="shared" si="3"/>
      </c>
      <c r="P100" s="6"/>
    </row>
    <row r="101" spans="2:16" hidden="1" x14ac:dyDescent="0.25">
      <c r="B101" s="61" t="str">
        <f t="shared" si="3"/>
      </c>
      <c r="C101" s="6" t="str">
        <f t="shared" si="3"/>
      </c>
      <c r="D101" s="6" t="str">
        <f t="shared" si="3"/>
      </c>
      <c r="E101" s="6" t="str">
        <f>IF(AND(E45&gt;=CODES!$C$34,E45&lt;=CODES!$D$34),"PASS","FAIL")</f>
      </c>
      <c r="F101" s="6" t="str">
        <f>IF(AND(F45&gt;=CODES!$C$35,F45&lt;=CODES!$D$35),"PASS","FAIL")</f>
      </c>
      <c r="G101" s="6" t="str">
        <f t="shared" si="3"/>
      </c>
      <c r="H101" s="6" t="str">
        <f>IF(AND(H45&gt;=CODES!$C$37,H45&lt;=CODES!$D$37),"PASS","FAIL")</f>
      </c>
      <c r="I101" s="6" t="str">
        <f>IF(ISTEXT(I45),I45,IF(ISERROR(I45),"CHECK DUP",IF(I45&gt;CODES!$B$39,"FAIL","PASS")))</f>
      </c>
      <c r="J101" s="6" t="str">
        <f>IF(AND(J45&gt;=CODES!$C$41,J45&lt;=CODES!$D$41),"PASS","FAIL")</f>
      </c>
      <c r="K101" s="6" t="str">
        <f>IF(AND(K45&gt;=CODES!$C$42,K45&lt;=CODES!$D$42),"PASS","FAIL")</f>
      </c>
      <c r="L101" s="6" t="str">
        <f>IF(AND(L45&gt;=CODES!$C$43,L45&lt;=CODES!$D$43),"PASS","FAIL")</f>
      </c>
      <c r="M101" s="6" t="str">
        <f>IF(AND(M45&gt;=CODES!$C$44,M45&lt;=CODES!$D$44),"PASS","FAIL")</f>
      </c>
      <c r="N101" s="6" t="str">
        <f t="shared" si="1"/>
      </c>
      <c r="O101" s="62" t="str">
        <f t="shared" si="3"/>
      </c>
      <c r="P101" s="6" t="s">
        <v>343</v>
      </c>
    </row>
    <row r="102" spans="2:16" hidden="1" x14ac:dyDescent="0.25">
      <c r="B102" s="61" t="str">
        <f t="shared" si="3"/>
      </c>
      <c r="C102" s="6" t="str">
        <f t="shared" si="3"/>
      </c>
      <c r="D102" s="6" t="str">
        <f t="shared" si="3"/>
      </c>
      <c r="E102" s="6" t="str">
        <f>IF(AND(E46&gt;=CODES!$C$34,E46&lt;=CODES!$D$34),"PASS","FAIL")</f>
      </c>
      <c r="F102" s="6" t="str">
        <f>IF(AND(F46&gt;=CODES!$C$35,F46&lt;=CODES!$D$35),"PASS","FAIL")</f>
      </c>
      <c r="G102" s="6" t="str">
        <f t="shared" si="3"/>
      </c>
      <c r="H102" s="6" t="str">
        <f>IF(AND(H46&gt;=CODES!$C$37,H46&lt;=CODES!$D$37),"PASS","FAIL")</f>
      </c>
      <c r="I102" s="6" t="str">
        <f>IF(ISTEXT(I46),I46,IF(ISERROR(I46),"CHECK DUP",IF(I46&gt;CODES!$B$39,"FAIL","PASS")))</f>
      </c>
      <c r="J102" s="6" t="str">
        <f>IF(AND(J46&gt;=CODES!$C$41,J46&lt;=CODES!$D$41),"PASS","FAIL")</f>
      </c>
      <c r="K102" s="6" t="str">
        <f>IF(AND(K46&gt;=CODES!$C$42,K46&lt;=CODES!$D$42),"PASS","FAIL")</f>
      </c>
      <c r="L102" s="6" t="str">
        <f>IF(AND(L46&gt;=CODES!$C$43,L46&lt;=CODES!$D$43),"PASS","FAIL")</f>
      </c>
      <c r="M102" s="6" t="str">
        <f>IF(AND(M46&gt;=CODES!$C$44,M46&lt;=CODES!$D$44),"PASS","FAIL")</f>
      </c>
      <c r="N102" s="6" t="str">
        <f t="shared" si="1"/>
      </c>
      <c r="O102" s="62" t="str">
        <f t="shared" si="3"/>
      </c>
      <c r="P102" s="6"/>
    </row>
    <row r="103" spans="2:16" x14ac:dyDescent="0.25">
      <c r="B103" s="61" t="str">
        <f t="shared" si="3"/>
      </c>
      <c r="C103" s="6" t="str">
        <f t="shared" si="3"/>
      </c>
      <c r="D103" s="6" t="str">
        <f t="shared" si="3"/>
      </c>
      <c r="E103" s="6" t="str">
        <f>IF(AND(E47&gt;=CODES!$C$34,E47&lt;=CODES!$D$34),"PASS","FAIL")</f>
      </c>
      <c r="F103" s="6" t="str">
        <f>IF(AND(F47&gt;=CODES!$C$35,F47&lt;=CODES!$D$35),"PASS","FAIL")</f>
      </c>
      <c r="G103" s="6" t="str">
        <f t="shared" si="3"/>
      </c>
      <c r="H103" s="6" t="str">
        <f>IF(AND(H47&gt;=CODES!$C$37,H47&lt;=CODES!$D$37),"PASS","FAIL")</f>
      </c>
      <c r="I103" s="6" t="str">
        <f>IF(ISTEXT(I47),I47,IF(ISERROR(I47),"CHECK DUP",IF(I47&gt;CODES!$B$39,"FAIL","PASS")))</f>
      </c>
      <c r="J103" s="6" t="str">
        <f>IF(AND(J47&gt;=CODES!$C$41,J47&lt;=CODES!$D$41),"PASS","FAIL")</f>
      </c>
      <c r="K103" s="6" t="str">
        <f>IF(AND(K47&gt;=CODES!$C$42,K47&lt;=CODES!$D$42),"PASS","FAIL")</f>
      </c>
      <c r="L103" s="6" t="str">
        <f>IF(AND(L47&gt;=CODES!$C$43,L47&lt;=CODES!$D$43),"PASS","FAIL")</f>
      </c>
      <c r="M103" s="6" t="str">
        <f>IF(AND(M47&gt;=CODES!$C$44,M47&lt;=CODES!$D$44),"PASS","FAIL")</f>
      </c>
      <c r="N103" s="6" t="str">
        <f t="shared" si="1"/>
      </c>
      <c r="O103" s="62" t="str">
        <f t="shared" si="3"/>
      </c>
      <c r="P103" s="6"/>
    </row>
    <row r="104" spans="2:16" x14ac:dyDescent="0.25">
      <c r="B104" s="61" t="str">
        <f t="shared" si="3"/>
      </c>
      <c r="C104" s="6" t="str">
        <f t="shared" si="3"/>
      </c>
      <c r="D104" s="6" t="str">
        <f t="shared" si="3"/>
      </c>
      <c r="E104" s="6" t="str">
        <f>IF(AND(E48&gt;=CODES!$C$34,E48&lt;=CODES!$D$34),"PASS","FAIL")</f>
      </c>
      <c r="F104" s="6" t="str">
        <f>IF(AND(F48&gt;=CODES!$C$35,F48&lt;=CODES!$D$35),"PASS","FAIL")</f>
      </c>
      <c r="G104" s="6" t="str">
        <f t="shared" si="3"/>
      </c>
      <c r="H104" s="6" t="str">
        <f>IF(AND(H48&gt;=CODES!$C$37,H48&lt;=CODES!$D$37),"PASS","FAIL")</f>
      </c>
      <c r="I104" s="6" t="str">
        <f>IF(ISTEXT(I48),I48,IF(ISERROR(I48),"CHECK DUP",IF(I48&gt;CODES!$B$39,"FAIL","PASS")))</f>
      </c>
      <c r="J104" s="6" t="str">
        <f>IF(AND(J48&gt;=CODES!$C$41,J48&lt;=CODES!$D$41),"PASS","FAIL")</f>
      </c>
      <c r="K104" s="6" t="str">
        <f>IF(AND(K48&gt;=CODES!$C$42,K48&lt;=CODES!$D$42),"PASS","FAIL")</f>
      </c>
      <c r="L104" s="6" t="str">
        <f>IF(AND(L48&gt;=CODES!$C$43,L48&lt;=CODES!$D$43),"PASS","FAIL")</f>
      </c>
      <c r="M104" s="6" t="str">
        <f>IF(AND(M48&gt;=CODES!$C$44,M48&lt;=CODES!$D$44),"PASS","FAIL")</f>
      </c>
      <c r="N104" s="6" t="str">
        <f t="shared" si="1"/>
      </c>
      <c r="O104" s="62" t="str">
        <f t="shared" si="3"/>
      </c>
      <c r="P104" s="6"/>
    </row>
    <row r="105" spans="2:16" hidden="1" x14ac:dyDescent="0.25">
      <c r="B105" s="61" t="str">
        <f t="shared" si="3"/>
      </c>
      <c r="C105" s="6" t="str">
        <f t="shared" si="3"/>
      </c>
      <c r="D105" s="6" t="str">
        <f t="shared" si="3"/>
      </c>
      <c r="E105" s="6" t="str">
        <f>IF(AND(E49&gt;=CODES!$C$34,E49&lt;=CODES!$D$34),"PASS","FAIL")</f>
      </c>
      <c r="F105" s="6" t="str">
        <f>IF(AND(F49&gt;=CODES!$C$35,F49&lt;=CODES!$D$35),"PASS","FAIL")</f>
      </c>
      <c r="G105" s="6" t="str">
        <f t="shared" si="3"/>
      </c>
      <c r="H105" s="6" t="str">
        <f>IF(AND(H49&gt;=CODES!$C$37,H49&lt;=CODES!$D$37),"PASS","FAIL")</f>
      </c>
      <c r="I105" s="6" t="str">
        <f>IF(ISTEXT(I49),I49,IF(ISERROR(I49),"CHECK DUP",IF(I49&gt;CODES!$B$39,"FAIL","PASS")))</f>
      </c>
      <c r="J105" s="6" t="str">
        <f>IF(AND(J49&gt;=CODES!$C$41,J49&lt;=CODES!$D$41),"PASS","FAIL")</f>
      </c>
      <c r="K105" s="6" t="str">
        <f>IF(AND(K49&gt;=CODES!$C$42,K49&lt;=CODES!$D$42),"PASS","FAIL")</f>
      </c>
      <c r="L105" s="6" t="str">
        <f>IF(AND(L49&gt;=CODES!$C$43,L49&lt;=CODES!$D$43),"PASS","FAIL")</f>
      </c>
      <c r="M105" s="6" t="str">
        <f>IF(AND(M49&gt;=CODES!$C$44,M49&lt;=CODES!$D$44),"PASS","FAIL")</f>
      </c>
      <c r="N105" s="6" t="str">
        <f t="shared" si="1"/>
      </c>
      <c r="O105" s="62" t="str">
        <f t="shared" si="3"/>
      </c>
      <c r="P105" s="6"/>
    </row>
    <row r="106" spans="2:16" hidden="1" x14ac:dyDescent="0.25">
      <c r="B106" s="61" t="str">
        <f t="shared" si="3"/>
      </c>
      <c r="C106" s="6" t="str">
        <f t="shared" si="3"/>
      </c>
      <c r="D106" s="6" t="str">
        <f t="shared" si="3"/>
      </c>
      <c r="E106" s="6" t="str">
        <f>IF(AND(E50&gt;=CODES!$C$34,E50&lt;=CODES!$D$34),"PASS","FAIL")</f>
      </c>
      <c r="F106" s="6" t="str">
        <f>IF(AND(F50&gt;=CODES!$C$35,F50&lt;=CODES!$D$35),"PASS","FAIL")</f>
      </c>
      <c r="G106" s="6" t="str">
        <f t="shared" si="3"/>
      </c>
      <c r="H106" s="6" t="str">
        <f>IF(AND(H50&gt;=CODES!$C$37,H50&lt;=CODES!$D$37),"PASS","FAIL")</f>
      </c>
      <c r="I106" s="6" t="str">
        <f>IF(ISTEXT(I50),I50,IF(ISERROR(I50),"CHECK DUP",IF(I50&gt;CODES!$B$39,"FAIL","PASS")))</f>
      </c>
      <c r="J106" s="6" t="str">
        <f>IF(AND(J50&gt;=CODES!$C$41,J50&lt;=CODES!$D$41),"PASS","FAIL")</f>
      </c>
      <c r="K106" s="6" t="str">
        <f>IF(AND(K50&gt;=CODES!$C$42,K50&lt;=CODES!$D$42),"PASS","FAIL")</f>
      </c>
      <c r="L106" s="6" t="str">
        <f>IF(AND(L50&gt;=CODES!$C$43,L50&lt;=CODES!$D$43),"PASS","FAIL")</f>
      </c>
      <c r="M106" s="6" t="str">
        <f>IF(AND(M50&gt;=CODES!$C$44,M50&lt;=CODES!$D$44),"PASS","FAIL")</f>
      </c>
      <c r="N106" s="6" t="str">
        <f t="shared" si="1"/>
      </c>
      <c r="O106" s="62" t="str">
        <f t="shared" si="3"/>
      </c>
      <c r="P106" s="6"/>
    </row>
    <row r="107" spans="2:16" hidden="1" x14ac:dyDescent="0.25">
      <c r="B107" s="61" t="str">
        <f t="shared" si="3"/>
      </c>
      <c r="C107" s="6" t="str">
        <f t="shared" si="3"/>
      </c>
      <c r="D107" s="6" t="str">
        <f t="shared" si="3"/>
      </c>
      <c r="E107" s="6" t="str">
        <f>IF(AND(E51&gt;=CODES!$C$34,E51&lt;=CODES!$D$34),"PASS","FAIL")</f>
      </c>
      <c r="F107" s="6" t="str">
        <f>IF(AND(F51&gt;=CODES!$C$35,F51&lt;=CODES!$D$35),"PASS","FAIL")</f>
      </c>
      <c r="G107" s="6" t="str">
        <f t="shared" si="3"/>
      </c>
      <c r="H107" s="6" t="str">
        <f>IF(AND(H51&gt;=CODES!$C$37,H51&lt;=CODES!$D$37),"PASS","FAIL")</f>
      </c>
      <c r="I107" s="6" t="str">
        <f>IF(ISTEXT(I51),I51,IF(ISERROR(I51),"CHECK DUP",IF(I51&gt;CODES!$B$39,"FAIL","PASS")))</f>
      </c>
      <c r="J107" s="6" t="str">
        <f>IF(AND(J51&gt;=CODES!$C$41,J51&lt;=CODES!$D$41),"PASS","FAIL")</f>
      </c>
      <c r="K107" s="6" t="str">
        <f>IF(AND(K51&gt;=CODES!$C$42,K51&lt;=CODES!$D$42),"PASS","FAIL")</f>
      </c>
      <c r="L107" s="6" t="str">
        <f>IF(AND(L51&gt;=CODES!$C$43,L51&lt;=CODES!$D$43),"PASS","FAIL")</f>
      </c>
      <c r="M107" s="6" t="str">
        <f>IF(AND(M51&gt;=CODES!$C$44,M51&lt;=CODES!$D$44),"PASS","FAIL")</f>
      </c>
      <c r="N107" s="6" t="str">
        <f t="shared" si="1"/>
      </c>
      <c r="O107" s="62" t="str">
        <f t="shared" si="3"/>
      </c>
      <c r="P107" s="6"/>
    </row>
    <row r="108" spans="2:16" hidden="1" x14ac:dyDescent="0.25">
      <c r="B108" s="61" t="str">
        <f t="shared" si="3"/>
      </c>
      <c r="C108" s="6" t="str">
        <f t="shared" si="3"/>
      </c>
      <c r="D108" s="6" t="str">
        <f t="shared" si="3"/>
      </c>
      <c r="E108" s="6" t="str">
        <f>IF(AND(E52&gt;=CODES!$C$34,E52&lt;=CODES!$D$34),"PASS","FAIL")</f>
      </c>
      <c r="F108" s="6" t="str">
        <f>IF(AND(F52&gt;=CODES!$C$35,F52&lt;=CODES!$D$35),"PASS","FAIL")</f>
      </c>
      <c r="G108" s="6" t="str">
        <f t="shared" si="3"/>
      </c>
      <c r="H108" s="6" t="str">
        <f>IF(AND(H52&gt;=CODES!$C$37,H52&lt;=CODES!$D$37),"PASS","FAIL")</f>
      </c>
      <c r="I108" s="6" t="str">
        <f>IF(ISTEXT(I52),I52,IF(ISERROR(I52),"CHECK DUP",IF(I52&gt;CODES!$B$39,"FAIL","PASS")))</f>
      </c>
      <c r="J108" s="6" t="str">
        <f>IF(AND(J52&gt;=CODES!$C$41,J52&lt;=CODES!$D$41),"PASS","FAIL")</f>
      </c>
      <c r="K108" s="6" t="str">
        <f>IF(AND(K52&gt;=CODES!$C$42,K52&lt;=CODES!$D$42),"PASS","FAIL")</f>
      </c>
      <c r="L108" s="6" t="str">
        <f>IF(AND(L52&gt;=CODES!$C$43,L52&lt;=CODES!$D$43),"PASS","FAIL")</f>
      </c>
      <c r="M108" s="6" t="str">
        <f>IF(AND(M52&gt;=CODES!$C$44,M52&lt;=CODES!$D$44),"PASS","FAIL")</f>
      </c>
      <c r="N108" s="6" t="str">
        <f t="shared" si="1"/>
      </c>
      <c r="O108" s="62" t="str">
        <f t="shared" si="3"/>
      </c>
      <c r="P108" s="6"/>
    </row>
    <row r="109" spans="2:16" hidden="1" x14ac:dyDescent="0.25">
      <c r="B109" s="61" t="str">
        <f t="shared" si="3"/>
      </c>
      <c r="C109" s="6" t="str">
        <f t="shared" si="3"/>
      </c>
      <c r="D109" s="6" t="str">
        <f t="shared" si="3"/>
      </c>
      <c r="E109" s="6" t="str">
        <f>IF(AND(E53&gt;=CODES!$C$34,E53&lt;=CODES!$D$34),"PASS","FAIL")</f>
      </c>
      <c r="F109" s="6" t="str">
        <f>IF(AND(F53&gt;=CODES!$C$35,F53&lt;=CODES!$D$35),"PASS","FAIL")</f>
      </c>
      <c r="G109" s="6" t="str">
        <f t="shared" si="3"/>
      </c>
      <c r="H109" s="6" t="str">
        <f>IF(AND(H53&gt;=CODES!$C$37,H53&lt;=CODES!$D$37),"PASS","FAIL")</f>
      </c>
      <c r="I109" s="6" t="str">
        <f>IF(ISTEXT(I53),I53,IF(ISERROR(I53),"CHECK DUP",IF(I53&gt;CODES!$B$39,"FAIL","PASS")))</f>
      </c>
      <c r="J109" s="6" t="str">
        <f>IF(AND(J53&gt;=CODES!$C$41,J53&lt;=CODES!$D$41),"PASS","FAIL")</f>
      </c>
      <c r="K109" s="6" t="str">
        <f>IF(AND(K53&gt;=CODES!$C$42,K53&lt;=CODES!$D$42),"PASS","FAIL")</f>
      </c>
      <c r="L109" s="6" t="str">
        <f>IF(AND(L53&gt;=CODES!$C$43,L53&lt;=CODES!$D$43),"PASS","FAIL")</f>
      </c>
      <c r="M109" s="6" t="str">
        <f>IF(AND(M53&gt;=CODES!$C$44,M53&lt;=CODES!$D$44),"PASS","FAIL")</f>
      </c>
      <c r="N109" s="6" t="str">
        <f t="shared" si="1"/>
      </c>
      <c r="O109" s="62" t="str">
        <f t="shared" si="3"/>
      </c>
      <c r="P109" s="6"/>
    </row>
    <row r="110" spans="2:16" hidden="1" x14ac:dyDescent="0.25">
      <c r="B110" s="61" t="str">
        <f t="shared" si="3"/>
      </c>
      <c r="C110" s="6" t="str">
        <f t="shared" si="3"/>
      </c>
      <c r="D110" s="6" t="str">
        <f t="shared" si="3"/>
      </c>
      <c r="E110" s="6" t="str">
        <f>IF(AND(E54&gt;=CODES!$C$34,E54&lt;=CODES!$D$34),"PASS","FAIL")</f>
      </c>
      <c r="F110" s="6" t="str">
        <f>IF(AND(F54&gt;=CODES!$C$35,F54&lt;=CODES!$D$35),"PASS","FAIL")</f>
      </c>
      <c r="G110" s="6" t="str">
        <f t="shared" si="3"/>
      </c>
      <c r="H110" s="6" t="str">
        <f>IF(AND(H54&gt;=CODES!$C$37,H54&lt;=CODES!$D$37),"PASS","FAIL")</f>
      </c>
      <c r="I110" s="6" t="str">
        <f>IF(ISTEXT(I54),I54,IF(ISERROR(I54),"CHECK DUP",IF(I54&gt;CODES!$B$39,"FAIL","PASS")))</f>
      </c>
      <c r="J110" s="6" t="str">
        <f>IF(AND(J54&gt;=CODES!$C$41,J54&lt;=CODES!$D$41),"PASS","FAIL")</f>
      </c>
      <c r="K110" s="6" t="str">
        <f>IF(AND(K54&gt;=CODES!$C$42,K54&lt;=CODES!$D$42),"PASS","FAIL")</f>
      </c>
      <c r="L110" s="6" t="str">
        <f>IF(AND(L54&gt;=CODES!$C$43,L54&lt;=CODES!$D$43),"PASS","FAIL")</f>
      </c>
      <c r="M110" s="6" t="str">
        <f>IF(AND(M54&gt;=CODES!$C$44,M54&lt;=CODES!$D$44),"PASS","FAIL")</f>
      </c>
      <c r="N110" s="6" t="str">
        <f t="shared" si="1"/>
      </c>
      <c r="O110" s="62" t="str">
        <f t="shared" si="3"/>
      </c>
      <c r="P110" s="6"/>
    </row>
    <row r="111" spans="2:16" x14ac:dyDescent="0.25">
      <c r="B111" s="61" t="str">
        <f t="shared" si="3"/>
      </c>
      <c r="C111" s="6" t="str">
        <f t="shared" si="3"/>
      </c>
      <c r="D111" s="6" t="str">
        <f t="shared" si="3"/>
      </c>
      <c r="E111" s="6" t="str">
        <f>IF(AND(E55&gt;=CODES!$C$34,E55&lt;=CODES!$D$34),"PASS","FAIL")</f>
      </c>
      <c r="F111" s="6" t="str">
        <f>IF(AND(F55&gt;=CODES!$C$35,F55&lt;=CODES!$D$35),"PASS","FAIL")</f>
      </c>
      <c r="G111" s="6" t="str">
        <f t="shared" si="3"/>
      </c>
      <c r="H111" s="6" t="str">
        <f>IF(AND(H55&gt;=CODES!$C$37,H55&lt;=CODES!$D$37),"PASS","FAIL")</f>
      </c>
      <c r="I111" s="6" t="str">
        <f>IF(ISTEXT(I55),I55,IF(ISERROR(I55),"CHECK DUP",IF(I55&gt;CODES!$B$39,"FAIL","PASS")))</f>
      </c>
      <c r="J111" s="6" t="str">
        <f>IF(AND(J55&gt;=CODES!$C$41,J55&lt;=CODES!$D$41),"PASS","FAIL")</f>
      </c>
      <c r="K111" s="6" t="str">
        <f>IF(AND(K55&gt;=CODES!$C$42,K55&lt;=CODES!$D$42),"PASS","FAIL")</f>
      </c>
      <c r="L111" s="6" t="str">
        <f>IF(AND(L55&gt;=CODES!$C$43,L55&lt;=CODES!$D$43),"PASS","FAIL")</f>
      </c>
      <c r="M111" s="6" t="str">
        <f>IF(AND(M55&gt;=CODES!$C$44,M55&lt;=CODES!$D$44),"PASS","FAIL")</f>
      </c>
      <c r="N111" s="6" t="str">
        <f t="shared" si="1"/>
      </c>
      <c r="O111" s="62" t="str">
        <f t="shared" si="3"/>
      </c>
      <c r="P111" s="6"/>
    </row>
    <row r="112" spans="2:16" x14ac:dyDescent="0.25">
      <c r="B112" s="61" t="str">
        <f t="shared" ref="B112:O116" si="4">B56</f>
      </c>
      <c r="C112" s="6" t="str">
        <f t="shared" si="4"/>
      </c>
      <c r="D112" s="6" t="str">
        <f t="shared" si="4"/>
      </c>
      <c r="E112" s="6" t="str">
        <f>IF(AND(E56&gt;=CODES!$C$34,E56&lt;=CODES!$D$34),"PASS","FAIL")</f>
      </c>
      <c r="F112" s="6" t="str">
        <f>IF(AND(F56&gt;=CODES!$C$35,F56&lt;=CODES!$D$35),"PASS","FAIL")</f>
      </c>
      <c r="G112" s="6" t="str">
        <f t="shared" si="4"/>
      </c>
      <c r="H112" s="6" t="str">
        <f>IF(AND(H56&gt;=CODES!$C$37,H56&lt;=CODES!$D$37),"PASS","FAIL")</f>
      </c>
      <c r="I112" s="6" t="str">
        <f>IF(ISTEXT(I56),I56,IF(ISERROR(I56),"CHECK DUP",IF(I56&gt;CODES!$B$39,"FAIL","PASS")))</f>
      </c>
      <c r="J112" s="6" t="str">
        <f>IF(AND(J56&gt;=CODES!$C$41,J56&lt;=CODES!$D$41),"PASS","FAIL")</f>
      </c>
      <c r="K112" s="6" t="str">
        <f>IF(AND(K56&gt;=CODES!$C$42,K56&lt;=CODES!$D$42),"PASS","FAIL")</f>
      </c>
      <c r="L112" s="6" t="str">
        <f>IF(AND(L56&gt;=CODES!$C$43,L56&lt;=CODES!$D$43),"PASS","FAIL")</f>
      </c>
      <c r="M112" s="6" t="str">
        <f>IF(AND(M56&gt;=CODES!$C$44,M56&lt;=CODES!$D$44),"PASS","FAIL")</f>
      </c>
      <c r="N112" s="6" t="str">
        <f t="shared" si="1"/>
      </c>
      <c r="O112" s="62" t="str">
        <f t="shared" si="4"/>
      </c>
      <c r="P112" s="6" t="s">
        <v>375</v>
      </c>
    </row>
    <row r="113" spans="2:16" hidden="1" x14ac:dyDescent="0.25">
      <c r="B113" s="61" t="str">
        <f t="shared" si="4"/>
      </c>
      <c r="C113" s="6" t="str">
        <f t="shared" si="4"/>
      </c>
      <c r="D113" s="6" t="str">
        <f t="shared" si="4"/>
      </c>
      <c r="E113" s="6" t="str">
        <f>IF(AND(E57&gt;=CODES!$C$34,E57&lt;=CODES!$D$34),"PASS","FAIL")</f>
      </c>
      <c r="F113" s="6" t="str">
        <f>IF(AND(F57&gt;=CODES!$C$35,F57&lt;=CODES!$D$35),"PASS","FAIL")</f>
      </c>
      <c r="G113" s="6" t="str">
        <f t="shared" si="4"/>
      </c>
      <c r="H113" s="6" t="str">
        <f>IF(AND(H57&gt;=CODES!$C$37,H57&lt;=CODES!$D$37),"PASS","FAIL")</f>
      </c>
      <c r="I113" s="6" t="str">
        <f>IF(ISTEXT(I57),I57,IF(ISERROR(I57),"CHECK DUP",IF(I57&gt;CODES!$B$39,"FAIL","PASS")))</f>
      </c>
      <c r="J113" s="6" t="str">
        <f>IF(AND(J57&gt;=CODES!$C$41,J57&lt;=CODES!$D$41),"PASS","FAIL")</f>
      </c>
      <c r="K113" s="6" t="str">
        <f>IF(AND(K57&gt;=CODES!$C$42,K57&lt;=CODES!$D$42),"PASS","FAIL")</f>
      </c>
      <c r="L113" s="6" t="str">
        <f>IF(AND(L57&gt;=CODES!$C$43,L57&lt;=CODES!$D$43),"PASS","FAIL")</f>
      </c>
      <c r="M113" s="6" t="str">
        <f>IF(AND(M57&gt;=CODES!$C$44,M57&lt;=CODES!$D$44),"PASS","FAIL")</f>
      </c>
      <c r="N113" s="6" t="str">
        <f t="shared" si="1"/>
      </c>
      <c r="O113" s="62" t="str">
        <f t="shared" si="4"/>
      </c>
      <c r="P113" s="6"/>
    </row>
    <row r="114" spans="2:16" hidden="1" x14ac:dyDescent="0.25">
      <c r="B114" s="61" t="str">
        <f t="shared" si="4"/>
      </c>
      <c r="C114" s="6" t="str">
        <f t="shared" si="4"/>
      </c>
      <c r="D114" s="6" t="str">
        <f t="shared" si="4"/>
      </c>
      <c r="E114" s="6" t="str">
        <f>IF(AND(E58&gt;=CODES!$C$34,E58&lt;=CODES!$D$34),"PASS","FAIL")</f>
      </c>
      <c r="F114" s="6" t="str">
        <f>IF(AND(F58&gt;=CODES!$C$35,F58&lt;=CODES!$D$35),"PASS","FAIL")</f>
      </c>
      <c r="G114" s="6" t="str">
        <f t="shared" si="4"/>
      </c>
      <c r="H114" s="6" t="str">
        <f>IF(AND(H58&gt;=CODES!$C$37,H58&lt;=CODES!$D$37),"PASS","FAIL")</f>
      </c>
      <c r="I114" s="6" t="str">
        <f>IF(ISTEXT(I58),I58,IF(ISERROR(I58),"CHECK DUP",IF(I58&gt;CODES!$B$39,"FAIL","PASS")))</f>
      </c>
      <c r="J114" s="6" t="str">
        <f>IF(AND(J58&gt;=CODES!$C$41,J58&lt;=CODES!$D$41),"PASS","FAIL")</f>
      </c>
      <c r="K114" s="6" t="str">
        <f>IF(AND(K58&gt;=CODES!$C$42,K58&lt;=CODES!$D$42),"PASS","FAIL")</f>
      </c>
      <c r="L114" s="6" t="str">
        <f>IF(AND(L58&gt;=CODES!$C$43,L58&lt;=CODES!$D$43),"PASS","FAIL")</f>
      </c>
      <c r="M114" s="6" t="str">
        <f>IF(AND(M58&gt;=CODES!$C$44,M58&lt;=CODES!$D$44),"PASS","FAIL")</f>
      </c>
      <c r="N114" s="6" t="str">
        <f t="shared" si="1"/>
      </c>
      <c r="O114" s="62" t="str">
        <f t="shared" si="4"/>
      </c>
      <c r="P114" s="6"/>
    </row>
    <row r="115" spans="2:16" x14ac:dyDescent="0.25">
      <c r="B115" s="61" t="str">
        <f t="shared" si="4"/>
      </c>
      <c r="C115" s="6" t="str">
        <f t="shared" si="4"/>
      </c>
      <c r="D115" s="6" t="str">
        <f t="shared" si="4"/>
      </c>
      <c r="E115" s="6" t="str">
        <f>IF(AND(E59&gt;=CODES!$C$34,E59&lt;=CODES!$D$34),"PASS","FAIL")</f>
      </c>
      <c r="F115" s="6" t="str">
        <f>IF(AND(F59&gt;=CODES!$C$35,F59&lt;=CODES!$D$35),"PASS","FAIL")</f>
      </c>
      <c r="G115" s="6" t="str">
        <f t="shared" si="4"/>
      </c>
      <c r="H115" s="6" t="str">
        <f>IF(AND(H59&gt;=CODES!$C$37,H59&lt;=CODES!$D$37),"PASS","FAIL")</f>
      </c>
      <c r="I115" s="6" t="str">
        <f>IF(ISTEXT(I59),I59,IF(ISERROR(I59),"CHECK DUP",IF(I59&gt;CODES!$B$39,"FAIL","PASS")))</f>
      </c>
      <c r="J115" s="6" t="str">
        <f>IF(AND(J59&gt;=CODES!$C$41,J59&lt;=CODES!$D$41),"PASS","FAIL")</f>
      </c>
      <c r="K115" s="6" t="str">
        <f>IF(AND(K59&gt;=CODES!$C$42,K59&lt;=CODES!$D$42),"PASS","FAIL")</f>
      </c>
      <c r="L115" s="6" t="str">
        <f>IF(AND(L59&gt;=CODES!$C$43,L59&lt;=CODES!$D$43),"PASS","FAIL")</f>
      </c>
      <c r="M115" s="6" t="str">
        <f>IF(AND(M59&gt;=CODES!$C$44,M59&lt;=CODES!$D$44),"PASS","FAIL")</f>
      </c>
      <c r="N115" s="6" t="str">
        <f t="shared" si="1"/>
      </c>
      <c r="O115" s="62" t="str">
        <f t="shared" si="4"/>
      </c>
      <c r="P115" s="6" t="s">
        <v>346</v>
      </c>
    </row>
    <row r="116" spans="2:16" hidden="1" x14ac:dyDescent="0.25">
      <c r="B116" s="66" t="str">
        <f t="shared" si="4"/>
      </c>
      <c r="C116" s="31" t="str">
        <f t="shared" si="4"/>
      </c>
      <c r="D116" s="31" t="str">
        <f t="shared" si="4"/>
      </c>
      <c r="E116" s="31" t="str">
        <f>IF(AND(E60&gt;=CODES!$C$34,E60&lt;=CODES!$D$34),"PASS","FAIL")</f>
      </c>
      <c r="F116" s="31" t="str">
        <f>IF(AND(F60&gt;=CODES!$C$35,F60&lt;=CODES!$D$35),"PASS","FAIL")</f>
      </c>
      <c r="G116" s="31" t="str">
        <f t="shared" si="4"/>
      </c>
      <c r="H116" s="31" t="str">
        <f>IF(AND(H60&gt;=CODES!$C$37,H60&lt;=CODES!$D$37),"PASS","FAIL")</f>
      </c>
      <c r="I116" s="31" t="str">
        <f>IF(ISTEXT(I60),I60,IF(ISERROR(I60),"CHECK DUP",IF(I60&gt;CODES!$B$39,"FAIL","PASS")))</f>
      </c>
      <c r="J116" s="31" t="str">
        <f>IF(AND(J60&gt;=CODES!$C$41,J60&lt;=CODES!$D$41),"PASS","FAIL")</f>
      </c>
      <c r="K116" s="31" t="str">
        <f>IF(AND(K60&gt;=CODES!$C$42,K60&lt;=CODES!$D$42),"PASS","FAIL")</f>
      </c>
      <c r="L116" s="31" t="str">
        <f>IF(AND(L60&gt;=CODES!$C$43,L60&lt;=CODES!$D$43),"PASS","FAIL")</f>
      </c>
      <c r="M116" s="31" t="str">
        <f>IF(AND(M60&gt;=CODES!$C$44,M60&lt;=CODES!$D$44),"PASS","FAIL")</f>
      </c>
      <c r="N116" s="6" t="str">
        <f t="shared" si="1"/>
      </c>
      <c r="O116" s="67" t="str">
        <f t="shared" si="4"/>
      </c>
      <c r="P116" s="31"/>
    </row>
  </sheetData>
  <sheetProtection algorithmName="SHA-512" hashValue="KR8sRsZkmO72uojIfm6mTiLRngMbnjT1EGHh2KgN/6HubMfWqZMB2ful+m//2yLCvOIBVVma1V360vJCNTF8EQ==" saltValue="k/qigBJFJ4AsbMejoxtgUg==" spinCount="100000" sheet="1" objects="1" scenarios="1"/>
  <protectedRanges>
    <protectedRange sqref="A62:XFD196" name="Range1"/>
  </protectedRanges>
  <conditionalFormatting sqref="D64:M116">
    <cfRule type="containsText" dxfId="1" priority="1" operator="containsText" text="FAIL">
      <formula>NOT(ISERROR(SEARCH("FAIL",D64)))</formula>
    </cfRule>
    <cfRule type="containsText" dxfId="0" priority="2" operator="containsText" text="PASS">
      <formula>NOT(ISERROR(SEARCH("PASS",D64)))</formula>
    </cfRule>
  </conditionalFormatting>
  <pageMargins left="0.7" right="0.7" top="0.75" bottom="0.75" header="0.3" footer="0.3"/>
  <pageSetup orientation="portrait" horizontalDpi="1200" verticalDpi="120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2a7e801-43e4-4b22-a41e-ba69c3e95488" xsi:nil="true"/>
    <lcf76f155ced4ddcb4097134ff3c332f xmlns="fbae9897-e45d-4f8a-ae0a-a257fb1cafb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5485B7E0732A243BB349903B336AEC9" ma:contentTypeVersion="19" ma:contentTypeDescription="Create a new document." ma:contentTypeScope="" ma:versionID="bbcb12c9e888cc972ba72ba9ac4717fd">
  <xsd:schema xmlns:xsd="http://www.w3.org/2001/XMLSchema" xmlns:xs="http://www.w3.org/2001/XMLSchema" xmlns:p="http://schemas.microsoft.com/office/2006/metadata/properties" xmlns:ns2="fbae9897-e45d-4f8a-ae0a-a257fb1cafb0" xmlns:ns3="42a7e801-43e4-4b22-a41e-ba69c3e95488" targetNamespace="http://schemas.microsoft.com/office/2006/metadata/properties" ma:root="true" ma:fieldsID="1c513e34afd1617fc9f73beca44208a5" ns2:_="" ns3:_="">
    <xsd:import namespace="fbae9897-e45d-4f8a-ae0a-a257fb1cafb0"/>
    <xsd:import namespace="42a7e801-43e4-4b22-a41e-ba69c3e9548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ae9897-e45d-4f8a-ae0a-a257fb1caf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ea17b95-a0f7-4c1e-abd1-3200a77ac4b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a7e801-43e4-4b22-a41e-ba69c3e9548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dd92c3e-0add-4f6b-85a6-38cf39ccfaec}" ma:internalName="TaxCatchAll" ma:showField="CatchAllData" ma:web="42a7e801-43e4-4b22-a41e-ba69c3e954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BE1472-D93E-4203-B3D9-B58ED4C24F5B}">
  <ds:schemaRefs>
    <ds:schemaRef ds:uri="http://www.w3.org/XML/1998/namespace"/>
    <ds:schemaRef ds:uri="http://purl.org/dc/dcmitype/"/>
    <ds:schemaRef ds:uri="http://schemas.microsoft.com/office/2006/documentManagement/types"/>
    <ds:schemaRef ds:uri="http://purl.org/dc/terms/"/>
    <ds:schemaRef ds:uri="http://purl.org/dc/elements/1.1/"/>
    <ds:schemaRef ds:uri="42a7e801-43e4-4b22-a41e-ba69c3e95488"/>
    <ds:schemaRef ds:uri="http://schemas.microsoft.com/office/infopath/2007/PartnerControls"/>
    <ds:schemaRef ds:uri="http://schemas.openxmlformats.org/package/2006/metadata/core-properties"/>
    <ds:schemaRef ds:uri="fbae9897-e45d-4f8a-ae0a-a257fb1cafb0"/>
    <ds:schemaRef ds:uri="http://schemas.microsoft.com/office/2006/metadata/properties"/>
  </ds:schemaRefs>
</ds:datastoreItem>
</file>

<file path=customXml/itemProps2.xml><?xml version="1.0" encoding="utf-8"?>
<ds:datastoreItem xmlns:ds="http://schemas.openxmlformats.org/officeDocument/2006/customXml" ds:itemID="{9C349205-6D66-4BC2-954C-442721AD50C3}">
  <ds:schemaRefs>
    <ds:schemaRef ds:uri="http://schemas.microsoft.com/sharepoint/v3/contenttype/forms"/>
  </ds:schemaRefs>
</ds:datastoreItem>
</file>

<file path=customXml/itemProps3.xml><?xml version="1.0" encoding="utf-8"?>
<ds:datastoreItem xmlns:ds="http://schemas.openxmlformats.org/officeDocument/2006/customXml" ds:itemID="{EA1559A6-D5B4-4B40-B3A2-79536B2696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BATCH</vt:lpstr>
      <vt:lpstr>SUMMARY TABLE</vt:lpstr>
      <vt:lpstr>INSTRUCTIONS</vt:lpstr>
      <vt:lpstr>CODES</vt:lpstr>
      <vt:lpstr>TRACKED CHANGES</vt:lpstr>
      <vt:lpstr>BATCH VERIFICATION</vt:lpstr>
      <vt:lpstr>SUMMARY TABLE VERIFICATION</vt:lpstr>
    </vt:vector>
  </TitlesOfParts>
  <Manager/>
  <Company>UNBC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Erwin Rehl</dc:creator>
  <cp:keywords/>
  <dc:description/>
  <cp:lastModifiedBy>Erwin Rehl</cp:lastModifiedBy>
  <cp:revision/>
  <dcterms:created xsi:type="dcterms:W3CDTF">2015-10-27T17:16:05Z</dcterms:created>
  <dcterms:modified xsi:type="dcterms:W3CDTF">2026-02-18T20:06:13Z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0x01010075485B7E0732A243BB349903B336AEC9</vt:lpwstr>
  </property>
  <property fmtid="{D5CDD505-2E9C-101B-9397-08002B2CF9AE}" pid="3" name="MediaServiceImageTags">
    <vt:lpwstr/>
  </property>
</Properties>
</file>