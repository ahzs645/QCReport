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unbc.sharepoint.com/sites/NALS/Shared Documents/General/NALS Internal/Records/2026 Projects/2026NALS02604 RW/ICPOES Run 2/"/>
    </mc:Choice>
  </mc:AlternateContent>
  <xr:revisionPtr revIDLastSave="86" documentId="8_{64D37A3F-9DA4-4AE0-8804-1742D11730C4}" xr6:coauthVersionLast="47" xr6:coauthVersionMax="47" xr10:uidLastSave="{9F316CC8-67B3-47F1-A367-D6BAD6E1787B}"/>
  <workbookProtection workbookAlgorithmName="SHA-512" workbookHashValue="T2CScS/wiGdR6qW7vrHEAJ8ZmByxEptW/hluyTvde9yg2rZ6xuEDEPrHNblizGYbRmB4WTp+Dfirnz7CUf1zVQ==" workbookSaltValue="S66+FdaA77e8bGAUdL8cIQ==" workbookSpinCount="100000" lockStructure="1"/>
  <bookViews>
    <workbookView xWindow="-28920" yWindow="-120" windowWidth="29040" windowHeight="15720" tabRatio="816" activeTab="6" xr2:uid="{00000000-000D-0000-FFFF-FFFF00000000}"/>
  </bookViews>
  <sheets>
    <sheet name="ICPOES RESULTS" sheetId="1" r:id="rId1"/>
    <sheet name="ICPMS RESULTS" sheetId="6" r:id="rId2"/>
    <sheet name="ICPQQQ RESULTS" sheetId="14" r:id="rId3"/>
    <sheet name="IC RESULTS" sheetId="3" r:id="rId4"/>
    <sheet name="PHYSICAL RESULTS" sheetId="4" r:id="rId5"/>
    <sheet name="BIOLOGICAL RESULTS" sheetId="5" r:id="rId6"/>
    <sheet name="REPORT DATA (NO Hg)" sheetId="17" r:id="rId7"/>
    <sheet name="REPORT DATA" sheetId="2" r:id="rId8"/>
    <sheet name="REPORT DATA ICPOES ONLY" sheetId="11" r:id="rId9"/>
    <sheet name="REPORT DATA ICPMS ONLY" sheetId="12" r:id="rId10"/>
    <sheet name="REPORT DATA ICPQQQ ONLY" sheetId="15" r:id="rId11"/>
    <sheet name="INSTRUCTIONS" sheetId="7" r:id="rId12"/>
    <sheet name="CODES" sheetId="13" r:id="rId13"/>
    <sheet name="TRACKED CHANGES" sheetId="16" r:id="rId14"/>
  </sheet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4" i="13" l="1"/>
  <c r="B8" i="3" l="1"/>
  <c r="B10" i="5"/>
  <c r="B14" i="3"/>
  <c r="B11" i="14"/>
  <c r="B14" i="14"/>
  <c r="B14" i="6"/>
  <c r="B14" i="1"/>
  <c r="B3" i="1"/>
  <c r="F61" i="17" a="1"/>
  <c r="AX61" i="17" s="1"/>
  <c r="F60" i="17" a="1"/>
  <c r="AB60" i="17" s="1"/>
  <c r="F59" i="17" a="1"/>
  <c r="AT59" i="17" s="1"/>
  <c r="F58" i="17" a="1"/>
  <c r="AR58" i="17" s="1"/>
  <c r="F57" i="17" a="1"/>
  <c r="AP57" i="17" s="1"/>
  <c r="F56" i="17" a="1"/>
  <c r="AI56" i="17" s="1"/>
  <c r="F55" i="17" a="1"/>
  <c r="AH55" i="17" s="1"/>
  <c r="F54" i="17" a="1"/>
  <c r="AN54" i="17" s="1"/>
  <c r="F53" i="17" a="1"/>
  <c r="AM53" i="17" s="1"/>
  <c r="E50" i="17"/>
  <c r="D50" i="17"/>
  <c r="E49" i="17"/>
  <c r="D49" i="17"/>
  <c r="E48" i="17"/>
  <c r="D48" i="17"/>
  <c r="E47" i="17"/>
  <c r="D47" i="17"/>
  <c r="E46" i="17"/>
  <c r="D46" i="17"/>
  <c r="E45" i="17"/>
  <c r="D45" i="17"/>
  <c r="E44" i="17"/>
  <c r="D44" i="17"/>
  <c r="D43" i="17"/>
  <c r="E42" i="17"/>
  <c r="D42" i="17"/>
  <c r="E41" i="17"/>
  <c r="D41" i="17"/>
  <c r="E40" i="17"/>
  <c r="D40" i="17"/>
  <c r="E39" i="17"/>
  <c r="D39" i="17"/>
  <c r="E38" i="17"/>
  <c r="D38" i="17"/>
  <c r="E37" i="17"/>
  <c r="D37" i="17"/>
  <c r="E36" i="17"/>
  <c r="D36" i="17"/>
  <c r="E35" i="17"/>
  <c r="D35" i="17"/>
  <c r="D34" i="17"/>
  <c r="E33" i="17"/>
  <c r="D33" i="17"/>
  <c r="E32" i="17"/>
  <c r="D32" i="17"/>
  <c r="D31" i="17"/>
  <c r="E30" i="17"/>
  <c r="D30" i="17"/>
  <c r="E29" i="17"/>
  <c r="D29" i="17"/>
  <c r="E28" i="17"/>
  <c r="D28" i="17"/>
  <c r="E27" i="17"/>
  <c r="D27" i="17"/>
  <c r="D26" i="17"/>
  <c r="F14" i="17" a="1"/>
  <c r="AP14" i="17" s="1"/>
  <c r="F13" i="17" a="1"/>
  <c r="AT13" i="17" s="1"/>
  <c r="F10" i="17" a="1"/>
  <c r="AP10" i="17" s="1"/>
  <c r="F8" i="17" a="1"/>
  <c r="AX8" i="17" s="1"/>
  <c r="F7" i="17" a="1"/>
  <c r="AV7" i="17" s="1"/>
  <c r="A3" i="17"/>
  <c r="D65" i="15"/>
  <c r="D42" i="15"/>
  <c r="D32" i="15"/>
  <c r="D31" i="15"/>
  <c r="D29" i="15"/>
  <c r="D28" i="15"/>
  <c r="C65" i="15"/>
  <c r="C42" i="15"/>
  <c r="C35" i="15"/>
  <c r="C32" i="15"/>
  <c r="C31" i="15"/>
  <c r="C29" i="15"/>
  <c r="C28" i="15"/>
  <c r="E45" i="2"/>
  <c r="E38" i="2"/>
  <c r="E37" i="2"/>
  <c r="E30" i="2"/>
  <c r="E41" i="2"/>
  <c r="D45" i="2"/>
  <c r="D41" i="2"/>
  <c r="D38" i="2"/>
  <c r="D37" i="2"/>
  <c r="D30" i="2"/>
  <c r="AS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F27" i="17" s="1" a="1"/>
  <c r="F27" i="17" s="1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T69" i="14"/>
  <c r="AU69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AG90" i="14"/>
  <c r="AH90" i="14"/>
  <c r="AI90" i="14"/>
  <c r="AJ90" i="14"/>
  <c r="AK90" i="14"/>
  <c r="AL90" i="14"/>
  <c r="AM90" i="14"/>
  <c r="AN90" i="14"/>
  <c r="AO90" i="14"/>
  <c r="AP90" i="14"/>
  <c r="AQ90" i="14"/>
  <c r="AR90" i="14"/>
  <c r="AS90" i="14"/>
  <c r="AT90" i="14"/>
  <c r="AU90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Y91" i="14"/>
  <c r="Z91" i="14"/>
  <c r="AA91" i="14"/>
  <c r="AB91" i="14"/>
  <c r="AC91" i="14"/>
  <c r="AD91" i="14"/>
  <c r="AE91" i="14"/>
  <c r="AF91" i="14"/>
  <c r="AG91" i="14"/>
  <c r="AH91" i="14"/>
  <c r="AI91" i="14"/>
  <c r="AJ91" i="14"/>
  <c r="AK91" i="14"/>
  <c r="AL91" i="14"/>
  <c r="AM91" i="14"/>
  <c r="AN91" i="14"/>
  <c r="AO91" i="14"/>
  <c r="AP91" i="14"/>
  <c r="AQ91" i="14"/>
  <c r="AR91" i="14"/>
  <c r="AS91" i="14"/>
  <c r="AT91" i="14"/>
  <c r="AU91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AN92" i="14"/>
  <c r="AO92" i="14"/>
  <c r="AP92" i="14"/>
  <c r="AQ92" i="14"/>
  <c r="AR92" i="14"/>
  <c r="AS92" i="14"/>
  <c r="AT92" i="14"/>
  <c r="AU92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AN101" i="14"/>
  <c r="AO101" i="14"/>
  <c r="AP101" i="14"/>
  <c r="AQ101" i="14"/>
  <c r="AR101" i="14"/>
  <c r="AS101" i="14"/>
  <c r="AT101" i="14"/>
  <c r="AU101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AI102" i="14"/>
  <c r="AJ102" i="14"/>
  <c r="AK102" i="14"/>
  <c r="AL102" i="14"/>
  <c r="AM102" i="14"/>
  <c r="AN102" i="14"/>
  <c r="AO102" i="14"/>
  <c r="AP102" i="14"/>
  <c r="AQ102" i="14"/>
  <c r="AR102" i="14"/>
  <c r="AS102" i="14"/>
  <c r="AT102" i="14"/>
  <c r="AU102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AN103" i="14"/>
  <c r="AO103" i="14"/>
  <c r="AP103" i="14"/>
  <c r="AQ103" i="14"/>
  <c r="AR103" i="14"/>
  <c r="AS103" i="14"/>
  <c r="AT103" i="14"/>
  <c r="AU103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AN108" i="14"/>
  <c r="AO108" i="14"/>
  <c r="AP108" i="14"/>
  <c r="AQ108" i="14"/>
  <c r="AR108" i="14"/>
  <c r="AS108" i="14"/>
  <c r="AT108" i="14"/>
  <c r="AU108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AN109" i="14"/>
  <c r="AO109" i="14"/>
  <c r="AP109" i="14"/>
  <c r="AQ109" i="14"/>
  <c r="AR109" i="14"/>
  <c r="AS109" i="14"/>
  <c r="AT109" i="14"/>
  <c r="AU109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AH110" i="14"/>
  <c r="AI110" i="14"/>
  <c r="AJ110" i="14"/>
  <c r="AK110" i="14"/>
  <c r="AL110" i="14"/>
  <c r="AM110" i="14"/>
  <c r="AN110" i="14"/>
  <c r="AO110" i="14"/>
  <c r="AP110" i="14"/>
  <c r="AQ110" i="14"/>
  <c r="AR110" i="14"/>
  <c r="AS110" i="14"/>
  <c r="AT110" i="14"/>
  <c r="AU110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H111" i="14"/>
  <c r="AI111" i="14"/>
  <c r="AJ111" i="14"/>
  <c r="AK111" i="14"/>
  <c r="AL111" i="14"/>
  <c r="AM111" i="14"/>
  <c r="AN111" i="14"/>
  <c r="AO111" i="14"/>
  <c r="AP111" i="14"/>
  <c r="AQ111" i="14"/>
  <c r="AR111" i="14"/>
  <c r="AS111" i="14"/>
  <c r="AT111" i="14"/>
  <c r="AU111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AN112" i="14"/>
  <c r="AO112" i="14"/>
  <c r="AP112" i="14"/>
  <c r="AQ112" i="14"/>
  <c r="AR112" i="14"/>
  <c r="AS112" i="14"/>
  <c r="AT112" i="14"/>
  <c r="AU112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AS113" i="14"/>
  <c r="AT113" i="14"/>
  <c r="AU113" i="14"/>
  <c r="AM64" i="14"/>
  <c r="AN64" i="14"/>
  <c r="AO64" i="14"/>
  <c r="AP64" i="14"/>
  <c r="AQ64" i="14"/>
  <c r="AR64" i="14"/>
  <c r="AS64" i="14"/>
  <c r="AT64" i="14"/>
  <c r="AU64" i="14"/>
  <c r="AI64" i="14"/>
  <c r="AJ64" i="14"/>
  <c r="A18" i="3"/>
  <c r="D50" i="15"/>
  <c r="D49" i="15"/>
  <c r="D48" i="15"/>
  <c r="D47" i="15"/>
  <c r="A2" i="13"/>
  <c r="A3" i="15"/>
  <c r="A3" i="12"/>
  <c r="A3" i="11"/>
  <c r="A3" i="2"/>
  <c r="B3" i="5"/>
  <c r="B3" i="4"/>
  <c r="B3" i="3"/>
  <c r="B3" i="14"/>
  <c r="B3" i="6"/>
  <c r="D66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46" i="15"/>
  <c r="D45" i="15"/>
  <c r="D44" i="15"/>
  <c r="D43" i="15"/>
  <c r="D41" i="15"/>
  <c r="D40" i="15"/>
  <c r="D39" i="15"/>
  <c r="D38" i="15"/>
  <c r="D37" i="15"/>
  <c r="D36" i="15"/>
  <c r="D34" i="15"/>
  <c r="D33" i="15"/>
  <c r="D30" i="15"/>
  <c r="D27" i="15"/>
  <c r="D26" i="15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26" i="11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B60" i="13"/>
  <c r="B59" i="13"/>
  <c r="B58" i="13"/>
  <c r="B57" i="13"/>
  <c r="B56" i="13"/>
  <c r="B55" i="13"/>
  <c r="E46" i="2" s="1"/>
  <c r="B54" i="13"/>
  <c r="B53" i="13"/>
  <c r="E44" i="2" s="1"/>
  <c r="B52" i="13"/>
  <c r="E43" i="2" s="1"/>
  <c r="B51" i="13"/>
  <c r="B50" i="13"/>
  <c r="B49" i="13"/>
  <c r="B48" i="13"/>
  <c r="B47" i="13"/>
  <c r="B46" i="13"/>
  <c r="B45" i="13"/>
  <c r="B43" i="13"/>
  <c r="E34" i="2" s="1"/>
  <c r="B42" i="13"/>
  <c r="B41" i="13"/>
  <c r="E32" i="2" s="1"/>
  <c r="B40" i="13"/>
  <c r="E31" i="2" s="1"/>
  <c r="B39" i="13"/>
  <c r="B38" i="13"/>
  <c r="B37" i="13"/>
  <c r="B36" i="13"/>
  <c r="B35" i="13"/>
  <c r="E26" i="17" s="1"/>
  <c r="C43" i="12"/>
  <c r="C44" i="12"/>
  <c r="C45" i="12"/>
  <c r="C42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26" i="11"/>
  <c r="C47" i="15"/>
  <c r="C27" i="15"/>
  <c r="C30" i="15"/>
  <c r="C33" i="15"/>
  <c r="C34" i="15"/>
  <c r="C36" i="15"/>
  <c r="C37" i="15"/>
  <c r="C38" i="15"/>
  <c r="C39" i="15"/>
  <c r="C40" i="15"/>
  <c r="C41" i="15"/>
  <c r="C43" i="15"/>
  <c r="C44" i="15"/>
  <c r="C45" i="15"/>
  <c r="C46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6" i="15"/>
  <c r="C26" i="15"/>
  <c r="E77" i="15" a="1"/>
  <c r="E76" i="15" a="1"/>
  <c r="AU76" i="15" s="1"/>
  <c r="E75" i="15" a="1"/>
  <c r="AS75" i="15" s="1"/>
  <c r="E74" i="15" a="1"/>
  <c r="AQ74" i="15" s="1"/>
  <c r="E73" i="15" a="1"/>
  <c r="AO73" i="15" s="1"/>
  <c r="E72" i="15" a="1"/>
  <c r="AB72" i="15" s="1"/>
  <c r="E71" i="15" a="1"/>
  <c r="AV71" i="15" s="1"/>
  <c r="E70" i="15" a="1"/>
  <c r="AT70" i="15" s="1"/>
  <c r="E69" i="15" a="1"/>
  <c r="Z69" i="15" s="1"/>
  <c r="E14" i="15" a="1"/>
  <c r="AH14" i="15" s="1"/>
  <c r="E13" i="15" a="1"/>
  <c r="Z13" i="15" s="1"/>
  <c r="E10" i="15" a="1"/>
  <c r="Z10" i="15" s="1"/>
  <c r="E8" i="15" a="1"/>
  <c r="AS8" i="15" s="1"/>
  <c r="E7" i="15" a="1"/>
  <c r="AQ7" i="15" s="1"/>
  <c r="E27" i="2"/>
  <c r="E28" i="2"/>
  <c r="E29" i="2"/>
  <c r="E33" i="2"/>
  <c r="E35" i="2"/>
  <c r="E36" i="2"/>
  <c r="E39" i="2"/>
  <c r="E40" i="2"/>
  <c r="E42" i="2"/>
  <c r="E47" i="2"/>
  <c r="E48" i="2"/>
  <c r="E49" i="2"/>
  <c r="E50" i="2"/>
  <c r="E51" i="2"/>
  <c r="D36" i="2"/>
  <c r="D27" i="2"/>
  <c r="D28" i="2"/>
  <c r="D29" i="2"/>
  <c r="D31" i="2"/>
  <c r="D32" i="2"/>
  <c r="D33" i="2"/>
  <c r="D34" i="2"/>
  <c r="D35" i="2"/>
  <c r="D39" i="2"/>
  <c r="D40" i="2"/>
  <c r="D42" i="2"/>
  <c r="D43" i="2"/>
  <c r="D44" i="2"/>
  <c r="D46" i="2"/>
  <c r="D47" i="2"/>
  <c r="D48" i="2"/>
  <c r="D49" i="2"/>
  <c r="D50" i="2"/>
  <c r="D51" i="2"/>
  <c r="D26" i="2"/>
  <c r="C113" i="14"/>
  <c r="B113" i="14"/>
  <c r="C112" i="14"/>
  <c r="B112" i="14"/>
  <c r="C111" i="14"/>
  <c r="B111" i="14"/>
  <c r="C110" i="14"/>
  <c r="B110" i="14"/>
  <c r="C109" i="14"/>
  <c r="B109" i="14"/>
  <c r="C108" i="14"/>
  <c r="B108" i="14"/>
  <c r="C107" i="14"/>
  <c r="B107" i="14"/>
  <c r="C106" i="14"/>
  <c r="B106" i="14"/>
  <c r="C105" i="14"/>
  <c r="B105" i="14"/>
  <c r="C104" i="14"/>
  <c r="B104" i="14"/>
  <c r="C103" i="14"/>
  <c r="B103" i="14"/>
  <c r="C102" i="14"/>
  <c r="B102" i="14"/>
  <c r="C101" i="14"/>
  <c r="B101" i="14"/>
  <c r="C100" i="14"/>
  <c r="B100" i="14"/>
  <c r="C99" i="14"/>
  <c r="B99" i="14"/>
  <c r="C98" i="14"/>
  <c r="B98" i="14"/>
  <c r="C97" i="14"/>
  <c r="B97" i="14"/>
  <c r="C96" i="14"/>
  <c r="B96" i="14"/>
  <c r="C95" i="14"/>
  <c r="B95" i="14"/>
  <c r="C94" i="14"/>
  <c r="B94" i="14"/>
  <c r="C93" i="14"/>
  <c r="B93" i="14"/>
  <c r="C92" i="14"/>
  <c r="B92" i="14"/>
  <c r="C91" i="14"/>
  <c r="B91" i="14"/>
  <c r="C90" i="14"/>
  <c r="B90" i="14"/>
  <c r="C89" i="14"/>
  <c r="B89" i="14"/>
  <c r="C88" i="14"/>
  <c r="B88" i="14"/>
  <c r="C87" i="14"/>
  <c r="B87" i="14"/>
  <c r="C86" i="14"/>
  <c r="B86" i="14"/>
  <c r="C85" i="14"/>
  <c r="B85" i="14"/>
  <c r="C84" i="14"/>
  <c r="B84" i="14"/>
  <c r="C83" i="14"/>
  <c r="B83" i="14"/>
  <c r="C82" i="14"/>
  <c r="B82" i="14"/>
  <c r="C81" i="14"/>
  <c r="B81" i="14"/>
  <c r="C80" i="14"/>
  <c r="B80" i="14"/>
  <c r="C79" i="14"/>
  <c r="B79" i="14"/>
  <c r="C78" i="14"/>
  <c r="B78" i="14"/>
  <c r="C77" i="14"/>
  <c r="B77" i="14"/>
  <c r="C76" i="14"/>
  <c r="B76" i="14"/>
  <c r="C75" i="14"/>
  <c r="B75" i="14"/>
  <c r="C74" i="14"/>
  <c r="B74" i="14"/>
  <c r="C73" i="14"/>
  <c r="B73" i="14"/>
  <c r="C72" i="14"/>
  <c r="B72" i="14"/>
  <c r="C71" i="14"/>
  <c r="B71" i="14"/>
  <c r="C70" i="14"/>
  <c r="B70" i="14"/>
  <c r="C69" i="14"/>
  <c r="B69" i="14"/>
  <c r="AL64" i="14"/>
  <c r="AK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A62" i="14"/>
  <c r="A113" i="14" s="1"/>
  <c r="A61" i="14"/>
  <c r="A112" i="14" s="1"/>
  <c r="A60" i="14"/>
  <c r="A111" i="14" s="1"/>
  <c r="A59" i="14"/>
  <c r="A110" i="14" s="1"/>
  <c r="A58" i="14"/>
  <c r="A109" i="14" s="1"/>
  <c r="A57" i="14"/>
  <c r="A108" i="14" s="1"/>
  <c r="A56" i="14"/>
  <c r="A107" i="14" s="1"/>
  <c r="A55" i="14"/>
  <c r="A106" i="14" s="1"/>
  <c r="A54" i="14"/>
  <c r="A105" i="14" s="1"/>
  <c r="A53" i="14"/>
  <c r="A104" i="14" s="1"/>
  <c r="A52" i="14"/>
  <c r="A103" i="14" s="1"/>
  <c r="A51" i="14"/>
  <c r="A102" i="14" s="1"/>
  <c r="A50" i="14"/>
  <c r="A101" i="14" s="1"/>
  <c r="A49" i="14"/>
  <c r="A100" i="14" s="1"/>
  <c r="A48" i="14"/>
  <c r="A99" i="14" s="1"/>
  <c r="A47" i="14"/>
  <c r="A98" i="14" s="1"/>
  <c r="A46" i="14"/>
  <c r="A97" i="14" s="1"/>
  <c r="A45" i="14"/>
  <c r="A96" i="14" s="1"/>
  <c r="A44" i="14"/>
  <c r="A95" i="14" s="1"/>
  <c r="A43" i="14"/>
  <c r="A94" i="14" s="1"/>
  <c r="A42" i="14"/>
  <c r="A93" i="14" s="1"/>
  <c r="A41" i="14"/>
  <c r="A92" i="14" s="1"/>
  <c r="A40" i="14"/>
  <c r="A91" i="14" s="1"/>
  <c r="A39" i="14"/>
  <c r="A90" i="14" s="1"/>
  <c r="A38" i="14"/>
  <c r="A89" i="14" s="1"/>
  <c r="A37" i="14"/>
  <c r="A88" i="14" s="1"/>
  <c r="A36" i="14"/>
  <c r="A87" i="14" s="1"/>
  <c r="A35" i="14"/>
  <c r="A86" i="14" s="1"/>
  <c r="A34" i="14"/>
  <c r="A85" i="14" s="1"/>
  <c r="A33" i="14"/>
  <c r="A84" i="14" s="1"/>
  <c r="A32" i="14"/>
  <c r="A83" i="14" s="1"/>
  <c r="A31" i="14"/>
  <c r="A82" i="14" s="1"/>
  <c r="A30" i="14"/>
  <c r="A81" i="14" s="1"/>
  <c r="A29" i="14"/>
  <c r="A80" i="14" s="1"/>
  <c r="A28" i="14"/>
  <c r="A79" i="14" s="1"/>
  <c r="A27" i="14"/>
  <c r="A78" i="14" s="1"/>
  <c r="A26" i="14"/>
  <c r="A77" i="14" s="1"/>
  <c r="A25" i="14"/>
  <c r="A76" i="14" s="1"/>
  <c r="A24" i="14"/>
  <c r="A75" i="14" s="1"/>
  <c r="A23" i="14"/>
  <c r="A74" i="14" s="1"/>
  <c r="A22" i="14"/>
  <c r="A73" i="14" s="1"/>
  <c r="A21" i="14"/>
  <c r="A72" i="14" s="1"/>
  <c r="A20" i="14"/>
  <c r="A71" i="14" s="1"/>
  <c r="A19" i="14"/>
  <c r="A70" i="14" s="1"/>
  <c r="A18" i="14"/>
  <c r="A69" i="14" s="1"/>
  <c r="B13" i="14"/>
  <c r="B12" i="14"/>
  <c r="B10" i="14"/>
  <c r="B9" i="14"/>
  <c r="B8" i="14"/>
  <c r="B6" i="14"/>
  <c r="B5" i="14"/>
  <c r="G18" i="4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70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E43" i="17" l="1"/>
  <c r="AL14" i="17"/>
  <c r="AM14" i="17"/>
  <c r="Z14" i="17"/>
  <c r="Y10" i="17"/>
  <c r="S7" i="17"/>
  <c r="AG7" i="17"/>
  <c r="R14" i="17"/>
  <c r="S14" i="17"/>
  <c r="Y14" i="17"/>
  <c r="E34" i="17"/>
  <c r="E31" i="17"/>
  <c r="E26" i="2"/>
  <c r="AL57" i="17"/>
  <c r="U7" i="17"/>
  <c r="AA7" i="17"/>
  <c r="AP7" i="17"/>
  <c r="AS14" i="17"/>
  <c r="L14" i="17"/>
  <c r="U57" i="17"/>
  <c r="AI57" i="17"/>
  <c r="F26" i="2" a="1"/>
  <c r="F26" i="2" s="1"/>
  <c r="F43" i="17" a="1"/>
  <c r="F43" i="17" s="1"/>
  <c r="F28" i="17" a="1"/>
  <c r="F28" i="17" s="1"/>
  <c r="F7" i="17"/>
  <c r="F14" i="17"/>
  <c r="AW7" i="17"/>
  <c r="AB14" i="17"/>
  <c r="K58" i="17"/>
  <c r="F26" i="17" a="1"/>
  <c r="F26" i="17" s="1"/>
  <c r="F47" i="17" a="1"/>
  <c r="F47" i="17" s="1"/>
  <c r="F31" i="17" a="1"/>
  <c r="F31" i="17" s="1"/>
  <c r="F39" i="17" a="1"/>
  <c r="F39" i="17" s="1"/>
  <c r="F35" i="17" a="1"/>
  <c r="F35" i="17" s="1"/>
  <c r="F34" i="17" a="1"/>
  <c r="F34" i="17" s="1"/>
  <c r="F36" i="17" a="1"/>
  <c r="F36" i="17" s="1"/>
  <c r="AG58" i="17"/>
  <c r="F42" i="17" a="1"/>
  <c r="F42" i="17" s="1"/>
  <c r="AX58" i="17"/>
  <c r="AO14" i="17"/>
  <c r="O57" i="17"/>
  <c r="F33" i="17" a="1"/>
  <c r="F33" i="17" s="1"/>
  <c r="F44" i="17" a="1"/>
  <c r="F44" i="17" s="1"/>
  <c r="F40" i="17" a="1"/>
  <c r="F40" i="17" s="1"/>
  <c r="Y55" i="17"/>
  <c r="AP55" i="17"/>
  <c r="F49" i="17" a="1"/>
  <c r="F49" i="17" s="1"/>
  <c r="F38" i="17" a="1"/>
  <c r="F38" i="17" s="1"/>
  <c r="E45" i="11" a="1"/>
  <c r="E45" i="11" s="1"/>
  <c r="F48" i="17" a="1"/>
  <c r="F48" i="17" s="1"/>
  <c r="F46" i="17" a="1"/>
  <c r="F46" i="17" s="1"/>
  <c r="F41" i="17" a="1"/>
  <c r="F41" i="17" s="1"/>
  <c r="AA10" i="17"/>
  <c r="G14" i="17"/>
  <c r="V57" i="17"/>
  <c r="Q60" i="17"/>
  <c r="F45" i="17" a="1"/>
  <c r="F45" i="17" s="1"/>
  <c r="F29" i="17" a="1"/>
  <c r="F29" i="17" s="1"/>
  <c r="L58" i="17"/>
  <c r="F32" i="17" a="1"/>
  <c r="F32" i="17" s="1"/>
  <c r="AB58" i="17"/>
  <c r="F38" i="2" a="1"/>
  <c r="F38" i="2" s="1"/>
  <c r="F30" i="17" a="1"/>
  <c r="F30" i="17" s="1"/>
  <c r="F50" i="17" a="1"/>
  <c r="F50" i="17" s="1"/>
  <c r="M7" i="17"/>
  <c r="M14" i="17"/>
  <c r="AK57" i="17"/>
  <c r="T61" i="17"/>
  <c r="F37" i="17" a="1"/>
  <c r="F37" i="17" s="1"/>
  <c r="Y7" i="17"/>
  <c r="AE10" i="17"/>
  <c r="I56" i="17"/>
  <c r="W57" i="17"/>
  <c r="AM57" i="17"/>
  <c r="M58" i="17"/>
  <c r="AI58" i="17"/>
  <c r="F59" i="17"/>
  <c r="AD59" i="17"/>
  <c r="T60" i="17"/>
  <c r="V61" i="17"/>
  <c r="AG10" i="17"/>
  <c r="G54" i="17"/>
  <c r="K56" i="17"/>
  <c r="G57" i="17"/>
  <c r="X57" i="17"/>
  <c r="AQ57" i="17"/>
  <c r="N58" i="17"/>
  <c r="AJ58" i="17"/>
  <c r="K59" i="17"/>
  <c r="AI59" i="17"/>
  <c r="AO60" i="17"/>
  <c r="AA61" i="17"/>
  <c r="AD7" i="17"/>
  <c r="G10" i="17"/>
  <c r="AJ10" i="17"/>
  <c r="M13" i="17"/>
  <c r="O14" i="17"/>
  <c r="AT14" i="17"/>
  <c r="W54" i="17"/>
  <c r="O56" i="17"/>
  <c r="I57" i="17"/>
  <c r="Y57" i="17"/>
  <c r="AS57" i="17"/>
  <c r="O58" i="17"/>
  <c r="AK58" i="17"/>
  <c r="M59" i="17"/>
  <c r="AK59" i="17"/>
  <c r="AR60" i="17"/>
  <c r="AD61" i="17"/>
  <c r="AB59" i="17"/>
  <c r="AE7" i="17"/>
  <c r="I10" i="17"/>
  <c r="AK10" i="17"/>
  <c r="P13" i="17"/>
  <c r="Q56" i="17"/>
  <c r="J57" i="17"/>
  <c r="Z57" i="17"/>
  <c r="AT57" i="17"/>
  <c r="P58" i="17"/>
  <c r="AL58" i="17"/>
  <c r="N59" i="17"/>
  <c r="AL59" i="17"/>
  <c r="AE61" i="17"/>
  <c r="L10" i="17"/>
  <c r="AM10" i="17"/>
  <c r="Y13" i="17"/>
  <c r="X56" i="17"/>
  <c r="K57" i="17"/>
  <c r="AA57" i="17"/>
  <c r="AU57" i="17"/>
  <c r="U58" i="17"/>
  <c r="AM58" i="17"/>
  <c r="O59" i="17"/>
  <c r="AM59" i="17"/>
  <c r="F61" i="17"/>
  <c r="AF61" i="17"/>
  <c r="G7" i="17"/>
  <c r="AK7" i="17"/>
  <c r="M10" i="17"/>
  <c r="AQ10" i="17"/>
  <c r="AB13" i="17"/>
  <c r="G55" i="17"/>
  <c r="AA56" i="17"/>
  <c r="L57" i="17"/>
  <c r="AE57" i="17"/>
  <c r="AV57" i="17"/>
  <c r="W58" i="17"/>
  <c r="AN58" i="17"/>
  <c r="P59" i="17"/>
  <c r="AN59" i="17"/>
  <c r="G61" i="17"/>
  <c r="AH61" i="17"/>
  <c r="AV56" i="17"/>
  <c r="I7" i="17"/>
  <c r="AM7" i="17"/>
  <c r="O10" i="17"/>
  <c r="AS10" i="17"/>
  <c r="AK13" i="17"/>
  <c r="I55" i="17"/>
  <c r="AF56" i="17"/>
  <c r="M57" i="17"/>
  <c r="AG57" i="17"/>
  <c r="AW57" i="17"/>
  <c r="X58" i="17"/>
  <c r="AS58" i="17"/>
  <c r="R59" i="17"/>
  <c r="AP59" i="17"/>
  <c r="H61" i="17"/>
  <c r="AM61" i="17"/>
  <c r="S10" i="17"/>
  <c r="AV10" i="17"/>
  <c r="AN13" i="17"/>
  <c r="V55" i="17"/>
  <c r="AG56" i="17"/>
  <c r="N57" i="17"/>
  <c r="AH57" i="17"/>
  <c r="AX57" i="17"/>
  <c r="Y58" i="17"/>
  <c r="AU58" i="17"/>
  <c r="W59" i="17"/>
  <c r="AU59" i="17"/>
  <c r="J61" i="17"/>
  <c r="AP61" i="17"/>
  <c r="O7" i="17"/>
  <c r="AQ7" i="17"/>
  <c r="U10" i="17"/>
  <c r="AW10" i="17"/>
  <c r="AW13" i="17"/>
  <c r="AE14" i="17"/>
  <c r="AO56" i="17"/>
  <c r="Z58" i="17"/>
  <c r="AV58" i="17"/>
  <c r="Y59" i="17"/>
  <c r="AW59" i="17"/>
  <c r="O61" i="17"/>
  <c r="AQ61" i="17"/>
  <c r="R7" i="17"/>
  <c r="AS7" i="17"/>
  <c r="X10" i="17"/>
  <c r="AG14" i="17"/>
  <c r="AM55" i="17"/>
  <c r="AR56" i="17"/>
  <c r="S57" i="17"/>
  <c r="AJ57" i="17"/>
  <c r="I58" i="17"/>
  <c r="AA58" i="17"/>
  <c r="AW58" i="17"/>
  <c r="Z59" i="17"/>
  <c r="AX59" i="17"/>
  <c r="R61" i="17"/>
  <c r="AR61" i="17"/>
  <c r="AU56" i="17"/>
  <c r="AA59" i="17"/>
  <c r="S61" i="17"/>
  <c r="AT61" i="17"/>
  <c r="O8" i="17"/>
  <c r="AA8" i="17"/>
  <c r="AM8" i="17"/>
  <c r="K13" i="17"/>
  <c r="W13" i="17"/>
  <c r="AI13" i="17"/>
  <c r="AU13" i="17"/>
  <c r="R53" i="17"/>
  <c r="AI53" i="17"/>
  <c r="AV54" i="17"/>
  <c r="AJ54" i="17"/>
  <c r="X54" i="17"/>
  <c r="L54" i="17"/>
  <c r="AT54" i="17"/>
  <c r="AH54" i="17"/>
  <c r="V54" i="17"/>
  <c r="J54" i="17"/>
  <c r="AX54" i="17"/>
  <c r="AL54" i="17"/>
  <c r="Z54" i="17"/>
  <c r="N54" i="17"/>
  <c r="T54" i="17"/>
  <c r="AK54" i="17"/>
  <c r="N7" i="17"/>
  <c r="Z7" i="17"/>
  <c r="AL7" i="17"/>
  <c r="AX7" i="17"/>
  <c r="P8" i="17"/>
  <c r="AB8" i="17"/>
  <c r="AN8" i="17"/>
  <c r="H10" i="17"/>
  <c r="T10" i="17"/>
  <c r="AF10" i="17"/>
  <c r="AR10" i="17"/>
  <c r="L13" i="17"/>
  <c r="X13" i="17"/>
  <c r="AJ13" i="17"/>
  <c r="AV13" i="17"/>
  <c r="N14" i="17"/>
  <c r="AA14" i="17"/>
  <c r="AN14" i="17"/>
  <c r="S53" i="17"/>
  <c r="AK53" i="17"/>
  <c r="F54" i="17"/>
  <c r="U54" i="17"/>
  <c r="AM54" i="17"/>
  <c r="H55" i="17"/>
  <c r="W55" i="17"/>
  <c r="AO55" i="17"/>
  <c r="J56" i="17"/>
  <c r="Y56" i="17"/>
  <c r="AQ56" i="17"/>
  <c r="R60" i="17"/>
  <c r="AP60" i="17"/>
  <c r="P7" i="17"/>
  <c r="AB7" i="17"/>
  <c r="AN7" i="17"/>
  <c r="F8" i="17"/>
  <c r="R8" i="17"/>
  <c r="AD8" i="17"/>
  <c r="AP8" i="17"/>
  <c r="J10" i="17"/>
  <c r="V10" i="17"/>
  <c r="AH10" i="17"/>
  <c r="AT10" i="17"/>
  <c r="N13" i="17"/>
  <c r="Z13" i="17"/>
  <c r="AL13" i="17"/>
  <c r="AX13" i="17"/>
  <c r="P14" i="17"/>
  <c r="AC14" i="17"/>
  <c r="F53" i="17"/>
  <c r="W53" i="17"/>
  <c r="H54" i="17"/>
  <c r="Y54" i="17"/>
  <c r="AO54" i="17"/>
  <c r="J55" i="17"/>
  <c r="AA55" i="17"/>
  <c r="AQ55" i="17"/>
  <c r="L56" i="17"/>
  <c r="AC56" i="17"/>
  <c r="AS56" i="17"/>
  <c r="Y60" i="17"/>
  <c r="AW60" i="17"/>
  <c r="AT53" i="17"/>
  <c r="AH53" i="17"/>
  <c r="V53" i="17"/>
  <c r="J53" i="17"/>
  <c r="AR53" i="17"/>
  <c r="AF53" i="17"/>
  <c r="T53" i="17"/>
  <c r="H53" i="17"/>
  <c r="AV53" i="17"/>
  <c r="AJ53" i="17"/>
  <c r="X53" i="17"/>
  <c r="L53" i="17"/>
  <c r="U53" i="17"/>
  <c r="AL53" i="17"/>
  <c r="Q7" i="17"/>
  <c r="AC7" i="17"/>
  <c r="AO7" i="17"/>
  <c r="G8" i="17"/>
  <c r="S8" i="17"/>
  <c r="AE8" i="17"/>
  <c r="AQ8" i="17"/>
  <c r="K10" i="17"/>
  <c r="W10" i="17"/>
  <c r="AI10" i="17"/>
  <c r="AU10" i="17"/>
  <c r="O13" i="17"/>
  <c r="AA13" i="17"/>
  <c r="AM13" i="17"/>
  <c r="AR14" i="17"/>
  <c r="AF14" i="17"/>
  <c r="T14" i="17"/>
  <c r="Q14" i="17"/>
  <c r="AD14" i="17"/>
  <c r="AQ14" i="17"/>
  <c r="G53" i="17"/>
  <c r="Y53" i="17"/>
  <c r="AN53" i="17"/>
  <c r="I54" i="17"/>
  <c r="AA54" i="17"/>
  <c r="AP54" i="17"/>
  <c r="K55" i="17"/>
  <c r="AC55" i="17"/>
  <c r="AR55" i="17"/>
  <c r="M56" i="17"/>
  <c r="AE56" i="17"/>
  <c r="AT56" i="17"/>
  <c r="AA60" i="17"/>
  <c r="H8" i="17"/>
  <c r="T8" i="17"/>
  <c r="AF8" i="17"/>
  <c r="AR8" i="17"/>
  <c r="I53" i="17"/>
  <c r="Z53" i="17"/>
  <c r="AO53" i="17"/>
  <c r="K54" i="17"/>
  <c r="AB54" i="17"/>
  <c r="AQ54" i="17"/>
  <c r="M55" i="17"/>
  <c r="AD55" i="17"/>
  <c r="AS55" i="17"/>
  <c r="I8" i="17"/>
  <c r="U8" i="17"/>
  <c r="AG8" i="17"/>
  <c r="AS8" i="17"/>
  <c r="Q13" i="17"/>
  <c r="AC13" i="17"/>
  <c r="AO13" i="17"/>
  <c r="K53" i="17"/>
  <c r="AA53" i="17"/>
  <c r="AP53" i="17"/>
  <c r="M54" i="17"/>
  <c r="AC54" i="17"/>
  <c r="AR54" i="17"/>
  <c r="O55" i="17"/>
  <c r="AE55" i="17"/>
  <c r="AT55" i="17"/>
  <c r="AV60" i="17"/>
  <c r="AJ60" i="17"/>
  <c r="X60" i="17"/>
  <c r="L60" i="17"/>
  <c r="AU60" i="17"/>
  <c r="AI60" i="17"/>
  <c r="W60" i="17"/>
  <c r="K60" i="17"/>
  <c r="AT60" i="17"/>
  <c r="AH60" i="17"/>
  <c r="V60" i="17"/>
  <c r="J60" i="17"/>
  <c r="AS60" i="17"/>
  <c r="AG60" i="17"/>
  <c r="U60" i="17"/>
  <c r="I60" i="17"/>
  <c r="AQ60" i="17"/>
  <c r="AE60" i="17"/>
  <c r="S60" i="17"/>
  <c r="G60" i="17"/>
  <c r="AX60" i="17"/>
  <c r="AL60" i="17"/>
  <c r="Z60" i="17"/>
  <c r="N60" i="17"/>
  <c r="AC60" i="17"/>
  <c r="Q8" i="17"/>
  <c r="AO8" i="17"/>
  <c r="H7" i="17"/>
  <c r="T7" i="17"/>
  <c r="AF7" i="17"/>
  <c r="AR7" i="17"/>
  <c r="J8" i="17"/>
  <c r="V8" i="17"/>
  <c r="AH8" i="17"/>
  <c r="AT8" i="17"/>
  <c r="N10" i="17"/>
  <c r="Z10" i="17"/>
  <c r="AL10" i="17"/>
  <c r="AX10" i="17"/>
  <c r="F13" i="17"/>
  <c r="R13" i="17"/>
  <c r="AD13" i="17"/>
  <c r="AP13" i="17"/>
  <c r="H14" i="17"/>
  <c r="U14" i="17"/>
  <c r="AH14" i="17"/>
  <c r="AU14" i="17"/>
  <c r="M53" i="17"/>
  <c r="AB53" i="17"/>
  <c r="AQ53" i="17"/>
  <c r="O54" i="17"/>
  <c r="AD54" i="17"/>
  <c r="AS54" i="17"/>
  <c r="Q55" i="17"/>
  <c r="AF55" i="17"/>
  <c r="AU55" i="17"/>
  <c r="S56" i="17"/>
  <c r="AH56" i="17"/>
  <c r="AW56" i="17"/>
  <c r="F60" i="17"/>
  <c r="AD60" i="17"/>
  <c r="K8" i="17"/>
  <c r="W8" i="17"/>
  <c r="AI8" i="17"/>
  <c r="AU8" i="17"/>
  <c r="G13" i="17"/>
  <c r="S13" i="17"/>
  <c r="AE13" i="17"/>
  <c r="AQ13" i="17"/>
  <c r="I14" i="17"/>
  <c r="V14" i="17"/>
  <c r="AI14" i="17"/>
  <c r="AV14" i="17"/>
  <c r="N53" i="17"/>
  <c r="AC53" i="17"/>
  <c r="AS53" i="17"/>
  <c r="P54" i="17"/>
  <c r="AE54" i="17"/>
  <c r="AU54" i="17"/>
  <c r="R55" i="17"/>
  <c r="AG55" i="17"/>
  <c r="AW55" i="17"/>
  <c r="T56" i="17"/>
  <c r="H60" i="17"/>
  <c r="AF60" i="17"/>
  <c r="AC8" i="17"/>
  <c r="J7" i="17"/>
  <c r="V7" i="17"/>
  <c r="AH7" i="17"/>
  <c r="AT7" i="17"/>
  <c r="L8" i="17"/>
  <c r="X8" i="17"/>
  <c r="AJ8" i="17"/>
  <c r="AV8" i="17"/>
  <c r="P10" i="17"/>
  <c r="AB10" i="17"/>
  <c r="AN10" i="17"/>
  <c r="H13" i="17"/>
  <c r="T13" i="17"/>
  <c r="AF13" i="17"/>
  <c r="AR13" i="17"/>
  <c r="J14" i="17"/>
  <c r="W14" i="17"/>
  <c r="AJ14" i="17"/>
  <c r="AW14" i="17"/>
  <c r="O53" i="17"/>
  <c r="AD53" i="17"/>
  <c r="AU53" i="17"/>
  <c r="Q54" i="17"/>
  <c r="AF54" i="17"/>
  <c r="AW54" i="17"/>
  <c r="S55" i="17"/>
  <c r="AN56" i="17"/>
  <c r="AB56" i="17"/>
  <c r="P56" i="17"/>
  <c r="AX56" i="17"/>
  <c r="AL56" i="17"/>
  <c r="Z56" i="17"/>
  <c r="N56" i="17"/>
  <c r="AP56" i="17"/>
  <c r="AD56" i="17"/>
  <c r="R56" i="17"/>
  <c r="F56" i="17"/>
  <c r="U56" i="17"/>
  <c r="AJ56" i="17"/>
  <c r="M60" i="17"/>
  <c r="AK60" i="17"/>
  <c r="K7" i="17"/>
  <c r="W7" i="17"/>
  <c r="AI7" i="17"/>
  <c r="AU7" i="17"/>
  <c r="M8" i="17"/>
  <c r="Y8" i="17"/>
  <c r="AK8" i="17"/>
  <c r="AW8" i="17"/>
  <c r="Q10" i="17"/>
  <c r="AC10" i="17"/>
  <c r="AO10" i="17"/>
  <c r="I13" i="17"/>
  <c r="U13" i="17"/>
  <c r="AG13" i="17"/>
  <c r="AS13" i="17"/>
  <c r="K14" i="17"/>
  <c r="X14" i="17"/>
  <c r="AK14" i="17"/>
  <c r="AX14" i="17"/>
  <c r="P53" i="17"/>
  <c r="AE53" i="17"/>
  <c r="AW53" i="17"/>
  <c r="R54" i="17"/>
  <c r="AG54" i="17"/>
  <c r="AX55" i="17"/>
  <c r="AL55" i="17"/>
  <c r="Z55" i="17"/>
  <c r="N55" i="17"/>
  <c r="AV55" i="17"/>
  <c r="AJ55" i="17"/>
  <c r="X55" i="17"/>
  <c r="L55" i="17"/>
  <c r="AN55" i="17"/>
  <c r="AB55" i="17"/>
  <c r="P55" i="17"/>
  <c r="T55" i="17"/>
  <c r="AI55" i="17"/>
  <c r="G56" i="17"/>
  <c r="V56" i="17"/>
  <c r="AK56" i="17"/>
  <c r="O60" i="17"/>
  <c r="AM60" i="17"/>
  <c r="L7" i="17"/>
  <c r="X7" i="17"/>
  <c r="AJ7" i="17"/>
  <c r="N8" i="17"/>
  <c r="Z8" i="17"/>
  <c r="AL8" i="17"/>
  <c r="F10" i="17"/>
  <c r="R10" i="17"/>
  <c r="AD10" i="17"/>
  <c r="J13" i="17"/>
  <c r="V13" i="17"/>
  <c r="AH13" i="17"/>
  <c r="Q53" i="17"/>
  <c r="AG53" i="17"/>
  <c r="AX53" i="17"/>
  <c r="S54" i="17"/>
  <c r="AI54" i="17"/>
  <c r="F55" i="17"/>
  <c r="U55" i="17"/>
  <c r="AK55" i="17"/>
  <c r="H56" i="17"/>
  <c r="W56" i="17"/>
  <c r="AM56" i="17"/>
  <c r="P60" i="17"/>
  <c r="AN60" i="17"/>
  <c r="H57" i="17"/>
  <c r="T57" i="17"/>
  <c r="AF57" i="17"/>
  <c r="AR57" i="17"/>
  <c r="J58" i="17"/>
  <c r="V58" i="17"/>
  <c r="AH58" i="17"/>
  <c r="AT58" i="17"/>
  <c r="L59" i="17"/>
  <c r="X59" i="17"/>
  <c r="AJ59" i="17"/>
  <c r="AV59" i="17"/>
  <c r="P61" i="17"/>
  <c r="AB61" i="17"/>
  <c r="AN61" i="17"/>
  <c r="Q61" i="17"/>
  <c r="AC61" i="17"/>
  <c r="AO61" i="17"/>
  <c r="Q59" i="17"/>
  <c r="AC59" i="17"/>
  <c r="AO59" i="17"/>
  <c r="I61" i="17"/>
  <c r="U61" i="17"/>
  <c r="AG61" i="17"/>
  <c r="AS61" i="17"/>
  <c r="Q58" i="17"/>
  <c r="AC58" i="17"/>
  <c r="AO58" i="17"/>
  <c r="G59" i="17"/>
  <c r="S59" i="17"/>
  <c r="AE59" i="17"/>
  <c r="AQ59" i="17"/>
  <c r="K61" i="17"/>
  <c r="W61" i="17"/>
  <c r="AI61" i="17"/>
  <c r="AU61" i="17"/>
  <c r="P57" i="17"/>
  <c r="AB57" i="17"/>
  <c r="AN57" i="17"/>
  <c r="F58" i="17"/>
  <c r="R58" i="17"/>
  <c r="AD58" i="17"/>
  <c r="AP58" i="17"/>
  <c r="H59" i="17"/>
  <c r="T59" i="17"/>
  <c r="AF59" i="17"/>
  <c r="AR59" i="17"/>
  <c r="L61" i="17"/>
  <c r="X61" i="17"/>
  <c r="AJ61" i="17"/>
  <c r="AV61" i="17"/>
  <c r="Q57" i="17"/>
  <c r="AC57" i="17"/>
  <c r="AO57" i="17"/>
  <c r="G58" i="17"/>
  <c r="S58" i="17"/>
  <c r="AE58" i="17"/>
  <c r="AQ58" i="17"/>
  <c r="I59" i="17"/>
  <c r="U59" i="17"/>
  <c r="AG59" i="17"/>
  <c r="AS59" i="17"/>
  <c r="M61" i="17"/>
  <c r="Y61" i="17"/>
  <c r="AK61" i="17"/>
  <c r="AW61" i="17"/>
  <c r="F57" i="17"/>
  <c r="R57" i="17"/>
  <c r="AD57" i="17"/>
  <c r="H58" i="17"/>
  <c r="T58" i="17"/>
  <c r="AF58" i="17"/>
  <c r="J59" i="17"/>
  <c r="V59" i="17"/>
  <c r="AH59" i="17"/>
  <c r="N61" i="17"/>
  <c r="Z61" i="17"/>
  <c r="AL61" i="17"/>
  <c r="F45" i="2" a="1"/>
  <c r="F45" i="2" s="1"/>
  <c r="F43" i="2" a="1"/>
  <c r="F43" i="2" s="1"/>
  <c r="F51" i="2" a="1"/>
  <c r="F51" i="2" s="1"/>
  <c r="F49" i="2" a="1"/>
  <c r="F49" i="2" s="1"/>
  <c r="F34" i="2" a="1"/>
  <c r="F34" i="2" s="1"/>
  <c r="F30" i="2" a="1"/>
  <c r="F30" i="2" s="1"/>
  <c r="F31" i="2" a="1"/>
  <c r="F31" i="2" s="1"/>
  <c r="F42" i="2" a="1"/>
  <c r="F42" i="2" s="1"/>
  <c r="F37" i="2" a="1"/>
  <c r="F37" i="2" s="1"/>
  <c r="F32" i="2" a="1"/>
  <c r="F32" i="2" s="1"/>
  <c r="F40" i="2" a="1"/>
  <c r="F40" i="2" s="1"/>
  <c r="F35" i="2" a="1"/>
  <c r="F35" i="2" s="1"/>
  <c r="F36" i="2" a="1"/>
  <c r="F36" i="2" s="1"/>
  <c r="F39" i="2" a="1"/>
  <c r="F39" i="2" s="1"/>
  <c r="F41" i="2" a="1"/>
  <c r="F41" i="2" s="1"/>
  <c r="F47" i="2" a="1"/>
  <c r="F47" i="2" s="1"/>
  <c r="F29" i="2" a="1"/>
  <c r="F29" i="2" s="1"/>
  <c r="F46" i="2" a="1"/>
  <c r="F46" i="2" s="1"/>
  <c r="F33" i="2" a="1"/>
  <c r="F33" i="2" s="1"/>
  <c r="F48" i="2" a="1"/>
  <c r="F48" i="2" s="1"/>
  <c r="F50" i="2" a="1"/>
  <c r="F50" i="2" s="1"/>
  <c r="F44" i="2" a="1"/>
  <c r="F44" i="2" s="1"/>
  <c r="F27" i="2" a="1"/>
  <c r="F27" i="2" s="1"/>
  <c r="E32" i="15" a="1"/>
  <c r="E32" i="15" s="1"/>
  <c r="E26" i="15" a="1"/>
  <c r="E26" i="15" s="1"/>
  <c r="E64" i="15" a="1"/>
  <c r="E64" i="15" s="1"/>
  <c r="F28" i="2" a="1"/>
  <c r="F28" i="2" s="1"/>
  <c r="N71" i="15"/>
  <c r="T71" i="15"/>
  <c r="AH71" i="15"/>
  <c r="AD10" i="15"/>
  <c r="AP73" i="15"/>
  <c r="AR73" i="15"/>
  <c r="J14" i="15"/>
  <c r="AV14" i="15"/>
  <c r="AL71" i="15"/>
  <c r="H74" i="15"/>
  <c r="AR14" i="15"/>
  <c r="L14" i="15"/>
  <c r="X74" i="15"/>
  <c r="N14" i="15"/>
  <c r="F69" i="15"/>
  <c r="AN72" i="15"/>
  <c r="AJ74" i="15"/>
  <c r="F14" i="15"/>
  <c r="P14" i="15"/>
  <c r="AH69" i="15"/>
  <c r="AR74" i="15"/>
  <c r="AP14" i="15"/>
  <c r="T14" i="15"/>
  <c r="F73" i="15"/>
  <c r="V14" i="15"/>
  <c r="H70" i="15"/>
  <c r="H73" i="15"/>
  <c r="X75" i="15"/>
  <c r="Z14" i="15"/>
  <c r="X70" i="15"/>
  <c r="N73" i="15"/>
  <c r="AL75" i="15"/>
  <c r="AJ14" i="15"/>
  <c r="AV70" i="15"/>
  <c r="R73" i="15"/>
  <c r="AL14" i="15"/>
  <c r="AF73" i="15"/>
  <c r="AJ76" i="15"/>
  <c r="AN14" i="15"/>
  <c r="Z7" i="15"/>
  <c r="F7" i="15"/>
  <c r="AD7" i="15"/>
  <c r="H8" i="15"/>
  <c r="AI8" i="15"/>
  <c r="J13" i="15"/>
  <c r="R14" i="15"/>
  <c r="AT14" i="15"/>
  <c r="L70" i="15"/>
  <c r="Z71" i="15"/>
  <c r="J73" i="15"/>
  <c r="AT73" i="15"/>
  <c r="AT74" i="15"/>
  <c r="AT75" i="15"/>
  <c r="AH8" i="15"/>
  <c r="H7" i="15"/>
  <c r="AF7" i="15"/>
  <c r="J8" i="15"/>
  <c r="AJ8" i="15"/>
  <c r="L13" i="15"/>
  <c r="R70" i="15"/>
  <c r="AV74" i="15"/>
  <c r="AV75" i="15"/>
  <c r="I7" i="15"/>
  <c r="AG7" i="15"/>
  <c r="K8" i="15"/>
  <c r="AL8" i="15"/>
  <c r="P13" i="15"/>
  <c r="J7" i="15"/>
  <c r="AH7" i="15"/>
  <c r="L8" i="15"/>
  <c r="AR8" i="15"/>
  <c r="F10" i="15"/>
  <c r="AH13" i="15"/>
  <c r="X14" i="15"/>
  <c r="J69" i="15"/>
  <c r="Z70" i="15"/>
  <c r="AR71" i="15"/>
  <c r="T73" i="15"/>
  <c r="J74" i="15"/>
  <c r="J75" i="15"/>
  <c r="L76" i="15"/>
  <c r="L7" i="15"/>
  <c r="AJ7" i="15"/>
  <c r="N8" i="15"/>
  <c r="AT8" i="15"/>
  <c r="H10" i="15"/>
  <c r="AJ13" i="15"/>
  <c r="P69" i="15"/>
  <c r="AF70" i="15"/>
  <c r="V73" i="15"/>
  <c r="L74" i="15"/>
  <c r="L75" i="15"/>
  <c r="N76" i="15"/>
  <c r="N7" i="15"/>
  <c r="AL7" i="15"/>
  <c r="T8" i="15"/>
  <c r="AU8" i="15"/>
  <c r="L10" i="15"/>
  <c r="AN13" i="15"/>
  <c r="AD14" i="15"/>
  <c r="V69" i="15"/>
  <c r="AJ70" i="15"/>
  <c r="L72" i="15"/>
  <c r="Z73" i="15"/>
  <c r="T74" i="15"/>
  <c r="N75" i="15"/>
  <c r="X76" i="15"/>
  <c r="R7" i="15"/>
  <c r="AP7" i="15"/>
  <c r="V8" i="15"/>
  <c r="AV8" i="15"/>
  <c r="X10" i="15"/>
  <c r="AD69" i="15"/>
  <c r="AP70" i="15"/>
  <c r="P72" i="15"/>
  <c r="AD73" i="15"/>
  <c r="V74" i="15"/>
  <c r="V75" i="15"/>
  <c r="Z76" i="15"/>
  <c r="U7" i="15"/>
  <c r="AS7" i="15"/>
  <c r="X8" i="15"/>
  <c r="AF10" i="15"/>
  <c r="AN69" i="15"/>
  <c r="AR72" i="15"/>
  <c r="AH73" i="15"/>
  <c r="AF74" i="15"/>
  <c r="Z75" i="15"/>
  <c r="AL76" i="15"/>
  <c r="T7" i="15"/>
  <c r="AR7" i="15"/>
  <c r="W8" i="15"/>
  <c r="V7" i="15"/>
  <c r="AT7" i="15"/>
  <c r="Z8" i="15"/>
  <c r="AJ10" i="15"/>
  <c r="AT69" i="15"/>
  <c r="J71" i="15"/>
  <c r="AL73" i="15"/>
  <c r="AH74" i="15"/>
  <c r="AH75" i="15"/>
  <c r="AV76" i="15"/>
  <c r="X7" i="15"/>
  <c r="AV7" i="15"/>
  <c r="AF8" i="15"/>
  <c r="AV10" i="15"/>
  <c r="AJ75" i="15"/>
  <c r="K7" i="15"/>
  <c r="W7" i="15"/>
  <c r="AI7" i="15"/>
  <c r="AU7" i="15"/>
  <c r="M8" i="15"/>
  <c r="Y8" i="15"/>
  <c r="AK8" i="15"/>
  <c r="AW8" i="15"/>
  <c r="J10" i="15"/>
  <c r="AH10" i="15"/>
  <c r="N13" i="15"/>
  <c r="AL13" i="15"/>
  <c r="H69" i="15"/>
  <c r="AF69" i="15"/>
  <c r="J70" i="15"/>
  <c r="AH70" i="15"/>
  <c r="L71" i="15"/>
  <c r="AJ71" i="15"/>
  <c r="N72" i="15"/>
  <c r="AP72" i="15"/>
  <c r="M7" i="15"/>
  <c r="Y7" i="15"/>
  <c r="AK7" i="15"/>
  <c r="AW7" i="15"/>
  <c r="O8" i="15"/>
  <c r="AA8" i="15"/>
  <c r="AM8" i="15"/>
  <c r="N10" i="15"/>
  <c r="AL10" i="15"/>
  <c r="R13" i="15"/>
  <c r="AP13" i="15"/>
  <c r="L69" i="15"/>
  <c r="AJ69" i="15"/>
  <c r="N70" i="15"/>
  <c r="AL70" i="15"/>
  <c r="P71" i="15"/>
  <c r="AN71" i="15"/>
  <c r="R72" i="15"/>
  <c r="AV72" i="15"/>
  <c r="P8" i="15"/>
  <c r="AB8" i="15"/>
  <c r="AN8" i="15"/>
  <c r="P10" i="15"/>
  <c r="AN10" i="15"/>
  <c r="T13" i="15"/>
  <c r="AR13" i="15"/>
  <c r="N69" i="15"/>
  <c r="AL69" i="15"/>
  <c r="P70" i="15"/>
  <c r="AN70" i="15"/>
  <c r="R71" i="15"/>
  <c r="AP71" i="15"/>
  <c r="T72" i="15"/>
  <c r="O7" i="15"/>
  <c r="AA7" i="15"/>
  <c r="AM7" i="15"/>
  <c r="E8" i="15"/>
  <c r="Q8" i="15"/>
  <c r="AC8" i="15"/>
  <c r="AO8" i="15"/>
  <c r="R10" i="15"/>
  <c r="AP10" i="15"/>
  <c r="V13" i="15"/>
  <c r="AT13" i="15"/>
  <c r="X72" i="15"/>
  <c r="AW77" i="15"/>
  <c r="AK77" i="15"/>
  <c r="Y77" i="15"/>
  <c r="M77" i="15"/>
  <c r="AV77" i="15"/>
  <c r="AJ77" i="15"/>
  <c r="X77" i="15"/>
  <c r="L77" i="15"/>
  <c r="AU77" i="15"/>
  <c r="AI77" i="15"/>
  <c r="W77" i="15"/>
  <c r="K77" i="15"/>
  <c r="AT77" i="15"/>
  <c r="AH77" i="15"/>
  <c r="V77" i="15"/>
  <c r="J77" i="15"/>
  <c r="AS77" i="15"/>
  <c r="AG77" i="15"/>
  <c r="U77" i="15"/>
  <c r="I77" i="15"/>
  <c r="AR77" i="15"/>
  <c r="AF77" i="15"/>
  <c r="T77" i="15"/>
  <c r="H77" i="15"/>
  <c r="AQ77" i="15"/>
  <c r="AE77" i="15"/>
  <c r="S77" i="15"/>
  <c r="G77" i="15"/>
  <c r="AP77" i="15"/>
  <c r="AD77" i="15"/>
  <c r="R77" i="15"/>
  <c r="F77" i="15"/>
  <c r="AO77" i="15"/>
  <c r="AC77" i="15"/>
  <c r="Q77" i="15"/>
  <c r="E77" i="15"/>
  <c r="AM77" i="15"/>
  <c r="AA77" i="15"/>
  <c r="O77" i="15"/>
  <c r="P7" i="15"/>
  <c r="AB7" i="15"/>
  <c r="AN7" i="15"/>
  <c r="F8" i="15"/>
  <c r="R8" i="15"/>
  <c r="AD8" i="15"/>
  <c r="AP8" i="15"/>
  <c r="T10" i="15"/>
  <c r="AR10" i="15"/>
  <c r="X13" i="15"/>
  <c r="AV13" i="15"/>
  <c r="R69" i="15"/>
  <c r="AP69" i="15"/>
  <c r="T70" i="15"/>
  <c r="AR70" i="15"/>
  <c r="V71" i="15"/>
  <c r="AT71" i="15"/>
  <c r="Z72" i="15"/>
  <c r="N77" i="15"/>
  <c r="E7" i="15"/>
  <c r="Q7" i="15"/>
  <c r="AC7" i="15"/>
  <c r="AO7" i="15"/>
  <c r="G8" i="15"/>
  <c r="S8" i="15"/>
  <c r="AE8" i="15"/>
  <c r="AQ8" i="15"/>
  <c r="V10" i="15"/>
  <c r="AT10" i="15"/>
  <c r="AO14" i="15"/>
  <c r="AC14" i="15"/>
  <c r="Q14" i="15"/>
  <c r="E14" i="15"/>
  <c r="AM14" i="15"/>
  <c r="AA14" i="15"/>
  <c r="O14" i="15"/>
  <c r="AW14" i="15"/>
  <c r="AK14" i="15"/>
  <c r="Y14" i="15"/>
  <c r="M14" i="15"/>
  <c r="AU14" i="15"/>
  <c r="AI14" i="15"/>
  <c r="W14" i="15"/>
  <c r="K14" i="15"/>
  <c r="AS14" i="15"/>
  <c r="AG14" i="15"/>
  <c r="U14" i="15"/>
  <c r="I14" i="15"/>
  <c r="AQ14" i="15"/>
  <c r="AE14" i="15"/>
  <c r="S14" i="15"/>
  <c r="G14" i="15"/>
  <c r="AB14" i="15"/>
  <c r="T69" i="15"/>
  <c r="AR69" i="15"/>
  <c r="V70" i="15"/>
  <c r="X71" i="15"/>
  <c r="P77" i="15"/>
  <c r="AM13" i="15"/>
  <c r="AA13" i="15"/>
  <c r="O13" i="15"/>
  <c r="AW13" i="15"/>
  <c r="AK13" i="15"/>
  <c r="Y13" i="15"/>
  <c r="M13" i="15"/>
  <c r="AU13" i="15"/>
  <c r="AI13" i="15"/>
  <c r="W13" i="15"/>
  <c r="K13" i="15"/>
  <c r="AS13" i="15"/>
  <c r="AG13" i="15"/>
  <c r="U13" i="15"/>
  <c r="I13" i="15"/>
  <c r="AQ13" i="15"/>
  <c r="AE13" i="15"/>
  <c r="S13" i="15"/>
  <c r="G13" i="15"/>
  <c r="AO13" i="15"/>
  <c r="AC13" i="15"/>
  <c r="Q13" i="15"/>
  <c r="E13" i="15"/>
  <c r="AB13" i="15"/>
  <c r="AM72" i="15"/>
  <c r="AA72" i="15"/>
  <c r="O72" i="15"/>
  <c r="AW72" i="15"/>
  <c r="AK72" i="15"/>
  <c r="Y72" i="15"/>
  <c r="M72" i="15"/>
  <c r="AU72" i="15"/>
  <c r="AI72" i="15"/>
  <c r="W72" i="15"/>
  <c r="K72" i="15"/>
  <c r="AT72" i="15"/>
  <c r="AH72" i="15"/>
  <c r="V72" i="15"/>
  <c r="AS72" i="15"/>
  <c r="AG72" i="15"/>
  <c r="U72" i="15"/>
  <c r="I72" i="15"/>
  <c r="AQ72" i="15"/>
  <c r="AE72" i="15"/>
  <c r="S72" i="15"/>
  <c r="G72" i="15"/>
  <c r="AO72" i="15"/>
  <c r="AC72" i="15"/>
  <c r="Q72" i="15"/>
  <c r="E72" i="15"/>
  <c r="AD72" i="15"/>
  <c r="Z77" i="15"/>
  <c r="G7" i="15"/>
  <c r="S7" i="15"/>
  <c r="AE7" i="15"/>
  <c r="I8" i="15"/>
  <c r="U8" i="15"/>
  <c r="AG8" i="15"/>
  <c r="F13" i="15"/>
  <c r="AD13" i="15"/>
  <c r="H14" i="15"/>
  <c r="AF14" i="15"/>
  <c r="X69" i="15"/>
  <c r="AV69" i="15"/>
  <c r="AW71" i="15"/>
  <c r="AK71" i="15"/>
  <c r="Y71" i="15"/>
  <c r="M71" i="15"/>
  <c r="AU71" i="15"/>
  <c r="AI71" i="15"/>
  <c r="W71" i="15"/>
  <c r="K71" i="15"/>
  <c r="AS71" i="15"/>
  <c r="AG71" i="15"/>
  <c r="U71" i="15"/>
  <c r="I71" i="15"/>
  <c r="AQ71" i="15"/>
  <c r="AE71" i="15"/>
  <c r="S71" i="15"/>
  <c r="G71" i="15"/>
  <c r="AO71" i="15"/>
  <c r="AC71" i="15"/>
  <c r="Q71" i="15"/>
  <c r="E71" i="15"/>
  <c r="AM71" i="15"/>
  <c r="AA71" i="15"/>
  <c r="O71" i="15"/>
  <c r="AB71" i="15"/>
  <c r="F72" i="15"/>
  <c r="AF72" i="15"/>
  <c r="AB77" i="15"/>
  <c r="AU10" i="15"/>
  <c r="AI10" i="15"/>
  <c r="W10" i="15"/>
  <c r="K10" i="15"/>
  <c r="AS10" i="15"/>
  <c r="AG10" i="15"/>
  <c r="U10" i="15"/>
  <c r="I10" i="15"/>
  <c r="AQ10" i="15"/>
  <c r="AE10" i="15"/>
  <c r="S10" i="15"/>
  <c r="G10" i="15"/>
  <c r="AO10" i="15"/>
  <c r="AC10" i="15"/>
  <c r="Q10" i="15"/>
  <c r="E10" i="15"/>
  <c r="AM10" i="15"/>
  <c r="AA10" i="15"/>
  <c r="O10" i="15"/>
  <c r="AW10" i="15"/>
  <c r="AK10" i="15"/>
  <c r="Y10" i="15"/>
  <c r="M10" i="15"/>
  <c r="AB10" i="15"/>
  <c r="H13" i="15"/>
  <c r="AF13" i="15"/>
  <c r="AU70" i="15"/>
  <c r="AI70" i="15"/>
  <c r="W70" i="15"/>
  <c r="K70" i="15"/>
  <c r="AS70" i="15"/>
  <c r="AG70" i="15"/>
  <c r="U70" i="15"/>
  <c r="I70" i="15"/>
  <c r="AQ70" i="15"/>
  <c r="AE70" i="15"/>
  <c r="S70" i="15"/>
  <c r="G70" i="15"/>
  <c r="AO70" i="15"/>
  <c r="AC70" i="15"/>
  <c r="Q70" i="15"/>
  <c r="E70" i="15"/>
  <c r="AM70" i="15"/>
  <c r="AA70" i="15"/>
  <c r="O70" i="15"/>
  <c r="AW70" i="15"/>
  <c r="AK70" i="15"/>
  <c r="Y70" i="15"/>
  <c r="M70" i="15"/>
  <c r="AB70" i="15"/>
  <c r="F71" i="15"/>
  <c r="AD71" i="15"/>
  <c r="H72" i="15"/>
  <c r="AJ72" i="15"/>
  <c r="AL77" i="15"/>
  <c r="AS69" i="15"/>
  <c r="AG69" i="15"/>
  <c r="U69" i="15"/>
  <c r="I69" i="15"/>
  <c r="AQ69" i="15"/>
  <c r="AE69" i="15"/>
  <c r="S69" i="15"/>
  <c r="G69" i="15"/>
  <c r="AO69" i="15"/>
  <c r="AC69" i="15"/>
  <c r="Q69" i="15"/>
  <c r="E69" i="15"/>
  <c r="AM69" i="15"/>
  <c r="AA69" i="15"/>
  <c r="O69" i="15"/>
  <c r="AW69" i="15"/>
  <c r="AK69" i="15"/>
  <c r="Y69" i="15"/>
  <c r="M69" i="15"/>
  <c r="AU69" i="15"/>
  <c r="AI69" i="15"/>
  <c r="W69" i="15"/>
  <c r="K69" i="15"/>
  <c r="AB69" i="15"/>
  <c r="F70" i="15"/>
  <c r="AD70" i="15"/>
  <c r="H71" i="15"/>
  <c r="AF71" i="15"/>
  <c r="J72" i="15"/>
  <c r="AL72" i="15"/>
  <c r="AN77" i="15"/>
  <c r="G73" i="15"/>
  <c r="S73" i="15"/>
  <c r="AE73" i="15"/>
  <c r="AQ73" i="15"/>
  <c r="I74" i="15"/>
  <c r="U74" i="15"/>
  <c r="AG74" i="15"/>
  <c r="AS74" i="15"/>
  <c r="K75" i="15"/>
  <c r="W75" i="15"/>
  <c r="AI75" i="15"/>
  <c r="AU75" i="15"/>
  <c r="M76" i="15"/>
  <c r="Y76" i="15"/>
  <c r="AK76" i="15"/>
  <c r="AW76" i="15"/>
  <c r="I73" i="15"/>
  <c r="U73" i="15"/>
  <c r="AG73" i="15"/>
  <c r="AS73" i="15"/>
  <c r="K74" i="15"/>
  <c r="W74" i="15"/>
  <c r="AI74" i="15"/>
  <c r="AU74" i="15"/>
  <c r="M75" i="15"/>
  <c r="Y75" i="15"/>
  <c r="AK75" i="15"/>
  <c r="AW75" i="15"/>
  <c r="O76" i="15"/>
  <c r="AA76" i="15"/>
  <c r="AM76" i="15"/>
  <c r="P76" i="15"/>
  <c r="AB76" i="15"/>
  <c r="AN76" i="15"/>
  <c r="K73" i="15"/>
  <c r="W73" i="15"/>
  <c r="AI73" i="15"/>
  <c r="AU73" i="15"/>
  <c r="M74" i="15"/>
  <c r="Y74" i="15"/>
  <c r="AK74" i="15"/>
  <c r="AW74" i="15"/>
  <c r="O75" i="15"/>
  <c r="AA75" i="15"/>
  <c r="AM75" i="15"/>
  <c r="E76" i="15"/>
  <c r="Q76" i="15"/>
  <c r="AC76" i="15"/>
  <c r="AO76" i="15"/>
  <c r="L73" i="15"/>
  <c r="X73" i="15"/>
  <c r="AJ73" i="15"/>
  <c r="AV73" i="15"/>
  <c r="N74" i="15"/>
  <c r="Z74" i="15"/>
  <c r="AL74" i="15"/>
  <c r="P75" i="15"/>
  <c r="AB75" i="15"/>
  <c r="AN75" i="15"/>
  <c r="F76" i="15"/>
  <c r="R76" i="15"/>
  <c r="AD76" i="15"/>
  <c r="AP76" i="15"/>
  <c r="M73" i="15"/>
  <c r="Y73" i="15"/>
  <c r="AK73" i="15"/>
  <c r="AW73" i="15"/>
  <c r="O74" i="15"/>
  <c r="AA74" i="15"/>
  <c r="AM74" i="15"/>
  <c r="E75" i="15"/>
  <c r="Q75" i="15"/>
  <c r="AC75" i="15"/>
  <c r="AO75" i="15"/>
  <c r="G76" i="15"/>
  <c r="S76" i="15"/>
  <c r="AE76" i="15"/>
  <c r="AQ76" i="15"/>
  <c r="P74" i="15"/>
  <c r="AB74" i="15"/>
  <c r="AN74" i="15"/>
  <c r="F75" i="15"/>
  <c r="R75" i="15"/>
  <c r="AD75" i="15"/>
  <c r="AP75" i="15"/>
  <c r="H76" i="15"/>
  <c r="T76" i="15"/>
  <c r="AF76" i="15"/>
  <c r="AR76" i="15"/>
  <c r="O73" i="15"/>
  <c r="AA73" i="15"/>
  <c r="AM73" i="15"/>
  <c r="E74" i="15"/>
  <c r="Q74" i="15"/>
  <c r="AC74" i="15"/>
  <c r="AO74" i="15"/>
  <c r="G75" i="15"/>
  <c r="S75" i="15"/>
  <c r="AE75" i="15"/>
  <c r="AQ75" i="15"/>
  <c r="I76" i="15"/>
  <c r="U76" i="15"/>
  <c r="AG76" i="15"/>
  <c r="AS76" i="15"/>
  <c r="P73" i="15"/>
  <c r="AB73" i="15"/>
  <c r="AN73" i="15"/>
  <c r="F74" i="15"/>
  <c r="R74" i="15"/>
  <c r="AD74" i="15"/>
  <c r="AP74" i="15"/>
  <c r="H75" i="15"/>
  <c r="T75" i="15"/>
  <c r="AF75" i="15"/>
  <c r="AR75" i="15"/>
  <c r="J76" i="15"/>
  <c r="V76" i="15"/>
  <c r="AH76" i="15"/>
  <c r="AT76" i="15"/>
  <c r="E73" i="15"/>
  <c r="Q73" i="15"/>
  <c r="AC73" i="15"/>
  <c r="G74" i="15"/>
  <c r="S74" i="15"/>
  <c r="AE74" i="15"/>
  <c r="I75" i="15"/>
  <c r="U75" i="15"/>
  <c r="AG75" i="15"/>
  <c r="K76" i="15"/>
  <c r="W76" i="15"/>
  <c r="AI76" i="15"/>
  <c r="E63" i="11" a="1"/>
  <c r="E63" i="11" s="1"/>
  <c r="E26" i="11" a="1"/>
  <c r="E26" i="11" s="1"/>
  <c r="E74" i="11" a="1"/>
  <c r="E74" i="11" s="1"/>
  <c r="E68" i="11" a="1"/>
  <c r="E68" i="11" s="1"/>
  <c r="E51" i="11" a="1"/>
  <c r="E51" i="11" s="1"/>
  <c r="E39" i="11" a="1"/>
  <c r="E39" i="11" s="1"/>
  <c r="E28" i="11" a="1"/>
  <c r="E28" i="11" s="1"/>
  <c r="E78" i="11" a="1"/>
  <c r="E78" i="11" s="1"/>
  <c r="E73" i="11" a="1"/>
  <c r="E73" i="11" s="1"/>
  <c r="E62" i="11" a="1"/>
  <c r="E62" i="11" s="1"/>
  <c r="E27" i="11" a="1"/>
  <c r="E27" i="11" s="1"/>
  <c r="E67" i="11" a="1"/>
  <c r="E67" i="11" s="1"/>
  <c r="E50" i="11" a="1"/>
  <c r="E50" i="11" s="1"/>
  <c r="E44" i="11" a="1"/>
  <c r="E44" i="11" s="1"/>
  <c r="E38" i="11" a="1"/>
  <c r="E38" i="11" s="1"/>
  <c r="E77" i="11" a="1"/>
  <c r="E77" i="11" s="1"/>
  <c r="E72" i="11" a="1"/>
  <c r="E72" i="11" s="1"/>
  <c r="E55" i="11" a="1"/>
  <c r="E55" i="11" s="1"/>
  <c r="E49" i="11" a="1"/>
  <c r="E49" i="11" s="1"/>
  <c r="E43" i="11" a="1"/>
  <c r="E43" i="11" s="1"/>
  <c r="E37" i="11" a="1"/>
  <c r="E37" i="11" s="1"/>
  <c r="E66" i="11" a="1"/>
  <c r="E66" i="11" s="1"/>
  <c r="E61" i="11" a="1"/>
  <c r="E61" i="11" s="1"/>
  <c r="E54" i="11" a="1"/>
  <c r="E54" i="11" s="1"/>
  <c r="E36" i="11" a="1"/>
  <c r="E36" i="11" s="1"/>
  <c r="E31" i="11" a="1"/>
  <c r="E31" i="11" s="1"/>
  <c r="E76" i="11" a="1"/>
  <c r="E76" i="11" s="1"/>
  <c r="E60" i="11" a="1"/>
  <c r="E60" i="11" s="1"/>
  <c r="E71" i="11" a="1"/>
  <c r="E71" i="11" s="1"/>
  <c r="E65" i="11" a="1"/>
  <c r="E65" i="11" s="1"/>
  <c r="E53" i="11" a="1"/>
  <c r="E53" i="11" s="1"/>
  <c r="E42" i="11" a="1"/>
  <c r="E42" i="11" s="1"/>
  <c r="E30" i="11" a="1"/>
  <c r="E30" i="11" s="1"/>
  <c r="E59" i="11" a="1"/>
  <c r="E59" i="11" s="1"/>
  <c r="E48" i="11" a="1"/>
  <c r="E48" i="11" s="1"/>
  <c r="E41" i="11" a="1"/>
  <c r="E41" i="11" s="1"/>
  <c r="E70" i="11" a="1"/>
  <c r="E70" i="11" s="1"/>
  <c r="E64" i="11" a="1"/>
  <c r="E64" i="11" s="1"/>
  <c r="E29" i="11" a="1"/>
  <c r="E29" i="11" s="1"/>
  <c r="E75" i="11" a="1"/>
  <c r="E75" i="11" s="1"/>
  <c r="E69" i="11" a="1"/>
  <c r="E69" i="11" s="1"/>
  <c r="E52" i="11" a="1"/>
  <c r="E52" i="11" s="1"/>
  <c r="E46" i="11" a="1"/>
  <c r="E46" i="11" s="1"/>
  <c r="E40" i="11" a="1"/>
  <c r="E40" i="11" s="1"/>
  <c r="E34" i="11" a="1"/>
  <c r="E34" i="11" s="1"/>
  <c r="E32" i="11" a="1"/>
  <c r="E32" i="11" s="1"/>
  <c r="E33" i="11" a="1"/>
  <c r="E33" i="11" s="1"/>
  <c r="E56" i="11" a="1"/>
  <c r="E56" i="11" s="1"/>
  <c r="E58" i="11" a="1"/>
  <c r="E58" i="11" s="1"/>
  <c r="E57" i="11" a="1"/>
  <c r="E57" i="11" s="1"/>
  <c r="E35" i="11" a="1"/>
  <c r="E35" i="11" s="1"/>
  <c r="E47" i="11" a="1"/>
  <c r="E47" i="11" s="1"/>
  <c r="O70" i="6" l="1"/>
  <c r="P70" i="6"/>
  <c r="Q70" i="6"/>
  <c r="R70" i="6"/>
  <c r="S70" i="6"/>
  <c r="T70" i="6"/>
  <c r="U70" i="6"/>
  <c r="V70" i="6"/>
  <c r="O71" i="6"/>
  <c r="P71" i="6"/>
  <c r="Q71" i="6"/>
  <c r="R71" i="6"/>
  <c r="S71" i="6"/>
  <c r="T71" i="6"/>
  <c r="U71" i="6"/>
  <c r="V71" i="6"/>
  <c r="O72" i="6"/>
  <c r="P72" i="6"/>
  <c r="Q72" i="6"/>
  <c r="R72" i="6"/>
  <c r="S72" i="6"/>
  <c r="T72" i="6"/>
  <c r="U72" i="6"/>
  <c r="V72" i="6"/>
  <c r="O73" i="6"/>
  <c r="P73" i="6"/>
  <c r="Q73" i="6"/>
  <c r="R73" i="6"/>
  <c r="S73" i="6"/>
  <c r="T73" i="6"/>
  <c r="U73" i="6"/>
  <c r="V73" i="6"/>
  <c r="O74" i="6"/>
  <c r="P74" i="6"/>
  <c r="Q74" i="6"/>
  <c r="R74" i="6"/>
  <c r="S74" i="6"/>
  <c r="T74" i="6"/>
  <c r="U74" i="6"/>
  <c r="V74" i="6"/>
  <c r="O75" i="6"/>
  <c r="P75" i="6"/>
  <c r="Q75" i="6"/>
  <c r="R75" i="6"/>
  <c r="S75" i="6"/>
  <c r="T75" i="6"/>
  <c r="U75" i="6"/>
  <c r="V75" i="6"/>
  <c r="O76" i="6"/>
  <c r="P76" i="6"/>
  <c r="Q76" i="6"/>
  <c r="R76" i="6"/>
  <c r="S76" i="6"/>
  <c r="T76" i="6"/>
  <c r="U76" i="6"/>
  <c r="V76" i="6"/>
  <c r="O77" i="6"/>
  <c r="P77" i="6"/>
  <c r="Q77" i="6"/>
  <c r="R77" i="6"/>
  <c r="S77" i="6"/>
  <c r="T77" i="6"/>
  <c r="U77" i="6"/>
  <c r="V77" i="6"/>
  <c r="O78" i="6"/>
  <c r="P78" i="6"/>
  <c r="Q78" i="6"/>
  <c r="R78" i="6"/>
  <c r="S78" i="6"/>
  <c r="T78" i="6"/>
  <c r="U78" i="6"/>
  <c r="V78" i="6"/>
  <c r="O79" i="6"/>
  <c r="P79" i="6"/>
  <c r="Q79" i="6"/>
  <c r="R79" i="6"/>
  <c r="S79" i="6"/>
  <c r="T79" i="6"/>
  <c r="U79" i="6"/>
  <c r="V79" i="6"/>
  <c r="O80" i="6"/>
  <c r="P80" i="6"/>
  <c r="Q80" i="6"/>
  <c r="R80" i="6"/>
  <c r="S80" i="6"/>
  <c r="T80" i="6"/>
  <c r="U80" i="6"/>
  <c r="V80" i="6"/>
  <c r="O81" i="6"/>
  <c r="P81" i="6"/>
  <c r="Q81" i="6"/>
  <c r="R81" i="6"/>
  <c r="S81" i="6"/>
  <c r="T81" i="6"/>
  <c r="U81" i="6"/>
  <c r="V81" i="6"/>
  <c r="O82" i="6"/>
  <c r="P82" i="6"/>
  <c r="Q82" i="6"/>
  <c r="R82" i="6"/>
  <c r="S82" i="6"/>
  <c r="T82" i="6"/>
  <c r="U82" i="6"/>
  <c r="V82" i="6"/>
  <c r="O83" i="6"/>
  <c r="P83" i="6"/>
  <c r="Q83" i="6"/>
  <c r="R83" i="6"/>
  <c r="S83" i="6"/>
  <c r="T83" i="6"/>
  <c r="U83" i="6"/>
  <c r="V83" i="6"/>
  <c r="O84" i="6"/>
  <c r="P84" i="6"/>
  <c r="Q84" i="6"/>
  <c r="R84" i="6"/>
  <c r="S84" i="6"/>
  <c r="T84" i="6"/>
  <c r="U84" i="6"/>
  <c r="V84" i="6"/>
  <c r="O85" i="6"/>
  <c r="P85" i="6"/>
  <c r="Q85" i="6"/>
  <c r="R85" i="6"/>
  <c r="S85" i="6"/>
  <c r="T85" i="6"/>
  <c r="U85" i="6"/>
  <c r="V85" i="6"/>
  <c r="O86" i="6"/>
  <c r="P86" i="6"/>
  <c r="Q86" i="6"/>
  <c r="R86" i="6"/>
  <c r="S86" i="6"/>
  <c r="T86" i="6"/>
  <c r="U86" i="6"/>
  <c r="V86" i="6"/>
  <c r="O87" i="6"/>
  <c r="P87" i="6"/>
  <c r="Q87" i="6"/>
  <c r="R87" i="6"/>
  <c r="S87" i="6"/>
  <c r="T87" i="6"/>
  <c r="U87" i="6"/>
  <c r="V87" i="6"/>
  <c r="O88" i="6"/>
  <c r="P88" i="6"/>
  <c r="Q88" i="6"/>
  <c r="R88" i="6"/>
  <c r="S88" i="6"/>
  <c r="T88" i="6"/>
  <c r="U88" i="6"/>
  <c r="V88" i="6"/>
  <c r="O89" i="6"/>
  <c r="P89" i="6"/>
  <c r="Q89" i="6"/>
  <c r="R89" i="6"/>
  <c r="S89" i="6"/>
  <c r="T89" i="6"/>
  <c r="U89" i="6"/>
  <c r="V89" i="6"/>
  <c r="O90" i="6"/>
  <c r="P90" i="6"/>
  <c r="Q90" i="6"/>
  <c r="R90" i="6"/>
  <c r="S90" i="6"/>
  <c r="T90" i="6"/>
  <c r="U90" i="6"/>
  <c r="V90" i="6"/>
  <c r="O91" i="6"/>
  <c r="P91" i="6"/>
  <c r="Q91" i="6"/>
  <c r="R91" i="6"/>
  <c r="S91" i="6"/>
  <c r="T91" i="6"/>
  <c r="U91" i="6"/>
  <c r="V91" i="6"/>
  <c r="O92" i="6"/>
  <c r="P92" i="6"/>
  <c r="Q92" i="6"/>
  <c r="R92" i="6"/>
  <c r="S92" i="6"/>
  <c r="T92" i="6"/>
  <c r="U92" i="6"/>
  <c r="V92" i="6"/>
  <c r="O93" i="6"/>
  <c r="P93" i="6"/>
  <c r="Q93" i="6"/>
  <c r="R93" i="6"/>
  <c r="S93" i="6"/>
  <c r="T93" i="6"/>
  <c r="U93" i="6"/>
  <c r="V93" i="6"/>
  <c r="O94" i="6"/>
  <c r="P94" i="6"/>
  <c r="Q94" i="6"/>
  <c r="R94" i="6"/>
  <c r="S94" i="6"/>
  <c r="T94" i="6"/>
  <c r="U94" i="6"/>
  <c r="V94" i="6"/>
  <c r="O95" i="6"/>
  <c r="P95" i="6"/>
  <c r="Q95" i="6"/>
  <c r="R95" i="6"/>
  <c r="S95" i="6"/>
  <c r="T95" i="6"/>
  <c r="U95" i="6"/>
  <c r="V95" i="6"/>
  <c r="O96" i="6"/>
  <c r="P96" i="6"/>
  <c r="Q96" i="6"/>
  <c r="R96" i="6"/>
  <c r="S96" i="6"/>
  <c r="T96" i="6"/>
  <c r="U96" i="6"/>
  <c r="V96" i="6"/>
  <c r="O97" i="6"/>
  <c r="P97" i="6"/>
  <c r="Q97" i="6"/>
  <c r="R97" i="6"/>
  <c r="S97" i="6"/>
  <c r="T97" i="6"/>
  <c r="U97" i="6"/>
  <c r="V97" i="6"/>
  <c r="O98" i="6"/>
  <c r="P98" i="6"/>
  <c r="Q98" i="6"/>
  <c r="R98" i="6"/>
  <c r="S98" i="6"/>
  <c r="T98" i="6"/>
  <c r="U98" i="6"/>
  <c r="V98" i="6"/>
  <c r="O99" i="6"/>
  <c r="P99" i="6"/>
  <c r="Q99" i="6"/>
  <c r="R99" i="6"/>
  <c r="S99" i="6"/>
  <c r="T99" i="6"/>
  <c r="U99" i="6"/>
  <c r="V99" i="6"/>
  <c r="O100" i="6"/>
  <c r="P100" i="6"/>
  <c r="Q100" i="6"/>
  <c r="R100" i="6"/>
  <c r="S100" i="6"/>
  <c r="T100" i="6"/>
  <c r="U100" i="6"/>
  <c r="V100" i="6"/>
  <c r="O101" i="6"/>
  <c r="P101" i="6"/>
  <c r="Q101" i="6"/>
  <c r="R101" i="6"/>
  <c r="S101" i="6"/>
  <c r="T101" i="6"/>
  <c r="U101" i="6"/>
  <c r="V101" i="6"/>
  <c r="O102" i="6"/>
  <c r="P102" i="6"/>
  <c r="Q102" i="6"/>
  <c r="R102" i="6"/>
  <c r="S102" i="6"/>
  <c r="T102" i="6"/>
  <c r="U102" i="6"/>
  <c r="V102" i="6"/>
  <c r="O103" i="6"/>
  <c r="P103" i="6"/>
  <c r="Q103" i="6"/>
  <c r="R103" i="6"/>
  <c r="S103" i="6"/>
  <c r="T103" i="6"/>
  <c r="U103" i="6"/>
  <c r="V103" i="6"/>
  <c r="O104" i="6"/>
  <c r="P104" i="6"/>
  <c r="Q104" i="6"/>
  <c r="R104" i="6"/>
  <c r="S104" i="6"/>
  <c r="T104" i="6"/>
  <c r="U104" i="6"/>
  <c r="V104" i="6"/>
  <c r="O105" i="6"/>
  <c r="P105" i="6"/>
  <c r="Q105" i="6"/>
  <c r="R105" i="6"/>
  <c r="S105" i="6"/>
  <c r="T105" i="6"/>
  <c r="U105" i="6"/>
  <c r="V105" i="6"/>
  <c r="O106" i="6"/>
  <c r="P106" i="6"/>
  <c r="Q106" i="6"/>
  <c r="R106" i="6"/>
  <c r="S106" i="6"/>
  <c r="T106" i="6"/>
  <c r="U106" i="6"/>
  <c r="V106" i="6"/>
  <c r="O107" i="6"/>
  <c r="P107" i="6"/>
  <c r="Q107" i="6"/>
  <c r="R107" i="6"/>
  <c r="S107" i="6"/>
  <c r="T107" i="6"/>
  <c r="U107" i="6"/>
  <c r="V107" i="6"/>
  <c r="O108" i="6"/>
  <c r="P108" i="6"/>
  <c r="Q108" i="6"/>
  <c r="R108" i="6"/>
  <c r="S108" i="6"/>
  <c r="T108" i="6"/>
  <c r="U108" i="6"/>
  <c r="V108" i="6"/>
  <c r="O109" i="6"/>
  <c r="P109" i="6"/>
  <c r="Q109" i="6"/>
  <c r="R109" i="6"/>
  <c r="S109" i="6"/>
  <c r="T109" i="6"/>
  <c r="U109" i="6"/>
  <c r="V109" i="6"/>
  <c r="O110" i="6"/>
  <c r="P110" i="6"/>
  <c r="Q110" i="6"/>
  <c r="R110" i="6"/>
  <c r="S110" i="6"/>
  <c r="T110" i="6"/>
  <c r="U110" i="6"/>
  <c r="V110" i="6"/>
  <c r="O111" i="6"/>
  <c r="P111" i="6"/>
  <c r="Q111" i="6"/>
  <c r="R111" i="6"/>
  <c r="S111" i="6"/>
  <c r="T111" i="6"/>
  <c r="U111" i="6"/>
  <c r="V111" i="6"/>
  <c r="O112" i="6"/>
  <c r="P112" i="6"/>
  <c r="Q112" i="6"/>
  <c r="R112" i="6"/>
  <c r="S112" i="6"/>
  <c r="T112" i="6"/>
  <c r="U112" i="6"/>
  <c r="V112" i="6"/>
  <c r="O113" i="6"/>
  <c r="P113" i="6"/>
  <c r="Q113" i="6"/>
  <c r="R113" i="6"/>
  <c r="S113" i="6"/>
  <c r="T113" i="6"/>
  <c r="U113" i="6"/>
  <c r="V113" i="6"/>
  <c r="U69" i="6"/>
  <c r="V69" i="6"/>
  <c r="T69" i="6"/>
  <c r="S69" i="6"/>
  <c r="R69" i="6"/>
  <c r="Q69" i="6"/>
  <c r="P69" i="6"/>
  <c r="O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69" i="6"/>
  <c r="G70" i="6"/>
  <c r="H70" i="6"/>
  <c r="I70" i="6"/>
  <c r="J70" i="6"/>
  <c r="K70" i="6"/>
  <c r="L70" i="6"/>
  <c r="G71" i="6"/>
  <c r="H71" i="6"/>
  <c r="I71" i="6"/>
  <c r="J71" i="6"/>
  <c r="K71" i="6"/>
  <c r="L71" i="6"/>
  <c r="G72" i="6"/>
  <c r="H72" i="6"/>
  <c r="I72" i="6"/>
  <c r="J72" i="6"/>
  <c r="K72" i="6"/>
  <c r="L72" i="6"/>
  <c r="G73" i="6"/>
  <c r="H73" i="6"/>
  <c r="I73" i="6"/>
  <c r="J73" i="6"/>
  <c r="K73" i="6"/>
  <c r="L73" i="6"/>
  <c r="G74" i="6"/>
  <c r="H74" i="6"/>
  <c r="I74" i="6"/>
  <c r="J74" i="6"/>
  <c r="K74" i="6"/>
  <c r="L74" i="6"/>
  <c r="G75" i="6"/>
  <c r="H75" i="6"/>
  <c r="I75" i="6"/>
  <c r="J75" i="6"/>
  <c r="K75" i="6"/>
  <c r="L75" i="6"/>
  <c r="G76" i="6"/>
  <c r="H76" i="6"/>
  <c r="I76" i="6"/>
  <c r="J76" i="6"/>
  <c r="K76" i="6"/>
  <c r="L76" i="6"/>
  <c r="G77" i="6"/>
  <c r="H77" i="6"/>
  <c r="I77" i="6"/>
  <c r="J77" i="6"/>
  <c r="K77" i="6"/>
  <c r="L77" i="6"/>
  <c r="G78" i="6"/>
  <c r="H78" i="6"/>
  <c r="I78" i="6"/>
  <c r="J78" i="6"/>
  <c r="K78" i="6"/>
  <c r="L78" i="6"/>
  <c r="G79" i="6"/>
  <c r="H79" i="6"/>
  <c r="I79" i="6"/>
  <c r="J79" i="6"/>
  <c r="K79" i="6"/>
  <c r="L79" i="6"/>
  <c r="G80" i="6"/>
  <c r="H80" i="6"/>
  <c r="I80" i="6"/>
  <c r="J80" i="6"/>
  <c r="K80" i="6"/>
  <c r="L80" i="6"/>
  <c r="G81" i="6"/>
  <c r="H81" i="6"/>
  <c r="I81" i="6"/>
  <c r="J81" i="6"/>
  <c r="K81" i="6"/>
  <c r="L81" i="6"/>
  <c r="G82" i="6"/>
  <c r="H82" i="6"/>
  <c r="I82" i="6"/>
  <c r="J82" i="6"/>
  <c r="K82" i="6"/>
  <c r="L82" i="6"/>
  <c r="G83" i="6"/>
  <c r="H83" i="6"/>
  <c r="I83" i="6"/>
  <c r="J83" i="6"/>
  <c r="K83" i="6"/>
  <c r="L83" i="6"/>
  <c r="G84" i="6"/>
  <c r="H84" i="6"/>
  <c r="I84" i="6"/>
  <c r="J84" i="6"/>
  <c r="K84" i="6"/>
  <c r="L84" i="6"/>
  <c r="G85" i="6"/>
  <c r="H85" i="6"/>
  <c r="I85" i="6"/>
  <c r="J85" i="6"/>
  <c r="K85" i="6"/>
  <c r="L85" i="6"/>
  <c r="G86" i="6"/>
  <c r="H86" i="6"/>
  <c r="I86" i="6"/>
  <c r="J86" i="6"/>
  <c r="K86" i="6"/>
  <c r="L86" i="6"/>
  <c r="G87" i="6"/>
  <c r="H87" i="6"/>
  <c r="I87" i="6"/>
  <c r="J87" i="6"/>
  <c r="K87" i="6"/>
  <c r="L87" i="6"/>
  <c r="G88" i="6"/>
  <c r="H88" i="6"/>
  <c r="I88" i="6"/>
  <c r="J88" i="6"/>
  <c r="K88" i="6"/>
  <c r="L88" i="6"/>
  <c r="G89" i="6"/>
  <c r="H89" i="6"/>
  <c r="I89" i="6"/>
  <c r="J89" i="6"/>
  <c r="K89" i="6"/>
  <c r="L89" i="6"/>
  <c r="G90" i="6"/>
  <c r="H90" i="6"/>
  <c r="I90" i="6"/>
  <c r="J90" i="6"/>
  <c r="K90" i="6"/>
  <c r="L90" i="6"/>
  <c r="G91" i="6"/>
  <c r="H91" i="6"/>
  <c r="I91" i="6"/>
  <c r="J91" i="6"/>
  <c r="K91" i="6"/>
  <c r="L91" i="6"/>
  <c r="G92" i="6"/>
  <c r="H92" i="6"/>
  <c r="I92" i="6"/>
  <c r="J92" i="6"/>
  <c r="K92" i="6"/>
  <c r="L92" i="6"/>
  <c r="G93" i="6"/>
  <c r="H93" i="6"/>
  <c r="I93" i="6"/>
  <c r="J93" i="6"/>
  <c r="K93" i="6"/>
  <c r="L93" i="6"/>
  <c r="G94" i="6"/>
  <c r="H94" i="6"/>
  <c r="I94" i="6"/>
  <c r="J94" i="6"/>
  <c r="K94" i="6"/>
  <c r="L94" i="6"/>
  <c r="G95" i="6"/>
  <c r="H95" i="6"/>
  <c r="I95" i="6"/>
  <c r="J95" i="6"/>
  <c r="K95" i="6"/>
  <c r="L95" i="6"/>
  <c r="G96" i="6"/>
  <c r="H96" i="6"/>
  <c r="I96" i="6"/>
  <c r="J96" i="6"/>
  <c r="K96" i="6"/>
  <c r="L96" i="6"/>
  <c r="G97" i="6"/>
  <c r="H97" i="6"/>
  <c r="I97" i="6"/>
  <c r="J97" i="6"/>
  <c r="K97" i="6"/>
  <c r="L97" i="6"/>
  <c r="G98" i="6"/>
  <c r="H98" i="6"/>
  <c r="I98" i="6"/>
  <c r="J98" i="6"/>
  <c r="K98" i="6"/>
  <c r="L98" i="6"/>
  <c r="G99" i="6"/>
  <c r="H99" i="6"/>
  <c r="I99" i="6"/>
  <c r="J99" i="6"/>
  <c r="K99" i="6"/>
  <c r="L99" i="6"/>
  <c r="G100" i="6"/>
  <c r="H100" i="6"/>
  <c r="I100" i="6"/>
  <c r="J100" i="6"/>
  <c r="K100" i="6"/>
  <c r="L100" i="6"/>
  <c r="G101" i="6"/>
  <c r="H101" i="6"/>
  <c r="I101" i="6"/>
  <c r="J101" i="6"/>
  <c r="K101" i="6"/>
  <c r="L101" i="6"/>
  <c r="G102" i="6"/>
  <c r="H102" i="6"/>
  <c r="I102" i="6"/>
  <c r="J102" i="6"/>
  <c r="K102" i="6"/>
  <c r="L102" i="6"/>
  <c r="G103" i="6"/>
  <c r="H103" i="6"/>
  <c r="I103" i="6"/>
  <c r="J103" i="6"/>
  <c r="K103" i="6"/>
  <c r="L103" i="6"/>
  <c r="G104" i="6"/>
  <c r="H104" i="6"/>
  <c r="I104" i="6"/>
  <c r="J104" i="6"/>
  <c r="K104" i="6"/>
  <c r="L104" i="6"/>
  <c r="G105" i="6"/>
  <c r="H105" i="6"/>
  <c r="I105" i="6"/>
  <c r="J105" i="6"/>
  <c r="K105" i="6"/>
  <c r="L105" i="6"/>
  <c r="G106" i="6"/>
  <c r="H106" i="6"/>
  <c r="I106" i="6"/>
  <c r="J106" i="6"/>
  <c r="K106" i="6"/>
  <c r="L106" i="6"/>
  <c r="G107" i="6"/>
  <c r="H107" i="6"/>
  <c r="I107" i="6"/>
  <c r="J107" i="6"/>
  <c r="K107" i="6"/>
  <c r="L107" i="6"/>
  <c r="G108" i="6"/>
  <c r="H108" i="6"/>
  <c r="I108" i="6"/>
  <c r="J108" i="6"/>
  <c r="K108" i="6"/>
  <c r="L108" i="6"/>
  <c r="G109" i="6"/>
  <c r="H109" i="6"/>
  <c r="I109" i="6"/>
  <c r="J109" i="6"/>
  <c r="K109" i="6"/>
  <c r="L109" i="6"/>
  <c r="G110" i="6"/>
  <c r="H110" i="6"/>
  <c r="I110" i="6"/>
  <c r="J110" i="6"/>
  <c r="K110" i="6"/>
  <c r="L110" i="6"/>
  <c r="G111" i="6"/>
  <c r="H111" i="6"/>
  <c r="I111" i="6"/>
  <c r="J111" i="6"/>
  <c r="K111" i="6"/>
  <c r="L111" i="6"/>
  <c r="G112" i="6"/>
  <c r="H112" i="6"/>
  <c r="I112" i="6"/>
  <c r="J112" i="6"/>
  <c r="K112" i="6"/>
  <c r="L112" i="6"/>
  <c r="G113" i="6"/>
  <c r="H113" i="6"/>
  <c r="I113" i="6"/>
  <c r="J113" i="6"/>
  <c r="K113" i="6"/>
  <c r="L113" i="6"/>
  <c r="H69" i="6"/>
  <c r="I69" i="6"/>
  <c r="J69" i="6"/>
  <c r="K69" i="6"/>
  <c r="L69" i="6"/>
  <c r="G69" i="6"/>
  <c r="C70" i="6"/>
  <c r="D70" i="6"/>
  <c r="E70" i="6"/>
  <c r="F70" i="6"/>
  <c r="C71" i="6"/>
  <c r="D71" i="6"/>
  <c r="E71" i="6"/>
  <c r="F71" i="6"/>
  <c r="C72" i="6"/>
  <c r="D72" i="6"/>
  <c r="E72" i="6"/>
  <c r="F72" i="6"/>
  <c r="C73" i="6"/>
  <c r="D73" i="6"/>
  <c r="E73" i="6"/>
  <c r="F73" i="6"/>
  <c r="C74" i="6"/>
  <c r="D74" i="6"/>
  <c r="E74" i="6"/>
  <c r="F74" i="6"/>
  <c r="C75" i="6"/>
  <c r="D75" i="6"/>
  <c r="E75" i="6"/>
  <c r="F75" i="6"/>
  <c r="C76" i="6"/>
  <c r="D76" i="6"/>
  <c r="E76" i="6"/>
  <c r="F76" i="6"/>
  <c r="C77" i="6"/>
  <c r="D77" i="6"/>
  <c r="E77" i="6"/>
  <c r="F77" i="6"/>
  <c r="C78" i="6"/>
  <c r="D78" i="6"/>
  <c r="E78" i="6"/>
  <c r="F78" i="6"/>
  <c r="C79" i="6"/>
  <c r="D79" i="6"/>
  <c r="E79" i="6"/>
  <c r="F79" i="6"/>
  <c r="C80" i="6"/>
  <c r="D80" i="6"/>
  <c r="E80" i="6"/>
  <c r="F80" i="6"/>
  <c r="C81" i="6"/>
  <c r="D81" i="6"/>
  <c r="E81" i="6"/>
  <c r="F81" i="6"/>
  <c r="C82" i="6"/>
  <c r="D82" i="6"/>
  <c r="E82" i="6"/>
  <c r="F82" i="6"/>
  <c r="C83" i="6"/>
  <c r="D83" i="6"/>
  <c r="E83" i="6"/>
  <c r="F83" i="6"/>
  <c r="C84" i="6"/>
  <c r="D84" i="6"/>
  <c r="E84" i="6"/>
  <c r="F84" i="6"/>
  <c r="C85" i="6"/>
  <c r="D85" i="6"/>
  <c r="E85" i="6"/>
  <c r="F85" i="6"/>
  <c r="C86" i="6"/>
  <c r="D86" i="6"/>
  <c r="E86" i="6"/>
  <c r="F86" i="6"/>
  <c r="C87" i="6"/>
  <c r="D87" i="6"/>
  <c r="E87" i="6"/>
  <c r="F87" i="6"/>
  <c r="C88" i="6"/>
  <c r="D88" i="6"/>
  <c r="E88" i="6"/>
  <c r="F88" i="6"/>
  <c r="C89" i="6"/>
  <c r="D89" i="6"/>
  <c r="E89" i="6"/>
  <c r="F89" i="6"/>
  <c r="C90" i="6"/>
  <c r="D90" i="6"/>
  <c r="E90" i="6"/>
  <c r="F90" i="6"/>
  <c r="C91" i="6"/>
  <c r="D91" i="6"/>
  <c r="E91" i="6"/>
  <c r="F91" i="6"/>
  <c r="C92" i="6"/>
  <c r="D92" i="6"/>
  <c r="E92" i="6"/>
  <c r="F92" i="6"/>
  <c r="C93" i="6"/>
  <c r="D93" i="6"/>
  <c r="E93" i="6"/>
  <c r="F93" i="6"/>
  <c r="C94" i="6"/>
  <c r="D94" i="6"/>
  <c r="E94" i="6"/>
  <c r="F94" i="6"/>
  <c r="C95" i="6"/>
  <c r="D95" i="6"/>
  <c r="E95" i="6"/>
  <c r="F95" i="6"/>
  <c r="C96" i="6"/>
  <c r="D96" i="6"/>
  <c r="E96" i="6"/>
  <c r="F96" i="6"/>
  <c r="C97" i="6"/>
  <c r="D97" i="6"/>
  <c r="E97" i="6"/>
  <c r="F97" i="6"/>
  <c r="C98" i="6"/>
  <c r="D98" i="6"/>
  <c r="E98" i="6"/>
  <c r="F98" i="6"/>
  <c r="C99" i="6"/>
  <c r="D99" i="6"/>
  <c r="E99" i="6"/>
  <c r="F99" i="6"/>
  <c r="C100" i="6"/>
  <c r="D100" i="6"/>
  <c r="E100" i="6"/>
  <c r="F100" i="6"/>
  <c r="C101" i="6"/>
  <c r="D101" i="6"/>
  <c r="E101" i="6"/>
  <c r="F101" i="6"/>
  <c r="C102" i="6"/>
  <c r="D102" i="6"/>
  <c r="E102" i="6"/>
  <c r="F102" i="6"/>
  <c r="C103" i="6"/>
  <c r="D103" i="6"/>
  <c r="E103" i="6"/>
  <c r="F103" i="6"/>
  <c r="C104" i="6"/>
  <c r="D104" i="6"/>
  <c r="E104" i="6"/>
  <c r="F104" i="6"/>
  <c r="C105" i="6"/>
  <c r="D105" i="6"/>
  <c r="E105" i="6"/>
  <c r="F105" i="6"/>
  <c r="C106" i="6"/>
  <c r="D106" i="6"/>
  <c r="E106" i="6"/>
  <c r="F106" i="6"/>
  <c r="C107" i="6"/>
  <c r="D107" i="6"/>
  <c r="E107" i="6"/>
  <c r="F107" i="6"/>
  <c r="C108" i="6"/>
  <c r="D108" i="6"/>
  <c r="E108" i="6"/>
  <c r="F108" i="6"/>
  <c r="C109" i="6"/>
  <c r="D109" i="6"/>
  <c r="E109" i="6"/>
  <c r="F109" i="6"/>
  <c r="C110" i="6"/>
  <c r="D110" i="6"/>
  <c r="E110" i="6"/>
  <c r="F110" i="6"/>
  <c r="C111" i="6"/>
  <c r="D111" i="6"/>
  <c r="E111" i="6"/>
  <c r="F111" i="6"/>
  <c r="C112" i="6"/>
  <c r="D112" i="6"/>
  <c r="E112" i="6"/>
  <c r="F112" i="6"/>
  <c r="C113" i="6"/>
  <c r="D113" i="6"/>
  <c r="E113" i="6"/>
  <c r="F113" i="6"/>
  <c r="D69" i="6"/>
  <c r="E69" i="6"/>
  <c r="F69" i="6"/>
  <c r="C69" i="6"/>
  <c r="C70" i="3"/>
  <c r="D70" i="3"/>
  <c r="E70" i="3"/>
  <c r="F70" i="3"/>
  <c r="G70" i="3"/>
  <c r="H70" i="3"/>
  <c r="I70" i="3"/>
  <c r="C71" i="3"/>
  <c r="D71" i="3"/>
  <c r="E71" i="3"/>
  <c r="F71" i="3"/>
  <c r="G71" i="3"/>
  <c r="H71" i="3"/>
  <c r="I71" i="3"/>
  <c r="C72" i="3"/>
  <c r="D72" i="3"/>
  <c r="E72" i="3"/>
  <c r="F72" i="3"/>
  <c r="G72" i="3"/>
  <c r="H72" i="3"/>
  <c r="I72" i="3"/>
  <c r="C73" i="3"/>
  <c r="D73" i="3"/>
  <c r="E73" i="3"/>
  <c r="F73" i="3"/>
  <c r="G73" i="3"/>
  <c r="H73" i="3"/>
  <c r="I73" i="3"/>
  <c r="C74" i="3"/>
  <c r="D74" i="3"/>
  <c r="E74" i="3"/>
  <c r="F74" i="3"/>
  <c r="G74" i="3"/>
  <c r="H74" i="3"/>
  <c r="F22" i="17" s="1" a="1"/>
  <c r="I74" i="3"/>
  <c r="F23" i="17" s="1" a="1"/>
  <c r="C75" i="3"/>
  <c r="D75" i="3"/>
  <c r="E75" i="3"/>
  <c r="F75" i="3"/>
  <c r="G75" i="3"/>
  <c r="H75" i="3"/>
  <c r="I75" i="3"/>
  <c r="C76" i="3"/>
  <c r="D76" i="3"/>
  <c r="E76" i="3"/>
  <c r="F76" i="3"/>
  <c r="G76" i="3"/>
  <c r="H76" i="3"/>
  <c r="I76" i="3"/>
  <c r="C77" i="3"/>
  <c r="D77" i="3"/>
  <c r="E77" i="3"/>
  <c r="F77" i="3"/>
  <c r="G77" i="3"/>
  <c r="H77" i="3"/>
  <c r="I77" i="3"/>
  <c r="C78" i="3"/>
  <c r="D78" i="3"/>
  <c r="E78" i="3"/>
  <c r="F78" i="3"/>
  <c r="G78" i="3"/>
  <c r="H78" i="3"/>
  <c r="I78" i="3"/>
  <c r="C79" i="3"/>
  <c r="D79" i="3"/>
  <c r="E79" i="3"/>
  <c r="F79" i="3"/>
  <c r="G79" i="3"/>
  <c r="H79" i="3"/>
  <c r="I79" i="3"/>
  <c r="C80" i="3"/>
  <c r="D80" i="3"/>
  <c r="E80" i="3"/>
  <c r="F80" i="3"/>
  <c r="G80" i="3"/>
  <c r="H80" i="3"/>
  <c r="I80" i="3"/>
  <c r="C81" i="3"/>
  <c r="D81" i="3"/>
  <c r="E81" i="3"/>
  <c r="F81" i="3"/>
  <c r="G81" i="3"/>
  <c r="H81" i="3"/>
  <c r="I81" i="3"/>
  <c r="C82" i="3"/>
  <c r="D82" i="3"/>
  <c r="E82" i="3"/>
  <c r="F82" i="3"/>
  <c r="G82" i="3"/>
  <c r="H82" i="3"/>
  <c r="I82" i="3"/>
  <c r="C83" i="3"/>
  <c r="D83" i="3"/>
  <c r="E83" i="3"/>
  <c r="F83" i="3"/>
  <c r="G83" i="3"/>
  <c r="H83" i="3"/>
  <c r="I83" i="3"/>
  <c r="C84" i="3"/>
  <c r="D84" i="3"/>
  <c r="E84" i="3"/>
  <c r="F84" i="3"/>
  <c r="G84" i="3"/>
  <c r="H84" i="3"/>
  <c r="I84" i="3"/>
  <c r="C85" i="3"/>
  <c r="D85" i="3"/>
  <c r="E85" i="3"/>
  <c r="F85" i="3"/>
  <c r="G85" i="3"/>
  <c r="H85" i="3"/>
  <c r="I85" i="3"/>
  <c r="C86" i="3"/>
  <c r="D86" i="3"/>
  <c r="E86" i="3"/>
  <c r="F86" i="3"/>
  <c r="G86" i="3"/>
  <c r="H86" i="3"/>
  <c r="I86" i="3"/>
  <c r="C87" i="3"/>
  <c r="D87" i="3"/>
  <c r="E87" i="3"/>
  <c r="F87" i="3"/>
  <c r="G87" i="3"/>
  <c r="H87" i="3"/>
  <c r="I87" i="3"/>
  <c r="C88" i="3"/>
  <c r="D88" i="3"/>
  <c r="E88" i="3"/>
  <c r="F88" i="3"/>
  <c r="G88" i="3"/>
  <c r="H88" i="3"/>
  <c r="I88" i="3"/>
  <c r="C89" i="3"/>
  <c r="D89" i="3"/>
  <c r="E89" i="3"/>
  <c r="F89" i="3"/>
  <c r="G89" i="3"/>
  <c r="H89" i="3"/>
  <c r="I89" i="3"/>
  <c r="C90" i="3"/>
  <c r="D90" i="3"/>
  <c r="E90" i="3"/>
  <c r="F90" i="3"/>
  <c r="G90" i="3"/>
  <c r="H90" i="3"/>
  <c r="I90" i="3"/>
  <c r="C91" i="3"/>
  <c r="D91" i="3"/>
  <c r="E91" i="3"/>
  <c r="F91" i="3"/>
  <c r="G91" i="3"/>
  <c r="H91" i="3"/>
  <c r="I91" i="3"/>
  <c r="C92" i="3"/>
  <c r="D92" i="3"/>
  <c r="E92" i="3"/>
  <c r="F92" i="3"/>
  <c r="G92" i="3"/>
  <c r="H92" i="3"/>
  <c r="I92" i="3"/>
  <c r="C93" i="3"/>
  <c r="D93" i="3"/>
  <c r="E93" i="3"/>
  <c r="F93" i="3"/>
  <c r="G93" i="3"/>
  <c r="H93" i="3"/>
  <c r="I93" i="3"/>
  <c r="C94" i="3"/>
  <c r="D94" i="3"/>
  <c r="E94" i="3"/>
  <c r="F94" i="3"/>
  <c r="G94" i="3"/>
  <c r="H94" i="3"/>
  <c r="I94" i="3"/>
  <c r="C95" i="3"/>
  <c r="D95" i="3"/>
  <c r="E95" i="3"/>
  <c r="F95" i="3"/>
  <c r="G95" i="3"/>
  <c r="H95" i="3"/>
  <c r="I95" i="3"/>
  <c r="C96" i="3"/>
  <c r="D96" i="3"/>
  <c r="E96" i="3"/>
  <c r="F96" i="3"/>
  <c r="G96" i="3"/>
  <c r="H96" i="3"/>
  <c r="I96" i="3"/>
  <c r="C97" i="3"/>
  <c r="D97" i="3"/>
  <c r="E97" i="3"/>
  <c r="F97" i="3"/>
  <c r="G97" i="3"/>
  <c r="H97" i="3"/>
  <c r="I97" i="3"/>
  <c r="C98" i="3"/>
  <c r="D98" i="3"/>
  <c r="E98" i="3"/>
  <c r="F98" i="3"/>
  <c r="G98" i="3"/>
  <c r="H98" i="3"/>
  <c r="I98" i="3"/>
  <c r="C99" i="3"/>
  <c r="D99" i="3"/>
  <c r="E99" i="3"/>
  <c r="F99" i="3"/>
  <c r="G99" i="3"/>
  <c r="H99" i="3"/>
  <c r="I99" i="3"/>
  <c r="C100" i="3"/>
  <c r="D100" i="3"/>
  <c r="E100" i="3"/>
  <c r="F100" i="3"/>
  <c r="G100" i="3"/>
  <c r="H100" i="3"/>
  <c r="I100" i="3"/>
  <c r="C101" i="3"/>
  <c r="D101" i="3"/>
  <c r="E101" i="3"/>
  <c r="F101" i="3"/>
  <c r="G101" i="3"/>
  <c r="H101" i="3"/>
  <c r="I101" i="3"/>
  <c r="C102" i="3"/>
  <c r="D102" i="3"/>
  <c r="E102" i="3"/>
  <c r="F102" i="3"/>
  <c r="G102" i="3"/>
  <c r="H102" i="3"/>
  <c r="I102" i="3"/>
  <c r="C103" i="3"/>
  <c r="D103" i="3"/>
  <c r="E103" i="3"/>
  <c r="F103" i="3"/>
  <c r="G103" i="3"/>
  <c r="H103" i="3"/>
  <c r="I103" i="3"/>
  <c r="C104" i="3"/>
  <c r="D104" i="3"/>
  <c r="E104" i="3"/>
  <c r="F104" i="3"/>
  <c r="G104" i="3"/>
  <c r="H104" i="3"/>
  <c r="I104" i="3"/>
  <c r="C105" i="3"/>
  <c r="D105" i="3"/>
  <c r="E105" i="3"/>
  <c r="F105" i="3"/>
  <c r="G105" i="3"/>
  <c r="H105" i="3"/>
  <c r="I105" i="3"/>
  <c r="C106" i="3"/>
  <c r="D106" i="3"/>
  <c r="E106" i="3"/>
  <c r="F106" i="3"/>
  <c r="G106" i="3"/>
  <c r="H106" i="3"/>
  <c r="I106" i="3"/>
  <c r="C107" i="3"/>
  <c r="D107" i="3"/>
  <c r="E107" i="3"/>
  <c r="F107" i="3"/>
  <c r="G107" i="3"/>
  <c r="H107" i="3"/>
  <c r="I107" i="3"/>
  <c r="C108" i="3"/>
  <c r="D108" i="3"/>
  <c r="E108" i="3"/>
  <c r="F108" i="3"/>
  <c r="G108" i="3"/>
  <c r="H108" i="3"/>
  <c r="I108" i="3"/>
  <c r="C109" i="3"/>
  <c r="D109" i="3"/>
  <c r="E109" i="3"/>
  <c r="F109" i="3"/>
  <c r="G109" i="3"/>
  <c r="H109" i="3"/>
  <c r="I109" i="3"/>
  <c r="C110" i="3"/>
  <c r="D110" i="3"/>
  <c r="E110" i="3"/>
  <c r="F110" i="3"/>
  <c r="G110" i="3"/>
  <c r="H110" i="3"/>
  <c r="I110" i="3"/>
  <c r="C111" i="3"/>
  <c r="D111" i="3"/>
  <c r="E111" i="3"/>
  <c r="F111" i="3"/>
  <c r="G111" i="3"/>
  <c r="H111" i="3"/>
  <c r="I111" i="3"/>
  <c r="C112" i="3"/>
  <c r="D112" i="3"/>
  <c r="E112" i="3"/>
  <c r="F112" i="3"/>
  <c r="G112" i="3"/>
  <c r="H112" i="3"/>
  <c r="I112" i="3"/>
  <c r="C113" i="3"/>
  <c r="D113" i="3"/>
  <c r="E113" i="3"/>
  <c r="F113" i="3"/>
  <c r="G113" i="3"/>
  <c r="H113" i="3"/>
  <c r="I113" i="3"/>
  <c r="D69" i="3"/>
  <c r="E69" i="3"/>
  <c r="F69" i="3"/>
  <c r="E20" i="15" s="1" a="1"/>
  <c r="G69" i="3"/>
  <c r="H69" i="3"/>
  <c r="I69" i="3"/>
  <c r="C69" i="3"/>
  <c r="F21" i="17" l="1" a="1"/>
  <c r="M21" i="17" s="1"/>
  <c r="F20" i="17" a="1"/>
  <c r="AD20" i="17" s="1"/>
  <c r="F18" i="17" a="1"/>
  <c r="AL18" i="17" s="1"/>
  <c r="F19" i="17" a="1"/>
  <c r="K19" i="17" s="1"/>
  <c r="AQ23" i="17"/>
  <c r="N23" i="17"/>
  <c r="AM23" i="17"/>
  <c r="AJ23" i="17"/>
  <c r="X23" i="17"/>
  <c r="L23" i="17"/>
  <c r="F23" i="17"/>
  <c r="R23" i="17"/>
  <c r="S23" i="17"/>
  <c r="AE23" i="17"/>
  <c r="AF23" i="17"/>
  <c r="AA23" i="17"/>
  <c r="Q23" i="17"/>
  <c r="AR23" i="17"/>
  <c r="AS23" i="17"/>
  <c r="I23" i="17"/>
  <c r="K23" i="17"/>
  <c r="AD23" i="17"/>
  <c r="V23" i="17"/>
  <c r="O23" i="17"/>
  <c r="AI23" i="17"/>
  <c r="AB23" i="17"/>
  <c r="G23" i="17"/>
  <c r="H23" i="17"/>
  <c r="AW23" i="17"/>
  <c r="J23" i="17"/>
  <c r="AO23" i="17"/>
  <c r="P23" i="17"/>
  <c r="T23" i="17"/>
  <c r="U23" i="17"/>
  <c r="W23" i="17"/>
  <c r="AL23" i="17"/>
  <c r="M23" i="17"/>
  <c r="AC23" i="17"/>
  <c r="AG23" i="17"/>
  <c r="AH23" i="17"/>
  <c r="AK23" i="17"/>
  <c r="Y23" i="17"/>
  <c r="AN23" i="17"/>
  <c r="Z23" i="17"/>
  <c r="AP23" i="17"/>
  <c r="AV23" i="17"/>
  <c r="AT23" i="17"/>
  <c r="AU23" i="17"/>
  <c r="AX23" i="17"/>
  <c r="AU22" i="17"/>
  <c r="AV22" i="17"/>
  <c r="AO22" i="17"/>
  <c r="L22" i="17"/>
  <c r="Q22" i="17"/>
  <c r="Y22" i="17"/>
  <c r="AD22" i="17"/>
  <c r="AW22" i="17"/>
  <c r="S22" i="17"/>
  <c r="AT22" i="17"/>
  <c r="I22" i="17"/>
  <c r="K22" i="17"/>
  <c r="AL22" i="17"/>
  <c r="AQ22" i="17"/>
  <c r="AX22" i="17"/>
  <c r="T22" i="17"/>
  <c r="AH22" i="17"/>
  <c r="W22" i="17"/>
  <c r="X22" i="17"/>
  <c r="N22" i="17"/>
  <c r="AG22" i="17"/>
  <c r="V22" i="17"/>
  <c r="AJ22" i="17"/>
  <c r="AK22" i="17"/>
  <c r="AA22" i="17"/>
  <c r="J22" i="17"/>
  <c r="AN22" i="17"/>
  <c r="R22" i="17"/>
  <c r="M22" i="17"/>
  <c r="O22" i="17"/>
  <c r="P22" i="17"/>
  <c r="H22" i="17"/>
  <c r="AE22" i="17"/>
  <c r="F22" i="17"/>
  <c r="Z22" i="17"/>
  <c r="AB22" i="17"/>
  <c r="AC22" i="17"/>
  <c r="G22" i="17"/>
  <c r="AR22" i="17"/>
  <c r="AM22" i="17"/>
  <c r="AP22" i="17"/>
  <c r="AF22" i="17"/>
  <c r="U22" i="17"/>
  <c r="AS22" i="17"/>
  <c r="AI22" i="17"/>
  <c r="AQ21" i="17"/>
  <c r="L21" i="17"/>
  <c r="AS21" i="17"/>
  <c r="R21" i="17"/>
  <c r="N21" i="17"/>
  <c r="Y21" i="17"/>
  <c r="J21" i="17"/>
  <c r="AL21" i="17"/>
  <c r="I21" i="17"/>
  <c r="AK21" i="17"/>
  <c r="AH21" i="17"/>
  <c r="AM21" i="17"/>
  <c r="AC21" i="17"/>
  <c r="V21" i="17"/>
  <c r="AW21" i="17"/>
  <c r="AP21" i="17"/>
  <c r="AI21" i="17"/>
  <c r="O21" i="17"/>
  <c r="Q21" i="17"/>
  <c r="AR21" i="17"/>
  <c r="AV21" i="17"/>
  <c r="X21" i="17"/>
  <c r="AF21" i="17"/>
  <c r="F21" i="17"/>
  <c r="AO21" i="17"/>
  <c r="T21" i="17"/>
  <c r="W21" i="17"/>
  <c r="AX21" i="17"/>
  <c r="AA21" i="17"/>
  <c r="H21" i="17"/>
  <c r="AG21" i="17"/>
  <c r="U21" i="17"/>
  <c r="AJ21" i="17"/>
  <c r="AU21" i="17"/>
  <c r="AT21" i="17"/>
  <c r="AP20" i="17"/>
  <c r="G20" i="17"/>
  <c r="AW20" i="17"/>
  <c r="M20" i="17"/>
  <c r="AR20" i="17"/>
  <c r="AV20" i="17"/>
  <c r="U20" i="17"/>
  <c r="AH20" i="17"/>
  <c r="T20" i="17"/>
  <c r="Z20" i="17"/>
  <c r="AG20" i="17"/>
  <c r="AM20" i="17"/>
  <c r="O20" i="17"/>
  <c r="AQ20" i="17"/>
  <c r="F20" i="17"/>
  <c r="AT20" i="17"/>
  <c r="AB20" i="17"/>
  <c r="AC20" i="17"/>
  <c r="H20" i="17"/>
  <c r="S20" i="17"/>
  <c r="N20" i="17"/>
  <c r="AO20" i="17"/>
  <c r="AF20" i="17"/>
  <c r="X20" i="17"/>
  <c r="AA20" i="17"/>
  <c r="AE20" i="17"/>
  <c r="AS20" i="17"/>
  <c r="AK20" i="17"/>
  <c r="AX20" i="17"/>
  <c r="I20" i="17"/>
  <c r="V20" i="17"/>
  <c r="J20" i="17"/>
  <c r="Y20" i="17"/>
  <c r="P20" i="17"/>
  <c r="AI20" i="17"/>
  <c r="W20" i="17"/>
  <c r="AL20" i="17"/>
  <c r="Q20" i="17"/>
  <c r="F17" i="17" a="1"/>
  <c r="AQ17" i="17" s="1"/>
  <c r="E18" i="15" a="1"/>
  <c r="AE18" i="15" s="1"/>
  <c r="E17" i="15" a="1"/>
  <c r="T17" i="15" s="1"/>
  <c r="AJ20" i="15"/>
  <c r="X20" i="15"/>
  <c r="AS20" i="15"/>
  <c r="U20" i="15"/>
  <c r="Z20" i="15"/>
  <c r="I20" i="15"/>
  <c r="AM20" i="15"/>
  <c r="AG20" i="15"/>
  <c r="AB20" i="15"/>
  <c r="AT20" i="15"/>
  <c r="AA20" i="15"/>
  <c r="N20" i="15"/>
  <c r="P20" i="15"/>
  <c r="O20" i="15"/>
  <c r="AL20" i="15"/>
  <c r="AN20" i="15"/>
  <c r="V20" i="15"/>
  <c r="AV20" i="15"/>
  <c r="AK20" i="15"/>
  <c r="AE20" i="15"/>
  <c r="F20" i="15"/>
  <c r="Y20" i="15"/>
  <c r="S20" i="15"/>
  <c r="AD20" i="15"/>
  <c r="H20" i="15"/>
  <c r="M20" i="15"/>
  <c r="G20" i="15"/>
  <c r="R20" i="15"/>
  <c r="AF20" i="15"/>
  <c r="L20" i="15"/>
  <c r="AU20" i="15"/>
  <c r="AO20" i="15"/>
  <c r="AP20" i="15"/>
  <c r="T20" i="15"/>
  <c r="AI20" i="15"/>
  <c r="AC20" i="15"/>
  <c r="AR20" i="15"/>
  <c r="AW20" i="15"/>
  <c r="AQ20" i="15"/>
  <c r="J20" i="15"/>
  <c r="W20" i="15"/>
  <c r="Q20" i="15"/>
  <c r="AH20" i="15"/>
  <c r="K20" i="15"/>
  <c r="E20" i="15"/>
  <c r="E19" i="15" a="1"/>
  <c r="E21" i="15" a="1"/>
  <c r="E23" i="15" a="1"/>
  <c r="E22" i="15" a="1"/>
  <c r="C69" i="1"/>
  <c r="C68" i="1"/>
  <c r="A18" i="6"/>
  <c r="A19" i="6"/>
  <c r="A20" i="6"/>
  <c r="A21" i="6"/>
  <c r="A22" i="6"/>
  <c r="A23" i="6"/>
  <c r="A24" i="6"/>
  <c r="A25" i="6"/>
  <c r="A26" i="6"/>
  <c r="E56" i="12" a="1"/>
  <c r="E55" i="12" a="1"/>
  <c r="AU55" i="12" s="1"/>
  <c r="E54" i="12" a="1"/>
  <c r="AS54" i="12" s="1"/>
  <c r="E53" i="12" a="1"/>
  <c r="AQ53" i="12" s="1"/>
  <c r="E52" i="12" a="1"/>
  <c r="AO52" i="12" s="1"/>
  <c r="E51" i="12" a="1"/>
  <c r="AP51" i="12" s="1"/>
  <c r="E50" i="12" a="1"/>
  <c r="AR50" i="12" s="1"/>
  <c r="E49" i="12" a="1"/>
  <c r="AR49" i="12" s="1"/>
  <c r="E48" i="12" a="1"/>
  <c r="AP48" i="12" s="1"/>
  <c r="E14" i="12" a="1"/>
  <c r="AN14" i="12" s="1"/>
  <c r="E13" i="12" a="1"/>
  <c r="AD13" i="12" s="1"/>
  <c r="E10" i="12" a="1"/>
  <c r="AM10" i="12" s="1"/>
  <c r="E8" i="12" a="1"/>
  <c r="AO8" i="12" s="1"/>
  <c r="E7" i="12" a="1"/>
  <c r="AM7" i="12" s="1"/>
  <c r="E89" i="11" a="1"/>
  <c r="AW89" i="11" s="1"/>
  <c r="E88" i="11" a="1"/>
  <c r="AU88" i="11" s="1"/>
  <c r="E87" i="11" a="1"/>
  <c r="AS87" i="11" s="1"/>
  <c r="E86" i="11" a="1"/>
  <c r="AQ86" i="11" s="1"/>
  <c r="E85" i="11" a="1"/>
  <c r="AO85" i="11" s="1"/>
  <c r="E84" i="11" a="1"/>
  <c r="AP84" i="11" s="1"/>
  <c r="E83" i="11" a="1"/>
  <c r="AL83" i="11" s="1"/>
  <c r="E82" i="11" a="1"/>
  <c r="AR82" i="11" s="1"/>
  <c r="E81" i="11" a="1"/>
  <c r="AR81" i="11" s="1"/>
  <c r="E14" i="11" a="1"/>
  <c r="AP14" i="11" s="1"/>
  <c r="E13" i="11" a="1"/>
  <c r="AR13" i="11" s="1"/>
  <c r="E10" i="11" a="1"/>
  <c r="AM10" i="11" s="1"/>
  <c r="E8" i="11" a="1"/>
  <c r="AU8" i="11" s="1"/>
  <c r="E7" i="11" a="1"/>
  <c r="AS7" i="11" s="1"/>
  <c r="AC18" i="17" l="1"/>
  <c r="H18" i="17"/>
  <c r="AR19" i="17"/>
  <c r="L19" i="17"/>
  <c r="T19" i="17"/>
  <c r="AT18" i="17"/>
  <c r="AP17" i="17"/>
  <c r="AI18" i="17"/>
  <c r="R18" i="17"/>
  <c r="F18" i="17"/>
  <c r="AX18" i="17"/>
  <c r="AO19" i="17"/>
  <c r="AS19" i="17"/>
  <c r="W19" i="17"/>
  <c r="AA19" i="17"/>
  <c r="G21" i="17"/>
  <c r="AD21" i="17"/>
  <c r="P21" i="17"/>
  <c r="AA17" i="17"/>
  <c r="I18" i="17"/>
  <c r="J18" i="17"/>
  <c r="V19" i="17"/>
  <c r="AM19" i="17"/>
  <c r="S19" i="17"/>
  <c r="AG19" i="17"/>
  <c r="AH18" i="17"/>
  <c r="M18" i="17"/>
  <c r="Y19" i="17"/>
  <c r="I17" i="17"/>
  <c r="AM18" i="17"/>
  <c r="AW18" i="17"/>
  <c r="Z18" i="17"/>
  <c r="AS18" i="17"/>
  <c r="J19" i="17"/>
  <c r="AB19" i="17"/>
  <c r="AK19" i="17"/>
  <c r="AW19" i="17"/>
  <c r="L20" i="17"/>
  <c r="K20" i="17"/>
  <c r="R20" i="17"/>
  <c r="AU20" i="17"/>
  <c r="S21" i="17"/>
  <c r="K21" i="17"/>
  <c r="Z21" i="17"/>
  <c r="AN18" i="17"/>
  <c r="AU19" i="17"/>
  <c r="AL19" i="17"/>
  <c r="O19" i="17"/>
  <c r="AC17" i="17"/>
  <c r="W18" i="17"/>
  <c r="U19" i="17"/>
  <c r="F19" i="17"/>
  <c r="AI19" i="17"/>
  <c r="AD17" i="17"/>
  <c r="AR18" i="17"/>
  <c r="AQ18" i="17"/>
  <c r="G18" i="17"/>
  <c r="AO18" i="17"/>
  <c r="R19" i="17"/>
  <c r="Z19" i="17"/>
  <c r="N19" i="17"/>
  <c r="G19" i="17"/>
  <c r="AG17" i="17"/>
  <c r="P18" i="17"/>
  <c r="L18" i="17"/>
  <c r="AA18" i="17"/>
  <c r="AV18" i="17"/>
  <c r="Q19" i="17"/>
  <c r="AF19" i="17"/>
  <c r="AD19" i="17"/>
  <c r="AQ19" i="17"/>
  <c r="AN20" i="17"/>
  <c r="AJ20" i="17"/>
  <c r="AE21" i="17"/>
  <c r="AB21" i="17"/>
  <c r="AN21" i="17"/>
  <c r="AV19" i="17"/>
  <c r="AF18" i="17"/>
  <c r="X18" i="17"/>
  <c r="AP19" i="17"/>
  <c r="AD18" i="17"/>
  <c r="AB17" i="17"/>
  <c r="O18" i="17"/>
  <c r="N18" i="17"/>
  <c r="Q18" i="17"/>
  <c r="AE19" i="17"/>
  <c r="AC19" i="17"/>
  <c r="AT19" i="17"/>
  <c r="F17" i="17"/>
  <c r="K18" i="17"/>
  <c r="AJ18" i="17"/>
  <c r="AK18" i="17"/>
  <c r="AP18" i="17"/>
  <c r="H19" i="17"/>
  <c r="M19" i="17"/>
  <c r="AH19" i="17"/>
  <c r="U18" i="17"/>
  <c r="Y18" i="17"/>
  <c r="AG18" i="17"/>
  <c r="AF17" i="17"/>
  <c r="V18" i="17"/>
  <c r="AU18" i="17"/>
  <c r="S18" i="17"/>
  <c r="I19" i="17"/>
  <c r="AN19" i="17"/>
  <c r="X19" i="17"/>
  <c r="AB18" i="17"/>
  <c r="AE17" i="17"/>
  <c r="AE18" i="17"/>
  <c r="T18" i="17"/>
  <c r="AJ19" i="17"/>
  <c r="P19" i="17"/>
  <c r="AX19" i="17"/>
  <c r="AL17" i="17"/>
  <c r="L17" i="17"/>
  <c r="AO17" i="17"/>
  <c r="J17" i="17"/>
  <c r="R17" i="17"/>
  <c r="P17" i="17"/>
  <c r="T17" i="17"/>
  <c r="Q17" i="17"/>
  <c r="S17" i="17"/>
  <c r="AU17" i="17"/>
  <c r="AR17" i="17"/>
  <c r="AT17" i="17"/>
  <c r="V17" i="17"/>
  <c r="AX17" i="17"/>
  <c r="H17" i="17"/>
  <c r="AM17" i="17"/>
  <c r="AW17" i="17"/>
  <c r="AK17" i="17"/>
  <c r="X17" i="17"/>
  <c r="U17" i="17"/>
  <c r="Z17" i="17"/>
  <c r="N17" i="17"/>
  <c r="K17" i="17"/>
  <c r="O17" i="17"/>
  <c r="AI17" i="17"/>
  <c r="Y17" i="17"/>
  <c r="AJ17" i="17"/>
  <c r="AN17" i="17"/>
  <c r="M17" i="17"/>
  <c r="AS17" i="17"/>
  <c r="W17" i="17"/>
  <c r="AV17" i="17"/>
  <c r="AH17" i="17"/>
  <c r="G17" i="17"/>
  <c r="AV14" i="12"/>
  <c r="X13" i="12"/>
  <c r="AL13" i="12"/>
  <c r="P13" i="12"/>
  <c r="H13" i="12"/>
  <c r="M13" i="12"/>
  <c r="R13" i="12"/>
  <c r="AE8" i="12"/>
  <c r="AP13" i="12"/>
  <c r="AD8" i="12"/>
  <c r="AW13" i="12"/>
  <c r="AP8" i="12"/>
  <c r="V14" i="12"/>
  <c r="AB14" i="12"/>
  <c r="AM14" i="12"/>
  <c r="L14" i="12"/>
  <c r="AD50" i="12"/>
  <c r="N14" i="12"/>
  <c r="J13" i="12"/>
  <c r="O14" i="12"/>
  <c r="AB51" i="12"/>
  <c r="P14" i="12"/>
  <c r="AH13" i="12"/>
  <c r="AP14" i="12"/>
  <c r="L55" i="12"/>
  <c r="AT18" i="15"/>
  <c r="AG18" i="15"/>
  <c r="AI18" i="15"/>
  <c r="L17" i="15"/>
  <c r="AA18" i="15"/>
  <c r="Z18" i="15"/>
  <c r="AA17" i="15"/>
  <c r="J17" i="15"/>
  <c r="M18" i="15"/>
  <c r="R18" i="15"/>
  <c r="AG17" i="15"/>
  <c r="M17" i="15"/>
  <c r="AL18" i="15"/>
  <c r="AB18" i="15"/>
  <c r="AS17" i="15"/>
  <c r="AP17" i="15"/>
  <c r="AD18" i="15"/>
  <c r="Y18" i="15"/>
  <c r="AB17" i="15"/>
  <c r="Z17" i="15"/>
  <c r="Q18" i="15"/>
  <c r="AK18" i="15"/>
  <c r="E17" i="15"/>
  <c r="AH18" i="15"/>
  <c r="W18" i="15"/>
  <c r="AQ18" i="15"/>
  <c r="G18" i="15"/>
  <c r="AN17" i="15"/>
  <c r="AV18" i="15"/>
  <c r="AQ17" i="15"/>
  <c r="W17" i="15"/>
  <c r="O18" i="15"/>
  <c r="X18" i="15"/>
  <c r="AP18" i="15"/>
  <c r="I17" i="15"/>
  <c r="S17" i="15"/>
  <c r="N17" i="15"/>
  <c r="AL17" i="15"/>
  <c r="P18" i="15"/>
  <c r="F18" i="15"/>
  <c r="AW18" i="15"/>
  <c r="AF17" i="15"/>
  <c r="AW17" i="15"/>
  <c r="AH17" i="15"/>
  <c r="AU17" i="15"/>
  <c r="AN18" i="15"/>
  <c r="H18" i="15"/>
  <c r="Q17" i="15"/>
  <c r="F17" i="15"/>
  <c r="J18" i="15"/>
  <c r="AC18" i="15"/>
  <c r="I18" i="15"/>
  <c r="AT17" i="15"/>
  <c r="AV17" i="15"/>
  <c r="G17" i="15"/>
  <c r="R17" i="15"/>
  <c r="V17" i="15"/>
  <c r="AR17" i="15"/>
  <c r="U18" i="15"/>
  <c r="AM18" i="15"/>
  <c r="T18" i="15"/>
  <c r="AJ18" i="15"/>
  <c r="Y17" i="15"/>
  <c r="H17" i="15"/>
  <c r="P17" i="15"/>
  <c r="AC17" i="15"/>
  <c r="L18" i="15"/>
  <c r="AS18" i="15"/>
  <c r="AF18" i="15"/>
  <c r="N18" i="15"/>
  <c r="AE17" i="15"/>
  <c r="O17" i="15"/>
  <c r="K17" i="15"/>
  <c r="AJ17" i="15"/>
  <c r="AR18" i="15"/>
  <c r="E18" i="15"/>
  <c r="AO18" i="15"/>
  <c r="S18" i="15"/>
  <c r="AK17" i="15"/>
  <c r="U17" i="15"/>
  <c r="AD17" i="15"/>
  <c r="AO17" i="15"/>
  <c r="V18" i="15"/>
  <c r="K18" i="15"/>
  <c r="AU18" i="15"/>
  <c r="X17" i="15"/>
  <c r="AM17" i="15"/>
  <c r="AI17" i="15"/>
  <c r="AV21" i="15"/>
  <c r="F21" i="15"/>
  <c r="Z21" i="15"/>
  <c r="AK21" i="15"/>
  <c r="AE21" i="15"/>
  <c r="L21" i="15"/>
  <c r="AD21" i="15"/>
  <c r="AB21" i="15"/>
  <c r="Y21" i="15"/>
  <c r="S21" i="15"/>
  <c r="AJ21" i="15"/>
  <c r="M21" i="15"/>
  <c r="G21" i="15"/>
  <c r="AU21" i="15"/>
  <c r="R21" i="15"/>
  <c r="AI21" i="15"/>
  <c r="AC21" i="15"/>
  <c r="W21" i="15"/>
  <c r="AN21" i="15"/>
  <c r="AT21" i="15"/>
  <c r="Q21" i="15"/>
  <c r="K21" i="15"/>
  <c r="E21" i="15"/>
  <c r="AS21" i="15"/>
  <c r="V21" i="15"/>
  <c r="AM21" i="15"/>
  <c r="AG21" i="15"/>
  <c r="H21" i="15"/>
  <c r="AA21" i="15"/>
  <c r="U21" i="15"/>
  <c r="AF21" i="15"/>
  <c r="J21" i="15"/>
  <c r="N21" i="15"/>
  <c r="T21" i="15"/>
  <c r="AO21" i="15"/>
  <c r="P21" i="15"/>
  <c r="AP21" i="15"/>
  <c r="O21" i="15"/>
  <c r="I21" i="15"/>
  <c r="AH21" i="15"/>
  <c r="AL21" i="15"/>
  <c r="AR21" i="15"/>
  <c r="X21" i="15"/>
  <c r="AW21" i="15"/>
  <c r="AQ21" i="15"/>
  <c r="AV19" i="15"/>
  <c r="Z19" i="15"/>
  <c r="AR19" i="15"/>
  <c r="W19" i="15"/>
  <c r="Q19" i="15"/>
  <c r="L19" i="15"/>
  <c r="X19" i="15"/>
  <c r="AM19" i="15"/>
  <c r="AA19" i="15"/>
  <c r="T19" i="15"/>
  <c r="K19" i="15"/>
  <c r="E19" i="15"/>
  <c r="AJ19" i="15"/>
  <c r="AT19" i="15"/>
  <c r="AS19" i="15"/>
  <c r="AG19" i="15"/>
  <c r="R19" i="15"/>
  <c r="U19" i="15"/>
  <c r="P19" i="15"/>
  <c r="I19" i="15"/>
  <c r="AB19" i="15"/>
  <c r="F19" i="15"/>
  <c r="AW19" i="15"/>
  <c r="AQ19" i="15"/>
  <c r="AD19" i="15"/>
  <c r="J19" i="15"/>
  <c r="AN19" i="15"/>
  <c r="AP19" i="15"/>
  <c r="AL19" i="15"/>
  <c r="AK19" i="15"/>
  <c r="AE19" i="15"/>
  <c r="AH19" i="15"/>
  <c r="Y19" i="15"/>
  <c r="S19" i="15"/>
  <c r="H19" i="15"/>
  <c r="M19" i="15"/>
  <c r="G19" i="15"/>
  <c r="AF19" i="15"/>
  <c r="O19" i="15"/>
  <c r="N19" i="15"/>
  <c r="AU19" i="15"/>
  <c r="AO19" i="15"/>
  <c r="V19" i="15"/>
  <c r="AI19" i="15"/>
  <c r="AC19" i="15"/>
  <c r="AT23" i="15"/>
  <c r="L23" i="15"/>
  <c r="AB23" i="15"/>
  <c r="E23" i="15"/>
  <c r="Z23" i="15"/>
  <c r="AD23" i="15"/>
  <c r="AL23" i="15"/>
  <c r="AP23" i="15"/>
  <c r="AA23" i="15"/>
  <c r="U23" i="15"/>
  <c r="AJ23" i="15"/>
  <c r="N23" i="15"/>
  <c r="R23" i="15"/>
  <c r="AS23" i="15"/>
  <c r="AM23" i="15"/>
  <c r="X23" i="15"/>
  <c r="AG23" i="15"/>
  <c r="AV23" i="15"/>
  <c r="O23" i="15"/>
  <c r="I23" i="15"/>
  <c r="AN23" i="15"/>
  <c r="AK23" i="15"/>
  <c r="H23" i="15"/>
  <c r="V23" i="15"/>
  <c r="AE23" i="15"/>
  <c r="Y23" i="15"/>
  <c r="AF23" i="15"/>
  <c r="S23" i="15"/>
  <c r="M23" i="15"/>
  <c r="T23" i="15"/>
  <c r="G23" i="15"/>
  <c r="AU23" i="15"/>
  <c r="AR23" i="15"/>
  <c r="AO23" i="15"/>
  <c r="AI23" i="15"/>
  <c r="J23" i="15"/>
  <c r="AW23" i="15"/>
  <c r="P23" i="15"/>
  <c r="AQ23" i="15"/>
  <c r="AC23" i="15"/>
  <c r="W23" i="15"/>
  <c r="F23" i="15"/>
  <c r="Q23" i="15"/>
  <c r="K23" i="15"/>
  <c r="AH23" i="15"/>
  <c r="AB22" i="15"/>
  <c r="AA22" i="15"/>
  <c r="U22" i="15"/>
  <c r="AJ22" i="15"/>
  <c r="AN22" i="15"/>
  <c r="AT22" i="15"/>
  <c r="N22" i="15"/>
  <c r="H22" i="15"/>
  <c r="AQ22" i="15"/>
  <c r="O22" i="15"/>
  <c r="I22" i="15"/>
  <c r="AW22" i="15"/>
  <c r="AK22" i="15"/>
  <c r="AL22" i="15"/>
  <c r="AE22" i="15"/>
  <c r="Y22" i="15"/>
  <c r="S22" i="15"/>
  <c r="M22" i="15"/>
  <c r="AD22" i="15"/>
  <c r="AR22" i="15"/>
  <c r="Z22" i="15"/>
  <c r="G22" i="15"/>
  <c r="AU22" i="15"/>
  <c r="R22" i="15"/>
  <c r="AO22" i="15"/>
  <c r="AI22" i="15"/>
  <c r="AP22" i="15"/>
  <c r="AC22" i="15"/>
  <c r="W22" i="15"/>
  <c r="Q22" i="15"/>
  <c r="K22" i="15"/>
  <c r="AF22" i="15"/>
  <c r="T22" i="15"/>
  <c r="F22" i="15"/>
  <c r="E22" i="15"/>
  <c r="AS22" i="15"/>
  <c r="J22" i="15"/>
  <c r="X22" i="15"/>
  <c r="AM22" i="15"/>
  <c r="AG22" i="15"/>
  <c r="AH22" i="15"/>
  <c r="L22" i="15"/>
  <c r="P22" i="15"/>
  <c r="V22" i="15"/>
  <c r="AV22" i="15"/>
  <c r="AV7" i="11"/>
  <c r="T7" i="11"/>
  <c r="AR7" i="11"/>
  <c r="H7" i="11"/>
  <c r="L7" i="11"/>
  <c r="X88" i="11"/>
  <c r="AH14" i="11"/>
  <c r="AL14" i="11"/>
  <c r="AN14" i="11"/>
  <c r="AI14" i="11"/>
  <c r="H14" i="11"/>
  <c r="L14" i="11"/>
  <c r="H85" i="11"/>
  <c r="N14" i="11"/>
  <c r="J85" i="11"/>
  <c r="W14" i="11"/>
  <c r="AU14" i="11"/>
  <c r="AF85" i="11"/>
  <c r="Z89" i="11"/>
  <c r="F14" i="11"/>
  <c r="AV14" i="11"/>
  <c r="AH85" i="11"/>
  <c r="AA89" i="11"/>
  <c r="J86" i="11"/>
  <c r="L86" i="11"/>
  <c r="AJ81" i="11"/>
  <c r="V7" i="11"/>
  <c r="R14" i="11"/>
  <c r="L82" i="11"/>
  <c r="AL86" i="11"/>
  <c r="W7" i="11"/>
  <c r="T14" i="11"/>
  <c r="AD82" i="11"/>
  <c r="AR86" i="11"/>
  <c r="N88" i="11"/>
  <c r="AV8" i="11"/>
  <c r="X87" i="11"/>
  <c r="AW8" i="11"/>
  <c r="J8" i="11"/>
  <c r="P14" i="11"/>
  <c r="AR14" i="11"/>
  <c r="AF82" i="11"/>
  <c r="L85" i="11"/>
  <c r="AJ85" i="11"/>
  <c r="N86" i="11"/>
  <c r="AS86" i="11"/>
  <c r="AH87" i="11"/>
  <c r="Y88" i="11"/>
  <c r="AL89" i="11"/>
  <c r="N85" i="11"/>
  <c r="AL85" i="11"/>
  <c r="T86" i="11"/>
  <c r="AT86" i="11"/>
  <c r="AI87" i="11"/>
  <c r="Z88" i="11"/>
  <c r="AM89" i="11"/>
  <c r="X7" i="11"/>
  <c r="M8" i="11"/>
  <c r="U13" i="11"/>
  <c r="R85" i="11"/>
  <c r="AP85" i="11"/>
  <c r="U86" i="11"/>
  <c r="AV86" i="11"/>
  <c r="AJ87" i="11"/>
  <c r="AJ88" i="11"/>
  <c r="AL87" i="11"/>
  <c r="AK88" i="11"/>
  <c r="T84" i="11"/>
  <c r="S85" i="11"/>
  <c r="AQ85" i="11"/>
  <c r="AH7" i="11"/>
  <c r="X8" i="11"/>
  <c r="AP13" i="11"/>
  <c r="Z14" i="11"/>
  <c r="N81" i="11"/>
  <c r="V84" i="11"/>
  <c r="T85" i="11"/>
  <c r="AR85" i="11"/>
  <c r="X86" i="11"/>
  <c r="J87" i="11"/>
  <c r="AT87" i="11"/>
  <c r="AL88" i="11"/>
  <c r="L8" i="11"/>
  <c r="AF7" i="11"/>
  <c r="V8" i="11"/>
  <c r="V13" i="11"/>
  <c r="V86" i="11"/>
  <c r="AI7" i="11"/>
  <c r="Y8" i="11"/>
  <c r="AB14" i="11"/>
  <c r="P81" i="11"/>
  <c r="AO84" i="11"/>
  <c r="V85" i="11"/>
  <c r="AT85" i="11"/>
  <c r="Z86" i="11"/>
  <c r="K87" i="11"/>
  <c r="AU87" i="11"/>
  <c r="AV88" i="11"/>
  <c r="Z87" i="11"/>
  <c r="AJ7" i="11"/>
  <c r="AH8" i="11"/>
  <c r="AF14" i="11"/>
  <c r="AI81" i="11"/>
  <c r="X85" i="11"/>
  <c r="AV85" i="11"/>
  <c r="AF86" i="11"/>
  <c r="L87" i="11"/>
  <c r="AV87" i="11"/>
  <c r="AW88" i="11"/>
  <c r="AJ8" i="11"/>
  <c r="AG86" i="11"/>
  <c r="N87" i="11"/>
  <c r="Z85" i="11"/>
  <c r="F85" i="11"/>
  <c r="AD85" i="11"/>
  <c r="H86" i="11"/>
  <c r="AH86" i="11"/>
  <c r="V87" i="11"/>
  <c r="L88" i="11"/>
  <c r="N89" i="11"/>
  <c r="J7" i="11"/>
  <c r="AT7" i="11"/>
  <c r="AK8" i="11"/>
  <c r="K7" i="11"/>
  <c r="AU7" i="11"/>
  <c r="AT8" i="11"/>
  <c r="K14" i="11"/>
  <c r="AJ14" i="11"/>
  <c r="J82" i="11"/>
  <c r="G85" i="11"/>
  <c r="AE85" i="11"/>
  <c r="I86" i="11"/>
  <c r="AJ86" i="11"/>
  <c r="W87" i="11"/>
  <c r="M88" i="11"/>
  <c r="O89" i="11"/>
  <c r="AH53" i="12"/>
  <c r="AF13" i="12"/>
  <c r="R14" i="12"/>
  <c r="AR53" i="12"/>
  <c r="AR48" i="12"/>
  <c r="AK13" i="12"/>
  <c r="X14" i="12"/>
  <c r="AF50" i="12"/>
  <c r="N54" i="12"/>
  <c r="V54" i="12"/>
  <c r="AN13" i="12"/>
  <c r="AL14" i="12"/>
  <c r="E51" i="12"/>
  <c r="Z54" i="12"/>
  <c r="L53" i="12"/>
  <c r="L13" i="12"/>
  <c r="AR14" i="12"/>
  <c r="F52" i="12"/>
  <c r="X55" i="12"/>
  <c r="V48" i="12"/>
  <c r="H53" i="12"/>
  <c r="AD52" i="12"/>
  <c r="AF8" i="12"/>
  <c r="J10" i="12"/>
  <c r="AJ10" i="12"/>
  <c r="N49" i="12"/>
  <c r="AH50" i="12"/>
  <c r="G52" i="12"/>
  <c r="AE52" i="12"/>
  <c r="I53" i="12"/>
  <c r="AJ53" i="12"/>
  <c r="W54" i="12"/>
  <c r="M55" i="12"/>
  <c r="P49" i="12"/>
  <c r="H52" i="12"/>
  <c r="AF52" i="12"/>
  <c r="J53" i="12"/>
  <c r="AL53" i="12"/>
  <c r="X54" i="12"/>
  <c r="N55" i="12"/>
  <c r="R49" i="12"/>
  <c r="AJ49" i="12"/>
  <c r="F51" i="12"/>
  <c r="L52" i="12"/>
  <c r="AJ52" i="12"/>
  <c r="N53" i="12"/>
  <c r="AS53" i="12"/>
  <c r="AH54" i="12"/>
  <c r="Y55" i="12"/>
  <c r="AT10" i="12"/>
  <c r="F8" i="12"/>
  <c r="T10" i="12"/>
  <c r="AV10" i="12"/>
  <c r="T13" i="12"/>
  <c r="AR13" i="12"/>
  <c r="AK49" i="12"/>
  <c r="H51" i="12"/>
  <c r="N52" i="12"/>
  <c r="AL52" i="12"/>
  <c r="T53" i="12"/>
  <c r="AT53" i="12"/>
  <c r="AI54" i="12"/>
  <c r="Z55" i="12"/>
  <c r="H10" i="12"/>
  <c r="AH52" i="12"/>
  <c r="M10" i="12"/>
  <c r="G8" i="12"/>
  <c r="V10" i="12"/>
  <c r="V13" i="12"/>
  <c r="AV13" i="12"/>
  <c r="AA14" i="12"/>
  <c r="T48" i="12"/>
  <c r="AL49" i="12"/>
  <c r="Z51" i="12"/>
  <c r="R52" i="12"/>
  <c r="AP52" i="12"/>
  <c r="U53" i="12"/>
  <c r="AV53" i="12"/>
  <c r="AJ54" i="12"/>
  <c r="AJ55" i="12"/>
  <c r="AI10" i="12"/>
  <c r="AK10" i="12"/>
  <c r="S52" i="12"/>
  <c r="AQ52" i="12"/>
  <c r="V53" i="12"/>
  <c r="AL54" i="12"/>
  <c r="AK55" i="12"/>
  <c r="R8" i="12"/>
  <c r="X10" i="12"/>
  <c r="Z13" i="12"/>
  <c r="AF14" i="12"/>
  <c r="W48" i="12"/>
  <c r="J50" i="12"/>
  <c r="AC51" i="12"/>
  <c r="T52" i="12"/>
  <c r="AR52" i="12"/>
  <c r="X53" i="12"/>
  <c r="J54" i="12"/>
  <c r="AT54" i="12"/>
  <c r="AL55" i="12"/>
  <c r="K10" i="12"/>
  <c r="AQ8" i="12"/>
  <c r="L10" i="12"/>
  <c r="AR10" i="12"/>
  <c r="J52" i="12"/>
  <c r="H8" i="12"/>
  <c r="W10" i="12"/>
  <c r="S8" i="12"/>
  <c r="Y10" i="12"/>
  <c r="AB13" i="12"/>
  <c r="F14" i="12"/>
  <c r="AH14" i="12"/>
  <c r="AN48" i="12"/>
  <c r="L50" i="12"/>
  <c r="AT51" i="12"/>
  <c r="V52" i="12"/>
  <c r="AT52" i="12"/>
  <c r="Z53" i="12"/>
  <c r="K54" i="12"/>
  <c r="AU54" i="12"/>
  <c r="AV55" i="12"/>
  <c r="T8" i="12"/>
  <c r="AF10" i="12"/>
  <c r="F13" i="12"/>
  <c r="H14" i="12"/>
  <c r="AJ14" i="12"/>
  <c r="N50" i="12"/>
  <c r="AV51" i="12"/>
  <c r="X52" i="12"/>
  <c r="AV52" i="12"/>
  <c r="AF53" i="12"/>
  <c r="L54" i="12"/>
  <c r="AV54" i="12"/>
  <c r="AW55" i="12"/>
  <c r="AH10" i="12"/>
  <c r="Z52" i="12"/>
  <c r="AG53" i="12"/>
  <c r="AW56" i="12"/>
  <c r="AK56" i="12"/>
  <c r="Y56" i="12"/>
  <c r="M56" i="12"/>
  <c r="AV56" i="12"/>
  <c r="AJ56" i="12"/>
  <c r="X56" i="12"/>
  <c r="L56" i="12"/>
  <c r="AU56" i="12"/>
  <c r="AI56" i="12"/>
  <c r="W56" i="12"/>
  <c r="K56" i="12"/>
  <c r="AT56" i="12"/>
  <c r="AH56" i="12"/>
  <c r="V56" i="12"/>
  <c r="J56" i="12"/>
  <c r="AS56" i="12"/>
  <c r="AG56" i="12"/>
  <c r="U56" i="12"/>
  <c r="I56" i="12"/>
  <c r="AR56" i="12"/>
  <c r="AF56" i="12"/>
  <c r="T56" i="12"/>
  <c r="H56" i="12"/>
  <c r="AQ56" i="12"/>
  <c r="AE56" i="12"/>
  <c r="S56" i="12"/>
  <c r="G56" i="12"/>
  <c r="AP56" i="12"/>
  <c r="AD56" i="12"/>
  <c r="R56" i="12"/>
  <c r="F56" i="12"/>
  <c r="AO56" i="12"/>
  <c r="AC56" i="12"/>
  <c r="Q56" i="12"/>
  <c r="E56" i="12"/>
  <c r="H7" i="12"/>
  <c r="T7" i="12"/>
  <c r="AF7" i="12"/>
  <c r="AR7" i="12"/>
  <c r="J8" i="12"/>
  <c r="V8" i="12"/>
  <c r="AH8" i="12"/>
  <c r="AT8" i="12"/>
  <c r="N10" i="12"/>
  <c r="Z10" i="12"/>
  <c r="AL10" i="12"/>
  <c r="AS48" i="12"/>
  <c r="AG48" i="12"/>
  <c r="U48" i="12"/>
  <c r="I48" i="12"/>
  <c r="AQ48" i="12"/>
  <c r="AE48" i="12"/>
  <c r="S48" i="12"/>
  <c r="G48" i="12"/>
  <c r="AO48" i="12"/>
  <c r="AC48" i="12"/>
  <c r="Q48" i="12"/>
  <c r="E48" i="12"/>
  <c r="AM48" i="12"/>
  <c r="AA48" i="12"/>
  <c r="O48" i="12"/>
  <c r="AW48" i="12"/>
  <c r="AK48" i="12"/>
  <c r="Y48" i="12"/>
  <c r="M48" i="12"/>
  <c r="X48" i="12"/>
  <c r="AT48" i="12"/>
  <c r="T49" i="12"/>
  <c r="AN49" i="12"/>
  <c r="O50" i="12"/>
  <c r="AJ50" i="12"/>
  <c r="J51" i="12"/>
  <c r="AD51" i="12"/>
  <c r="N56" i="12"/>
  <c r="I7" i="12"/>
  <c r="U7" i="12"/>
  <c r="AG7" i="12"/>
  <c r="AS7" i="12"/>
  <c r="K8" i="12"/>
  <c r="W8" i="12"/>
  <c r="AI8" i="12"/>
  <c r="AU8" i="12"/>
  <c r="O10" i="12"/>
  <c r="AA10" i="12"/>
  <c r="AU13" i="12"/>
  <c r="AI13" i="12"/>
  <c r="W13" i="12"/>
  <c r="K13" i="12"/>
  <c r="AS13" i="12"/>
  <c r="AG13" i="12"/>
  <c r="U13" i="12"/>
  <c r="I13" i="12"/>
  <c r="AQ13" i="12"/>
  <c r="AE13" i="12"/>
  <c r="S13" i="12"/>
  <c r="G13" i="12"/>
  <c r="AO13" i="12"/>
  <c r="AC13" i="12"/>
  <c r="Q13" i="12"/>
  <c r="E13" i="12"/>
  <c r="AM13" i="12"/>
  <c r="AA13" i="12"/>
  <c r="O13" i="12"/>
  <c r="Y13" i="12"/>
  <c r="AT13" i="12"/>
  <c r="T14" i="12"/>
  <c r="F48" i="12"/>
  <c r="Z48" i="12"/>
  <c r="AU48" i="12"/>
  <c r="V49" i="12"/>
  <c r="AP49" i="12"/>
  <c r="P50" i="12"/>
  <c r="AL50" i="12"/>
  <c r="L51" i="12"/>
  <c r="AF51" i="12"/>
  <c r="O56" i="12"/>
  <c r="F7" i="12"/>
  <c r="S7" i="12"/>
  <c r="AQ7" i="12"/>
  <c r="I8" i="12"/>
  <c r="AG8" i="12"/>
  <c r="J7" i="12"/>
  <c r="V7" i="12"/>
  <c r="AH7" i="12"/>
  <c r="AT7" i="12"/>
  <c r="L8" i="12"/>
  <c r="X8" i="12"/>
  <c r="AJ8" i="12"/>
  <c r="AV8" i="12"/>
  <c r="AW10" i="12"/>
  <c r="AU10" i="12"/>
  <c r="P10" i="12"/>
  <c r="AB10" i="12"/>
  <c r="AN10" i="12"/>
  <c r="H48" i="12"/>
  <c r="AB48" i="12"/>
  <c r="AV48" i="12"/>
  <c r="X49" i="12"/>
  <c r="R50" i="12"/>
  <c r="AM50" i="12"/>
  <c r="N51" i="12"/>
  <c r="AH51" i="12"/>
  <c r="P56" i="12"/>
  <c r="P7" i="12"/>
  <c r="E7" i="12"/>
  <c r="Q7" i="12"/>
  <c r="AC7" i="12"/>
  <c r="AO7" i="12"/>
  <c r="AD7" i="12"/>
  <c r="G7" i="12"/>
  <c r="U8" i="12"/>
  <c r="K7" i="12"/>
  <c r="W7" i="12"/>
  <c r="AI7" i="12"/>
  <c r="AU7" i="12"/>
  <c r="M8" i="12"/>
  <c r="Y8" i="12"/>
  <c r="AK8" i="12"/>
  <c r="AW8" i="12"/>
  <c r="E10" i="12"/>
  <c r="Q10" i="12"/>
  <c r="AC10" i="12"/>
  <c r="AO10" i="12"/>
  <c r="J48" i="12"/>
  <c r="AD48" i="12"/>
  <c r="AU49" i="12"/>
  <c r="AI49" i="12"/>
  <c r="W49" i="12"/>
  <c r="K49" i="12"/>
  <c r="AS49" i="12"/>
  <c r="AG49" i="12"/>
  <c r="U49" i="12"/>
  <c r="I49" i="12"/>
  <c r="AQ49" i="12"/>
  <c r="AE49" i="12"/>
  <c r="S49" i="12"/>
  <c r="G49" i="12"/>
  <c r="AO49" i="12"/>
  <c r="AC49" i="12"/>
  <c r="Q49" i="12"/>
  <c r="E49" i="12"/>
  <c r="AM49" i="12"/>
  <c r="AA49" i="12"/>
  <c r="O49" i="12"/>
  <c r="Y49" i="12"/>
  <c r="AT49" i="12"/>
  <c r="T50" i="12"/>
  <c r="AN50" i="12"/>
  <c r="P51" i="12"/>
  <c r="AJ51" i="12"/>
  <c r="Z56" i="12"/>
  <c r="L7" i="12"/>
  <c r="X7" i="12"/>
  <c r="AJ7" i="12"/>
  <c r="AV7" i="12"/>
  <c r="N8" i="12"/>
  <c r="Z8" i="12"/>
  <c r="AL8" i="12"/>
  <c r="F10" i="12"/>
  <c r="R10" i="12"/>
  <c r="AD10" i="12"/>
  <c r="AP10" i="12"/>
  <c r="AW14" i="12"/>
  <c r="AK14" i="12"/>
  <c r="Y14" i="12"/>
  <c r="M14" i="12"/>
  <c r="AU14" i="12"/>
  <c r="AI14" i="12"/>
  <c r="W14" i="12"/>
  <c r="K14" i="12"/>
  <c r="AS14" i="12"/>
  <c r="AG14" i="12"/>
  <c r="U14" i="12"/>
  <c r="I14" i="12"/>
  <c r="AQ14" i="12"/>
  <c r="AE14" i="12"/>
  <c r="S14" i="12"/>
  <c r="G14" i="12"/>
  <c r="AO14" i="12"/>
  <c r="AC14" i="12"/>
  <c r="Q14" i="12"/>
  <c r="E14" i="12"/>
  <c r="Z14" i="12"/>
  <c r="AT14" i="12"/>
  <c r="K48" i="12"/>
  <c r="AF48" i="12"/>
  <c r="F49" i="12"/>
  <c r="Z49" i="12"/>
  <c r="AV49" i="12"/>
  <c r="V50" i="12"/>
  <c r="AP50" i="12"/>
  <c r="Q51" i="12"/>
  <c r="AL51" i="12"/>
  <c r="AA56" i="12"/>
  <c r="AB7" i="12"/>
  <c r="AN7" i="12"/>
  <c r="AE7" i="12"/>
  <c r="AS8" i="12"/>
  <c r="M7" i="12"/>
  <c r="Y7" i="12"/>
  <c r="AK7" i="12"/>
  <c r="AW7" i="12"/>
  <c r="O8" i="12"/>
  <c r="AA8" i="12"/>
  <c r="AM8" i="12"/>
  <c r="G10" i="12"/>
  <c r="S10" i="12"/>
  <c r="AE10" i="12"/>
  <c r="AQ10" i="12"/>
  <c r="L48" i="12"/>
  <c r="AH48" i="12"/>
  <c r="H49" i="12"/>
  <c r="AB49" i="12"/>
  <c r="AW49" i="12"/>
  <c r="X50" i="12"/>
  <c r="R51" i="12"/>
  <c r="AN51" i="12"/>
  <c r="AB56" i="12"/>
  <c r="R7" i="12"/>
  <c r="AP7" i="12"/>
  <c r="AR8" i="12"/>
  <c r="N7" i="12"/>
  <c r="Z7" i="12"/>
  <c r="AL7" i="12"/>
  <c r="N48" i="12"/>
  <c r="AI48" i="12"/>
  <c r="J49" i="12"/>
  <c r="AD49" i="12"/>
  <c r="AW50" i="12"/>
  <c r="AK50" i="12"/>
  <c r="Y50" i="12"/>
  <c r="M50" i="12"/>
  <c r="AU50" i="12"/>
  <c r="AI50" i="12"/>
  <c r="W50" i="12"/>
  <c r="K50" i="12"/>
  <c r="AS50" i="12"/>
  <c r="AG50" i="12"/>
  <c r="U50" i="12"/>
  <c r="I50" i="12"/>
  <c r="AQ50" i="12"/>
  <c r="AE50" i="12"/>
  <c r="S50" i="12"/>
  <c r="G50" i="12"/>
  <c r="AO50" i="12"/>
  <c r="AC50" i="12"/>
  <c r="Q50" i="12"/>
  <c r="E50" i="12"/>
  <c r="Z50" i="12"/>
  <c r="AT50" i="12"/>
  <c r="T51" i="12"/>
  <c r="AO51" i="12"/>
  <c r="AL56" i="12"/>
  <c r="P8" i="12"/>
  <c r="AB8" i="12"/>
  <c r="AN8" i="12"/>
  <c r="O7" i="12"/>
  <c r="AA7" i="12"/>
  <c r="E8" i="12"/>
  <c r="Q8" i="12"/>
  <c r="AC8" i="12"/>
  <c r="I10" i="12"/>
  <c r="U10" i="12"/>
  <c r="AG10" i="12"/>
  <c r="AS10" i="12"/>
  <c r="N13" i="12"/>
  <c r="AJ13" i="12"/>
  <c r="J14" i="12"/>
  <c r="AD14" i="12"/>
  <c r="P48" i="12"/>
  <c r="AJ48" i="12"/>
  <c r="L49" i="12"/>
  <c r="AF49" i="12"/>
  <c r="F50" i="12"/>
  <c r="AA50" i="12"/>
  <c r="AV50" i="12"/>
  <c r="V51" i="12"/>
  <c r="AM56" i="12"/>
  <c r="R48" i="12"/>
  <c r="AL48" i="12"/>
  <c r="M49" i="12"/>
  <c r="AH49" i="12"/>
  <c r="H50" i="12"/>
  <c r="AB50" i="12"/>
  <c r="AM51" i="12"/>
  <c r="AA51" i="12"/>
  <c r="O51" i="12"/>
  <c r="AW51" i="12"/>
  <c r="AK51" i="12"/>
  <c r="Y51" i="12"/>
  <c r="M51" i="12"/>
  <c r="AU51" i="12"/>
  <c r="AI51" i="12"/>
  <c r="W51" i="12"/>
  <c r="K51" i="12"/>
  <c r="AS51" i="12"/>
  <c r="AG51" i="12"/>
  <c r="U51" i="12"/>
  <c r="I51" i="12"/>
  <c r="AQ51" i="12"/>
  <c r="AE51" i="12"/>
  <c r="S51" i="12"/>
  <c r="G51" i="12"/>
  <c r="X51" i="12"/>
  <c r="AR51" i="12"/>
  <c r="AN56" i="12"/>
  <c r="I52" i="12"/>
  <c r="U52" i="12"/>
  <c r="AG52" i="12"/>
  <c r="AS52" i="12"/>
  <c r="K53" i="12"/>
  <c r="W53" i="12"/>
  <c r="AI53" i="12"/>
  <c r="AU53" i="12"/>
  <c r="M54" i="12"/>
  <c r="Y54" i="12"/>
  <c r="AK54" i="12"/>
  <c r="AW54" i="12"/>
  <c r="O55" i="12"/>
  <c r="AA55" i="12"/>
  <c r="AM55" i="12"/>
  <c r="P55" i="12"/>
  <c r="AB55" i="12"/>
  <c r="AN55" i="12"/>
  <c r="K52" i="12"/>
  <c r="W52" i="12"/>
  <c r="AI52" i="12"/>
  <c r="AU52" i="12"/>
  <c r="M53" i="12"/>
  <c r="Y53" i="12"/>
  <c r="AK53" i="12"/>
  <c r="AW53" i="12"/>
  <c r="O54" i="12"/>
  <c r="AA54" i="12"/>
  <c r="AM54" i="12"/>
  <c r="E55" i="12"/>
  <c r="Q55" i="12"/>
  <c r="AC55" i="12"/>
  <c r="AO55" i="12"/>
  <c r="P54" i="12"/>
  <c r="AB54" i="12"/>
  <c r="AN54" i="12"/>
  <c r="F55" i="12"/>
  <c r="R55" i="12"/>
  <c r="AD55" i="12"/>
  <c r="AP55" i="12"/>
  <c r="M52" i="12"/>
  <c r="Y52" i="12"/>
  <c r="AK52" i="12"/>
  <c r="AW52" i="12"/>
  <c r="O53" i="12"/>
  <c r="AA53" i="12"/>
  <c r="AM53" i="12"/>
  <c r="E54" i="12"/>
  <c r="Q54" i="12"/>
  <c r="AC54" i="12"/>
  <c r="AO54" i="12"/>
  <c r="G55" i="12"/>
  <c r="S55" i="12"/>
  <c r="AE55" i="12"/>
  <c r="AQ55" i="12"/>
  <c r="P53" i="12"/>
  <c r="AB53" i="12"/>
  <c r="AN53" i="12"/>
  <c r="F54" i="12"/>
  <c r="R54" i="12"/>
  <c r="AD54" i="12"/>
  <c r="AP54" i="12"/>
  <c r="H55" i="12"/>
  <c r="T55" i="12"/>
  <c r="AF55" i="12"/>
  <c r="AR55" i="12"/>
  <c r="O52" i="12"/>
  <c r="AA52" i="12"/>
  <c r="AM52" i="12"/>
  <c r="E53" i="12"/>
  <c r="Q53" i="12"/>
  <c r="AC53" i="12"/>
  <c r="AO53" i="12"/>
  <c r="G54" i="12"/>
  <c r="S54" i="12"/>
  <c r="AE54" i="12"/>
  <c r="AQ54" i="12"/>
  <c r="I55" i="12"/>
  <c r="U55" i="12"/>
  <c r="AG55" i="12"/>
  <c r="AS55" i="12"/>
  <c r="P52" i="12"/>
  <c r="AB52" i="12"/>
  <c r="AN52" i="12"/>
  <c r="F53" i="12"/>
  <c r="R53" i="12"/>
  <c r="AD53" i="12"/>
  <c r="AP53" i="12"/>
  <c r="H54" i="12"/>
  <c r="T54" i="12"/>
  <c r="AF54" i="12"/>
  <c r="AR54" i="12"/>
  <c r="J55" i="12"/>
  <c r="V55" i="12"/>
  <c r="AH55" i="12"/>
  <c r="AT55" i="12"/>
  <c r="E52" i="12"/>
  <c r="Q52" i="12"/>
  <c r="AC52" i="12"/>
  <c r="G53" i="12"/>
  <c r="S53" i="12"/>
  <c r="AE53" i="12"/>
  <c r="I54" i="12"/>
  <c r="U54" i="12"/>
  <c r="AG54" i="12"/>
  <c r="K55" i="12"/>
  <c r="W55" i="12"/>
  <c r="AI55" i="12"/>
  <c r="R81" i="11"/>
  <c r="AL81" i="11"/>
  <c r="M82" i="11"/>
  <c r="AH82" i="11"/>
  <c r="H83" i="11"/>
  <c r="AB83" i="11"/>
  <c r="AM84" i="11"/>
  <c r="AA84" i="11"/>
  <c r="O84" i="11"/>
  <c r="AW84" i="11"/>
  <c r="AK84" i="11"/>
  <c r="Y84" i="11"/>
  <c r="M84" i="11"/>
  <c r="AU84" i="11"/>
  <c r="AI84" i="11"/>
  <c r="W84" i="11"/>
  <c r="K84" i="11"/>
  <c r="AS84" i="11"/>
  <c r="AG84" i="11"/>
  <c r="U84" i="11"/>
  <c r="I84" i="11"/>
  <c r="AQ84" i="11"/>
  <c r="AE84" i="11"/>
  <c r="S84" i="11"/>
  <c r="G84" i="11"/>
  <c r="X84" i="11"/>
  <c r="AR84" i="11"/>
  <c r="AQ13" i="11"/>
  <c r="AE13" i="11"/>
  <c r="S13" i="11"/>
  <c r="G13" i="11"/>
  <c r="AO13" i="11"/>
  <c r="AC13" i="11"/>
  <c r="Q13" i="11"/>
  <c r="E13" i="11"/>
  <c r="AM13" i="11"/>
  <c r="AA13" i="11"/>
  <c r="O13" i="11"/>
  <c r="AW13" i="11"/>
  <c r="AK13" i="11"/>
  <c r="Y13" i="11"/>
  <c r="M13" i="11"/>
  <c r="AU13" i="11"/>
  <c r="AI13" i="11"/>
  <c r="W13" i="11"/>
  <c r="K13" i="11"/>
  <c r="X13" i="11"/>
  <c r="AS13" i="11"/>
  <c r="M7" i="11"/>
  <c r="Y7" i="11"/>
  <c r="AK7" i="11"/>
  <c r="AW7" i="11"/>
  <c r="O8" i="11"/>
  <c r="AA8" i="11"/>
  <c r="AM8" i="11"/>
  <c r="G10" i="11"/>
  <c r="S10" i="11"/>
  <c r="AE10" i="11"/>
  <c r="AQ10" i="11"/>
  <c r="F13" i="11"/>
  <c r="Z13" i="11"/>
  <c r="AT13" i="11"/>
  <c r="V14" i="11"/>
  <c r="T81" i="11"/>
  <c r="AN81" i="11"/>
  <c r="N82" i="11"/>
  <c r="AJ82" i="11"/>
  <c r="J83" i="11"/>
  <c r="AD83" i="11"/>
  <c r="E84" i="11"/>
  <c r="Z84" i="11"/>
  <c r="AT84" i="11"/>
  <c r="V81" i="11"/>
  <c r="AP81" i="11"/>
  <c r="P82" i="11"/>
  <c r="AK82" i="11"/>
  <c r="L83" i="11"/>
  <c r="AF83" i="11"/>
  <c r="F84" i="11"/>
  <c r="AB84" i="11"/>
  <c r="AV84" i="11"/>
  <c r="F83" i="11"/>
  <c r="P8" i="11"/>
  <c r="AB8" i="11"/>
  <c r="AN8" i="11"/>
  <c r="H10" i="11"/>
  <c r="T10" i="11"/>
  <c r="AF10" i="11"/>
  <c r="AR10" i="11"/>
  <c r="H13" i="11"/>
  <c r="AB13" i="11"/>
  <c r="AV13" i="11"/>
  <c r="O7" i="11"/>
  <c r="AA7" i="11"/>
  <c r="AM7" i="11"/>
  <c r="E8" i="11"/>
  <c r="Q8" i="11"/>
  <c r="AC8" i="11"/>
  <c r="AO8" i="11"/>
  <c r="I10" i="11"/>
  <c r="U10" i="11"/>
  <c r="AG10" i="11"/>
  <c r="AS10" i="11"/>
  <c r="I13" i="11"/>
  <c r="AD13" i="11"/>
  <c r="AS14" i="11"/>
  <c r="AG14" i="11"/>
  <c r="U14" i="11"/>
  <c r="I14" i="11"/>
  <c r="AQ14" i="11"/>
  <c r="AE14" i="11"/>
  <c r="S14" i="11"/>
  <c r="G14" i="11"/>
  <c r="AO14" i="11"/>
  <c r="AC14" i="11"/>
  <c r="Q14" i="11"/>
  <c r="E14" i="11"/>
  <c r="AM14" i="11"/>
  <c r="AA14" i="11"/>
  <c r="O14" i="11"/>
  <c r="AW14" i="11"/>
  <c r="AK14" i="11"/>
  <c r="Y14" i="11"/>
  <c r="M14" i="11"/>
  <c r="X14" i="11"/>
  <c r="AT14" i="11"/>
  <c r="W81" i="11"/>
  <c r="R82" i="11"/>
  <c r="AL82" i="11"/>
  <c r="N83" i="11"/>
  <c r="AH83" i="11"/>
  <c r="H84" i="11"/>
  <c r="AC84" i="11"/>
  <c r="P7" i="11"/>
  <c r="AB7" i="11"/>
  <c r="AN7" i="11"/>
  <c r="F8" i="11"/>
  <c r="R8" i="11"/>
  <c r="AD8" i="11"/>
  <c r="AP8" i="11"/>
  <c r="J10" i="11"/>
  <c r="V10" i="11"/>
  <c r="AH10" i="11"/>
  <c r="AT10" i="11"/>
  <c r="J13" i="11"/>
  <c r="AF13" i="11"/>
  <c r="AS81" i="11"/>
  <c r="AG81" i="11"/>
  <c r="U81" i="11"/>
  <c r="I81" i="11"/>
  <c r="AQ81" i="11"/>
  <c r="AE81" i="11"/>
  <c r="S81" i="11"/>
  <c r="G81" i="11"/>
  <c r="AO81" i="11"/>
  <c r="AC81" i="11"/>
  <c r="Q81" i="11"/>
  <c r="E81" i="11"/>
  <c r="AM81" i="11"/>
  <c r="AA81" i="11"/>
  <c r="O81" i="11"/>
  <c r="AW81" i="11"/>
  <c r="AK81" i="11"/>
  <c r="Y81" i="11"/>
  <c r="M81" i="11"/>
  <c r="X81" i="11"/>
  <c r="AT81" i="11"/>
  <c r="T82" i="11"/>
  <c r="AN82" i="11"/>
  <c r="O83" i="11"/>
  <c r="AJ83" i="11"/>
  <c r="J84" i="11"/>
  <c r="AD84" i="11"/>
  <c r="N8" i="11"/>
  <c r="AL8" i="11"/>
  <c r="R10" i="11"/>
  <c r="AD10" i="11"/>
  <c r="AL7" i="11"/>
  <c r="E7" i="11"/>
  <c r="Q7" i="11"/>
  <c r="AC7" i="11"/>
  <c r="AO7" i="11"/>
  <c r="G8" i="11"/>
  <c r="S8" i="11"/>
  <c r="AE8" i="11"/>
  <c r="AQ8" i="11"/>
  <c r="K10" i="11"/>
  <c r="W10" i="11"/>
  <c r="AI10" i="11"/>
  <c r="AU10" i="11"/>
  <c r="L13" i="11"/>
  <c r="AG13" i="11"/>
  <c r="F81" i="11"/>
  <c r="Z81" i="11"/>
  <c r="AU81" i="11"/>
  <c r="V82" i="11"/>
  <c r="AP82" i="11"/>
  <c r="P83" i="11"/>
  <c r="L84" i="11"/>
  <c r="AF84" i="11"/>
  <c r="AW83" i="11"/>
  <c r="AK83" i="11"/>
  <c r="Y83" i="11"/>
  <c r="M83" i="11"/>
  <c r="AU83" i="11"/>
  <c r="AI83" i="11"/>
  <c r="W83" i="11"/>
  <c r="K83" i="11"/>
  <c r="AS83" i="11"/>
  <c r="AG83" i="11"/>
  <c r="U83" i="11"/>
  <c r="I83" i="11"/>
  <c r="AQ83" i="11"/>
  <c r="AE83" i="11"/>
  <c r="S83" i="11"/>
  <c r="G83" i="11"/>
  <c r="AO83" i="11"/>
  <c r="AC83" i="11"/>
  <c r="Q83" i="11"/>
  <c r="E83" i="11"/>
  <c r="Q10" i="11"/>
  <c r="AC10" i="11"/>
  <c r="AO10" i="11"/>
  <c r="AA83" i="11"/>
  <c r="Z8" i="11"/>
  <c r="AP10" i="11"/>
  <c r="N7" i="11"/>
  <c r="F7" i="11"/>
  <c r="R7" i="11"/>
  <c r="AD7" i="11"/>
  <c r="AP7" i="11"/>
  <c r="H8" i="11"/>
  <c r="T8" i="11"/>
  <c r="AF8" i="11"/>
  <c r="AR8" i="11"/>
  <c r="L10" i="11"/>
  <c r="X10" i="11"/>
  <c r="AJ10" i="11"/>
  <c r="AV10" i="11"/>
  <c r="N13" i="11"/>
  <c r="AH13" i="11"/>
  <c r="J14" i="11"/>
  <c r="AD14" i="11"/>
  <c r="H81" i="11"/>
  <c r="AB81" i="11"/>
  <c r="AV81" i="11"/>
  <c r="X82" i="11"/>
  <c r="R83" i="11"/>
  <c r="AM83" i="11"/>
  <c r="N84" i="11"/>
  <c r="AH84" i="11"/>
  <c r="P10" i="11"/>
  <c r="AB10" i="11"/>
  <c r="AN10" i="11"/>
  <c r="F10" i="11"/>
  <c r="Z7" i="11"/>
  <c r="G7" i="11"/>
  <c r="S7" i="11"/>
  <c r="AE7" i="11"/>
  <c r="AQ7" i="11"/>
  <c r="I8" i="11"/>
  <c r="U8" i="11"/>
  <c r="AG8" i="11"/>
  <c r="AS8" i="11"/>
  <c r="M10" i="11"/>
  <c r="Y10" i="11"/>
  <c r="AK10" i="11"/>
  <c r="AW10" i="11"/>
  <c r="P13" i="11"/>
  <c r="AJ13" i="11"/>
  <c r="J81" i="11"/>
  <c r="AD81" i="11"/>
  <c r="AU82" i="11"/>
  <c r="AI82" i="11"/>
  <c r="W82" i="11"/>
  <c r="K82" i="11"/>
  <c r="AS82" i="11"/>
  <c r="AG82" i="11"/>
  <c r="U82" i="11"/>
  <c r="I82" i="11"/>
  <c r="AQ82" i="11"/>
  <c r="AE82" i="11"/>
  <c r="S82" i="11"/>
  <c r="G82" i="11"/>
  <c r="AO82" i="11"/>
  <c r="AC82" i="11"/>
  <c r="Q82" i="11"/>
  <c r="E82" i="11"/>
  <c r="AM82" i="11"/>
  <c r="AA82" i="11"/>
  <c r="O82" i="11"/>
  <c r="Y82" i="11"/>
  <c r="AT82" i="11"/>
  <c r="T83" i="11"/>
  <c r="AN83" i="11"/>
  <c r="P84" i="11"/>
  <c r="AJ84" i="11"/>
  <c r="Z83" i="11"/>
  <c r="AT83" i="11"/>
  <c r="E10" i="11"/>
  <c r="N10" i="11"/>
  <c r="Z10" i="11"/>
  <c r="AL10" i="11"/>
  <c r="K81" i="11"/>
  <c r="AF81" i="11"/>
  <c r="F82" i="11"/>
  <c r="Z82" i="11"/>
  <c r="AV82" i="11"/>
  <c r="V83" i="11"/>
  <c r="AP83" i="11"/>
  <c r="Q84" i="11"/>
  <c r="AL84" i="11"/>
  <c r="AV83" i="11"/>
  <c r="R13" i="11"/>
  <c r="AL13" i="11"/>
  <c r="I7" i="11"/>
  <c r="U7" i="11"/>
  <c r="AG7" i="11"/>
  <c r="K8" i="11"/>
  <c r="W8" i="11"/>
  <c r="AI8" i="11"/>
  <c r="O10" i="11"/>
  <c r="AA10" i="11"/>
  <c r="T13" i="11"/>
  <c r="AN13" i="11"/>
  <c r="L81" i="11"/>
  <c r="AH81" i="11"/>
  <c r="H82" i="11"/>
  <c r="AB82" i="11"/>
  <c r="AW82" i="11"/>
  <c r="X83" i="11"/>
  <c r="AR83" i="11"/>
  <c r="R84" i="11"/>
  <c r="AN84" i="11"/>
  <c r="P89" i="11"/>
  <c r="AB89" i="11"/>
  <c r="AN89" i="11"/>
  <c r="I85" i="11"/>
  <c r="U85" i="11"/>
  <c r="AG85" i="11"/>
  <c r="AS85" i="11"/>
  <c r="K86" i="11"/>
  <c r="W86" i="11"/>
  <c r="AI86" i="11"/>
  <c r="AU86" i="11"/>
  <c r="M87" i="11"/>
  <c r="Y87" i="11"/>
  <c r="AK87" i="11"/>
  <c r="AW87" i="11"/>
  <c r="O88" i="11"/>
  <c r="AA88" i="11"/>
  <c r="AM88" i="11"/>
  <c r="E89" i="11"/>
  <c r="Q89" i="11"/>
  <c r="AC89" i="11"/>
  <c r="AO89" i="11"/>
  <c r="P88" i="11"/>
  <c r="AB88" i="11"/>
  <c r="AN88" i="11"/>
  <c r="F89" i="11"/>
  <c r="R89" i="11"/>
  <c r="AD89" i="11"/>
  <c r="AP89" i="11"/>
  <c r="K85" i="11"/>
  <c r="W85" i="11"/>
  <c r="AI85" i="11"/>
  <c r="AU85" i="11"/>
  <c r="M86" i="11"/>
  <c r="Y86" i="11"/>
  <c r="AK86" i="11"/>
  <c r="AW86" i="11"/>
  <c r="O87" i="11"/>
  <c r="AA87" i="11"/>
  <c r="AM87" i="11"/>
  <c r="E88" i="11"/>
  <c r="Q88" i="11"/>
  <c r="AC88" i="11"/>
  <c r="AO88" i="11"/>
  <c r="G89" i="11"/>
  <c r="S89" i="11"/>
  <c r="AE89" i="11"/>
  <c r="AQ89" i="11"/>
  <c r="P87" i="11"/>
  <c r="AB87" i="11"/>
  <c r="AN87" i="11"/>
  <c r="F88" i="11"/>
  <c r="R88" i="11"/>
  <c r="AD88" i="11"/>
  <c r="AP88" i="11"/>
  <c r="H89" i="11"/>
  <c r="T89" i="11"/>
  <c r="AF89" i="11"/>
  <c r="AR89" i="11"/>
  <c r="M85" i="11"/>
  <c r="Y85" i="11"/>
  <c r="AK85" i="11"/>
  <c r="AW85" i="11"/>
  <c r="O86" i="11"/>
  <c r="AA86" i="11"/>
  <c r="AM86" i="11"/>
  <c r="E87" i="11"/>
  <c r="Q87" i="11"/>
  <c r="AC87" i="11"/>
  <c r="AO87" i="11"/>
  <c r="G88" i="11"/>
  <c r="S88" i="11"/>
  <c r="AE88" i="11"/>
  <c r="AQ88" i="11"/>
  <c r="I89" i="11"/>
  <c r="U89" i="11"/>
  <c r="AG89" i="11"/>
  <c r="AS89" i="11"/>
  <c r="P86" i="11"/>
  <c r="AB86" i="11"/>
  <c r="AN86" i="11"/>
  <c r="F87" i="11"/>
  <c r="R87" i="11"/>
  <c r="AD87" i="11"/>
  <c r="AP87" i="11"/>
  <c r="H88" i="11"/>
  <c r="T88" i="11"/>
  <c r="AF88" i="11"/>
  <c r="AR88" i="11"/>
  <c r="J89" i="11"/>
  <c r="V89" i="11"/>
  <c r="AH89" i="11"/>
  <c r="AT89" i="11"/>
  <c r="O85" i="11"/>
  <c r="AA85" i="11"/>
  <c r="AM85" i="11"/>
  <c r="E86" i="11"/>
  <c r="Q86" i="11"/>
  <c r="AC86" i="11"/>
  <c r="AO86" i="11"/>
  <c r="G87" i="11"/>
  <c r="S87" i="11"/>
  <c r="AE87" i="11"/>
  <c r="AQ87" i="11"/>
  <c r="I88" i="11"/>
  <c r="U88" i="11"/>
  <c r="AG88" i="11"/>
  <c r="AS88" i="11"/>
  <c r="K89" i="11"/>
  <c r="W89" i="11"/>
  <c r="AI89" i="11"/>
  <c r="AU89" i="11"/>
  <c r="P85" i="11"/>
  <c r="AB85" i="11"/>
  <c r="AN85" i="11"/>
  <c r="F86" i="11"/>
  <c r="R86" i="11"/>
  <c r="AD86" i="11"/>
  <c r="AP86" i="11"/>
  <c r="H87" i="11"/>
  <c r="T87" i="11"/>
  <c r="AF87" i="11"/>
  <c r="AR87" i="11"/>
  <c r="J88" i="11"/>
  <c r="V88" i="11"/>
  <c r="AH88" i="11"/>
  <c r="AT88" i="11"/>
  <c r="L89" i="11"/>
  <c r="X89" i="11"/>
  <c r="AJ89" i="11"/>
  <c r="AV89" i="11"/>
  <c r="E85" i="11"/>
  <c r="Q85" i="11"/>
  <c r="AC85" i="11"/>
  <c r="G86" i="11"/>
  <c r="S86" i="11"/>
  <c r="AE86" i="11"/>
  <c r="I87" i="11"/>
  <c r="U87" i="11"/>
  <c r="AG87" i="11"/>
  <c r="K88" i="11"/>
  <c r="W88" i="11"/>
  <c r="AI88" i="11"/>
  <c r="M89" i="11"/>
  <c r="Y89" i="11"/>
  <c r="AK89" i="11"/>
  <c r="F10" i="2" a="1"/>
  <c r="F10" i="2" s="1"/>
  <c r="AO10" i="2" l="1"/>
  <c r="AC10" i="2"/>
  <c r="Q10" i="2"/>
  <c r="AN10" i="2"/>
  <c r="AB10" i="2"/>
  <c r="P10" i="2"/>
  <c r="AM10" i="2"/>
  <c r="AA10" i="2"/>
  <c r="O10" i="2"/>
  <c r="AX10" i="2"/>
  <c r="AL10" i="2"/>
  <c r="Z10" i="2"/>
  <c r="N10" i="2"/>
  <c r="AW10" i="2"/>
  <c r="AK10" i="2"/>
  <c r="Y10" i="2"/>
  <c r="M10" i="2"/>
  <c r="AV10" i="2"/>
  <c r="AJ10" i="2"/>
  <c r="X10" i="2"/>
  <c r="L10" i="2"/>
  <c r="AU10" i="2"/>
  <c r="AI10" i="2"/>
  <c r="W10" i="2"/>
  <c r="K10" i="2"/>
  <c r="AT10" i="2"/>
  <c r="AH10" i="2"/>
  <c r="V10" i="2"/>
  <c r="J10" i="2"/>
  <c r="AS10" i="2"/>
  <c r="AG10" i="2"/>
  <c r="U10" i="2"/>
  <c r="I10" i="2"/>
  <c r="AR10" i="2"/>
  <c r="AF10" i="2"/>
  <c r="T10" i="2"/>
  <c r="H10" i="2"/>
  <c r="AQ10" i="2"/>
  <c r="AE10" i="2"/>
  <c r="S10" i="2"/>
  <c r="G10" i="2"/>
  <c r="AP10" i="2"/>
  <c r="AD10" i="2"/>
  <c r="R10" i="2"/>
  <c r="F7" i="2" a="1"/>
  <c r="F7" i="2" s="1"/>
  <c r="A19" i="3"/>
  <c r="A70" i="3" s="1"/>
  <c r="A20" i="3"/>
  <c r="A71" i="3" s="1"/>
  <c r="A21" i="3"/>
  <c r="A72" i="3" s="1"/>
  <c r="A22" i="3"/>
  <c r="A23" i="3"/>
  <c r="A24" i="3"/>
  <c r="A75" i="3" s="1"/>
  <c r="A25" i="3"/>
  <c r="A26" i="3"/>
  <c r="A77" i="3" s="1"/>
  <c r="A27" i="3"/>
  <c r="A78" i="3" s="1"/>
  <c r="A28" i="3"/>
  <c r="A79" i="3" s="1"/>
  <c r="A29" i="3"/>
  <c r="A80" i="3" s="1"/>
  <c r="A30" i="3"/>
  <c r="A81" i="3" s="1"/>
  <c r="A31" i="3"/>
  <c r="A82" i="3" s="1"/>
  <c r="A32" i="3"/>
  <c r="A83" i="3" s="1"/>
  <c r="A33" i="3"/>
  <c r="A84" i="3" s="1"/>
  <c r="A34" i="3"/>
  <c r="A35" i="3"/>
  <c r="A36" i="3"/>
  <c r="A37" i="3"/>
  <c r="A38" i="3"/>
  <c r="A39" i="3"/>
  <c r="A90" i="3" s="1"/>
  <c r="A40" i="3"/>
  <c r="A91" i="3" s="1"/>
  <c r="A41" i="3"/>
  <c r="A92" i="3" s="1"/>
  <c r="A42" i="3"/>
  <c r="A93" i="3" s="1"/>
  <c r="A43" i="3"/>
  <c r="A94" i="3" s="1"/>
  <c r="A44" i="3"/>
  <c r="A95" i="3" s="1"/>
  <c r="A45" i="3"/>
  <c r="A96" i="3" s="1"/>
  <c r="A46" i="3"/>
  <c r="A47" i="3"/>
  <c r="A48" i="3"/>
  <c r="A99" i="3" s="1"/>
  <c r="A49" i="3"/>
  <c r="A100" i="3" s="1"/>
  <c r="A50" i="3"/>
  <c r="A51" i="3"/>
  <c r="A52" i="3"/>
  <c r="A103" i="3" s="1"/>
  <c r="A53" i="3"/>
  <c r="A104" i="3" s="1"/>
  <c r="A54" i="3"/>
  <c r="A105" i="3" s="1"/>
  <c r="A55" i="3"/>
  <c r="A106" i="3" s="1"/>
  <c r="A56" i="3"/>
  <c r="A107" i="3" s="1"/>
  <c r="A57" i="3"/>
  <c r="A108" i="3" s="1"/>
  <c r="A58" i="3"/>
  <c r="A59" i="3"/>
  <c r="A60" i="3"/>
  <c r="A111" i="3" s="1"/>
  <c r="A61" i="3"/>
  <c r="A62" i="3"/>
  <c r="A72" i="6"/>
  <c r="A73" i="6"/>
  <c r="A27" i="6"/>
  <c r="A78" i="6" s="1"/>
  <c r="A28" i="6"/>
  <c r="A79" i="6" s="1"/>
  <c r="A29" i="6"/>
  <c r="A80" i="6" s="1"/>
  <c r="A30" i="6"/>
  <c r="A81" i="6" s="1"/>
  <c r="A31" i="6"/>
  <c r="A82" i="6" s="1"/>
  <c r="A32" i="6"/>
  <c r="A33" i="6"/>
  <c r="A34" i="6"/>
  <c r="A35" i="6"/>
  <c r="A86" i="6" s="1"/>
  <c r="A36" i="6"/>
  <c r="A37" i="6"/>
  <c r="A88" i="6" s="1"/>
  <c r="A38" i="6"/>
  <c r="A89" i="6" s="1"/>
  <c r="A39" i="6"/>
  <c r="A90" i="6" s="1"/>
  <c r="A40" i="6"/>
  <c r="A91" i="6" s="1"/>
  <c r="A41" i="6"/>
  <c r="A92" i="6" s="1"/>
  <c r="A42" i="6"/>
  <c r="A93" i="6" s="1"/>
  <c r="A43" i="6"/>
  <c r="A94" i="6" s="1"/>
  <c r="A44" i="6"/>
  <c r="A45" i="6"/>
  <c r="A46" i="6"/>
  <c r="A97" i="6" s="1"/>
  <c r="A47" i="6"/>
  <c r="A98" i="6" s="1"/>
  <c r="A48" i="6"/>
  <c r="A99" i="6" s="1"/>
  <c r="A49" i="6"/>
  <c r="A100" i="6" s="1"/>
  <c r="A50" i="6"/>
  <c r="A101" i="6" s="1"/>
  <c r="A51" i="6"/>
  <c r="A102" i="6" s="1"/>
  <c r="A52" i="6"/>
  <c r="A103" i="6" s="1"/>
  <c r="A53" i="6"/>
  <c r="A104" i="6" s="1"/>
  <c r="A54" i="6"/>
  <c r="A105" i="6" s="1"/>
  <c r="A55" i="6"/>
  <c r="A106" i="6" s="1"/>
  <c r="A56" i="6"/>
  <c r="A57" i="6"/>
  <c r="A58" i="6"/>
  <c r="A59" i="6"/>
  <c r="A110" i="6" s="1"/>
  <c r="A60" i="6"/>
  <c r="A61" i="6"/>
  <c r="A112" i="6" s="1"/>
  <c r="A62" i="6"/>
  <c r="A113" i="6" s="1"/>
  <c r="F62" i="2" a="1"/>
  <c r="AA62" i="2" s="1"/>
  <c r="F61" i="2" a="1"/>
  <c r="M61" i="2" s="1"/>
  <c r="F60" i="2" a="1"/>
  <c r="AA60" i="2" s="1"/>
  <c r="F59" i="2" a="1"/>
  <c r="Y59" i="2" s="1"/>
  <c r="F58" i="2" a="1"/>
  <c r="N58" i="2" s="1"/>
  <c r="F57" i="2" a="1"/>
  <c r="AF57" i="2" s="1"/>
  <c r="F56" i="2" a="1"/>
  <c r="Y56" i="2" s="1"/>
  <c r="F55" i="2" a="1"/>
  <c r="V55" i="2" s="1"/>
  <c r="F54" i="2" a="1"/>
  <c r="V54" i="2" s="1"/>
  <c r="F8" i="2" a="1"/>
  <c r="Y8" i="2" s="1"/>
  <c r="F14" i="2" a="1"/>
  <c r="AV14" i="2" s="1"/>
  <c r="F13" i="2" a="1"/>
  <c r="P13" i="2" s="1"/>
  <c r="AH56" i="2"/>
  <c r="J8" i="2"/>
  <c r="B13" i="5"/>
  <c r="B12" i="5"/>
  <c r="B11" i="5"/>
  <c r="B9" i="5"/>
  <c r="B8" i="5"/>
  <c r="B6" i="5"/>
  <c r="B5" i="5"/>
  <c r="B13" i="4"/>
  <c r="B12" i="4"/>
  <c r="B11" i="4"/>
  <c r="B10" i="4"/>
  <c r="B9" i="4"/>
  <c r="B8" i="4"/>
  <c r="B6" i="4"/>
  <c r="B5" i="4"/>
  <c r="B13" i="3"/>
  <c r="B12" i="3"/>
  <c r="B11" i="3"/>
  <c r="B10" i="3"/>
  <c r="B9" i="3"/>
  <c r="B6" i="3"/>
  <c r="B5" i="3"/>
  <c r="B6" i="6"/>
  <c r="B13" i="6"/>
  <c r="B12" i="6"/>
  <c r="B11" i="6"/>
  <c r="B10" i="6"/>
  <c r="B9" i="6"/>
  <c r="B8" i="6"/>
  <c r="E23" i="12" a="1"/>
  <c r="E22" i="12" a="1"/>
  <c r="E21" i="12" a="1"/>
  <c r="E20" i="12" a="1"/>
  <c r="E18" i="12" a="1"/>
  <c r="E17" i="12" a="1"/>
  <c r="A70" i="6"/>
  <c r="B70" i="6"/>
  <c r="A71" i="6"/>
  <c r="B71" i="6"/>
  <c r="B72" i="6"/>
  <c r="B73" i="6"/>
  <c r="A74" i="6"/>
  <c r="B74" i="6"/>
  <c r="A75" i="6"/>
  <c r="B75" i="6"/>
  <c r="A76" i="6"/>
  <c r="B76" i="6"/>
  <c r="A77" i="6"/>
  <c r="B77" i="6"/>
  <c r="B78" i="6"/>
  <c r="B79" i="6"/>
  <c r="B80" i="6"/>
  <c r="B81" i="6"/>
  <c r="B82" i="6"/>
  <c r="A83" i="6"/>
  <c r="B83" i="6"/>
  <c r="A84" i="6"/>
  <c r="B84" i="6"/>
  <c r="A85" i="6"/>
  <c r="B85" i="6"/>
  <c r="B86" i="6"/>
  <c r="A87" i="6"/>
  <c r="B87" i="6"/>
  <c r="B88" i="6"/>
  <c r="B89" i="6"/>
  <c r="B90" i="6"/>
  <c r="B91" i="6"/>
  <c r="B92" i="6"/>
  <c r="B93" i="6"/>
  <c r="B94" i="6"/>
  <c r="A95" i="6"/>
  <c r="B95" i="6"/>
  <c r="A96" i="6"/>
  <c r="B96" i="6"/>
  <c r="B97" i="6"/>
  <c r="B98" i="6"/>
  <c r="B99" i="6"/>
  <c r="B100" i="6"/>
  <c r="B101" i="6"/>
  <c r="B102" i="6"/>
  <c r="B103" i="6"/>
  <c r="B104" i="6"/>
  <c r="B105" i="6"/>
  <c r="B106" i="6"/>
  <c r="A107" i="6"/>
  <c r="B107" i="6"/>
  <c r="A108" i="6"/>
  <c r="B108" i="6"/>
  <c r="A109" i="6"/>
  <c r="B109" i="6"/>
  <c r="B110" i="6"/>
  <c r="A111" i="6"/>
  <c r="B111" i="6"/>
  <c r="B112" i="6"/>
  <c r="B113" i="6"/>
  <c r="B69" i="6"/>
  <c r="A69" i="6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18" i="5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B70" i="3"/>
  <c r="B71" i="3"/>
  <c r="B72" i="3"/>
  <c r="A73" i="3"/>
  <c r="B73" i="3"/>
  <c r="A74" i="3"/>
  <c r="B74" i="3"/>
  <c r="B75" i="3"/>
  <c r="A76" i="3"/>
  <c r="B76" i="3"/>
  <c r="B77" i="3"/>
  <c r="B78" i="3"/>
  <c r="B79" i="3"/>
  <c r="B80" i="3"/>
  <c r="B81" i="3"/>
  <c r="B82" i="3"/>
  <c r="B83" i="3"/>
  <c r="B84" i="3"/>
  <c r="A85" i="3"/>
  <c r="B85" i="3"/>
  <c r="A86" i="3"/>
  <c r="B86" i="3"/>
  <c r="A87" i="3"/>
  <c r="B87" i="3"/>
  <c r="A88" i="3"/>
  <c r="B88" i="3"/>
  <c r="A89" i="3"/>
  <c r="B89" i="3"/>
  <c r="B90" i="3"/>
  <c r="B91" i="3"/>
  <c r="B92" i="3"/>
  <c r="B93" i="3"/>
  <c r="B94" i="3"/>
  <c r="B95" i="3"/>
  <c r="B96" i="3"/>
  <c r="A97" i="3"/>
  <c r="B97" i="3"/>
  <c r="A98" i="3"/>
  <c r="B98" i="3"/>
  <c r="B99" i="3"/>
  <c r="B100" i="3"/>
  <c r="A101" i="3"/>
  <c r="B101" i="3"/>
  <c r="A102" i="3"/>
  <c r="B102" i="3"/>
  <c r="B103" i="3"/>
  <c r="B104" i="3"/>
  <c r="B105" i="3"/>
  <c r="B106" i="3"/>
  <c r="B107" i="3"/>
  <c r="B108" i="3"/>
  <c r="A109" i="3"/>
  <c r="B109" i="3"/>
  <c r="A110" i="3"/>
  <c r="B110" i="3"/>
  <c r="B111" i="3"/>
  <c r="A112" i="3"/>
  <c r="B112" i="3"/>
  <c r="A113" i="3"/>
  <c r="B113" i="3"/>
  <c r="B69" i="3"/>
  <c r="A69" i="3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B70" i="1"/>
  <c r="A70" i="1"/>
  <c r="F25" i="17" l="1" a="1"/>
  <c r="AU25" i="17" s="1"/>
  <c r="F16" i="17" a="1"/>
  <c r="F12" i="17" a="1"/>
  <c r="F9" i="17" a="1"/>
  <c r="F52" i="17" a="1"/>
  <c r="F6" i="17" a="1"/>
  <c r="E12" i="15" a="1"/>
  <c r="E16" i="15" a="1"/>
  <c r="Z16" i="15" s="1"/>
  <c r="E9" i="15" a="1"/>
  <c r="E68" i="15" a="1"/>
  <c r="E6" i="15" a="1"/>
  <c r="E25" i="15" a="1"/>
  <c r="E25" i="15" s="1"/>
  <c r="AF55" i="2"/>
  <c r="AV55" i="2"/>
  <c r="AP8" i="2"/>
  <c r="AA8" i="2"/>
  <c r="F25" i="2" a="1"/>
  <c r="AO8" i="2"/>
  <c r="AB8" i="2"/>
  <c r="W8" i="2"/>
  <c r="AI8" i="2"/>
  <c r="T55" i="2"/>
  <c r="H61" i="2"/>
  <c r="J61" i="2"/>
  <c r="AL8" i="2"/>
  <c r="T54" i="2"/>
  <c r="G8" i="2"/>
  <c r="S8" i="2"/>
  <c r="Q8" i="2"/>
  <c r="AT55" i="2"/>
  <c r="AR8" i="2"/>
  <c r="R56" i="2"/>
  <c r="Q55" i="2"/>
  <c r="N8" i="2"/>
  <c r="M55" i="2"/>
  <c r="O55" i="2"/>
  <c r="Q61" i="2"/>
  <c r="I54" i="2"/>
  <c r="V56" i="2"/>
  <c r="K54" i="2"/>
  <c r="W54" i="2"/>
  <c r="N56" i="2"/>
  <c r="G55" i="2"/>
  <c r="AL56" i="2"/>
  <c r="AQ23" i="12"/>
  <c r="AH23" i="12"/>
  <c r="AN23" i="12"/>
  <c r="V23" i="12"/>
  <c r="Y23" i="12"/>
  <c r="AB23" i="12"/>
  <c r="M23" i="12"/>
  <c r="AV23" i="12"/>
  <c r="H23" i="12"/>
  <c r="P23" i="12"/>
  <c r="T23" i="12"/>
  <c r="AU23" i="12"/>
  <c r="AD23" i="12"/>
  <c r="AP23" i="12"/>
  <c r="AO23" i="12"/>
  <c r="AI23" i="12"/>
  <c r="N23" i="12"/>
  <c r="S23" i="12"/>
  <c r="AC23" i="12"/>
  <c r="W23" i="12"/>
  <c r="Q23" i="12"/>
  <c r="K23" i="12"/>
  <c r="E23" i="12"/>
  <c r="AS23" i="12"/>
  <c r="F23" i="12"/>
  <c r="L23" i="12"/>
  <c r="AM23" i="12"/>
  <c r="AG23" i="12"/>
  <c r="Z23" i="12"/>
  <c r="AF23" i="12"/>
  <c r="AL23" i="12"/>
  <c r="R23" i="12"/>
  <c r="AA23" i="12"/>
  <c r="U23" i="12"/>
  <c r="AT23" i="12"/>
  <c r="O23" i="12"/>
  <c r="I23" i="12"/>
  <c r="J23" i="12"/>
  <c r="AK23" i="12"/>
  <c r="AJ23" i="12"/>
  <c r="AW23" i="12"/>
  <c r="X23" i="12"/>
  <c r="AE23" i="12"/>
  <c r="AR23" i="12"/>
  <c r="G23" i="12"/>
  <c r="AT22" i="12"/>
  <c r="E22" i="12"/>
  <c r="AK22" i="12"/>
  <c r="AE22" i="12"/>
  <c r="X22" i="12"/>
  <c r="AH22" i="12"/>
  <c r="Z22" i="12"/>
  <c r="Y22" i="12"/>
  <c r="S22" i="12"/>
  <c r="H22" i="12"/>
  <c r="AR22" i="12"/>
  <c r="AN22" i="12"/>
  <c r="M22" i="12"/>
  <c r="G22" i="12"/>
  <c r="AC22" i="12"/>
  <c r="AU22" i="12"/>
  <c r="AI22" i="12"/>
  <c r="J22" i="12"/>
  <c r="Q22" i="12"/>
  <c r="W22" i="12"/>
  <c r="AD22" i="12"/>
  <c r="AL22" i="12"/>
  <c r="AQ22" i="12"/>
  <c r="K22" i="12"/>
  <c r="AP22" i="12"/>
  <c r="AS22" i="12"/>
  <c r="P22" i="12"/>
  <c r="AV22" i="12"/>
  <c r="T22" i="12"/>
  <c r="AM22" i="12"/>
  <c r="AG22" i="12"/>
  <c r="V22" i="12"/>
  <c r="AJ22" i="12"/>
  <c r="N22" i="12"/>
  <c r="R22" i="12"/>
  <c r="AA22" i="12"/>
  <c r="U22" i="12"/>
  <c r="F22" i="12"/>
  <c r="L22" i="12"/>
  <c r="AO22" i="12"/>
  <c r="O22" i="12"/>
  <c r="I22" i="12"/>
  <c r="AB22" i="12"/>
  <c r="AF22" i="12"/>
  <c r="AW22" i="12"/>
  <c r="F22" i="2" a="1"/>
  <c r="W22" i="2" s="1"/>
  <c r="AE17" i="12"/>
  <c r="AC17" i="12"/>
  <c r="W17" i="12"/>
  <c r="AH17" i="12"/>
  <c r="J17" i="12"/>
  <c r="Q17" i="12"/>
  <c r="K17" i="12"/>
  <c r="AB17" i="12"/>
  <c r="R17" i="12"/>
  <c r="E17" i="12"/>
  <c r="AS17" i="12"/>
  <c r="V17" i="12"/>
  <c r="AL17" i="12"/>
  <c r="AI17" i="12"/>
  <c r="N17" i="12"/>
  <c r="AM17" i="12"/>
  <c r="AG17" i="12"/>
  <c r="L17" i="12"/>
  <c r="X17" i="12"/>
  <c r="F17" i="12"/>
  <c r="AA17" i="12"/>
  <c r="U17" i="12"/>
  <c r="AF17" i="12"/>
  <c r="AT17" i="12"/>
  <c r="O17" i="12"/>
  <c r="I17" i="12"/>
  <c r="T17" i="12"/>
  <c r="AW17" i="12"/>
  <c r="AR17" i="12"/>
  <c r="Z17" i="12"/>
  <c r="AP17" i="12"/>
  <c r="AJ17" i="12"/>
  <c r="H17" i="12"/>
  <c r="AK17" i="12"/>
  <c r="S17" i="12"/>
  <c r="AD17" i="12"/>
  <c r="Y17" i="12"/>
  <c r="AN17" i="12"/>
  <c r="AO17" i="12"/>
  <c r="M17" i="12"/>
  <c r="G17" i="12"/>
  <c r="AU17" i="12"/>
  <c r="AQ17" i="12"/>
  <c r="P17" i="12"/>
  <c r="AV17" i="12"/>
  <c r="AL18" i="12"/>
  <c r="U18" i="12"/>
  <c r="G18" i="12"/>
  <c r="AU18" i="12"/>
  <c r="F18" i="12"/>
  <c r="J18" i="12"/>
  <c r="M18" i="12"/>
  <c r="AO18" i="12"/>
  <c r="AI18" i="12"/>
  <c r="Z18" i="12"/>
  <c r="I18" i="12"/>
  <c r="AF18" i="12"/>
  <c r="R18" i="12"/>
  <c r="AC18" i="12"/>
  <c r="W18" i="12"/>
  <c r="AT18" i="12"/>
  <c r="AD18" i="12"/>
  <c r="AN18" i="12"/>
  <c r="Q18" i="12"/>
  <c r="K18" i="12"/>
  <c r="L18" i="12"/>
  <c r="E18" i="12"/>
  <c r="X18" i="12"/>
  <c r="AG18" i="12"/>
  <c r="N18" i="12"/>
  <c r="AM18" i="12"/>
  <c r="AS18" i="12"/>
  <c r="H18" i="12"/>
  <c r="AA18" i="12"/>
  <c r="AB18" i="12"/>
  <c r="T18" i="12"/>
  <c r="O18" i="12"/>
  <c r="AV18" i="12"/>
  <c r="P18" i="12"/>
  <c r="AP18" i="12"/>
  <c r="AR18" i="12"/>
  <c r="V18" i="12"/>
  <c r="AW18" i="12"/>
  <c r="AJ18" i="12"/>
  <c r="AQ18" i="12"/>
  <c r="AK18" i="12"/>
  <c r="S18" i="12"/>
  <c r="AE18" i="12"/>
  <c r="Y18" i="12"/>
  <c r="AH18" i="12"/>
  <c r="E19" i="12" a="1"/>
  <c r="AR20" i="12"/>
  <c r="J20" i="12"/>
  <c r="T20" i="12"/>
  <c r="K20" i="12"/>
  <c r="E20" i="12"/>
  <c r="Z20" i="12"/>
  <c r="M20" i="12"/>
  <c r="AH20" i="12"/>
  <c r="AN20" i="12"/>
  <c r="AS20" i="12"/>
  <c r="AM20" i="12"/>
  <c r="AV20" i="12"/>
  <c r="W20" i="12"/>
  <c r="AG20" i="12"/>
  <c r="AA20" i="12"/>
  <c r="AD20" i="12"/>
  <c r="U20" i="12"/>
  <c r="O20" i="12"/>
  <c r="Q20" i="12"/>
  <c r="I20" i="12"/>
  <c r="Y20" i="12"/>
  <c r="P20" i="12"/>
  <c r="V20" i="12"/>
  <c r="AQ20" i="12"/>
  <c r="AT20" i="12"/>
  <c r="F20" i="12"/>
  <c r="AK20" i="12"/>
  <c r="AP20" i="12"/>
  <c r="AE20" i="12"/>
  <c r="H20" i="12"/>
  <c r="L20" i="12"/>
  <c r="AW20" i="12"/>
  <c r="S20" i="12"/>
  <c r="N20" i="12"/>
  <c r="X20" i="12"/>
  <c r="G20" i="12"/>
  <c r="AB20" i="12"/>
  <c r="AJ20" i="12"/>
  <c r="R20" i="12"/>
  <c r="AU20" i="12"/>
  <c r="AO20" i="12"/>
  <c r="AF20" i="12"/>
  <c r="AL20" i="12"/>
  <c r="AI20" i="12"/>
  <c r="AC20" i="12"/>
  <c r="AN21" i="12"/>
  <c r="AH21" i="12"/>
  <c r="AS21" i="12"/>
  <c r="AT21" i="12"/>
  <c r="AG21" i="12"/>
  <c r="N21" i="12"/>
  <c r="O21" i="12"/>
  <c r="U21" i="12"/>
  <c r="V21" i="12"/>
  <c r="X21" i="12"/>
  <c r="AJ21" i="12"/>
  <c r="AV21" i="12"/>
  <c r="I21" i="12"/>
  <c r="AP21" i="12"/>
  <c r="AD21" i="12"/>
  <c r="Z21" i="12"/>
  <c r="AW21" i="12"/>
  <c r="AQ21" i="12"/>
  <c r="K21" i="12"/>
  <c r="AA21" i="12"/>
  <c r="AK21" i="12"/>
  <c r="AE21" i="12"/>
  <c r="T21" i="12"/>
  <c r="Y21" i="12"/>
  <c r="S21" i="12"/>
  <c r="L21" i="12"/>
  <c r="F21" i="12"/>
  <c r="P21" i="12"/>
  <c r="M21" i="12"/>
  <c r="G21" i="12"/>
  <c r="AF21" i="12"/>
  <c r="AL21" i="12"/>
  <c r="AU21" i="12"/>
  <c r="AO21" i="12"/>
  <c r="AR21" i="12"/>
  <c r="R21" i="12"/>
  <c r="AI21" i="12"/>
  <c r="AC21" i="12"/>
  <c r="AB21" i="12"/>
  <c r="J21" i="12"/>
  <c r="H21" i="12"/>
  <c r="AM21" i="12"/>
  <c r="W21" i="12"/>
  <c r="Q21" i="12"/>
  <c r="E21" i="12"/>
  <c r="E26" i="12" a="1"/>
  <c r="E26" i="12" s="1"/>
  <c r="E25" i="12" a="1"/>
  <c r="E25" i="12" s="1"/>
  <c r="E12" i="12" a="1"/>
  <c r="E16" i="12" a="1"/>
  <c r="E47" i="12" a="1"/>
  <c r="E6" i="12" a="1"/>
  <c r="E9" i="12" a="1"/>
  <c r="E22" i="11" a="1"/>
  <c r="E18" i="11" a="1"/>
  <c r="E20" i="11" a="1"/>
  <c r="E23" i="11" a="1"/>
  <c r="E19" i="11" a="1"/>
  <c r="E21" i="11" a="1"/>
  <c r="E17" i="11" a="1"/>
  <c r="E9" i="11" a="1"/>
  <c r="E25" i="11" a="1"/>
  <c r="F16" i="2" a="1"/>
  <c r="F16" i="2" s="1"/>
  <c r="E12" i="11" a="1"/>
  <c r="F12" i="2" a="1"/>
  <c r="AH12" i="2" s="1"/>
  <c r="E6" i="11" a="1"/>
  <c r="E80" i="11" a="1"/>
  <c r="E16" i="11" a="1"/>
  <c r="F18" i="2" a="1"/>
  <c r="AR18" i="2" s="1"/>
  <c r="F23" i="2" a="1"/>
  <c r="V23" i="2" s="1"/>
  <c r="F17" i="2" a="1"/>
  <c r="AX17" i="2" s="1"/>
  <c r="F53" i="2" a="1"/>
  <c r="AP53" i="2" s="1"/>
  <c r="F6" i="2" a="1"/>
  <c r="M6" i="2" s="1"/>
  <c r="F21" i="2" a="1"/>
  <c r="AN21" i="2" s="1"/>
  <c r="F20" i="2" a="1"/>
  <c r="AE20" i="2" s="1"/>
  <c r="F19" i="2" a="1"/>
  <c r="AS19" i="2" s="1"/>
  <c r="J56" i="2"/>
  <c r="AE61" i="2"/>
  <c r="R54" i="2"/>
  <c r="J55" i="2"/>
  <c r="K56" i="2"/>
  <c r="V61" i="2"/>
  <c r="Q54" i="2"/>
  <c r="L56" i="2"/>
  <c r="AH61" i="2"/>
  <c r="Q56" i="2"/>
  <c r="O61" i="2"/>
  <c r="AO56" i="2"/>
  <c r="AH8" i="2"/>
  <c r="P54" i="2"/>
  <c r="G56" i="2"/>
  <c r="K60" i="2"/>
  <c r="F9" i="2" a="1"/>
  <c r="AX55" i="2"/>
  <c r="S56" i="2"/>
  <c r="R61" i="2"/>
  <c r="AS56" i="2"/>
  <c r="G61" i="2"/>
  <c r="AU58" i="2"/>
  <c r="L58" i="2"/>
  <c r="AJ58" i="2"/>
  <c r="AK58" i="2"/>
  <c r="AM57" i="2"/>
  <c r="P8" i="2"/>
  <c r="AC8" i="2"/>
  <c r="N55" i="2"/>
  <c r="U56" i="2"/>
  <c r="G58" i="2"/>
  <c r="AL60" i="2"/>
  <c r="T58" i="2"/>
  <c r="AR58" i="2"/>
  <c r="I58" i="2"/>
  <c r="AI58" i="2"/>
  <c r="U58" i="2"/>
  <c r="K58" i="2"/>
  <c r="O8" i="2"/>
  <c r="S54" i="2"/>
  <c r="AE55" i="2"/>
  <c r="AP56" i="2"/>
  <c r="AW56" i="2"/>
  <c r="AM58" i="2"/>
  <c r="O60" i="2"/>
  <c r="H13" i="2"/>
  <c r="AR54" i="2"/>
  <c r="AX56" i="2"/>
  <c r="AG57" i="2"/>
  <c r="Q57" i="2"/>
  <c r="AV54" i="2"/>
  <c r="AV57" i="2"/>
  <c r="AE8" i="2"/>
  <c r="Z8" i="2"/>
  <c r="AL55" i="2"/>
  <c r="AK55" i="2"/>
  <c r="AB58" i="2"/>
  <c r="AP60" i="2"/>
  <c r="V14" i="2"/>
  <c r="W57" i="2"/>
  <c r="AU57" i="2"/>
  <c r="AX54" i="2"/>
  <c r="L57" i="2"/>
  <c r="O14" i="2"/>
  <c r="O13" i="2"/>
  <c r="AK8" i="2"/>
  <c r="AM54" i="2"/>
  <c r="AJ57" i="2"/>
  <c r="K13" i="2"/>
  <c r="AT54" i="2"/>
  <c r="AB57" i="2"/>
  <c r="I14" i="2"/>
  <c r="AQ57" i="2"/>
  <c r="L14" i="2"/>
  <c r="AB14" i="2"/>
  <c r="O57" i="2"/>
  <c r="J14" i="2"/>
  <c r="AX8" i="2"/>
  <c r="AI54" i="2"/>
  <c r="I57" i="2"/>
  <c r="AN60" i="2"/>
  <c r="I59" i="2"/>
  <c r="S60" i="2"/>
  <c r="W60" i="2"/>
  <c r="P14" i="2"/>
  <c r="AC58" i="2"/>
  <c r="AS59" i="2"/>
  <c r="AQ60" i="2"/>
  <c r="AI60" i="2"/>
  <c r="F14" i="2"/>
  <c r="J59" i="2"/>
  <c r="T60" i="2"/>
  <c r="AB60" i="2"/>
  <c r="W13" i="2"/>
  <c r="AJ14" i="2"/>
  <c r="AP54" i="2"/>
  <c r="AU54" i="2"/>
  <c r="AH55" i="2"/>
  <c r="T57" i="2"/>
  <c r="R58" i="2"/>
  <c r="O58" i="2"/>
  <c r="AW58" i="2"/>
  <c r="W59" i="2"/>
  <c r="AF60" i="2"/>
  <c r="X60" i="2"/>
  <c r="N61" i="2"/>
  <c r="AX14" i="2"/>
  <c r="AM14" i="2"/>
  <c r="AD58" i="2"/>
  <c r="AO58" i="2"/>
  <c r="AL58" i="2"/>
  <c r="AU59" i="2"/>
  <c r="AR60" i="2"/>
  <c r="AV60" i="2"/>
  <c r="G14" i="2"/>
  <c r="AP58" i="2"/>
  <c r="V58" i="2"/>
  <c r="AN58" i="2"/>
  <c r="L59" i="2"/>
  <c r="P60" i="2"/>
  <c r="Q60" i="2"/>
  <c r="AA59" i="2"/>
  <c r="AE14" i="2"/>
  <c r="AA58" i="2"/>
  <c r="AT58" i="2"/>
  <c r="Z58" i="2"/>
  <c r="X59" i="2"/>
  <c r="I60" i="2"/>
  <c r="M60" i="2"/>
  <c r="AF59" i="2"/>
  <c r="P59" i="2"/>
  <c r="H14" i="2"/>
  <c r="AP59" i="2"/>
  <c r="AJ59" i="2"/>
  <c r="AG60" i="2"/>
  <c r="Y60" i="2"/>
  <c r="AE58" i="2"/>
  <c r="W58" i="2"/>
  <c r="AQ59" i="2"/>
  <c r="AO59" i="2"/>
  <c r="AC60" i="2"/>
  <c r="AK60" i="2"/>
  <c r="H59" i="2"/>
  <c r="AW59" i="2"/>
  <c r="V60" i="2"/>
  <c r="N60" i="2"/>
  <c r="O62" i="2"/>
  <c r="AF13" i="2"/>
  <c r="AI13" i="2"/>
  <c r="AP62" i="2"/>
  <c r="J62" i="2"/>
  <c r="AW62" i="2"/>
  <c r="AC13" i="2"/>
  <c r="AU13" i="2"/>
  <c r="N14" i="2"/>
  <c r="AH14" i="2"/>
  <c r="AO54" i="2"/>
  <c r="AJ55" i="2"/>
  <c r="AR57" i="2"/>
  <c r="AG58" i="2"/>
  <c r="Y58" i="2"/>
  <c r="AG59" i="2"/>
  <c r="R60" i="2"/>
  <c r="AT60" i="2"/>
  <c r="AW60" i="2"/>
  <c r="AC61" i="2"/>
  <c r="AT61" i="2"/>
  <c r="S62" i="2"/>
  <c r="V62" i="2"/>
  <c r="Z62" i="2"/>
  <c r="Y62" i="2"/>
  <c r="R13" i="2"/>
  <c r="U13" i="2"/>
  <c r="AJ13" i="2"/>
  <c r="AN14" i="2"/>
  <c r="AT14" i="2"/>
  <c r="AA61" i="2"/>
  <c r="AE62" i="2"/>
  <c r="AT62" i="2"/>
  <c r="AL62" i="2"/>
  <c r="R62" i="2"/>
  <c r="AP13" i="2"/>
  <c r="AG13" i="2"/>
  <c r="L13" i="2"/>
  <c r="T61" i="2"/>
  <c r="W61" i="2"/>
  <c r="AQ62" i="2"/>
  <c r="K62" i="2"/>
  <c r="AX62" i="2"/>
  <c r="AA13" i="2"/>
  <c r="AS13" i="2"/>
  <c r="Z13" i="2"/>
  <c r="T14" i="2"/>
  <c r="K14" i="2"/>
  <c r="AF61" i="2"/>
  <c r="AU61" i="2"/>
  <c r="AM62" i="2"/>
  <c r="AI62" i="2"/>
  <c r="AB62" i="2"/>
  <c r="Q13" i="2"/>
  <c r="AL13" i="2"/>
  <c r="Y13" i="2"/>
  <c r="AF14" i="2"/>
  <c r="AI14" i="2"/>
  <c r="AR61" i="2"/>
  <c r="Q62" i="2"/>
  <c r="AN62" i="2"/>
  <c r="S13" i="2"/>
  <c r="AX13" i="2"/>
  <c r="R14" i="2"/>
  <c r="AR14" i="2"/>
  <c r="AW14" i="2"/>
  <c r="AD61" i="2"/>
  <c r="I61" i="2"/>
  <c r="L61" i="2"/>
  <c r="T62" i="2"/>
  <c r="L62" i="2"/>
  <c r="AE13" i="2"/>
  <c r="AN13" i="2"/>
  <c r="AD14" i="2"/>
  <c r="AP61" i="2"/>
  <c r="AG61" i="2"/>
  <c r="X61" i="2"/>
  <c r="AR62" i="2"/>
  <c r="X62" i="2"/>
  <c r="AF7" i="2"/>
  <c r="AQ13" i="2"/>
  <c r="V13" i="2"/>
  <c r="AP14" i="2"/>
  <c r="AG14" i="2"/>
  <c r="AL61" i="2"/>
  <c r="AW61" i="2"/>
  <c r="AJ61" i="2"/>
  <c r="I62" i="2"/>
  <c r="AJ62" i="2"/>
  <c r="AU7" i="2"/>
  <c r="AW13" i="2"/>
  <c r="AT13" i="2"/>
  <c r="Z14" i="2"/>
  <c r="Y14" i="2"/>
  <c r="X14" i="2"/>
  <c r="AV59" i="2"/>
  <c r="AX61" i="2"/>
  <c r="AO61" i="2"/>
  <c r="AV61" i="2"/>
  <c r="AG62" i="2"/>
  <c r="AV62" i="2"/>
  <c r="F13" i="2"/>
  <c r="AM7" i="2"/>
  <c r="AS62" i="2"/>
  <c r="AC62" i="2"/>
  <c r="R8" i="2"/>
  <c r="AS8" i="2"/>
  <c r="N54" i="2"/>
  <c r="AP55" i="2"/>
  <c r="AG55" i="2"/>
  <c r="P55" i="2"/>
  <c r="P56" i="2"/>
  <c r="AM56" i="2"/>
  <c r="S57" i="2"/>
  <c r="AT57" i="2"/>
  <c r="N57" i="2"/>
  <c r="AE59" i="2"/>
  <c r="AC59" i="2"/>
  <c r="AX59" i="2"/>
  <c r="AN56" i="2"/>
  <c r="F8" i="2"/>
  <c r="X8" i="2"/>
  <c r="AM8" i="2"/>
  <c r="AQ8" i="2"/>
  <c r="M8" i="2"/>
  <c r="K8" i="2"/>
  <c r="I8" i="2"/>
  <c r="AW8" i="2"/>
  <c r="AN8" i="2"/>
  <c r="AT8" i="2"/>
  <c r="AF8" i="2"/>
  <c r="AD8" i="2"/>
  <c r="AV8" i="2"/>
  <c r="V8" i="2"/>
  <c r="H8" i="2"/>
  <c r="Z54" i="2"/>
  <c r="AW54" i="2"/>
  <c r="H54" i="2"/>
  <c r="AD54" i="2"/>
  <c r="AC54" i="2"/>
  <c r="O54" i="2"/>
  <c r="AA54" i="2"/>
  <c r="AE54" i="2"/>
  <c r="X54" i="2"/>
  <c r="AH54" i="2"/>
  <c r="AK54" i="2"/>
  <c r="G54" i="2"/>
  <c r="F54" i="2"/>
  <c r="AN54" i="2"/>
  <c r="J54" i="2"/>
  <c r="AF54" i="2"/>
  <c r="M54" i="2"/>
  <c r="AW55" i="2"/>
  <c r="AM55" i="2"/>
  <c r="AO55" i="2"/>
  <c r="AC55" i="2"/>
  <c r="X55" i="2"/>
  <c r="AB55" i="2"/>
  <c r="H55" i="2"/>
  <c r="F55" i="2"/>
  <c r="AI55" i="2"/>
  <c r="AS55" i="2"/>
  <c r="AQ55" i="2"/>
  <c r="AN55" i="2"/>
  <c r="K55" i="2"/>
  <c r="U55" i="2"/>
  <c r="S55" i="2"/>
  <c r="M56" i="2"/>
  <c r="AT56" i="2"/>
  <c r="T56" i="2"/>
  <c r="F56" i="2"/>
  <c r="Z56" i="2"/>
  <c r="X56" i="2"/>
  <c r="AG56" i="2"/>
  <c r="AB56" i="2"/>
  <c r="AA56" i="2"/>
  <c r="AU56" i="2"/>
  <c r="I56" i="2"/>
  <c r="AD56" i="2"/>
  <c r="AK56" i="2"/>
  <c r="W56" i="2"/>
  <c r="AR56" i="2"/>
  <c r="Y57" i="2"/>
  <c r="K57" i="2"/>
  <c r="U57" i="2"/>
  <c r="AD57" i="2"/>
  <c r="F57" i="2"/>
  <c r="AN57" i="2"/>
  <c r="X57" i="2"/>
  <c r="J57" i="2"/>
  <c r="H57" i="2"/>
  <c r="P57" i="2"/>
  <c r="AL57" i="2"/>
  <c r="AA57" i="2"/>
  <c r="AE57" i="2"/>
  <c r="AW57" i="2"/>
  <c r="AI57" i="2"/>
  <c r="AS57" i="2"/>
  <c r="G57" i="2"/>
  <c r="T8" i="2"/>
  <c r="AU8" i="2"/>
  <c r="AL54" i="2"/>
  <c r="U54" i="2"/>
  <c r="L54" i="2"/>
  <c r="AR55" i="2"/>
  <c r="W55" i="2"/>
  <c r="AE56" i="2"/>
  <c r="AI56" i="2"/>
  <c r="O56" i="2"/>
  <c r="AX57" i="2"/>
  <c r="Z57" i="2"/>
  <c r="R59" i="2"/>
  <c r="AB59" i="2"/>
  <c r="AG54" i="2"/>
  <c r="AJ54" i="2"/>
  <c r="Y55" i="2"/>
  <c r="AU55" i="2"/>
  <c r="AQ56" i="2"/>
  <c r="AC56" i="2"/>
  <c r="AC57" i="2"/>
  <c r="AO57" i="2"/>
  <c r="F59" i="2"/>
  <c r="O59" i="2"/>
  <c r="AH59" i="2"/>
  <c r="T59" i="2"/>
  <c r="N59" i="2"/>
  <c r="AI59" i="2"/>
  <c r="U59" i="2"/>
  <c r="AN59" i="2"/>
  <c r="AK59" i="2"/>
  <c r="K59" i="2"/>
  <c r="Q59" i="2"/>
  <c r="AD59" i="2"/>
  <c r="M59" i="2"/>
  <c r="AM59" i="2"/>
  <c r="AR59" i="2"/>
  <c r="U8" i="2"/>
  <c r="L8" i="2"/>
  <c r="AQ54" i="2"/>
  <c r="AS54" i="2"/>
  <c r="R55" i="2"/>
  <c r="AA55" i="2"/>
  <c r="L55" i="2"/>
  <c r="H56" i="2"/>
  <c r="AJ56" i="2"/>
  <c r="R57" i="2"/>
  <c r="V57" i="2"/>
  <c r="M57" i="2"/>
  <c r="G59" i="2"/>
  <c r="V59" i="2"/>
  <c r="Z59" i="2"/>
  <c r="AG8" i="2"/>
  <c r="AJ8" i="2"/>
  <c r="Y54" i="2"/>
  <c r="AB54" i="2"/>
  <c r="AD55" i="2"/>
  <c r="I55" i="2"/>
  <c r="Z55" i="2"/>
  <c r="AF56" i="2"/>
  <c r="AV56" i="2"/>
  <c r="AP57" i="2"/>
  <c r="AH57" i="2"/>
  <c r="AK57" i="2"/>
  <c r="S59" i="2"/>
  <c r="AT59" i="2"/>
  <c r="AL59" i="2"/>
  <c r="AK13" i="2"/>
  <c r="T13" i="2"/>
  <c r="J13" i="2"/>
  <c r="X13" i="2"/>
  <c r="S14" i="2"/>
  <c r="U14" i="2"/>
  <c r="AC14" i="2"/>
  <c r="AO14" i="2"/>
  <c r="AQ58" i="2"/>
  <c r="Q58" i="2"/>
  <c r="X58" i="2"/>
  <c r="AX58" i="2"/>
  <c r="G60" i="2"/>
  <c r="AS60" i="2"/>
  <c r="L60" i="2"/>
  <c r="Z60" i="2"/>
  <c r="S61" i="2"/>
  <c r="U61" i="2"/>
  <c r="K61" i="2"/>
  <c r="P61" i="2"/>
  <c r="AF62" i="2"/>
  <c r="AO62" i="2"/>
  <c r="M62" i="2"/>
  <c r="F60" i="2"/>
  <c r="AR7" i="2"/>
  <c r="L7" i="2"/>
  <c r="AN7" i="2"/>
  <c r="I7" i="2"/>
  <c r="X7" i="2"/>
  <c r="AC7" i="2"/>
  <c r="AB13" i="2"/>
  <c r="AR13" i="2"/>
  <c r="AH13" i="2"/>
  <c r="M13" i="2"/>
  <c r="AQ14" i="2"/>
  <c r="AS14" i="2"/>
  <c r="W14" i="2"/>
  <c r="H58" i="2"/>
  <c r="J58" i="2"/>
  <c r="AV58" i="2"/>
  <c r="AE60" i="2"/>
  <c r="J60" i="2"/>
  <c r="AJ60" i="2"/>
  <c r="AX60" i="2"/>
  <c r="AQ61" i="2"/>
  <c r="AS61" i="2"/>
  <c r="AI61" i="2"/>
  <c r="AD62" i="2"/>
  <c r="P62" i="2"/>
  <c r="W62" i="2"/>
  <c r="AK62" i="2"/>
  <c r="F61" i="2"/>
  <c r="R7" i="2"/>
  <c r="U7" i="2"/>
  <c r="AJ7" i="2"/>
  <c r="AI7" i="2"/>
  <c r="AD7" i="2"/>
  <c r="AG7" i="2"/>
  <c r="AV7" i="2"/>
  <c r="N7" i="2"/>
  <c r="G13" i="2"/>
  <c r="I13" i="2"/>
  <c r="AV13" i="2"/>
  <c r="N13" i="2"/>
  <c r="AL14" i="2"/>
  <c r="AA14" i="2"/>
  <c r="AU14" i="2"/>
  <c r="AF58" i="2"/>
  <c r="AH58" i="2"/>
  <c r="M58" i="2"/>
  <c r="H60" i="2"/>
  <c r="AH60" i="2"/>
  <c r="AM60" i="2"/>
  <c r="AO60" i="2"/>
  <c r="AM61" i="2"/>
  <c r="AN61" i="2"/>
  <c r="Y61" i="2"/>
  <c r="G62" i="2"/>
  <c r="U62" i="2"/>
  <c r="AU62" i="2"/>
  <c r="N62" i="2"/>
  <c r="F62" i="2"/>
  <c r="AP7" i="2"/>
  <c r="AS7" i="2"/>
  <c r="M7" i="2"/>
  <c r="AX7" i="2"/>
  <c r="G7" i="2"/>
  <c r="J7" i="2"/>
  <c r="Y7" i="2"/>
  <c r="AA7" i="2"/>
  <c r="S7" i="2"/>
  <c r="V7" i="2"/>
  <c r="AK7" i="2"/>
  <c r="P7" i="2"/>
  <c r="AE7" i="2"/>
  <c r="AH7" i="2"/>
  <c r="AW7" i="2"/>
  <c r="AB7" i="2"/>
  <c r="F58" i="2"/>
  <c r="AQ7" i="2"/>
  <c r="AT7" i="2"/>
  <c r="Z7" i="2"/>
  <c r="Q7" i="2"/>
  <c r="H7" i="2"/>
  <c r="K7" i="2"/>
  <c r="AL7" i="2"/>
  <c r="AO7" i="2"/>
  <c r="AD13" i="2"/>
  <c r="AO13" i="2"/>
  <c r="AM13" i="2"/>
  <c r="Q14" i="2"/>
  <c r="M14" i="2"/>
  <c r="AK14" i="2"/>
  <c r="S58" i="2"/>
  <c r="AS58" i="2"/>
  <c r="P58" i="2"/>
  <c r="AD60" i="2"/>
  <c r="U60" i="2"/>
  <c r="AU60" i="2"/>
  <c r="AB61" i="2"/>
  <c r="Z61" i="2"/>
  <c r="AK61" i="2"/>
  <c r="H62" i="2"/>
  <c r="AH62" i="2"/>
  <c r="T7" i="2"/>
  <c r="W7" i="2"/>
  <c r="O7" i="2"/>
  <c r="AN16" i="15" l="1"/>
  <c r="AF25" i="17"/>
  <c r="AP25" i="17"/>
  <c r="O25" i="17"/>
  <c r="AC25" i="17"/>
  <c r="AA25" i="17"/>
  <c r="AN25" i="17"/>
  <c r="AI25" i="17"/>
  <c r="X25" i="17"/>
  <c r="AL25" i="17"/>
  <c r="AK25" i="17"/>
  <c r="AW25" i="17"/>
  <c r="J25" i="17"/>
  <c r="H25" i="17"/>
  <c r="S25" i="17"/>
  <c r="N25" i="17"/>
  <c r="AX25" i="17"/>
  <c r="AJ25" i="17"/>
  <c r="AD25" i="17"/>
  <c r="L25" i="17"/>
  <c r="AG25" i="17"/>
  <c r="AB25" i="17"/>
  <c r="AO25" i="17"/>
  <c r="V25" i="17"/>
  <c r="M25" i="17"/>
  <c r="T25" i="17"/>
  <c r="AM25" i="17"/>
  <c r="AH25" i="17"/>
  <c r="K25" i="17"/>
  <c r="I25" i="17"/>
  <c r="W25" i="17"/>
  <c r="F25" i="17"/>
  <c r="Z25" i="17"/>
  <c r="U25" i="17"/>
  <c r="AS25" i="17"/>
  <c r="AV25" i="17"/>
  <c r="AE25" i="17"/>
  <c r="G25" i="17"/>
  <c r="R25" i="17"/>
  <c r="Y25" i="17"/>
  <c r="P25" i="17"/>
  <c r="AT25" i="17"/>
  <c r="AQ25" i="17"/>
  <c r="AR25" i="17"/>
  <c r="Q25" i="17"/>
  <c r="AQ16" i="15"/>
  <c r="O16" i="15"/>
  <c r="AA16" i="15"/>
  <c r="AG16" i="15"/>
  <c r="R16" i="15"/>
  <c r="S16" i="15"/>
  <c r="AM16" i="15"/>
  <c r="N16" i="15"/>
  <c r="AK16" i="15"/>
  <c r="AH16" i="15"/>
  <c r="I16" i="15"/>
  <c r="AS16" i="15"/>
  <c r="K16" i="15"/>
  <c r="E16" i="15"/>
  <c r="Q16" i="15"/>
  <c r="AT6" i="17"/>
  <c r="M6" i="17"/>
  <c r="AV6" i="17"/>
  <c r="AB6" i="17"/>
  <c r="AO6" i="17"/>
  <c r="AE6" i="17"/>
  <c r="Y6" i="17"/>
  <c r="K6" i="17"/>
  <c r="AN6" i="17"/>
  <c r="AQ6" i="17"/>
  <c r="AU6" i="17"/>
  <c r="Z6" i="17"/>
  <c r="AL6" i="17"/>
  <c r="H6" i="17"/>
  <c r="AX6" i="17"/>
  <c r="F6" i="17"/>
  <c r="T6" i="17"/>
  <c r="J6" i="17"/>
  <c r="R6" i="17"/>
  <c r="AF6" i="17"/>
  <c r="I6" i="17"/>
  <c r="V6" i="17"/>
  <c r="O6" i="17"/>
  <c r="AD6" i="17"/>
  <c r="X6" i="17"/>
  <c r="AM6" i="17"/>
  <c r="Q6" i="17"/>
  <c r="G6" i="17"/>
  <c r="AS6" i="17"/>
  <c r="AJ6" i="17"/>
  <c r="P6" i="17"/>
  <c r="AC6" i="17"/>
  <c r="S6" i="17"/>
  <c r="AK6" i="17"/>
  <c r="AI6" i="17"/>
  <c r="AP6" i="17"/>
  <c r="AA6" i="17"/>
  <c r="W6" i="17"/>
  <c r="AR6" i="17"/>
  <c r="U6" i="17"/>
  <c r="AG6" i="17"/>
  <c r="L6" i="17"/>
  <c r="AH6" i="17"/>
  <c r="N6" i="17"/>
  <c r="AW6" i="17"/>
  <c r="P16" i="15"/>
  <c r="H16" i="15"/>
  <c r="V16" i="15"/>
  <c r="AL16" i="15"/>
  <c r="AI9" i="17"/>
  <c r="AF9" i="17"/>
  <c r="AB9" i="17"/>
  <c r="J9" i="17"/>
  <c r="AR9" i="17"/>
  <c r="N9" i="17"/>
  <c r="AN9" i="17"/>
  <c r="I9" i="17"/>
  <c r="L9" i="17"/>
  <c r="M9" i="17"/>
  <c r="Z9" i="17"/>
  <c r="AE9" i="17"/>
  <c r="K9" i="17"/>
  <c r="U9" i="17"/>
  <c r="X9" i="17"/>
  <c r="Y9" i="17"/>
  <c r="AL9" i="17"/>
  <c r="O9" i="17"/>
  <c r="S9" i="17"/>
  <c r="W9" i="17"/>
  <c r="Q9" i="17"/>
  <c r="F9" i="17"/>
  <c r="AG9" i="17"/>
  <c r="AJ9" i="17"/>
  <c r="AK9" i="17"/>
  <c r="AT9" i="17"/>
  <c r="AO9" i="17"/>
  <c r="AD9" i="17"/>
  <c r="AQ9" i="17"/>
  <c r="V9" i="17"/>
  <c r="AP9" i="17"/>
  <c r="AM9" i="17"/>
  <c r="AH9" i="17"/>
  <c r="AU9" i="17"/>
  <c r="AX9" i="17"/>
  <c r="AV9" i="17"/>
  <c r="AW9" i="17"/>
  <c r="P9" i="17"/>
  <c r="R9" i="17"/>
  <c r="AA9" i="17"/>
  <c r="H9" i="17"/>
  <c r="T9" i="17"/>
  <c r="AC9" i="17"/>
  <c r="G9" i="17"/>
  <c r="AS9" i="17"/>
  <c r="AF16" i="15"/>
  <c r="AU16" i="15"/>
  <c r="AD16" i="15"/>
  <c r="AR12" i="17"/>
  <c r="I12" i="17"/>
  <c r="AI12" i="17"/>
  <c r="O12" i="17"/>
  <c r="AS12" i="17"/>
  <c r="Z12" i="17"/>
  <c r="AU12" i="17"/>
  <c r="K12" i="17"/>
  <c r="AJ12" i="17"/>
  <c r="AO12" i="17"/>
  <c r="F12" i="17"/>
  <c r="AV12" i="17"/>
  <c r="R12" i="17"/>
  <c r="G12" i="17"/>
  <c r="J12" i="17"/>
  <c r="AK12" i="17"/>
  <c r="AN12" i="17"/>
  <c r="AQ12" i="17"/>
  <c r="N12" i="17"/>
  <c r="AL12" i="17"/>
  <c r="V12" i="17"/>
  <c r="AW12" i="17"/>
  <c r="AX12" i="17"/>
  <c r="AH12" i="17"/>
  <c r="AT12" i="17"/>
  <c r="U12" i="17"/>
  <c r="W12" i="17"/>
  <c r="L12" i="17"/>
  <c r="Q12" i="17"/>
  <c r="AF12" i="17"/>
  <c r="AG12" i="17"/>
  <c r="X12" i="17"/>
  <c r="AC12" i="17"/>
  <c r="AD12" i="17"/>
  <c r="AA12" i="17"/>
  <c r="M12" i="17"/>
  <c r="Y12" i="17"/>
  <c r="AP12" i="17"/>
  <c r="AM12" i="17"/>
  <c r="P12" i="17"/>
  <c r="H12" i="17"/>
  <c r="AB12" i="17"/>
  <c r="T12" i="17"/>
  <c r="S12" i="17"/>
  <c r="AE12" i="17"/>
  <c r="L16" i="15"/>
  <c r="AI16" i="15"/>
  <c r="AJ16" i="15"/>
  <c r="AK52" i="17"/>
  <c r="AW52" i="17"/>
  <c r="AG52" i="17"/>
  <c r="S52" i="17"/>
  <c r="AI52" i="17"/>
  <c r="AP52" i="17"/>
  <c r="AM52" i="17"/>
  <c r="AX52" i="17"/>
  <c r="AD52" i="17"/>
  <c r="L52" i="17"/>
  <c r="U52" i="17"/>
  <c r="AT52" i="17"/>
  <c r="Y52" i="17"/>
  <c r="N52" i="17"/>
  <c r="O52" i="17"/>
  <c r="AH52" i="17"/>
  <c r="AN52" i="17"/>
  <c r="K52" i="17"/>
  <c r="AC52" i="17"/>
  <c r="AE52" i="17"/>
  <c r="V52" i="17"/>
  <c r="Z52" i="17"/>
  <c r="M52" i="17"/>
  <c r="AU52" i="17"/>
  <c r="AV52" i="17"/>
  <c r="P52" i="17"/>
  <c r="J52" i="17"/>
  <c r="AO52" i="17"/>
  <c r="AB52" i="17"/>
  <c r="AJ52" i="17"/>
  <c r="AR52" i="17"/>
  <c r="W52" i="17"/>
  <c r="T52" i="17"/>
  <c r="G52" i="17"/>
  <c r="Q52" i="17"/>
  <c r="H52" i="17"/>
  <c r="X52" i="17"/>
  <c r="R52" i="17"/>
  <c r="AA52" i="17"/>
  <c r="AQ52" i="17"/>
  <c r="AF52" i="17"/>
  <c r="I52" i="17"/>
  <c r="F52" i="17"/>
  <c r="AL52" i="17"/>
  <c r="AS52" i="17"/>
  <c r="M16" i="15"/>
  <c r="AR16" i="15"/>
  <c r="W16" i="15"/>
  <c r="AQ16" i="17"/>
  <c r="H16" i="17"/>
  <c r="F16" i="17"/>
  <c r="AF16" i="17"/>
  <c r="Y16" i="17"/>
  <c r="M16" i="17"/>
  <c r="AI16" i="17"/>
  <c r="Z16" i="17"/>
  <c r="AV16" i="17"/>
  <c r="AS16" i="17"/>
  <c r="AL16" i="17"/>
  <c r="AM16" i="17"/>
  <c r="P16" i="17"/>
  <c r="L16" i="17"/>
  <c r="N16" i="17"/>
  <c r="AC16" i="17"/>
  <c r="Q16" i="17"/>
  <c r="U16" i="17"/>
  <c r="T16" i="17"/>
  <c r="X16" i="17"/>
  <c r="V16" i="17"/>
  <c r="AG16" i="17"/>
  <c r="AK16" i="17"/>
  <c r="J16" i="17"/>
  <c r="AU16" i="17"/>
  <c r="AX16" i="17"/>
  <c r="R16" i="17"/>
  <c r="AE16" i="17"/>
  <c r="S16" i="17"/>
  <c r="I16" i="17"/>
  <c r="AJ16" i="17"/>
  <c r="AB16" i="17"/>
  <c r="AW16" i="17"/>
  <c r="AO16" i="17"/>
  <c r="AA16" i="17"/>
  <c r="O16" i="17"/>
  <c r="AH16" i="17"/>
  <c r="K16" i="17"/>
  <c r="AR16" i="17"/>
  <c r="AP16" i="17"/>
  <c r="G16" i="17"/>
  <c r="W16" i="17"/>
  <c r="AN16" i="17"/>
  <c r="AD16" i="17"/>
  <c r="AT16" i="17"/>
  <c r="Y16" i="15"/>
  <c r="AT16" i="15"/>
  <c r="J16" i="15"/>
  <c r="AC16" i="15"/>
  <c r="AW16" i="15"/>
  <c r="F16" i="15"/>
  <c r="T16" i="15"/>
  <c r="AP16" i="15"/>
  <c r="AV16" i="15"/>
  <c r="AO16" i="15"/>
  <c r="U16" i="15"/>
  <c r="X16" i="15"/>
  <c r="AP6" i="15"/>
  <c r="G6" i="15"/>
  <c r="H6" i="15"/>
  <c r="AU6" i="15"/>
  <c r="AL6" i="15"/>
  <c r="V6" i="15"/>
  <c r="AG6" i="15"/>
  <c r="S6" i="15"/>
  <c r="AR6" i="15"/>
  <c r="AS6" i="15"/>
  <c r="L6" i="15"/>
  <c r="O6" i="15"/>
  <c r="J6" i="15"/>
  <c r="AE6" i="15"/>
  <c r="AT6" i="15"/>
  <c r="X6" i="15"/>
  <c r="AA6" i="15"/>
  <c r="P6" i="15"/>
  <c r="AH6" i="15"/>
  <c r="AJ6" i="15"/>
  <c r="M6" i="15"/>
  <c r="AM6" i="15"/>
  <c r="AB6" i="15"/>
  <c r="AV6" i="15"/>
  <c r="Y6" i="15"/>
  <c r="AN6" i="15"/>
  <c r="AK6" i="15"/>
  <c r="E6" i="15"/>
  <c r="I6" i="15"/>
  <c r="U6" i="15"/>
  <c r="AF6" i="15"/>
  <c r="K6" i="15"/>
  <c r="AW6" i="15"/>
  <c r="Q6" i="15"/>
  <c r="F6" i="15"/>
  <c r="W6" i="15"/>
  <c r="N6" i="15"/>
  <c r="AC6" i="15"/>
  <c r="R6" i="15"/>
  <c r="T6" i="15"/>
  <c r="AQ6" i="15"/>
  <c r="AI6" i="15"/>
  <c r="Z6" i="15"/>
  <c r="AO6" i="15"/>
  <c r="AD6" i="15"/>
  <c r="AW68" i="15"/>
  <c r="AB68" i="15"/>
  <c r="N68" i="15"/>
  <c r="T68" i="15"/>
  <c r="Z68" i="15"/>
  <c r="S68" i="15"/>
  <c r="M68" i="15"/>
  <c r="AT68" i="15"/>
  <c r="G68" i="15"/>
  <c r="AU68" i="15"/>
  <c r="AO68" i="15"/>
  <c r="AI68" i="15"/>
  <c r="X68" i="15"/>
  <c r="AC68" i="15"/>
  <c r="W68" i="15"/>
  <c r="J68" i="15"/>
  <c r="P68" i="15"/>
  <c r="AV68" i="15"/>
  <c r="Q68" i="15"/>
  <c r="K68" i="15"/>
  <c r="AH68" i="15"/>
  <c r="AN68" i="15"/>
  <c r="AF68" i="15"/>
  <c r="E68" i="15"/>
  <c r="AS68" i="15"/>
  <c r="AQ68" i="15"/>
  <c r="AK68" i="15"/>
  <c r="AL68" i="15"/>
  <c r="AR68" i="15"/>
  <c r="AE68" i="15"/>
  <c r="Y68" i="15"/>
  <c r="V68" i="15"/>
  <c r="AM68" i="15"/>
  <c r="AG68" i="15"/>
  <c r="L68" i="15"/>
  <c r="H68" i="15"/>
  <c r="AA68" i="15"/>
  <c r="U68" i="15"/>
  <c r="F68" i="15"/>
  <c r="AJ68" i="15"/>
  <c r="R68" i="15"/>
  <c r="O68" i="15"/>
  <c r="I68" i="15"/>
  <c r="AD68" i="15"/>
  <c r="AP68" i="15"/>
  <c r="AQ9" i="15"/>
  <c r="R9" i="15"/>
  <c r="L9" i="15"/>
  <c r="M9" i="15"/>
  <c r="AM9" i="15"/>
  <c r="I9" i="15"/>
  <c r="U9" i="15"/>
  <c r="AK9" i="15"/>
  <c r="G9" i="15"/>
  <c r="AG9" i="15"/>
  <c r="Z9" i="15"/>
  <c r="S9" i="15"/>
  <c r="AW9" i="15"/>
  <c r="AS9" i="15"/>
  <c r="AB9" i="15"/>
  <c r="K9" i="15"/>
  <c r="AE9" i="15"/>
  <c r="AU9" i="15"/>
  <c r="W9" i="15"/>
  <c r="N9" i="15"/>
  <c r="P9" i="15"/>
  <c r="E9" i="15"/>
  <c r="AN9" i="15"/>
  <c r="H9" i="15"/>
  <c r="J9" i="15"/>
  <c r="AI9" i="15"/>
  <c r="O9" i="15"/>
  <c r="AD9" i="15"/>
  <c r="X9" i="15"/>
  <c r="AA9" i="15"/>
  <c r="AP9" i="15"/>
  <c r="AJ9" i="15"/>
  <c r="Y9" i="15"/>
  <c r="Q9" i="15"/>
  <c r="T9" i="15"/>
  <c r="V9" i="15"/>
  <c r="AV9" i="15"/>
  <c r="AL9" i="15"/>
  <c r="AC9" i="15"/>
  <c r="AF9" i="15"/>
  <c r="AH9" i="15"/>
  <c r="AO9" i="15"/>
  <c r="F9" i="15"/>
  <c r="AR9" i="15"/>
  <c r="AT9" i="15"/>
  <c r="G16" i="15"/>
  <c r="AB16" i="15"/>
  <c r="AE16" i="15"/>
  <c r="AV12" i="15"/>
  <c r="Y12" i="15"/>
  <c r="S12" i="15"/>
  <c r="AD12" i="15"/>
  <c r="AF12" i="15"/>
  <c r="AN12" i="15"/>
  <c r="AT12" i="15"/>
  <c r="AI12" i="15"/>
  <c r="AC12" i="15"/>
  <c r="W12" i="15"/>
  <c r="Q12" i="15"/>
  <c r="N12" i="15"/>
  <c r="AH12" i="15"/>
  <c r="R12" i="15"/>
  <c r="K12" i="15"/>
  <c r="E12" i="15"/>
  <c r="F12" i="15"/>
  <c r="L12" i="15"/>
  <c r="AP12" i="15"/>
  <c r="AS12" i="15"/>
  <c r="AM12" i="15"/>
  <c r="AJ12" i="15"/>
  <c r="AG12" i="15"/>
  <c r="AA12" i="15"/>
  <c r="U12" i="15"/>
  <c r="O12" i="15"/>
  <c r="M12" i="15"/>
  <c r="G12" i="15"/>
  <c r="P12" i="15"/>
  <c r="V12" i="15"/>
  <c r="AU12" i="15"/>
  <c r="AO12" i="15"/>
  <c r="J12" i="15"/>
  <c r="T12" i="15"/>
  <c r="X12" i="15"/>
  <c r="I12" i="15"/>
  <c r="AB12" i="15"/>
  <c r="AL12" i="15"/>
  <c r="AW12" i="15"/>
  <c r="AQ12" i="15"/>
  <c r="H12" i="15"/>
  <c r="Z12" i="15"/>
  <c r="AR12" i="15"/>
  <c r="AK12" i="15"/>
  <c r="AE12" i="15"/>
  <c r="X22" i="2"/>
  <c r="AX22" i="2"/>
  <c r="Q22" i="2"/>
  <c r="AN22" i="2"/>
  <c r="AN12" i="2"/>
  <c r="F25" i="2"/>
  <c r="AA25" i="2"/>
  <c r="L25" i="2"/>
  <c r="I25" i="2"/>
  <c r="O25" i="2"/>
  <c r="AU25" i="2"/>
  <c r="AR25" i="2"/>
  <c r="AL25" i="2"/>
  <c r="AI25" i="2"/>
  <c r="AF25" i="2"/>
  <c r="Z25" i="2"/>
  <c r="W25" i="2"/>
  <c r="T25" i="2"/>
  <c r="AO25" i="2"/>
  <c r="N25" i="2"/>
  <c r="K25" i="2"/>
  <c r="H25" i="2"/>
  <c r="AC25" i="2"/>
  <c r="AW25" i="2"/>
  <c r="AT25" i="2"/>
  <c r="AQ25" i="2"/>
  <c r="Q25" i="2"/>
  <c r="AK25" i="2"/>
  <c r="AH25" i="2"/>
  <c r="AE25" i="2"/>
  <c r="AN25" i="2"/>
  <c r="Y25" i="2"/>
  <c r="V25" i="2"/>
  <c r="S25" i="2"/>
  <c r="U25" i="2"/>
  <c r="AB25" i="2"/>
  <c r="M25" i="2"/>
  <c r="J25" i="2"/>
  <c r="G25" i="2"/>
  <c r="R25" i="2"/>
  <c r="P25" i="2"/>
  <c r="AV25" i="2"/>
  <c r="AS25" i="2"/>
  <c r="AP25" i="2"/>
  <c r="X25" i="2"/>
  <c r="AX25" i="2"/>
  <c r="AJ25" i="2"/>
  <c r="AG25" i="2"/>
  <c r="AD25" i="2"/>
  <c r="AM25" i="2"/>
  <c r="Y12" i="2"/>
  <c r="AR22" i="2"/>
  <c r="AP22" i="2"/>
  <c r="O22" i="2"/>
  <c r="AU22" i="2"/>
  <c r="AG22" i="2"/>
  <c r="K22" i="2"/>
  <c r="J22" i="2"/>
  <c r="AF22" i="2"/>
  <c r="G22" i="2"/>
  <c r="AV12" i="2"/>
  <c r="AS22" i="2"/>
  <c r="N12" i="2"/>
  <c r="AT22" i="2"/>
  <c r="M22" i="2"/>
  <c r="I22" i="2"/>
  <c r="J12" i="2"/>
  <c r="AK22" i="2"/>
  <c r="AB22" i="2"/>
  <c r="H16" i="2"/>
  <c r="AI16" i="2"/>
  <c r="R22" i="2"/>
  <c r="L22" i="2"/>
  <c r="AE16" i="2"/>
  <c r="U22" i="2"/>
  <c r="AV22" i="2"/>
  <c r="AD22" i="2"/>
  <c r="F22" i="2"/>
  <c r="W16" i="2"/>
  <c r="T22" i="2"/>
  <c r="AC22" i="2"/>
  <c r="H22" i="2"/>
  <c r="AW22" i="2"/>
  <c r="W12" i="2"/>
  <c r="P22" i="2"/>
  <c r="AM22" i="2"/>
  <c r="Y22" i="2"/>
  <c r="V22" i="2"/>
  <c r="M16" i="2"/>
  <c r="U16" i="2"/>
  <c r="AT12" i="2"/>
  <c r="X12" i="2"/>
  <c r="AQ22" i="2"/>
  <c r="AE22" i="2"/>
  <c r="Q16" i="2"/>
  <c r="AL22" i="2"/>
  <c r="AP16" i="2"/>
  <c r="M12" i="2"/>
  <c r="S22" i="2"/>
  <c r="AO22" i="2"/>
  <c r="Z16" i="2"/>
  <c r="AF16" i="2"/>
  <c r="AI22" i="2"/>
  <c r="AH22" i="2"/>
  <c r="R18" i="2"/>
  <c r="AO16" i="2"/>
  <c r="N22" i="2"/>
  <c r="AK16" i="2"/>
  <c r="O12" i="2"/>
  <c r="AA22" i="2"/>
  <c r="AJ22" i="2"/>
  <c r="AS16" i="2"/>
  <c r="AE12" i="2"/>
  <c r="Z22" i="2"/>
  <c r="AV17" i="2"/>
  <c r="AU17" i="2"/>
  <c r="Z17" i="2"/>
  <c r="AD17" i="2"/>
  <c r="AF18" i="2"/>
  <c r="AE17" i="2"/>
  <c r="P17" i="2"/>
  <c r="AR17" i="2"/>
  <c r="AV21" i="2"/>
  <c r="AN17" i="2"/>
  <c r="J17" i="2"/>
  <c r="AC17" i="2"/>
  <c r="T21" i="2"/>
  <c r="AX21" i="2"/>
  <c r="M21" i="2"/>
  <c r="AT17" i="2"/>
  <c r="M17" i="2"/>
  <c r="O17" i="2"/>
  <c r="AE21" i="2"/>
  <c r="AW17" i="2"/>
  <c r="T17" i="2"/>
  <c r="AO17" i="2"/>
  <c r="AA17" i="2"/>
  <c r="N21" i="2"/>
  <c r="V17" i="2"/>
  <c r="W17" i="2"/>
  <c r="Y17" i="2"/>
  <c r="N17" i="2"/>
  <c r="I21" i="2"/>
  <c r="L17" i="2"/>
  <c r="H17" i="2"/>
  <c r="AH18" i="2"/>
  <c r="AR19" i="12"/>
  <c r="N19" i="12"/>
  <c r="AH19" i="12"/>
  <c r="AC19" i="12"/>
  <c r="J19" i="12"/>
  <c r="Q19" i="12"/>
  <c r="E19" i="12"/>
  <c r="F19" i="12"/>
  <c r="V19" i="12"/>
  <c r="AS19" i="12"/>
  <c r="AM19" i="12"/>
  <c r="Z19" i="12"/>
  <c r="AP19" i="12"/>
  <c r="AG19" i="12"/>
  <c r="AA19" i="12"/>
  <c r="AU19" i="12"/>
  <c r="AL19" i="12"/>
  <c r="R19" i="12"/>
  <c r="U19" i="12"/>
  <c r="O19" i="12"/>
  <c r="H19" i="12"/>
  <c r="AT19" i="12"/>
  <c r="L19" i="12"/>
  <c r="AI19" i="12"/>
  <c r="T19" i="12"/>
  <c r="I19" i="12"/>
  <c r="AW19" i="12"/>
  <c r="AB19" i="12"/>
  <c r="AN19" i="12"/>
  <c r="AQ19" i="12"/>
  <c r="AK19" i="12"/>
  <c r="AV19" i="12"/>
  <c r="P19" i="12"/>
  <c r="W19" i="12"/>
  <c r="AE19" i="12"/>
  <c r="Y19" i="12"/>
  <c r="AJ19" i="12"/>
  <c r="AO19" i="12"/>
  <c r="AD19" i="12"/>
  <c r="S19" i="12"/>
  <c r="M19" i="12"/>
  <c r="K19" i="12"/>
  <c r="G19" i="12"/>
  <c r="X19" i="12"/>
  <c r="AF19" i="12"/>
  <c r="R21" i="2"/>
  <c r="AP17" i="2"/>
  <c r="AS17" i="2"/>
  <c r="I17" i="2"/>
  <c r="G17" i="2"/>
  <c r="Q17" i="2"/>
  <c r="AQ18" i="2"/>
  <c r="L16" i="2"/>
  <c r="AM16" i="2"/>
  <c r="AW16" i="2"/>
  <c r="K16" i="2"/>
  <c r="AB16" i="2"/>
  <c r="AA16" i="2"/>
  <c r="AP6" i="2"/>
  <c r="N16" i="2"/>
  <c r="P16" i="2"/>
  <c r="AR16" i="2"/>
  <c r="G16" i="2"/>
  <c r="AV6" i="2"/>
  <c r="AS6" i="2"/>
  <c r="AC6" i="2"/>
  <c r="AD6" i="2"/>
  <c r="S16" i="2"/>
  <c r="AV16" i="2"/>
  <c r="AT6" i="2"/>
  <c r="AG16" i="2"/>
  <c r="R16" i="2"/>
  <c r="J6" i="2"/>
  <c r="F6" i="2"/>
  <c r="U53" i="2"/>
  <c r="AU16" i="2"/>
  <c r="AJ16" i="2"/>
  <c r="T16" i="2"/>
  <c r="AD16" i="2"/>
  <c r="AL6" i="2"/>
  <c r="X16" i="2"/>
  <c r="AT16" i="2"/>
  <c r="I6" i="2"/>
  <c r="AE6" i="2"/>
  <c r="J16" i="2"/>
  <c r="AV53" i="2"/>
  <c r="I16" i="2"/>
  <c r="G53" i="2"/>
  <c r="V6" i="2"/>
  <c r="P12" i="2"/>
  <c r="Y16" i="2"/>
  <c r="AS53" i="2"/>
  <c r="P6" i="2"/>
  <c r="T6" i="2"/>
  <c r="X6" i="2"/>
  <c r="AK12" i="2"/>
  <c r="AL16" i="2"/>
  <c r="AU53" i="2"/>
  <c r="O16" i="2"/>
  <c r="AH16" i="2"/>
  <c r="O6" i="2"/>
  <c r="AQ6" i="2"/>
  <c r="AI6" i="2"/>
  <c r="Q12" i="2"/>
  <c r="AN16" i="2"/>
  <c r="V16" i="2"/>
  <c r="AB53" i="2"/>
  <c r="AC16" i="2"/>
  <c r="AX16" i="2"/>
  <c r="AK6" i="2"/>
  <c r="T53" i="2"/>
  <c r="AQ9" i="12"/>
  <c r="AJ9" i="12"/>
  <c r="AH9" i="12"/>
  <c r="AG9" i="12"/>
  <c r="U9" i="12"/>
  <c r="O9" i="12"/>
  <c r="R9" i="12"/>
  <c r="AU9" i="12"/>
  <c r="AV9" i="12"/>
  <c r="M9" i="12"/>
  <c r="AO9" i="12"/>
  <c r="AL9" i="12"/>
  <c r="T9" i="12"/>
  <c r="AI9" i="12"/>
  <c r="AM9" i="12"/>
  <c r="Y9" i="12"/>
  <c r="K9" i="12"/>
  <c r="V9" i="12"/>
  <c r="J9" i="12"/>
  <c r="AK9" i="12"/>
  <c r="Z9" i="12"/>
  <c r="AA9" i="12"/>
  <c r="AW9" i="12"/>
  <c r="AT9" i="12"/>
  <c r="F9" i="12"/>
  <c r="AD9" i="12"/>
  <c r="AC9" i="12"/>
  <c r="W9" i="12"/>
  <c r="H9" i="12"/>
  <c r="AS9" i="12"/>
  <c r="G9" i="12"/>
  <c r="AP9" i="12"/>
  <c r="X9" i="12"/>
  <c r="I9" i="12"/>
  <c r="P9" i="12"/>
  <c r="S9" i="12"/>
  <c r="AF9" i="12"/>
  <c r="AR9" i="12"/>
  <c r="AB9" i="12"/>
  <c r="AE9" i="12"/>
  <c r="L9" i="12"/>
  <c r="Q9" i="12"/>
  <c r="N9" i="12"/>
  <c r="AN9" i="12"/>
  <c r="E9" i="12"/>
  <c r="X53" i="2"/>
  <c r="AG6" i="2"/>
  <c r="AH6" i="2"/>
  <c r="AJ6" i="2"/>
  <c r="AW6" i="12"/>
  <c r="G6" i="12"/>
  <c r="O6" i="12"/>
  <c r="AI6" i="12"/>
  <c r="AK6" i="12"/>
  <c r="AB6" i="12"/>
  <c r="N6" i="12"/>
  <c r="S6" i="12"/>
  <c r="AA6" i="12"/>
  <c r="AU6" i="12"/>
  <c r="K6" i="12"/>
  <c r="W6" i="12"/>
  <c r="Y6" i="12"/>
  <c r="AE6" i="12"/>
  <c r="AM6" i="12"/>
  <c r="AC6" i="12"/>
  <c r="AQ6" i="12"/>
  <c r="AH6" i="12"/>
  <c r="AL6" i="12"/>
  <c r="F6" i="12"/>
  <c r="H6" i="12"/>
  <c r="L6" i="12"/>
  <c r="AO6" i="12"/>
  <c r="M6" i="12"/>
  <c r="AS6" i="12"/>
  <c r="AT6" i="12"/>
  <c r="R6" i="12"/>
  <c r="T6" i="12"/>
  <c r="X6" i="12"/>
  <c r="AD6" i="12"/>
  <c r="AF6" i="12"/>
  <c r="AJ6" i="12"/>
  <c r="Z6" i="12"/>
  <c r="AN6" i="12"/>
  <c r="AP6" i="12"/>
  <c r="E6" i="12"/>
  <c r="AR6" i="12"/>
  <c r="I6" i="12"/>
  <c r="J6" i="12"/>
  <c r="AV6" i="12"/>
  <c r="AG6" i="12"/>
  <c r="Q6" i="12"/>
  <c r="U6" i="12"/>
  <c r="V6" i="12"/>
  <c r="P6" i="12"/>
  <c r="AQ16" i="2"/>
  <c r="AO6" i="2"/>
  <c r="AD53" i="2"/>
  <c r="AA6" i="2"/>
  <c r="Z6" i="2"/>
  <c r="AM6" i="2"/>
  <c r="AO47" i="12"/>
  <c r="AI47" i="12"/>
  <c r="AG47" i="12"/>
  <c r="V47" i="12"/>
  <c r="J47" i="12"/>
  <c r="R47" i="12"/>
  <c r="G47" i="12"/>
  <c r="AC47" i="12"/>
  <c r="W47" i="12"/>
  <c r="T47" i="12"/>
  <c r="U47" i="12"/>
  <c r="AR47" i="12"/>
  <c r="Q47" i="12"/>
  <c r="K47" i="12"/>
  <c r="N47" i="12"/>
  <c r="AN47" i="12"/>
  <c r="AP47" i="12"/>
  <c r="I47" i="12"/>
  <c r="L47" i="12"/>
  <c r="E47" i="12"/>
  <c r="X47" i="12"/>
  <c r="F47" i="12"/>
  <c r="AH47" i="12"/>
  <c r="AM47" i="12"/>
  <c r="AS47" i="12"/>
  <c r="AT47" i="12"/>
  <c r="M47" i="12"/>
  <c r="Z47" i="12"/>
  <c r="AU47" i="12"/>
  <c r="AF47" i="12"/>
  <c r="AA47" i="12"/>
  <c r="H47" i="12"/>
  <c r="O47" i="12"/>
  <c r="S47" i="12"/>
  <c r="AW47" i="12"/>
  <c r="AB47" i="12"/>
  <c r="P47" i="12"/>
  <c r="AD47" i="12"/>
  <c r="AQ47" i="12"/>
  <c r="AK47" i="12"/>
  <c r="AJ47" i="12"/>
  <c r="AE47" i="12"/>
  <c r="Y47" i="12"/>
  <c r="AV47" i="12"/>
  <c r="AL47" i="12"/>
  <c r="R6" i="2"/>
  <c r="AX6" i="2"/>
  <c r="W6" i="2"/>
  <c r="AP16" i="12"/>
  <c r="AD16" i="12"/>
  <c r="J16" i="12"/>
  <c r="F16" i="12"/>
  <c r="AH16" i="12"/>
  <c r="Q16" i="12"/>
  <c r="AM16" i="12"/>
  <c r="AG16" i="12"/>
  <c r="H16" i="12"/>
  <c r="AL16" i="12"/>
  <c r="T16" i="12"/>
  <c r="AA16" i="12"/>
  <c r="U16" i="12"/>
  <c r="N16" i="12"/>
  <c r="R16" i="12"/>
  <c r="AO16" i="12"/>
  <c r="O16" i="12"/>
  <c r="I16" i="12"/>
  <c r="K16" i="12"/>
  <c r="AN16" i="12"/>
  <c r="AW16" i="12"/>
  <c r="AQ16" i="12"/>
  <c r="AF16" i="12"/>
  <c r="AK16" i="12"/>
  <c r="AE16" i="12"/>
  <c r="AS16" i="12"/>
  <c r="AB16" i="12"/>
  <c r="AC16" i="12"/>
  <c r="Y16" i="12"/>
  <c r="S16" i="12"/>
  <c r="P16" i="12"/>
  <c r="M16" i="12"/>
  <c r="G16" i="12"/>
  <c r="AJ16" i="12"/>
  <c r="V16" i="12"/>
  <c r="AU16" i="12"/>
  <c r="X16" i="12"/>
  <c r="E16" i="12"/>
  <c r="AV16" i="12"/>
  <c r="AI16" i="12"/>
  <c r="AR16" i="12"/>
  <c r="Z16" i="12"/>
  <c r="L16" i="12"/>
  <c r="W16" i="12"/>
  <c r="AT16" i="12"/>
  <c r="AI12" i="12"/>
  <c r="V12" i="12"/>
  <c r="L12" i="12"/>
  <c r="U12" i="12"/>
  <c r="O12" i="12"/>
  <c r="AH12" i="12"/>
  <c r="I12" i="12"/>
  <c r="AW12" i="12"/>
  <c r="T12" i="12"/>
  <c r="AV12" i="12"/>
  <c r="AF12" i="12"/>
  <c r="N12" i="12"/>
  <c r="AQ12" i="12"/>
  <c r="AK12" i="12"/>
  <c r="F12" i="12"/>
  <c r="X12" i="12"/>
  <c r="AN12" i="12"/>
  <c r="K12" i="12"/>
  <c r="AM12" i="12"/>
  <c r="Z12" i="12"/>
  <c r="AE12" i="12"/>
  <c r="Y12" i="12"/>
  <c r="AU12" i="12"/>
  <c r="S12" i="12"/>
  <c r="M12" i="12"/>
  <c r="AG12" i="12"/>
  <c r="G12" i="12"/>
  <c r="AT12" i="12"/>
  <c r="P12" i="12"/>
  <c r="AP12" i="12"/>
  <c r="J12" i="12"/>
  <c r="AO12" i="12"/>
  <c r="AJ12" i="12"/>
  <c r="AS12" i="12"/>
  <c r="AA12" i="12"/>
  <c r="AD12" i="12"/>
  <c r="W12" i="12"/>
  <c r="AC12" i="12"/>
  <c r="H12" i="12"/>
  <c r="AR12" i="12"/>
  <c r="Q12" i="12"/>
  <c r="R12" i="12"/>
  <c r="AB12" i="12"/>
  <c r="E12" i="12"/>
  <c r="AL12" i="12"/>
  <c r="X18" i="2"/>
  <c r="G21" i="2"/>
  <c r="AM21" i="2"/>
  <c r="AW21" i="2"/>
  <c r="U21" i="2"/>
  <c r="AG18" i="2"/>
  <c r="AS21" i="2"/>
  <c r="AG21" i="2"/>
  <c r="V18" i="2"/>
  <c r="AJ21" i="2"/>
  <c r="AD21" i="2"/>
  <c r="P20" i="2"/>
  <c r="AL17" i="2"/>
  <c r="R17" i="2"/>
  <c r="AI17" i="2"/>
  <c r="AI21" i="2"/>
  <c r="AH17" i="2"/>
  <c r="AK17" i="2"/>
  <c r="AH21" i="2"/>
  <c r="AR21" i="2"/>
  <c r="AU21" i="2"/>
  <c r="AO21" i="2"/>
  <c r="Q20" i="2"/>
  <c r="AJ17" i="2"/>
  <c r="AQ17" i="2"/>
  <c r="AF17" i="2"/>
  <c r="K17" i="2"/>
  <c r="U17" i="2"/>
  <c r="S17" i="2"/>
  <c r="AB17" i="2"/>
  <c r="AG20" i="2"/>
  <c r="AR20" i="2"/>
  <c r="X17" i="2"/>
  <c r="AH19" i="2"/>
  <c r="X19" i="2"/>
  <c r="AQ20" i="2"/>
  <c r="N20" i="2"/>
  <c r="Q18" i="2"/>
  <c r="S20" i="2"/>
  <c r="AP19" i="2"/>
  <c r="W21" i="2"/>
  <c r="H21" i="2"/>
  <c r="AC21" i="2"/>
  <c r="K21" i="2"/>
  <c r="I20" i="2"/>
  <c r="AD20" i="2"/>
  <c r="AR21" i="11"/>
  <c r="J21" i="11"/>
  <c r="AV21" i="11"/>
  <c r="H21" i="11"/>
  <c r="AD21" i="11"/>
  <c r="AB21" i="11"/>
  <c r="L21" i="11"/>
  <c r="N21" i="11"/>
  <c r="U21" i="11"/>
  <c r="S21" i="11"/>
  <c r="Q21" i="11"/>
  <c r="O21" i="11"/>
  <c r="M21" i="11"/>
  <c r="Z21" i="11"/>
  <c r="K21" i="11"/>
  <c r="AH21" i="11"/>
  <c r="AI21" i="11"/>
  <c r="I21" i="11"/>
  <c r="G21" i="11"/>
  <c r="E21" i="11"/>
  <c r="AW21" i="11"/>
  <c r="X21" i="11"/>
  <c r="AU21" i="11"/>
  <c r="R21" i="11"/>
  <c r="T21" i="11"/>
  <c r="V21" i="11"/>
  <c r="AE21" i="11"/>
  <c r="AA21" i="11"/>
  <c r="AL21" i="11"/>
  <c r="AN21" i="11"/>
  <c r="AP21" i="11"/>
  <c r="AS21" i="11"/>
  <c r="AO21" i="11"/>
  <c r="AK21" i="11"/>
  <c r="AF21" i="11"/>
  <c r="W21" i="11"/>
  <c r="AQ21" i="11"/>
  <c r="AT21" i="11"/>
  <c r="P21" i="11"/>
  <c r="AM21" i="11"/>
  <c r="AJ21" i="11"/>
  <c r="Y21" i="11"/>
  <c r="F21" i="11"/>
  <c r="AC21" i="11"/>
  <c r="AG21" i="11"/>
  <c r="O19" i="2"/>
  <c r="AK19" i="2"/>
  <c r="H19" i="2"/>
  <c r="S19" i="2"/>
  <c r="AR23" i="11"/>
  <c r="AN23" i="11"/>
  <c r="AB23" i="11"/>
  <c r="O23" i="11"/>
  <c r="AP23" i="11"/>
  <c r="AM23" i="11"/>
  <c r="V23" i="11"/>
  <c r="N23" i="11"/>
  <c r="R23" i="11"/>
  <c r="AJ23" i="11"/>
  <c r="T23" i="11"/>
  <c r="H23" i="11"/>
  <c r="AH23" i="11"/>
  <c r="X23" i="11"/>
  <c r="AW23" i="11"/>
  <c r="AU23" i="11"/>
  <c r="AS23" i="11"/>
  <c r="AQ23" i="11"/>
  <c r="AO23" i="11"/>
  <c r="Z23" i="11"/>
  <c r="AV23" i="11"/>
  <c r="P23" i="11"/>
  <c r="AK23" i="11"/>
  <c r="AI23" i="11"/>
  <c r="AG23" i="11"/>
  <c r="AE23" i="11"/>
  <c r="AC23" i="11"/>
  <c r="AT23" i="11"/>
  <c r="AL23" i="11"/>
  <c r="W23" i="11"/>
  <c r="S23" i="11"/>
  <c r="F23" i="11"/>
  <c r="K23" i="11"/>
  <c r="G23" i="11"/>
  <c r="AA23" i="11"/>
  <c r="I23" i="11"/>
  <c r="E23" i="11"/>
  <c r="L23" i="11"/>
  <c r="AD23" i="11"/>
  <c r="AF23" i="11"/>
  <c r="Y23" i="11"/>
  <c r="Q23" i="11"/>
  <c r="M23" i="11"/>
  <c r="J23" i="11"/>
  <c r="U23" i="11"/>
  <c r="AV18" i="11"/>
  <c r="E18" i="11"/>
  <c r="AB18" i="11"/>
  <c r="AA18" i="11"/>
  <c r="Y18" i="11"/>
  <c r="W18" i="11"/>
  <c r="U18" i="11"/>
  <c r="S18" i="11"/>
  <c r="J18" i="11"/>
  <c r="AR18" i="11"/>
  <c r="AJ18" i="11"/>
  <c r="Z18" i="11"/>
  <c r="O18" i="11"/>
  <c r="M18" i="11"/>
  <c r="K18" i="11"/>
  <c r="I18" i="11"/>
  <c r="G18" i="11"/>
  <c r="AD18" i="11"/>
  <c r="L18" i="11"/>
  <c r="N18" i="11"/>
  <c r="R18" i="11"/>
  <c r="T18" i="11"/>
  <c r="AT18" i="11"/>
  <c r="F18" i="11"/>
  <c r="AU18" i="11"/>
  <c r="AQ18" i="11"/>
  <c r="AH18" i="11"/>
  <c r="Q18" i="11"/>
  <c r="AO18" i="11"/>
  <c r="AM18" i="11"/>
  <c r="AI18" i="11"/>
  <c r="AE18" i="11"/>
  <c r="P18" i="11"/>
  <c r="AL18" i="11"/>
  <c r="AN18" i="11"/>
  <c r="AW18" i="11"/>
  <c r="H18" i="11"/>
  <c r="AF18" i="11"/>
  <c r="AS18" i="11"/>
  <c r="AG18" i="11"/>
  <c r="AK18" i="11"/>
  <c r="AC18" i="11"/>
  <c r="V18" i="11"/>
  <c r="X18" i="11"/>
  <c r="AP18" i="11"/>
  <c r="Z19" i="2"/>
  <c r="AX19" i="2"/>
  <c r="J20" i="2"/>
  <c r="AK20" i="2"/>
  <c r="Y20" i="2"/>
  <c r="AB19" i="2"/>
  <c r="AO19" i="2"/>
  <c r="AU20" i="2"/>
  <c r="N19" i="2"/>
  <c r="Z20" i="2"/>
  <c r="F20" i="2"/>
  <c r="AC20" i="2"/>
  <c r="AQ21" i="2"/>
  <c r="T18" i="2"/>
  <c r="AE19" i="2"/>
  <c r="AT21" i="2"/>
  <c r="R19" i="2"/>
  <c r="U20" i="2"/>
  <c r="AJ19" i="2"/>
  <c r="AF21" i="2"/>
  <c r="AB21" i="2"/>
  <c r="L21" i="2"/>
  <c r="AV19" i="2"/>
  <c r="J21" i="2"/>
  <c r="F21" i="2"/>
  <c r="AA21" i="2"/>
  <c r="Q21" i="2"/>
  <c r="O21" i="2"/>
  <c r="M19" i="2"/>
  <c r="AO20" i="2"/>
  <c r="O20" i="2"/>
  <c r="AW20" i="2"/>
  <c r="V19" i="2"/>
  <c r="W19" i="2"/>
  <c r="AS20" i="2"/>
  <c r="L20" i="2"/>
  <c r="T20" i="2"/>
  <c r="AB20" i="2"/>
  <c r="X20" i="2"/>
  <c r="G20" i="2"/>
  <c r="AM20" i="2"/>
  <c r="AL20" i="2"/>
  <c r="AI19" i="2"/>
  <c r="AO18" i="2"/>
  <c r="AX18" i="2"/>
  <c r="AV18" i="2"/>
  <c r="AW18" i="2"/>
  <c r="AN17" i="11"/>
  <c r="AR17" i="11"/>
  <c r="AD17" i="11"/>
  <c r="V17" i="11"/>
  <c r="J17" i="11"/>
  <c r="AP17" i="11"/>
  <c r="AB17" i="11"/>
  <c r="R17" i="11"/>
  <c r="H17" i="11"/>
  <c r="AH17" i="11"/>
  <c r="N17" i="11"/>
  <c r="AL17" i="11"/>
  <c r="AA17" i="11"/>
  <c r="P17" i="11"/>
  <c r="F17" i="11"/>
  <c r="AV17" i="11"/>
  <c r="X17" i="11"/>
  <c r="AM17" i="11"/>
  <c r="AK17" i="11"/>
  <c r="AI17" i="11"/>
  <c r="AG17" i="11"/>
  <c r="AE17" i="11"/>
  <c r="AC17" i="11"/>
  <c r="AT17" i="11"/>
  <c r="L17" i="11"/>
  <c r="Y17" i="11"/>
  <c r="W17" i="11"/>
  <c r="U17" i="11"/>
  <c r="S17" i="11"/>
  <c r="Q17" i="11"/>
  <c r="T17" i="11"/>
  <c r="K17" i="11"/>
  <c r="G17" i="11"/>
  <c r="AW17" i="11"/>
  <c r="AS17" i="11"/>
  <c r="AO17" i="11"/>
  <c r="O17" i="11"/>
  <c r="M17" i="11"/>
  <c r="E17" i="11"/>
  <c r="AF17" i="11"/>
  <c r="AJ17" i="11"/>
  <c r="AU17" i="11"/>
  <c r="Z17" i="11"/>
  <c r="I17" i="11"/>
  <c r="AQ17" i="11"/>
  <c r="AA19" i="2"/>
  <c r="AP18" i="2"/>
  <c r="AP21" i="2"/>
  <c r="H20" i="2"/>
  <c r="AL19" i="2"/>
  <c r="V21" i="2"/>
  <c r="L19" i="2"/>
  <c r="AJ20" i="2"/>
  <c r="P21" i="2"/>
  <c r="Y21" i="2"/>
  <c r="AK21" i="2"/>
  <c r="S21" i="2"/>
  <c r="X21" i="2"/>
  <c r="AN20" i="2"/>
  <c r="Y19" i="2"/>
  <c r="AD19" i="2"/>
  <c r="AF20" i="2"/>
  <c r="W20" i="2"/>
  <c r="K20" i="2"/>
  <c r="AP20" i="2"/>
  <c r="R20" i="2"/>
  <c r="K19" i="2"/>
  <c r="V20" i="2"/>
  <c r="T19" i="2"/>
  <c r="AI20" i="2"/>
  <c r="M20" i="2"/>
  <c r="P19" i="2"/>
  <c r="AT20" i="2"/>
  <c r="AR19" i="2"/>
  <c r="AA20" i="2"/>
  <c r="AU18" i="2"/>
  <c r="I19" i="2"/>
  <c r="AM18" i="2"/>
  <c r="AT18" i="2"/>
  <c r="AQ19" i="11"/>
  <c r="R19" i="11"/>
  <c r="AN19" i="11"/>
  <c r="S19" i="11"/>
  <c r="AL19" i="11"/>
  <c r="AP19" i="11"/>
  <c r="E19" i="11"/>
  <c r="AW19" i="11"/>
  <c r="AU19" i="11"/>
  <c r="AS19" i="11"/>
  <c r="X19" i="11"/>
  <c r="AT19" i="11"/>
  <c r="AB19" i="11"/>
  <c r="AD19" i="11"/>
  <c r="L19" i="11"/>
  <c r="AH19" i="11"/>
  <c r="AJ19" i="11"/>
  <c r="V19" i="11"/>
  <c r="AO19" i="11"/>
  <c r="AM19" i="11"/>
  <c r="AK19" i="11"/>
  <c r="AI19" i="11"/>
  <c r="AG19" i="11"/>
  <c r="AR19" i="11"/>
  <c r="AV19" i="11"/>
  <c r="J19" i="11"/>
  <c r="AF19" i="11"/>
  <c r="AC19" i="11"/>
  <c r="Y19" i="11"/>
  <c r="U19" i="11"/>
  <c r="F19" i="11"/>
  <c r="T19" i="11"/>
  <c r="Q19" i="11"/>
  <c r="M19" i="11"/>
  <c r="I19" i="11"/>
  <c r="Z19" i="11"/>
  <c r="H19" i="11"/>
  <c r="P19" i="11"/>
  <c r="O19" i="11"/>
  <c r="AE19" i="11"/>
  <c r="AA19" i="11"/>
  <c r="W19" i="11"/>
  <c r="G19" i="11"/>
  <c r="N19" i="11"/>
  <c r="K19" i="11"/>
  <c r="AP20" i="11"/>
  <c r="AR20" i="11"/>
  <c r="AD20" i="11"/>
  <c r="N20" i="11"/>
  <c r="AJ20" i="11"/>
  <c r="AB20" i="11"/>
  <c r="L20" i="11"/>
  <c r="AV20" i="11"/>
  <c r="P20" i="11"/>
  <c r="AH20" i="11"/>
  <c r="V20" i="11"/>
  <c r="I20" i="11"/>
  <c r="AG20" i="11"/>
  <c r="H20" i="11"/>
  <c r="G20" i="11"/>
  <c r="E20" i="11"/>
  <c r="AW20" i="11"/>
  <c r="AU20" i="11"/>
  <c r="X20" i="11"/>
  <c r="Z20" i="11"/>
  <c r="U20" i="11"/>
  <c r="AQ20" i="11"/>
  <c r="AO20" i="11"/>
  <c r="AM20" i="11"/>
  <c r="AK20" i="11"/>
  <c r="AI20" i="11"/>
  <c r="AS20" i="11"/>
  <c r="AT20" i="11"/>
  <c r="J20" i="11"/>
  <c r="AC20" i="11"/>
  <c r="Y20" i="11"/>
  <c r="R20" i="11"/>
  <c r="Q20" i="11"/>
  <c r="M20" i="11"/>
  <c r="AN20" i="11"/>
  <c r="AE20" i="11"/>
  <c r="W20" i="11"/>
  <c r="AA20" i="11"/>
  <c r="AF20" i="11"/>
  <c r="T20" i="11"/>
  <c r="S20" i="11"/>
  <c r="K20" i="11"/>
  <c r="F20" i="11"/>
  <c r="AL20" i="11"/>
  <c r="O20" i="11"/>
  <c r="AW22" i="11"/>
  <c r="Z22" i="11"/>
  <c r="W22" i="11"/>
  <c r="U22" i="11"/>
  <c r="S22" i="11"/>
  <c r="Q22" i="11"/>
  <c r="O22" i="11"/>
  <c r="L22" i="11"/>
  <c r="M22" i="11"/>
  <c r="N22" i="11"/>
  <c r="P22" i="11"/>
  <c r="X22" i="11"/>
  <c r="AL22" i="11"/>
  <c r="AN22" i="11"/>
  <c r="AV22" i="11"/>
  <c r="K22" i="11"/>
  <c r="I22" i="11"/>
  <c r="G22" i="11"/>
  <c r="E22" i="11"/>
  <c r="AF22" i="11"/>
  <c r="AH22" i="11"/>
  <c r="AJ22" i="11"/>
  <c r="AT22" i="11"/>
  <c r="AK22" i="11"/>
  <c r="AR22" i="11"/>
  <c r="AB22" i="11"/>
  <c r="AS22" i="11"/>
  <c r="AO22" i="11"/>
  <c r="J22" i="11"/>
  <c r="T22" i="11"/>
  <c r="V22" i="11"/>
  <c r="AG22" i="11"/>
  <c r="AC22" i="11"/>
  <c r="AD22" i="11"/>
  <c r="AP22" i="11"/>
  <c r="AE22" i="11"/>
  <c r="Y22" i="11"/>
  <c r="AA22" i="11"/>
  <c r="H22" i="11"/>
  <c r="F22" i="11"/>
  <c r="AU22" i="11"/>
  <c r="AM22" i="11"/>
  <c r="R22" i="11"/>
  <c r="AI22" i="11"/>
  <c r="AQ22" i="11"/>
  <c r="AW9" i="11"/>
  <c r="AL9" i="11"/>
  <c r="N9" i="11"/>
  <c r="AA9" i="11"/>
  <c r="Z9" i="11"/>
  <c r="AM9" i="11"/>
  <c r="O9" i="11"/>
  <c r="AC9" i="11"/>
  <c r="F9" i="11"/>
  <c r="G9" i="11"/>
  <c r="H9" i="11"/>
  <c r="AN9" i="11"/>
  <c r="AF9" i="11"/>
  <c r="AS9" i="11"/>
  <c r="AT9" i="11"/>
  <c r="K9" i="11"/>
  <c r="X9" i="11"/>
  <c r="Y9" i="11"/>
  <c r="E9" i="11"/>
  <c r="AD9" i="11"/>
  <c r="AE9" i="11"/>
  <c r="AR9" i="11"/>
  <c r="AP9" i="11"/>
  <c r="AH9" i="11"/>
  <c r="M9" i="11"/>
  <c r="AO9" i="11"/>
  <c r="R9" i="11"/>
  <c r="S9" i="11"/>
  <c r="T9" i="11"/>
  <c r="I9" i="11"/>
  <c r="J9" i="11"/>
  <c r="AB9" i="11"/>
  <c r="W9" i="11"/>
  <c r="AJ9" i="11"/>
  <c r="AK9" i="11"/>
  <c r="U9" i="11"/>
  <c r="V9" i="11"/>
  <c r="AI9" i="11"/>
  <c r="AV9" i="11"/>
  <c r="Q9" i="11"/>
  <c r="AQ9" i="11"/>
  <c r="P9" i="11"/>
  <c r="AG9" i="11"/>
  <c r="AU9" i="11"/>
  <c r="L9" i="11"/>
  <c r="AN53" i="2"/>
  <c r="AF53" i="2"/>
  <c r="AE53" i="2"/>
  <c r="AO53" i="2"/>
  <c r="AI53" i="2"/>
  <c r="N53" i="2"/>
  <c r="Y53" i="2"/>
  <c r="W53" i="2"/>
  <c r="AG53" i="2"/>
  <c r="Z53" i="2"/>
  <c r="AK53" i="2"/>
  <c r="F53" i="2"/>
  <c r="H53" i="2"/>
  <c r="AB12" i="2"/>
  <c r="AL12" i="2"/>
  <c r="AJ12" i="2"/>
  <c r="AW12" i="2"/>
  <c r="AP12" i="2"/>
  <c r="S12" i="2"/>
  <c r="AM12" i="2"/>
  <c r="AR12" i="2"/>
  <c r="AC12" i="2"/>
  <c r="K12" i="2"/>
  <c r="AQ6" i="11"/>
  <c r="AS6" i="11"/>
  <c r="AL6" i="11"/>
  <c r="AF6" i="11"/>
  <c r="X6" i="11"/>
  <c r="R6" i="11"/>
  <c r="J6" i="11"/>
  <c r="E6" i="11"/>
  <c r="AR6" i="11"/>
  <c r="AJ6" i="11"/>
  <c r="AD6" i="11"/>
  <c r="V6" i="11"/>
  <c r="Q6" i="11"/>
  <c r="I6" i="11"/>
  <c r="AV6" i="11"/>
  <c r="AP6" i="11"/>
  <c r="AH6" i="11"/>
  <c r="AC6" i="11"/>
  <c r="U6" i="11"/>
  <c r="N6" i="11"/>
  <c r="H6" i="11"/>
  <c r="AT6" i="11"/>
  <c r="AO6" i="11"/>
  <c r="AG6" i="11"/>
  <c r="Z6" i="11"/>
  <c r="T6" i="11"/>
  <c r="L6" i="11"/>
  <c r="F6" i="11"/>
  <c r="K6" i="11"/>
  <c r="M6" i="11"/>
  <c r="AB6" i="11"/>
  <c r="AE6" i="11"/>
  <c r="W6" i="11"/>
  <c r="Y6" i="11"/>
  <c r="O6" i="11"/>
  <c r="AN6" i="11"/>
  <c r="AI6" i="11"/>
  <c r="AK6" i="11"/>
  <c r="AA6" i="11"/>
  <c r="G6" i="11"/>
  <c r="AM6" i="11"/>
  <c r="AU6" i="11"/>
  <c r="AW6" i="11"/>
  <c r="S6" i="11"/>
  <c r="P6" i="11"/>
  <c r="AR80" i="11"/>
  <c r="AN80" i="11"/>
  <c r="U80" i="11"/>
  <c r="T80" i="11"/>
  <c r="AP80" i="11"/>
  <c r="V80" i="11"/>
  <c r="G80" i="11"/>
  <c r="E80" i="11"/>
  <c r="AW80" i="11"/>
  <c r="AU80" i="11"/>
  <c r="X80" i="11"/>
  <c r="AD80" i="11"/>
  <c r="AF80" i="11"/>
  <c r="N80" i="11"/>
  <c r="P80" i="11"/>
  <c r="AQ80" i="11"/>
  <c r="AO80" i="11"/>
  <c r="AM80" i="11"/>
  <c r="AK80" i="11"/>
  <c r="AI80" i="11"/>
  <c r="AS80" i="11"/>
  <c r="F80" i="11"/>
  <c r="H80" i="11"/>
  <c r="AH80" i="11"/>
  <c r="AJ80" i="11"/>
  <c r="AE80" i="11"/>
  <c r="AC80" i="11"/>
  <c r="AA80" i="11"/>
  <c r="Y80" i="11"/>
  <c r="W80" i="11"/>
  <c r="Z80" i="11"/>
  <c r="AB80" i="11"/>
  <c r="L80" i="11"/>
  <c r="R80" i="11"/>
  <c r="M80" i="11"/>
  <c r="AT80" i="11"/>
  <c r="I80" i="11"/>
  <c r="AG80" i="11"/>
  <c r="S80" i="11"/>
  <c r="K80" i="11"/>
  <c r="Q80" i="11"/>
  <c r="AV80" i="11"/>
  <c r="AL80" i="11"/>
  <c r="O80" i="11"/>
  <c r="J80" i="11"/>
  <c r="AL53" i="2"/>
  <c r="AA53" i="2"/>
  <c r="AH53" i="2"/>
  <c r="AT53" i="2"/>
  <c r="Q53" i="2"/>
  <c r="M53" i="2"/>
  <c r="Q6" i="2"/>
  <c r="AS12" i="2"/>
  <c r="AN6" i="2"/>
  <c r="Y6" i="2"/>
  <c r="U6" i="2"/>
  <c r="U12" i="2"/>
  <c r="AO12" i="2"/>
  <c r="F12" i="2"/>
  <c r="T12" i="2"/>
  <c r="AX12" i="2"/>
  <c r="AI12" i="2"/>
  <c r="V12" i="2"/>
  <c r="AA12" i="2"/>
  <c r="H12" i="2"/>
  <c r="AP12" i="11"/>
  <c r="Z12" i="11"/>
  <c r="AV12" i="11"/>
  <c r="G12" i="11"/>
  <c r="AT12" i="11"/>
  <c r="F12" i="11"/>
  <c r="AB12" i="11"/>
  <c r="AE12" i="11"/>
  <c r="AH12" i="11"/>
  <c r="R12" i="11"/>
  <c r="AD12" i="11"/>
  <c r="AO12" i="11"/>
  <c r="AA12" i="11"/>
  <c r="Y12" i="11"/>
  <c r="W12" i="11"/>
  <c r="U12" i="11"/>
  <c r="E12" i="11"/>
  <c r="L12" i="11"/>
  <c r="P12" i="11"/>
  <c r="AL12" i="11"/>
  <c r="AC12" i="11"/>
  <c r="O12" i="11"/>
  <c r="M12" i="11"/>
  <c r="K12" i="11"/>
  <c r="I12" i="11"/>
  <c r="X12" i="11"/>
  <c r="AF12" i="11"/>
  <c r="AJ12" i="11"/>
  <c r="H12" i="11"/>
  <c r="S12" i="11"/>
  <c r="T12" i="11"/>
  <c r="Q12" i="11"/>
  <c r="AW12" i="11"/>
  <c r="AU12" i="11"/>
  <c r="AS12" i="11"/>
  <c r="V12" i="11"/>
  <c r="AR12" i="11"/>
  <c r="AI12" i="11"/>
  <c r="N12" i="11"/>
  <c r="AN12" i="11"/>
  <c r="AG12" i="11"/>
  <c r="J12" i="11"/>
  <c r="AM12" i="11"/>
  <c r="AQ12" i="11"/>
  <c r="AK12" i="11"/>
  <c r="AM53" i="2"/>
  <c r="AJ53" i="2"/>
  <c r="AC53" i="2"/>
  <c r="AW53" i="2"/>
  <c r="K53" i="2"/>
  <c r="AQ53" i="2"/>
  <c r="AX53" i="2"/>
  <c r="S53" i="2"/>
  <c r="AR53" i="2"/>
  <c r="O53" i="2"/>
  <c r="R53" i="2"/>
  <c r="N6" i="2"/>
  <c r="AR6" i="2"/>
  <c r="S6" i="2"/>
  <c r="AB6" i="2"/>
  <c r="I53" i="2"/>
  <c r="V53" i="2"/>
  <c r="AQ12" i="2"/>
  <c r="AG12" i="2"/>
  <c r="AD12" i="2"/>
  <c r="G12" i="2"/>
  <c r="Z12" i="2"/>
  <c r="AF12" i="2"/>
  <c r="I12" i="2"/>
  <c r="AU12" i="2"/>
  <c r="L12" i="2"/>
  <c r="R12" i="2"/>
  <c r="AN16" i="11"/>
  <c r="AR16" i="11"/>
  <c r="AH16" i="11"/>
  <c r="Z16" i="11"/>
  <c r="N16" i="11"/>
  <c r="H16" i="11"/>
  <c r="AP16" i="11"/>
  <c r="AF16" i="11"/>
  <c r="X16" i="11"/>
  <c r="M16" i="11"/>
  <c r="F16" i="11"/>
  <c r="AW16" i="11"/>
  <c r="AL16" i="11"/>
  <c r="AD16" i="11"/>
  <c r="V16" i="11"/>
  <c r="L16" i="11"/>
  <c r="AV16" i="11"/>
  <c r="AJ16" i="11"/>
  <c r="AB16" i="11"/>
  <c r="R16" i="11"/>
  <c r="J16" i="11"/>
  <c r="T16" i="11"/>
  <c r="AU16" i="11"/>
  <c r="AS16" i="11"/>
  <c r="AQ16" i="11"/>
  <c r="AO16" i="11"/>
  <c r="AM16" i="11"/>
  <c r="AT16" i="11"/>
  <c r="P16" i="11"/>
  <c r="AI16" i="11"/>
  <c r="AG16" i="11"/>
  <c r="AE16" i="11"/>
  <c r="AC16" i="11"/>
  <c r="AA16" i="11"/>
  <c r="AK16" i="11"/>
  <c r="W16" i="11"/>
  <c r="U16" i="11"/>
  <c r="S16" i="11"/>
  <c r="Q16" i="11"/>
  <c r="O16" i="11"/>
  <c r="K16" i="11"/>
  <c r="Y16" i="11"/>
  <c r="I16" i="11"/>
  <c r="E16" i="11"/>
  <c r="G16" i="11"/>
  <c r="AP25" i="11"/>
  <c r="AL25" i="11"/>
  <c r="Q25" i="11"/>
  <c r="AJ25" i="11"/>
  <c r="P25" i="11"/>
  <c r="AH25" i="11"/>
  <c r="N25" i="11"/>
  <c r="AC25" i="11"/>
  <c r="H25" i="11"/>
  <c r="AN25" i="11"/>
  <c r="AO25" i="11"/>
  <c r="V25" i="11"/>
  <c r="O25" i="11"/>
  <c r="M25" i="11"/>
  <c r="K25" i="11"/>
  <c r="I25" i="11"/>
  <c r="G25" i="11"/>
  <c r="E25" i="11"/>
  <c r="AB25" i="11"/>
  <c r="L25" i="11"/>
  <c r="AW25" i="11"/>
  <c r="AU25" i="11"/>
  <c r="AS25" i="11"/>
  <c r="AQ25" i="11"/>
  <c r="X25" i="11"/>
  <c r="Z25" i="11"/>
  <c r="AV25" i="11"/>
  <c r="AF25" i="11"/>
  <c r="AM25" i="11"/>
  <c r="AK25" i="11"/>
  <c r="AI25" i="11"/>
  <c r="AG25" i="11"/>
  <c r="AE25" i="11"/>
  <c r="AR25" i="11"/>
  <c r="AT25" i="11"/>
  <c r="J25" i="11"/>
  <c r="R25" i="11"/>
  <c r="Y25" i="11"/>
  <c r="T25" i="11"/>
  <c r="S25" i="11"/>
  <c r="W25" i="11"/>
  <c r="AA25" i="11"/>
  <c r="AD25" i="11"/>
  <c r="U25" i="11"/>
  <c r="F25" i="11"/>
  <c r="N23" i="2"/>
  <c r="T23" i="2"/>
  <c r="W23" i="2"/>
  <c r="AL23" i="2"/>
  <c r="AB23" i="2"/>
  <c r="Q23" i="2"/>
  <c r="L23" i="2"/>
  <c r="AN23" i="2"/>
  <c r="AF23" i="2"/>
  <c r="AH23" i="2"/>
  <c r="H23" i="2"/>
  <c r="AT23" i="2"/>
  <c r="AJ23" i="2"/>
  <c r="AW23" i="2"/>
  <c r="P23" i="2"/>
  <c r="AE23" i="2"/>
  <c r="M23" i="2"/>
  <c r="U23" i="2"/>
  <c r="K23" i="2"/>
  <c r="AO23" i="2"/>
  <c r="AU23" i="2"/>
  <c r="AP23" i="2"/>
  <c r="AM23" i="2"/>
  <c r="Z23" i="2"/>
  <c r="AR23" i="2"/>
  <c r="AV23" i="2"/>
  <c r="AX23" i="2"/>
  <c r="R23" i="2"/>
  <c r="AD23" i="2"/>
  <c r="O23" i="2"/>
  <c r="X23" i="2"/>
  <c r="AA23" i="2"/>
  <c r="F23" i="2"/>
  <c r="AS23" i="2"/>
  <c r="G23" i="2"/>
  <c r="AQ23" i="2"/>
  <c r="Y23" i="2"/>
  <c r="AG23" i="2"/>
  <c r="AK23" i="2"/>
  <c r="I23" i="2"/>
  <c r="J23" i="2"/>
  <c r="S23" i="2"/>
  <c r="AI23" i="2"/>
  <c r="AC23" i="2"/>
  <c r="AN19" i="2"/>
  <c r="AC19" i="2"/>
  <c r="AM19" i="2"/>
  <c r="U19" i="2"/>
  <c r="G19" i="2"/>
  <c r="Z21" i="2"/>
  <c r="AL21" i="2"/>
  <c r="F19" i="2"/>
  <c r="AH20" i="2"/>
  <c r="AX20" i="2"/>
  <c r="Q19" i="2"/>
  <c r="L53" i="2"/>
  <c r="J53" i="2"/>
  <c r="AJ18" i="2"/>
  <c r="P53" i="2"/>
  <c r="AU19" i="2"/>
  <c r="AQ19" i="2"/>
  <c r="AU6" i="2"/>
  <c r="AW6" i="2"/>
  <c r="AF6" i="2"/>
  <c r="H6" i="2"/>
  <c r="L6" i="2"/>
  <c r="K6" i="2"/>
  <c r="G6" i="2"/>
  <c r="F18" i="2"/>
  <c r="AB18" i="2"/>
  <c r="AE18" i="2"/>
  <c r="P18" i="2"/>
  <c r="AS18" i="2"/>
  <c r="Z18" i="2"/>
  <c r="AC18" i="2"/>
  <c r="AN18" i="2"/>
  <c r="M18" i="2"/>
  <c r="AA18" i="2"/>
  <c r="O18" i="2"/>
  <c r="AD18" i="2"/>
  <c r="K18" i="2"/>
  <c r="G18" i="2"/>
  <c r="I18" i="2"/>
  <c r="AI18" i="2"/>
  <c r="AK18" i="2"/>
  <c r="S18" i="2"/>
  <c r="W18" i="2"/>
  <c r="J18" i="2"/>
  <c r="L18" i="2"/>
  <c r="N18" i="2"/>
  <c r="U18" i="2"/>
  <c r="H18" i="2"/>
  <c r="AL18" i="2"/>
  <c r="Y18" i="2"/>
  <c r="J19" i="2"/>
  <c r="AT19" i="2"/>
  <c r="AW19" i="2"/>
  <c r="F9" i="2"/>
  <c r="AR9" i="2"/>
  <c r="AT9" i="2"/>
  <c r="L9" i="2"/>
  <c r="AM9" i="2"/>
  <c r="AF9" i="2"/>
  <c r="U9" i="2"/>
  <c r="AI9" i="2"/>
  <c r="M9" i="2"/>
  <c r="T9" i="2"/>
  <c r="AQ9" i="2"/>
  <c r="W9" i="2"/>
  <c r="AC9" i="2"/>
  <c r="H9" i="2"/>
  <c r="AE9" i="2"/>
  <c r="AH9" i="2"/>
  <c r="AN9" i="2"/>
  <c r="Q9" i="2"/>
  <c r="S9" i="2"/>
  <c r="J9" i="2"/>
  <c r="AA9" i="2"/>
  <c r="O9" i="2"/>
  <c r="G9" i="2"/>
  <c r="AS9" i="2"/>
  <c r="AL9" i="2"/>
  <c r="Z9" i="2"/>
  <c r="AO9" i="2"/>
  <c r="AP9" i="2"/>
  <c r="AK9" i="2"/>
  <c r="AW9" i="2"/>
  <c r="AB9" i="2"/>
  <c r="AD9" i="2"/>
  <c r="Y9" i="2"/>
  <c r="AV9" i="2"/>
  <c r="P9" i="2"/>
  <c r="R9" i="2"/>
  <c r="V9" i="2"/>
  <c r="X9" i="2"/>
  <c r="AX9" i="2"/>
  <c r="AG9" i="2"/>
  <c r="AU9" i="2"/>
  <c r="N9" i="2"/>
  <c r="I9" i="2"/>
  <c r="K9" i="2"/>
  <c r="AJ9" i="2"/>
  <c r="AG19" i="2"/>
  <c r="AF19" i="2"/>
  <c r="AV20" i="2"/>
  <c r="AM17" i="2"/>
  <c r="F17" i="2"/>
  <c r="AG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<sst xmlns="http://schemas.openxmlformats.org/spreadsheetml/2006/main" count="2995" uniqueCount="644">
  <si>
    <t>University of Northern British Columbia</t>
  </si>
  <si>
    <t>Northern Analytical Laboratory Services</t>
  </si>
  <si>
    <t>Report File (Processing)</t>
  </si>
  <si>
    <t>Analyst:</t>
  </si>
  <si>
    <t>NALS Director:</t>
  </si>
  <si>
    <t>Dr. Hossein Kazemian</t>
  </si>
  <si>
    <t>Date:</t>
  </si>
  <si>
    <t>Client Name:</t>
  </si>
  <si>
    <t>Supervisor:</t>
  </si>
  <si>
    <t>Client Company Name:</t>
  </si>
  <si>
    <t>Reference File:</t>
  </si>
  <si>
    <t>Number of Samples:</t>
  </si>
  <si>
    <r>
      <t xml:space="preserve">ICPOES (Raw Data - </t>
    </r>
    <r>
      <rPr>
        <b/>
        <sz val="11"/>
        <color rgb="FFFF0000"/>
        <rFont val="Times New Roman"/>
        <family val="1"/>
      </rPr>
      <t>ONLY CLIENT SAMPLE, NO QA/QC</t>
    </r>
    <r>
      <rPr>
        <b/>
        <sz val="11"/>
        <rFont val="Times New Roman"/>
        <family val="1"/>
      </rPr>
      <t>)</t>
    </r>
  </si>
  <si>
    <t>Ag 328.068 nm</t>
  </si>
  <si>
    <t>Ag 338.289 nm</t>
  </si>
  <si>
    <t>Al 396.152 nm</t>
  </si>
  <si>
    <t>As 188.980 nm</t>
  </si>
  <si>
    <t>As 193.696 nm</t>
  </si>
  <si>
    <t>B 249.678 nm</t>
  </si>
  <si>
    <t>B 249.772 nm</t>
  </si>
  <si>
    <t>Ba 493.408 nm</t>
  </si>
  <si>
    <t>Ba-A 455.403 nm</t>
  </si>
  <si>
    <t>Be 234.861 nm</t>
  </si>
  <si>
    <t>Be 313.042 nm</t>
  </si>
  <si>
    <t>Bi 222.821 nm</t>
  </si>
  <si>
    <t>Bi 223.061 nm</t>
  </si>
  <si>
    <t>Ca 317.933 nm</t>
  </si>
  <si>
    <t>Ca 422.673 nm</t>
  </si>
  <si>
    <t>Cd 214.439 nm</t>
  </si>
  <si>
    <t>Cd 226.502 nm</t>
  </si>
  <si>
    <t>Ce 418.659 nm</t>
  </si>
  <si>
    <t>Ce 446.021 nm</t>
  </si>
  <si>
    <t>Co 238.892 nm</t>
  </si>
  <si>
    <t>Co 258.033 nm</t>
  </si>
  <si>
    <t>Cr 206.158 nm</t>
  </si>
  <si>
    <t>Cr 267.716 nm</t>
  </si>
  <si>
    <t>Cu-A 327.395 nm</t>
  </si>
  <si>
    <t>Dy 340.780 nm</t>
  </si>
  <si>
    <t>Dy 353.171 nm</t>
  </si>
  <si>
    <t>Er 337.275 nm</t>
  </si>
  <si>
    <t>Er 349.910 nm</t>
  </si>
  <si>
    <t>Eu 397.197 nm</t>
  </si>
  <si>
    <t>Eu 420.504 nm</t>
  </si>
  <si>
    <t>Fe 234.350 nm</t>
  </si>
  <si>
    <t>Fe 238.204 nm</t>
  </si>
  <si>
    <t>Ga 294.363 nm</t>
  </si>
  <si>
    <t>Ga 417.204 nm</t>
  </si>
  <si>
    <t>Gd 335.048 nm</t>
  </si>
  <si>
    <t>Gd 342.246 nm</t>
  </si>
  <si>
    <t>Hf 263.872 nm</t>
  </si>
  <si>
    <t>Hf 264.141 nm</t>
  </si>
  <si>
    <t>Hg 184.887 nm</t>
  </si>
  <si>
    <t>Hg 194.164 nm</t>
  </si>
  <si>
    <t>Ho 339.895 nm</t>
  </si>
  <si>
    <t>Ho 345.600 nm</t>
  </si>
  <si>
    <t>K 766.491 nm</t>
  </si>
  <si>
    <t>La 333.749 nm</t>
  </si>
  <si>
    <t>La 379.477 nm</t>
  </si>
  <si>
    <t>Li 610.365 nm</t>
  </si>
  <si>
    <t>Li 670.783 nm</t>
  </si>
  <si>
    <t>Lu 261.541 nm</t>
  </si>
  <si>
    <t>Lu 291.139 nm</t>
  </si>
  <si>
    <t>Mg 280.270 nm</t>
  </si>
  <si>
    <t>Mg 285.213 nm</t>
  </si>
  <si>
    <t>Mn 257.610 nm</t>
  </si>
  <si>
    <t>Mn 294.921 nm</t>
  </si>
  <si>
    <t>Mo 202.032 nm</t>
  </si>
  <si>
    <t>Mo 204.598 nm</t>
  </si>
  <si>
    <t>Na 588.995 nm</t>
  </si>
  <si>
    <t>Na 589.592 nm</t>
  </si>
  <si>
    <t>Nb 309.417 nm</t>
  </si>
  <si>
    <t>Nb 313.078 nm</t>
  </si>
  <si>
    <t>Nd 401.224 nm</t>
  </si>
  <si>
    <t>Nd 406.108 nm</t>
  </si>
  <si>
    <t>Ni 216.555 nm</t>
  </si>
  <si>
    <t>Ni 231.604 nm</t>
  </si>
  <si>
    <t>P 177.434 nm</t>
  </si>
  <si>
    <t>P 178.222 nm</t>
  </si>
  <si>
    <t>P 213.618 nm</t>
  </si>
  <si>
    <t>Pb 220.353 nm</t>
  </si>
  <si>
    <t>Rb 780.026 nm</t>
  </si>
  <si>
    <t>S 180.669 nm</t>
  </si>
  <si>
    <t>S 181.972 nm</t>
  </si>
  <si>
    <t>Sb 206.834 nm</t>
  </si>
  <si>
    <t>Sb 217.582 nm</t>
  </si>
  <si>
    <t>Sc 335.372 nm</t>
  </si>
  <si>
    <t>Sc 361.383 nm</t>
  </si>
  <si>
    <t>Se 196.026 nm</t>
  </si>
  <si>
    <t>Se 203.985 nm</t>
  </si>
  <si>
    <t>Si 251.611 nm</t>
  </si>
  <si>
    <t>Si 288.158 nm</t>
  </si>
  <si>
    <t>Sm 359.259 nm</t>
  </si>
  <si>
    <t>Sm 360.949 nm</t>
  </si>
  <si>
    <t>Sn 189.925 nm</t>
  </si>
  <si>
    <t>Sn 283.998 nm</t>
  </si>
  <si>
    <t>Sr-R 407.771 nm</t>
  </si>
  <si>
    <t>Sr-R 421.552 nm</t>
  </si>
  <si>
    <t>Ta 263.558 nm</t>
  </si>
  <si>
    <t>Ta 268.517 nm</t>
  </si>
  <si>
    <t>Te 182.153 nm</t>
  </si>
  <si>
    <t>Te 214.282 nm</t>
  </si>
  <si>
    <t>Th 269.242 nm</t>
  </si>
  <si>
    <t>Th 283.730 nm</t>
  </si>
  <si>
    <t>Ti 334.941 nm</t>
  </si>
  <si>
    <t>Ti 336.122 nm</t>
  </si>
  <si>
    <t>Tl 190.794 nm</t>
  </si>
  <si>
    <t>Tl 276.789 nm</t>
  </si>
  <si>
    <t>Tl 351.923 nm</t>
  </si>
  <si>
    <t>Tm 313.125 nm</t>
  </si>
  <si>
    <t>Tm 342.508 nm</t>
  </si>
  <si>
    <t>U 367.007 nm</t>
  </si>
  <si>
    <t>U 385.957 nm</t>
  </si>
  <si>
    <t>V 292.401 nm</t>
  </si>
  <si>
    <t>V 309.310 nm</t>
  </si>
  <si>
    <t>W 207.912 nm</t>
  </si>
  <si>
    <t>W 209.475 nm</t>
  </si>
  <si>
    <t>Y 360.074 nm</t>
  </si>
  <si>
    <t>Y 371.029 nm</t>
  </si>
  <si>
    <t>Yb 328.937 nm</t>
  </si>
  <si>
    <t>Yb 369.419 nm</t>
  </si>
  <si>
    <t>Zn 202.548 nm</t>
  </si>
  <si>
    <t>Zn 213.857 nm</t>
  </si>
  <si>
    <t>Zr 339.198 nm</t>
  </si>
  <si>
    <t>Zr 343.823 nm</t>
  </si>
  <si>
    <t>Sample Name</t>
  </si>
  <si>
    <t>Comment</t>
  </si>
  <si>
    <t>Conc. (mg/L)</t>
  </si>
  <si>
    <t>Conc. (µg/L)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</si>
  <si>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</si>
  <si>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</si>
  <si>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</si>
  <si>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</si>
  <si>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</si>
  <si>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</si>
  <si>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</si>
  <si>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</si>
  <si>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</si>
  <si>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</si>
  <si>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</si>
  <si>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</si>
  <si>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</si>
  <si>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</si>
  <si>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</si>
  <si>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</si>
  <si>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</si>
  <si>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</si>
  <si>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</si>
  <si>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</si>
  <si>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</si>
  <si>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</si>
  <si>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</si>
  <si>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</si>
  <si>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</si>
  <si>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</si>
  <si>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</si>
  <si>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</si>
  <si>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</si>
  <si>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</si>
  <si>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</si>
  <si>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</si>
  <si>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</si>
  <si>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</si>
  <si>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</si>
  <si>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</si>
  <si>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Reportable Limit (3xMDL)</t>
  </si>
  <si>
    <t>Reportable Limit (No Dilution)</t>
  </si>
  <si>
    <t>&lt;0.003</t>
  </si>
  <si>
    <t>&lt;0.002</t>
  </si>
  <si>
    <t>&lt;0.001</t>
  </si>
  <si>
    <t>&lt;0.0003</t>
  </si>
  <si>
    <t>n/a</t>
  </si>
  <si>
    <t>&lt;0.0004</t>
  </si>
  <si>
    <t>ICPOES (Reportable Numbers) *DO NOT ADJUST*</t>
  </si>
  <si>
    <r>
      <t xml:space="preserve">ICPMS (Raw Data - </t>
    </r>
    <r>
      <rPr>
        <b/>
        <sz val="11"/>
        <color rgb="FFFF0000"/>
        <rFont val="Times New Roman"/>
        <family val="1"/>
      </rPr>
      <t>ONLY CLIENT SAMPLE, NO QA/QC</t>
    </r>
    <r>
      <rPr>
        <b/>
        <sz val="11"/>
        <rFont val="Times New Roman"/>
        <family val="1"/>
      </rPr>
      <t>)</t>
    </r>
  </si>
  <si>
    <t>&lt;0.1</t>
  </si>
  <si>
    <t>ICPMS (Reportable Numbers) *DO NOT ADJUST*</t>
  </si>
  <si>
    <r>
      <t xml:space="preserve">IC Anion Scan (Raw Data - </t>
    </r>
    <r>
      <rPr>
        <b/>
        <sz val="11"/>
        <color rgb="FFFF0000"/>
        <rFont val="Times New Roman"/>
        <family val="1"/>
      </rPr>
      <t>ONLY CLIENT SAMPLE, NO QA/QC</t>
    </r>
    <r>
      <rPr>
        <b/>
        <sz val="11"/>
        <rFont val="Times New Roman"/>
        <family val="1"/>
      </rPr>
      <t>)</t>
    </r>
  </si>
  <si>
    <t>Fluoride</t>
  </si>
  <si>
    <t>Chloride</t>
  </si>
  <si>
    <t>Nitrite</t>
  </si>
  <si>
    <t>Sulphate</t>
  </si>
  <si>
    <t>Bromide</t>
  </si>
  <si>
    <t>Nitrate</t>
  </si>
  <si>
    <t>Phosphate</t>
  </si>
  <si>
    <t>Reportable Limit</t>
  </si>
  <si>
    <t>&lt;0.3</t>
  </si>
  <si>
    <t>IC Anion Scan (Reportable Numbers) *DO NOT ADJUST*</t>
  </si>
  <si>
    <r>
      <t xml:space="preserve">Additional Tests (Reportable Numbers - </t>
    </r>
    <r>
      <rPr>
        <b/>
        <sz val="11"/>
        <color rgb="FFFF0000"/>
        <rFont val="Times New Roman"/>
        <family val="1"/>
      </rPr>
      <t>ONLY CLIENT SAMPLE, NO QA/QC</t>
    </r>
    <r>
      <rPr>
        <b/>
        <sz val="11"/>
        <rFont val="Times New Roman"/>
        <family val="1"/>
      </rPr>
      <t>)</t>
    </r>
  </si>
  <si>
    <t>Temp.</t>
  </si>
  <si>
    <t>pH</t>
  </si>
  <si>
    <t>EC</t>
  </si>
  <si>
    <t>NH4-N</t>
  </si>
  <si>
    <t>Hardness</t>
  </si>
  <si>
    <t>Alkalinity</t>
  </si>
  <si>
    <t>TSS</t>
  </si>
  <si>
    <t>TDS</t>
  </si>
  <si>
    <t>Colour</t>
  </si>
  <si>
    <t>Turbidity</t>
  </si>
  <si>
    <t>TOC</t>
  </si>
  <si>
    <t>DOC</t>
  </si>
  <si>
    <t>Langelier Saturation Index</t>
  </si>
  <si>
    <t>Odor</t>
  </si>
  <si>
    <t>°C</t>
  </si>
  <si>
    <t>µS/cm</t>
  </si>
  <si>
    <t>mg/L</t>
  </si>
  <si>
    <t>mg CaCO3/L</t>
  </si>
  <si>
    <t>TCU</t>
  </si>
  <si>
    <t>NTU</t>
  </si>
  <si>
    <t>n.d.</t>
  </si>
  <si>
    <r>
      <t xml:space="preserve">Biological Tests (Reportable Numbers - </t>
    </r>
    <r>
      <rPr>
        <b/>
        <sz val="11"/>
        <color rgb="FFFF0000"/>
        <rFont val="Times New Roman"/>
        <family val="1"/>
      </rPr>
      <t>ONLY CLIENT SAMPLE, NO QA/QC</t>
    </r>
    <r>
      <rPr>
        <b/>
        <sz val="11"/>
        <rFont val="Times New Roman"/>
        <family val="1"/>
      </rPr>
      <t>)</t>
    </r>
  </si>
  <si>
    <t>Total Coliforms</t>
  </si>
  <si>
    <t>HPC</t>
  </si>
  <si>
    <t>MPN/100mL</t>
  </si>
  <si>
    <t>MPN/1mL</t>
  </si>
  <si>
    <t>REPORT DATA FOR WORD FILE</t>
  </si>
  <si>
    <t>Physical Tests</t>
  </si>
  <si>
    <t>Units</t>
  </si>
  <si>
    <r>
      <t>CDWQ</t>
    </r>
    <r>
      <rPr>
        <vertAlign val="superscript"/>
        <sz val="10"/>
        <color rgb="FF000000"/>
        <rFont val="Times New Roman"/>
        <family val="1"/>
      </rPr>
      <t>a</t>
    </r>
    <r>
      <rPr>
        <sz val="10"/>
        <color rgb="FF000000"/>
        <rFont val="Times New Roman"/>
        <family val="1"/>
      </rPr>
      <t xml:space="preserve"> Guidelines</t>
    </r>
  </si>
  <si>
    <t>Electrical Conductivity</t>
  </si>
  <si>
    <t>-</t>
  </si>
  <si>
    <t>Biological Tests</t>
  </si>
  <si>
    <t>E. coli</t>
  </si>
  <si>
    <t>Anion Scan</t>
  </si>
  <si>
    <t>500 (AO)</t>
  </si>
  <si>
    <t>Total Metals</t>
  </si>
  <si>
    <t>Aluminum</t>
  </si>
  <si>
    <t>Arsenic</t>
  </si>
  <si>
    <t>Boron</t>
  </si>
  <si>
    <t>Barium</t>
  </si>
  <si>
    <t>Calcium</t>
  </si>
  <si>
    <t>Cadmium</t>
  </si>
  <si>
    <t>Cobalt</t>
  </si>
  <si>
    <t>Chromium</t>
  </si>
  <si>
    <t>Copper</t>
  </si>
  <si>
    <t>Iron</t>
  </si>
  <si>
    <t>Mercury</t>
  </si>
  <si>
    <t>Potassium</t>
  </si>
  <si>
    <t>Magnesium</t>
  </si>
  <si>
    <t>Manganese</t>
  </si>
  <si>
    <t>Molybdenum</t>
  </si>
  <si>
    <t>Sodium</t>
  </si>
  <si>
    <t>200 (AO)</t>
  </si>
  <si>
    <t>Nickel</t>
  </si>
  <si>
    <t>Phosphorus</t>
  </si>
  <si>
    <t>Lead</t>
  </si>
  <si>
    <t>Sulfur</t>
  </si>
  <si>
    <t>Antimony</t>
  </si>
  <si>
    <t>Selenium</t>
  </si>
  <si>
    <t>Tin</t>
  </si>
  <si>
    <t>Uranium</t>
  </si>
  <si>
    <t>Vanadium</t>
  </si>
  <si>
    <t>Zinc</t>
  </si>
  <si>
    <t>5 (AO)</t>
  </si>
  <si>
    <t>Additional Parameters</t>
  </si>
  <si>
    <t>Heterotrophic Plate Count</t>
  </si>
  <si>
    <t>Ammonia-N</t>
  </si>
  <si>
    <t>Color</t>
  </si>
  <si>
    <t>15 (AO)</t>
  </si>
  <si>
    <t>Threshold</t>
  </si>
  <si>
    <t>Inoffensive</t>
  </si>
  <si>
    <t>INSTRUCTIONS</t>
  </si>
  <si>
    <t>ICPOES RESULTS</t>
  </si>
  <si>
    <t>1. Input raw data from ICPOES run from client sample into BLUE CELLS. Copy and Paste using "123 Values" function.</t>
  </si>
  <si>
    <t>ICPMS RESULTS</t>
  </si>
  <si>
    <t>1. Input raw data from ICPMS into the data section only, BLUE CELLS.  Copy and Paste using "123 Values" function. There is no need to modify names.</t>
  </si>
  <si>
    <t>IC RESULTS</t>
  </si>
  <si>
    <t>1. Input raw data from IC into the data section only, BLUE CELLS.  Copy and Paste using "123 Values" function. There is no need to modify names.</t>
  </si>
  <si>
    <t>2. Double check there are no over-range values, and replace them with the correct diluted values from the raw data.</t>
  </si>
  <si>
    <t>3. Comments can be added if necessary.</t>
  </si>
  <si>
    <t>PHYSICAL RESULTS</t>
  </si>
  <si>
    <t>BIOLOGICAL RESULTS</t>
  </si>
  <si>
    <t>1. Manually input bacteriological results into the appropriate fields, BLUE CELLS.  Copy and Paste using "123 Values" function.</t>
  </si>
  <si>
    <t>REPORT DATA</t>
  </si>
  <si>
    <t>2. Adjust decimal place for really high values to 3 significant figures, if necessary (i.e., Ca = 31.453mg/L to Ca = 31.5mg/L)</t>
  </si>
  <si>
    <t>3. Copy and paste the Report Data Cells from up to the appropriate client sample data into Word Report file.</t>
  </si>
  <si>
    <t xml:space="preserve">9  Be  [ 1 ] </t>
  </si>
  <si>
    <t xml:space="preserve">11  B  [ 1 ] </t>
  </si>
  <si>
    <t xml:space="preserve">51  V  [ 1 ] </t>
  </si>
  <si>
    <t xml:space="preserve">52  Cr  [ 1 ] </t>
  </si>
  <si>
    <t xml:space="preserve">53  (V)  [ 1 ] </t>
  </si>
  <si>
    <t xml:space="preserve">55  Mn  [ 1 ] </t>
  </si>
  <si>
    <t xml:space="preserve">59  Co  [ 1 ] </t>
  </si>
  <si>
    <t xml:space="preserve">60  Ni  [ 1 ] </t>
  </si>
  <si>
    <t xml:space="preserve">63  Cu  [ 1 ] </t>
  </si>
  <si>
    <t xml:space="preserve">66  Zn  [ 1 ] </t>
  </si>
  <si>
    <t xml:space="preserve">75  As  [ 1 ] </t>
  </si>
  <si>
    <t xml:space="preserve">77  (As)  [ 1 ] </t>
  </si>
  <si>
    <t xml:space="preserve">78  Se  [ 1 ] </t>
  </si>
  <si>
    <t xml:space="preserve">82  (As)  [ 1 ] </t>
  </si>
  <si>
    <t xml:space="preserve">95  Mo  [ 1 ] </t>
  </si>
  <si>
    <t xml:space="preserve">106  (Cd)  [ 1 ] </t>
  </si>
  <si>
    <t xml:space="preserve">107  Ag  [ 1 ] </t>
  </si>
  <si>
    <t xml:space="preserve">108  (Cd)  [ 1 ] </t>
  </si>
  <si>
    <t xml:space="preserve">111  Cd  [ 1 ] </t>
  </si>
  <si>
    <t xml:space="preserve">121  Sb  [ 1 ] </t>
  </si>
  <si>
    <t xml:space="preserve">137  Ba  [ 1 ] </t>
  </si>
  <si>
    <t xml:space="preserve">202  Hg  [ 1 ] </t>
  </si>
  <si>
    <t xml:space="preserve">205  Tl  [ 1 ] </t>
  </si>
  <si>
    <t xml:space="preserve">206  (Pb)  [ 1 ] </t>
  </si>
  <si>
    <t xml:space="preserve">207  (Pb)  [ 1 ] </t>
  </si>
  <si>
    <t xml:space="preserve">208  Pb  [ 1 ] </t>
  </si>
  <si>
    <t xml:space="preserve">232  Th  [ 1 ] </t>
  </si>
  <si>
    <t xml:space="preserve">238  U  [ 1 ] </t>
  </si>
  <si>
    <t>Conc. [ ppm ]</t>
  </si>
  <si>
    <t>Conc. [ ppb ]</t>
  </si>
  <si>
    <t>&lt;0.0002</t>
  </si>
  <si>
    <t>&lt;0.0001</t>
  </si>
  <si>
    <t>Thallium</t>
  </si>
  <si>
    <t>Thorium</t>
  </si>
  <si>
    <t>Beryllium</t>
  </si>
  <si>
    <t>INSTRUMENT</t>
  </si>
  <si>
    <t>DO NOT EDIT THIS PAGE</t>
  </si>
  <si>
    <t>INSTRUMENT LIST</t>
  </si>
  <si>
    <t>ICPOES</t>
  </si>
  <si>
    <t>ICPMS</t>
  </si>
  <si>
    <t>Silver</t>
  </si>
  <si>
    <t>Cerium</t>
  </si>
  <si>
    <t>Dysprosium</t>
  </si>
  <si>
    <t>Erbium</t>
  </si>
  <si>
    <t>Europium</t>
  </si>
  <si>
    <t>Gallium</t>
  </si>
  <si>
    <t>Gadolinium</t>
  </si>
  <si>
    <t>Hafnium</t>
  </si>
  <si>
    <t>Holmium</t>
  </si>
  <si>
    <t>Lanthanum</t>
  </si>
  <si>
    <t>Lutetium</t>
  </si>
  <si>
    <t>Niobium</t>
  </si>
  <si>
    <t>Neodymium</t>
  </si>
  <si>
    <t>Rubidium</t>
  </si>
  <si>
    <t>Silicon</t>
  </si>
  <si>
    <t>Samarium</t>
  </si>
  <si>
    <t>Strontium</t>
  </si>
  <si>
    <t>Tantalum</t>
  </si>
  <si>
    <t>Tellurium</t>
  </si>
  <si>
    <t>Titanium</t>
  </si>
  <si>
    <t>Thulium</t>
  </si>
  <si>
    <t>Tungsten</t>
  </si>
  <si>
    <t>Ytterbium</t>
  </si>
  <si>
    <t>Zirconium</t>
  </si>
  <si>
    <t>Uncal</t>
  </si>
  <si>
    <t>o</t>
  </si>
  <si>
    <t>over-range</t>
  </si>
  <si>
    <t>####</t>
  </si>
  <si>
    <t>ICPOES CODES</t>
  </si>
  <si>
    <t>YELLOW IS PREFERRED WAVELENGTH</t>
  </si>
  <si>
    <t>UNITS</t>
  </si>
  <si>
    <t>%</t>
  </si>
  <si>
    <t>ODOR</t>
  </si>
  <si>
    <t>https://www.knowyourh2o.com/indoor-6/color-taste-odor#:~:text=Odor%20(Smell)%20%2D%20Phenolic%2F,Hydrogen%20Sulfide%2C%20microbiological%20contaminants%3B%20Perfume</t>
  </si>
  <si>
    <t>Offensive</t>
  </si>
  <si>
    <t>Chemical Smell</t>
  </si>
  <si>
    <t>Oily Smell</t>
  </si>
  <si>
    <t>Rotten Egg Smell</t>
  </si>
  <si>
    <t>Perfume Smell</t>
  </si>
  <si>
    <t>Fishy Smell</t>
  </si>
  <si>
    <t>Musty/Earthy Smell</t>
  </si>
  <si>
    <t>Chlorine Smell</t>
  </si>
  <si>
    <t>Cucumber Smell</t>
  </si>
  <si>
    <t>*DROPDOWN</t>
  </si>
  <si>
    <t>ICPQQQ</t>
  </si>
  <si>
    <r>
      <t xml:space="preserve">ICPQQQ (Raw Data - </t>
    </r>
    <r>
      <rPr>
        <b/>
        <sz val="11"/>
        <color rgb="FFFF0000"/>
        <rFont val="Times New Roman"/>
        <family val="1"/>
      </rPr>
      <t>ONLY CLIENT SAMPLE, NO QA/QC</t>
    </r>
    <r>
      <rPr>
        <b/>
        <sz val="11"/>
        <rFont val="Times New Roman"/>
        <family val="1"/>
      </rPr>
      <t>)</t>
    </r>
  </si>
  <si>
    <t xml:space="preserve">9  Be  [ He ] </t>
  </si>
  <si>
    <t xml:space="preserve">11  B  [ He ] </t>
  </si>
  <si>
    <t xml:space="preserve">27  Al  [ He ] </t>
  </si>
  <si>
    <t xml:space="preserve">47  Ti  [ He ] </t>
  </si>
  <si>
    <t xml:space="preserve">31 -&gt; 47  P  [ O2 ] </t>
  </si>
  <si>
    <t xml:space="preserve">51  V  [ He ] </t>
  </si>
  <si>
    <t xml:space="preserve">52  Cr  [ He ] </t>
  </si>
  <si>
    <t xml:space="preserve">55  Mn  [ He ] </t>
  </si>
  <si>
    <t xml:space="preserve">56  Fe  [ He ] </t>
  </si>
  <si>
    <t xml:space="preserve">59  Co  [ He ] </t>
  </si>
  <si>
    <t xml:space="preserve">60  Ni  [ He ] </t>
  </si>
  <si>
    <t xml:space="preserve">63  Cu  [ He ] </t>
  </si>
  <si>
    <t xml:space="preserve">66  Zn  [ He ] </t>
  </si>
  <si>
    <t xml:space="preserve">71  Ga  [ He ] </t>
  </si>
  <si>
    <t xml:space="preserve">75  As  [ He ] </t>
  </si>
  <si>
    <t xml:space="preserve">85  Rb  [ He ] </t>
  </si>
  <si>
    <t xml:space="preserve">88  Sr  [ He ] </t>
  </si>
  <si>
    <t xml:space="preserve">90  Zr  [ He ] </t>
  </si>
  <si>
    <t xml:space="preserve">95  Mo  [ He ] </t>
  </si>
  <si>
    <t xml:space="preserve">107  Ag  [ He ] </t>
  </si>
  <si>
    <t xml:space="preserve">111  Cd  [ He ] </t>
  </si>
  <si>
    <t xml:space="preserve">121  Sb  [ He ] </t>
  </si>
  <si>
    <t xml:space="preserve">125  Te  [ He ] </t>
  </si>
  <si>
    <t xml:space="preserve">133  Cs  [ He ] </t>
  </si>
  <si>
    <t xml:space="preserve">118 -&gt; 134  Sn  [ O2 ] </t>
  </si>
  <si>
    <t xml:space="preserve">137  Ba  [ He ] </t>
  </si>
  <si>
    <t xml:space="preserve">178  Hf  [ He ] </t>
  </si>
  <si>
    <t xml:space="preserve">181  Ta  [ He ] </t>
  </si>
  <si>
    <t xml:space="preserve">182  W  [ He ] </t>
  </si>
  <si>
    <t xml:space="preserve">201  Hg  [ He ] </t>
  </si>
  <si>
    <t xml:space="preserve">205  Tl  [ He ] </t>
  </si>
  <si>
    <t xml:space="preserve">206  [Pb]  [ He ] </t>
  </si>
  <si>
    <t xml:space="preserve">207  [Pb]  [ He ] </t>
  </si>
  <si>
    <t xml:space="preserve">208  Pb  [ He ] </t>
  </si>
  <si>
    <t xml:space="preserve">238  U  [ He ] </t>
  </si>
  <si>
    <t>Conc. [ ug/L ]</t>
  </si>
  <si>
    <t>PARAMETER</t>
  </si>
  <si>
    <t>CDWQ Guidelines (mg/L)</t>
  </si>
  <si>
    <t>200000 (AO)</t>
  </si>
  <si>
    <t>5000 (AO)</t>
  </si>
  <si>
    <t>ICPQQQ (Reportable Numbers) *DO NOT ADJUST*</t>
  </si>
  <si>
    <t>IC</t>
  </si>
  <si>
    <t>CURRENT DETECTION LIMITS FILES</t>
  </si>
  <si>
    <t>2022NALS01179_22D12l00_DrWater2_DL_ICPMS_Apr_12_2022</t>
  </si>
  <si>
    <t>THIS DOES NOT AUTO DETECT OVER-RANGE VALUES</t>
  </si>
  <si>
    <t>Detection Limits File:</t>
  </si>
  <si>
    <t>ONLY USE DROPDOWN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</si>
  <si>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</t>
    </r>
  </si>
  <si>
    <t>*Hg is always in ug/L*</t>
  </si>
  <si>
    <t>Cesium</t>
  </si>
  <si>
    <t>REPORT ICPQQQ DATA FOR WORD FILE</t>
  </si>
  <si>
    <t>REPORT ICPMS DATA FOR WORD FILE</t>
  </si>
  <si>
    <t>REPORT ICPOES DATA FOR WORD FILE</t>
  </si>
  <si>
    <r>
      <t>CDWQ Guidelines (</t>
    </r>
    <r>
      <rPr>
        <b/>
        <sz val="10"/>
        <color rgb="FF000000"/>
        <rFont val="Calibri"/>
        <family val="2"/>
      </rPr>
      <t>µ</t>
    </r>
    <r>
      <rPr>
        <b/>
        <sz val="10"/>
        <color rgb="FF000000"/>
        <rFont val="Times New Roman"/>
        <family val="1"/>
      </rPr>
      <t>g/L)</t>
    </r>
  </si>
  <si>
    <t>FOR "REPORT DATA" PAGE ONLY</t>
  </si>
  <si>
    <t>EDITABLE PORTION FOR CDWQ</t>
  </si>
  <si>
    <t>ICPQQQ RESULTS</t>
  </si>
  <si>
    <t>1. Input raw data from ICPQQQ into the data section only, BLUE CELLS.  Copy and Paste using "123 Values" function. There is no need to modify names.</t>
  </si>
  <si>
    <t>2. Double check that there are no over-range data values (highlighted in red on Mass Hunter). Replace over-range values with the correct diluted value from the raw data.</t>
  </si>
  <si>
    <t>1. Use "REPORT DATA" to provide a mix between ICPOES, ICPMS, and ICPQQQ data, or use "REPORT DATA ICPOES ONLY" or "REPORT DATA ICPMS ONLY" or "REPORT DATA ICPQQQ ONLY".</t>
  </si>
  <si>
    <t>1. Manually input physical results into the appropriate fields, BLUE CELLS.  Copy and Paste using "123 Values" function. There is no need to modify names.</t>
  </si>
  <si>
    <t>2. Hardness is auto-calculated from ICPOES raw data only.</t>
  </si>
  <si>
    <t>CURRENT INSTRUMENT TEMPLATES</t>
  </si>
  <si>
    <t>DrWater2.m</t>
  </si>
  <si>
    <t>NALS_ICPOES_TEMPLATE_AUG_18_2023</t>
  </si>
  <si>
    <t>NALS_Anions_1mL_37mM_92mA_CRD_13min</t>
  </si>
  <si>
    <t>&lt;0.01</t>
  </si>
  <si>
    <t>&lt;0.02</t>
  </si>
  <si>
    <t>&lt;0.005</t>
  </si>
  <si>
    <t>&lt;0.004</t>
  </si>
  <si>
    <t>&lt;0.0005</t>
  </si>
  <si>
    <t>&lt;7</t>
  </si>
  <si>
    <t>&lt;0.03</t>
  </si>
  <si>
    <t xml:space="preserve">78 -&gt; 94  Se  [ O2 ] </t>
  </si>
  <si>
    <t>DATE</t>
  </si>
  <si>
    <t>VERSION</t>
  </si>
  <si>
    <t>CHANGES</t>
  </si>
  <si>
    <t>2. Updated ICPMSQQQ Reportable Limits</t>
  </si>
  <si>
    <t>3. Due to method change for ICPMSQQQ, updated cell selection for Se "REPORT DATA" and "REPOR DATA ICPQQQ ONLY"</t>
  </si>
  <si>
    <t>1. Modified ICPMSQQQ Se method to be measured by Oxygen mode instead of He</t>
  </si>
  <si>
    <t>2023NALS01732_DL_Jan_16_2024_IC_REPORTABLE_LIMITS</t>
  </si>
  <si>
    <t>NALS_WATERPACKAGEDATA_XL_01162024_REV10</t>
  </si>
  <si>
    <t>4. Updated IC reportable limits data file</t>
  </si>
  <si>
    <t>TRACE_METALS_2024</t>
  </si>
  <si>
    <t>NALS_WATERPACKAGEDATA_XL_07162024_REV11</t>
  </si>
  <si>
    <t>1. Fixed Missing Cell for Hg in "REPORT DATA ICPOES ONLY"</t>
  </si>
  <si>
    <t>2. Updated ICPMSQQQ Reportable Limits and TEMPLATE "ICPQQQ RESULTS", "REPORT DATA", and "REPORT DATA ICPQQQ ONLY"</t>
  </si>
  <si>
    <t>2024NALS01897_PT124_ABC_Jul_03_2024_QQQ_REPORTABLE_LIMITS</t>
  </si>
  <si>
    <t xml:space="preserve">23  Na  [ He ] </t>
  </si>
  <si>
    <t xml:space="preserve">24  Mg  [ He ] </t>
  </si>
  <si>
    <t xml:space="preserve">39  K  [ He ] </t>
  </si>
  <si>
    <t xml:space="preserve">24 -&gt; 40  Mg  [ O2 ] </t>
  </si>
  <si>
    <t xml:space="preserve">27 -&gt; 43  Al  [ O2 ] </t>
  </si>
  <si>
    <t xml:space="preserve">28 -&gt; 44  Si  [ O2 ] </t>
  </si>
  <si>
    <t xml:space="preserve">34 -&gt; 50  S  [ O2 ] </t>
  </si>
  <si>
    <t xml:space="preserve">44 -&gt; 60  Ca  [ O2 ] </t>
  </si>
  <si>
    <t xml:space="preserve">232  Th  [ He ] </t>
  </si>
  <si>
    <t>Conc. [ mg/L ]</t>
  </si>
  <si>
    <t>&lt;0.0000</t>
  </si>
  <si>
    <t>CONDITIONAL FORMATTING</t>
  </si>
  <si>
    <t>3. Added conditional formatting "ICPQQQ RESULTS" to highlight cells orange for values &gt;1000ppb (trace) and &gt;20ppm (major) metals</t>
  </si>
  <si>
    <t>4. Was not able to conditional format "ICPOQQQ RESULTS" to not highlight "&lt;0.0000" values</t>
  </si>
  <si>
    <r>
      <t>mg CaCO</t>
    </r>
    <r>
      <rPr>
        <vertAlign val="subscript"/>
        <sz val="10"/>
        <color rgb="FF000000"/>
        <rFont val="Times New Roman"/>
        <family val="1"/>
      </rPr>
      <t>3</t>
    </r>
    <r>
      <rPr>
        <sz val="10"/>
        <color rgb="FF000000"/>
        <rFont val="Times New Roman"/>
        <family val="1"/>
      </rPr>
      <t>/L</t>
    </r>
  </si>
  <si>
    <t>NALS_WATERPACKAGEDATA_XL_20241007_REV12</t>
  </si>
  <si>
    <t>1. All sheets have been password protected/locked. Only data entry cells are open to edit.</t>
  </si>
  <si>
    <t>2. A new sheet, named "REPORT DATA (NO Hg) has been created to avoid mistakes in copying Hg into report table.</t>
  </si>
  <si>
    <t>3. The Date format in the file's identifier has been changed</t>
  </si>
  <si>
    <t>2024NALS02081_ICPOES_FullMetals_DL_RL_Nov_04_2024_ICPOES</t>
  </si>
  <si>
    <t>NALS_WATERPACKAGEDATA_XL_20241119_REV13</t>
  </si>
  <si>
    <t>1. Updated Reportable Limits for "ICPOES RESULTS"</t>
  </si>
  <si>
    <t>2. Updated DL and RL reference file in "INSTRUCTIONS"</t>
  </si>
  <si>
    <t>3. Updated CDWG limits in "CODES"</t>
  </si>
  <si>
    <t>&lt;0.007</t>
  </si>
  <si>
    <t>&lt;0.009</t>
  </si>
  <si>
    <t>&lt;0.012</t>
  </si>
  <si>
    <t>&lt;0.013</t>
  </si>
  <si>
    <t>&lt;0.014</t>
  </si>
  <si>
    <t>&lt;0.0017</t>
  </si>
  <si>
    <t>&lt;0.0011</t>
  </si>
  <si>
    <t>&lt;0.0007</t>
  </si>
  <si>
    <t>&lt;0.0010</t>
  </si>
  <si>
    <t>&lt;0.0015</t>
  </si>
  <si>
    <t>&lt;0.0009</t>
  </si>
  <si>
    <t>&lt;0.0014</t>
  </si>
  <si>
    <t>&lt;0.0032</t>
  </si>
  <si>
    <t>&lt;0.0041</t>
  </si>
  <si>
    <t>&lt;0.0035</t>
  </si>
  <si>
    <t>&lt;0.0023</t>
  </si>
  <si>
    <t>&lt;0.0022</t>
  </si>
  <si>
    <t>&lt;0.0069</t>
  </si>
  <si>
    <t>&lt;0.06</t>
  </si>
  <si>
    <t>&lt;0.011</t>
  </si>
  <si>
    <t>&lt;0.056</t>
  </si>
  <si>
    <t>&lt;0.034</t>
  </si>
  <si>
    <t>&lt;0.018</t>
  </si>
  <si>
    <t>&lt;0.025</t>
  </si>
  <si>
    <t>&lt;0.0008</t>
  </si>
  <si>
    <t>&lt;0.0006</t>
  </si>
  <si>
    <t>&lt;0.0067</t>
  </si>
  <si>
    <t>&lt;0.0025</t>
  </si>
  <si>
    <t>&lt;0.010</t>
  </si>
  <si>
    <t>2.9 (MAC) ; 0.1 (OG)</t>
  </si>
  <si>
    <t>2900 (MAC) ; 100 (OG)</t>
  </si>
  <si>
    <t>2 (MAC) ; 1 (AO)</t>
  </si>
  <si>
    <t>2000 (MAC) ; 1000 (AO)</t>
  </si>
  <si>
    <t xml:space="preserve">https://www.canada.ca/en/health-canada/services/environmental-workplace-health/reports-publications/water-quality/guidelines-canadian-drinking-water-quality-summary-table.html </t>
  </si>
  <si>
    <t>WEBLINKS</t>
  </si>
  <si>
    <t>5. Updated filename version to "NALS_WATERPACKAGEDATA_XL_20241119_REV13" in "INSTRUCTIONS"</t>
  </si>
  <si>
    <t>4. Updated Weblinks in "INSTRUCTIONS"</t>
  </si>
  <si>
    <t>1. Swapped order of Coliforms and E-Coli reporting in BIOLOGICAL RESULTS tab and all REPORTING tabs</t>
  </si>
  <si>
    <t>7.0-10.5</t>
  </si>
  <si>
    <t>250 (AO)</t>
  </si>
  <si>
    <t>0.1 (AO)</t>
  </si>
  <si>
    <t>100 (AO)</t>
  </si>
  <si>
    <t>0.12 (MAC); 0.02 (AO)</t>
  </si>
  <si>
    <t>0.01 ALARA</t>
  </si>
  <si>
    <t>10 ALARA</t>
  </si>
  <si>
    <t>0.005 ALARA</t>
  </si>
  <si>
    <t>5 ALARA</t>
  </si>
  <si>
    <t>1. Changed the CDWQ guidelines in the "CODES" tab for metals and for Physical parameters and anions in other Reporting tabs.</t>
  </si>
  <si>
    <t>NALS_WATERPACKAGEDATA_XL_20250922_REV14</t>
  </si>
  <si>
    <t>1. Updated the Document identifier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</si>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</sst>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yyyy\-mm\-dd;@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color theme="1"/>
      <name val="Times New Roman"/>
      <family val="1"/>
    </font>
    <font>
      <sz val="11"/>
      <color indexed="72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sz val="11"/>
      <color indexed="64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vertAlign val="subscript"/>
      <sz val="10"/>
      <color rgb="FF00000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F0"/>
      </left>
      <right style="thin">
        <color indexed="64"/>
      </right>
      <top style="thick">
        <color rgb="FF00B0F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B0F0"/>
      </top>
      <bottom style="thin">
        <color indexed="64"/>
      </bottom>
      <diagonal/>
    </border>
    <border>
      <left style="thin">
        <color indexed="64"/>
      </left>
      <right style="thick">
        <color rgb="FF00B0F0"/>
      </right>
      <top style="thick">
        <color rgb="FF00B0F0"/>
      </top>
      <bottom style="thin">
        <color indexed="64"/>
      </bottom>
      <diagonal/>
    </border>
    <border>
      <left style="thick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F0"/>
      </right>
      <top style="thin">
        <color indexed="64"/>
      </top>
      <bottom style="thin">
        <color indexed="64"/>
      </bottom>
      <diagonal/>
    </border>
    <border>
      <left style="thick">
        <color rgb="FF00B0F0"/>
      </left>
      <right style="thin">
        <color indexed="64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 style="thick">
        <color rgb="FF00B0F0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n">
        <color indexed="64"/>
      </bottom>
      <diagonal/>
    </border>
    <border>
      <left style="thick">
        <color rgb="FF00B0F0"/>
      </left>
      <right style="thick">
        <color rgb="FF00B0F0"/>
      </right>
      <top style="thin">
        <color indexed="64"/>
      </top>
      <bottom style="thin">
        <color indexed="64"/>
      </bottom>
      <diagonal/>
    </border>
    <border>
      <left style="thick">
        <color rgb="FF00B0F0"/>
      </left>
      <right style="thick">
        <color rgb="FF00B0F0"/>
      </right>
      <top style="thin">
        <color indexed="64"/>
      </top>
      <bottom style="thick">
        <color rgb="FF00B0F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00B0F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/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0" fontId="1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6" fontId="23" fillId="0" borderId="1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0" fontId="23" fillId="0" borderId="0" xfId="0" applyFont="1"/>
    <xf numFmtId="0" fontId="24" fillId="0" borderId="0" xfId="1" applyFont="1" applyAlignment="1">
      <alignment horizontal="center" vertical="center"/>
    </xf>
    <xf numFmtId="0" fontId="23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4" fillId="0" borderId="0" xfId="1" applyFont="1" applyAlignment="1">
      <alignment horizontal="left" vertical="center"/>
    </xf>
    <xf numFmtId="0" fontId="23" fillId="0" borderId="1" xfId="0" applyFont="1" applyBorder="1"/>
    <xf numFmtId="1" fontId="23" fillId="0" borderId="0" xfId="0" applyNumberFormat="1" applyFont="1" applyAlignment="1">
      <alignment horizontal="center"/>
    </xf>
    <xf numFmtId="0" fontId="24" fillId="0" borderId="1" xfId="1" applyFont="1" applyBorder="1" applyAlignment="1">
      <alignment horizontal="center" vertical="center"/>
    </xf>
    <xf numFmtId="0" fontId="24" fillId="0" borderId="1" xfId="1" applyFont="1" applyBorder="1" applyAlignment="1">
      <alignment horizontal="left" vertical="center"/>
    </xf>
    <xf numFmtId="0" fontId="23" fillId="34" borderId="1" xfId="0" applyFont="1" applyFill="1" applyBorder="1"/>
    <xf numFmtId="0" fontId="24" fillId="34" borderId="1" xfId="1" applyFont="1" applyFill="1" applyBorder="1" applyAlignment="1">
      <alignment horizontal="left" vertical="center"/>
    </xf>
    <xf numFmtId="0" fontId="23" fillId="34" borderId="1" xfId="0" applyFont="1" applyFill="1" applyBorder="1" applyAlignment="1">
      <alignment horizontal="center"/>
    </xf>
    <xf numFmtId="165" fontId="23" fillId="34" borderId="1" xfId="0" applyNumberFormat="1" applyFont="1" applyFill="1" applyBorder="1" applyAlignment="1">
      <alignment horizontal="center"/>
    </xf>
    <xf numFmtId="166" fontId="23" fillId="3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166" fontId="29" fillId="0" borderId="1" xfId="0" applyNumberFormat="1" applyFont="1" applyBorder="1" applyAlignment="1">
      <alignment horizontal="center"/>
    </xf>
    <xf numFmtId="164" fontId="29" fillId="0" borderId="1" xfId="0" applyNumberFormat="1" applyFont="1" applyBorder="1" applyAlignment="1">
      <alignment horizontal="center"/>
    </xf>
    <xf numFmtId="2" fontId="23" fillId="33" borderId="1" xfId="0" applyNumberFormat="1" applyFont="1" applyFill="1" applyBorder="1" applyAlignment="1">
      <alignment horizontal="center"/>
    </xf>
    <xf numFmtId="0" fontId="24" fillId="33" borderId="1" xfId="1" applyFont="1" applyFill="1" applyBorder="1" applyAlignment="1">
      <alignment horizontal="center" vertical="center"/>
    </xf>
    <xf numFmtId="0" fontId="23" fillId="33" borderId="1" xfId="0" applyFont="1" applyFill="1" applyBorder="1" applyAlignment="1">
      <alignment horizontal="center"/>
    </xf>
    <xf numFmtId="166" fontId="31" fillId="0" borderId="1" xfId="0" applyNumberFormat="1" applyFont="1" applyBorder="1" applyAlignment="1">
      <alignment horizontal="center" vertical="top"/>
    </xf>
    <xf numFmtId="0" fontId="29" fillId="0" borderId="0" xfId="0" applyFont="1"/>
    <xf numFmtId="0" fontId="29" fillId="0" borderId="0" xfId="0" applyFont="1" applyAlignment="1">
      <alignment horizontal="center"/>
    </xf>
    <xf numFmtId="0" fontId="32" fillId="0" borderId="0" xfId="0" applyFont="1"/>
    <xf numFmtId="166" fontId="27" fillId="0" borderId="1" xfId="0" applyNumberFormat="1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/>
    </xf>
    <xf numFmtId="0" fontId="24" fillId="0" borderId="11" xfId="1" applyFont="1" applyBorder="1" applyAlignment="1">
      <alignment horizontal="center" vertical="center"/>
    </xf>
    <xf numFmtId="0" fontId="23" fillId="0" borderId="11" xfId="0" applyFont="1" applyBorder="1" applyAlignment="1">
      <alignment horizontal="center"/>
    </xf>
    <xf numFmtId="0" fontId="23" fillId="34" borderId="12" xfId="0" applyFont="1" applyFill="1" applyBorder="1"/>
    <xf numFmtId="0" fontId="24" fillId="34" borderId="12" xfId="1" applyFont="1" applyFill="1" applyBorder="1" applyAlignment="1">
      <alignment horizontal="left" vertical="center"/>
    </xf>
    <xf numFmtId="2" fontId="23" fillId="34" borderId="12" xfId="0" applyNumberFormat="1" applyFont="1" applyFill="1" applyBorder="1" applyAlignment="1">
      <alignment horizontal="center"/>
    </xf>
    <xf numFmtId="164" fontId="23" fillId="34" borderId="12" xfId="0" applyNumberFormat="1" applyFont="1" applyFill="1" applyBorder="1" applyAlignment="1">
      <alignment horizontal="center"/>
    </xf>
    <xf numFmtId="165" fontId="23" fillId="34" borderId="12" xfId="0" applyNumberFormat="1" applyFont="1" applyFill="1" applyBorder="1" applyAlignment="1">
      <alignment horizontal="center"/>
    </xf>
    <xf numFmtId="166" fontId="23" fillId="34" borderId="12" xfId="0" applyNumberFormat="1" applyFont="1" applyFill="1" applyBorder="1" applyAlignment="1">
      <alignment horizontal="center"/>
    </xf>
    <xf numFmtId="0" fontId="24" fillId="33" borderId="11" xfId="1" applyFont="1" applyFill="1" applyBorder="1" applyAlignment="1">
      <alignment horizontal="center" vertical="center"/>
    </xf>
    <xf numFmtId="0" fontId="23" fillId="33" borderId="11" xfId="0" applyFont="1" applyFill="1" applyBorder="1" applyAlignment="1">
      <alignment horizontal="center"/>
    </xf>
    <xf numFmtId="165" fontId="31" fillId="0" borderId="1" xfId="0" applyNumberFormat="1" applyFont="1" applyBorder="1" applyAlignment="1">
      <alignment horizontal="center" vertical="top"/>
    </xf>
    <xf numFmtId="0" fontId="24" fillId="34" borderId="28" xfId="1" applyFont="1" applyFill="1" applyBorder="1" applyAlignment="1">
      <alignment horizontal="left" vertical="center"/>
    </xf>
    <xf numFmtId="0" fontId="24" fillId="34" borderId="21" xfId="1" applyFont="1" applyFill="1" applyBorder="1" applyAlignment="1">
      <alignment horizontal="left" vertical="center"/>
    </xf>
    <xf numFmtId="2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33" borderId="38" xfId="0" applyFill="1" applyBorder="1" applyAlignment="1">
      <alignment horizontal="center"/>
    </xf>
    <xf numFmtId="0" fontId="0" fillId="33" borderId="39" xfId="0" applyFill="1" applyBorder="1" applyAlignment="1">
      <alignment horizontal="center"/>
    </xf>
    <xf numFmtId="0" fontId="0" fillId="33" borderId="1" xfId="0" applyFill="1" applyBorder="1"/>
    <xf numFmtId="0" fontId="35" fillId="36" borderId="0" xfId="0" applyFont="1" applyFill="1"/>
    <xf numFmtId="0" fontId="0" fillId="36" borderId="0" xfId="0" applyFill="1"/>
    <xf numFmtId="0" fontId="20" fillId="35" borderId="37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33" borderId="1" xfId="0" applyFont="1" applyFill="1" applyBorder="1"/>
    <xf numFmtId="0" fontId="20" fillId="35" borderId="1" xfId="0" applyFont="1" applyFill="1" applyBorder="1"/>
    <xf numFmtId="0" fontId="36" fillId="0" borderId="0" xfId="54"/>
    <xf numFmtId="0" fontId="37" fillId="33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31" fillId="0" borderId="1" xfId="0" applyNumberFormat="1" applyFont="1" applyBorder="1" applyAlignment="1">
      <alignment horizontal="center" vertical="top"/>
    </xf>
    <xf numFmtId="0" fontId="26" fillId="35" borderId="1" xfId="0" applyFont="1" applyFill="1" applyBorder="1" applyAlignment="1">
      <alignment horizontal="center" vertical="center"/>
    </xf>
    <xf numFmtId="0" fontId="27" fillId="33" borderId="1" xfId="0" applyFont="1" applyFill="1" applyBorder="1" applyAlignment="1">
      <alignment horizontal="center" vertical="center"/>
    </xf>
    <xf numFmtId="0" fontId="2" fillId="33" borderId="0" xfId="0" applyFont="1" applyFill="1"/>
    <xf numFmtId="0" fontId="22" fillId="33" borderId="0" xfId="0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20" fillId="33" borderId="0" xfId="0" applyFont="1" applyFill="1"/>
    <xf numFmtId="0" fontId="0" fillId="33" borderId="0" xfId="0" applyFill="1"/>
    <xf numFmtId="0" fontId="29" fillId="33" borderId="1" xfId="0" applyFont="1" applyFill="1" applyBorder="1" applyAlignment="1">
      <alignment horizontal="center"/>
    </xf>
    <xf numFmtId="2" fontId="27" fillId="33" borderId="1" xfId="0" applyNumberFormat="1" applyFont="1" applyFill="1" applyBorder="1" applyAlignment="1">
      <alignment horizontal="center" vertical="center"/>
    </xf>
    <xf numFmtId="1" fontId="27" fillId="3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0" fillId="33" borderId="1" xfId="0" applyFont="1" applyFill="1" applyBorder="1" applyAlignment="1">
      <alignment horizontal="center"/>
    </xf>
    <xf numFmtId="2" fontId="23" fillId="34" borderId="1" xfId="0" applyNumberFormat="1" applyFont="1" applyFill="1" applyBorder="1" applyAlignment="1">
      <alignment horizontal="center"/>
    </xf>
    <xf numFmtId="2" fontId="31" fillId="0" borderId="12" xfId="0" applyNumberFormat="1" applyFont="1" applyBorder="1" applyAlignment="1">
      <alignment horizontal="center" vertical="top"/>
    </xf>
    <xf numFmtId="0" fontId="0" fillId="33" borderId="1" xfId="0" applyFill="1" applyBorder="1" applyAlignment="1">
      <alignment horizontal="center"/>
    </xf>
    <xf numFmtId="0" fontId="27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24" fillId="37" borderId="23" xfId="1" applyFont="1" applyFill="1" applyBorder="1" applyAlignment="1">
      <alignment horizontal="left" vertical="center"/>
    </xf>
    <xf numFmtId="165" fontId="23" fillId="37" borderId="16" xfId="0" applyNumberFormat="1" applyFont="1" applyFill="1" applyBorder="1" applyAlignment="1">
      <alignment horizontal="center"/>
    </xf>
    <xf numFmtId="165" fontId="23" fillId="37" borderId="1" xfId="0" applyNumberFormat="1" applyFont="1" applyFill="1" applyBorder="1" applyAlignment="1">
      <alignment horizontal="center"/>
    </xf>
    <xf numFmtId="165" fontId="23" fillId="37" borderId="17" xfId="0" applyNumberFormat="1" applyFont="1" applyFill="1" applyBorder="1" applyAlignment="1">
      <alignment horizontal="center"/>
    </xf>
    <xf numFmtId="0" fontId="24" fillId="37" borderId="24" xfId="1" applyFont="1" applyFill="1" applyBorder="1" applyAlignment="1">
      <alignment horizontal="left" vertical="center"/>
    </xf>
    <xf numFmtId="165" fontId="23" fillId="37" borderId="18" xfId="0" applyNumberFormat="1" applyFont="1" applyFill="1" applyBorder="1" applyAlignment="1">
      <alignment horizontal="center"/>
    </xf>
    <xf numFmtId="165" fontId="23" fillId="37" borderId="19" xfId="0" applyNumberFormat="1" applyFont="1" applyFill="1" applyBorder="1" applyAlignment="1">
      <alignment horizontal="center"/>
    </xf>
    <xf numFmtId="165" fontId="23" fillId="37" borderId="20" xfId="0" applyNumberFormat="1" applyFont="1" applyFill="1" applyBorder="1" applyAlignment="1">
      <alignment horizontal="center"/>
    </xf>
    <xf numFmtId="0" fontId="3" fillId="37" borderId="0" xfId="0" applyFont="1" applyFill="1" applyAlignment="1">
      <alignment horizontal="center"/>
    </xf>
    <xf numFmtId="15" fontId="3" fillId="37" borderId="0" xfId="0" applyNumberFormat="1" applyFont="1" applyFill="1" applyAlignment="1">
      <alignment horizontal="center"/>
    </xf>
    <xf numFmtId="0" fontId="24" fillId="37" borderId="21" xfId="1" applyFont="1" applyFill="1" applyBorder="1" applyAlignment="1">
      <alignment horizontal="left" vertical="center"/>
    </xf>
    <xf numFmtId="0" fontId="24" fillId="37" borderId="29" xfId="1" applyFont="1" applyFill="1" applyBorder="1" applyAlignment="1">
      <alignment horizontal="left" vertical="center"/>
    </xf>
    <xf numFmtId="165" fontId="31" fillId="37" borderId="30" xfId="0" applyNumberFormat="1" applyFont="1" applyFill="1" applyBorder="1" applyAlignment="1">
      <alignment horizontal="center" vertical="top"/>
    </xf>
    <xf numFmtId="0" fontId="23" fillId="37" borderId="30" xfId="0" applyFont="1" applyFill="1" applyBorder="1" applyAlignment="1">
      <alignment horizontal="center"/>
    </xf>
    <xf numFmtId="0" fontId="23" fillId="37" borderId="31" xfId="0" applyFont="1" applyFill="1" applyBorder="1" applyAlignment="1">
      <alignment horizontal="center"/>
    </xf>
    <xf numFmtId="0" fontId="24" fillId="37" borderId="32" xfId="1" applyFont="1" applyFill="1" applyBorder="1" applyAlignment="1">
      <alignment horizontal="left" vertical="center"/>
    </xf>
    <xf numFmtId="165" fontId="31" fillId="37" borderId="1" xfId="0" applyNumberFormat="1" applyFont="1" applyFill="1" applyBorder="1" applyAlignment="1">
      <alignment horizontal="center" vertical="top"/>
    </xf>
    <xf numFmtId="0" fontId="23" fillId="37" borderId="1" xfId="0" applyFont="1" applyFill="1" applyBorder="1" applyAlignment="1">
      <alignment horizontal="center"/>
    </xf>
    <xf numFmtId="0" fontId="23" fillId="37" borderId="33" xfId="0" applyFont="1" applyFill="1" applyBorder="1" applyAlignment="1">
      <alignment horizontal="center"/>
    </xf>
    <xf numFmtId="0" fontId="24" fillId="37" borderId="34" xfId="1" applyFont="1" applyFill="1" applyBorder="1" applyAlignment="1">
      <alignment horizontal="left" vertical="center"/>
    </xf>
    <xf numFmtId="165" fontId="31" fillId="37" borderId="35" xfId="0" applyNumberFormat="1" applyFont="1" applyFill="1" applyBorder="1" applyAlignment="1">
      <alignment horizontal="center" vertical="top"/>
    </xf>
    <xf numFmtId="0" fontId="23" fillId="37" borderId="35" xfId="0" applyFont="1" applyFill="1" applyBorder="1" applyAlignment="1">
      <alignment horizontal="center"/>
    </xf>
    <xf numFmtId="0" fontId="23" fillId="37" borderId="36" xfId="0" applyFont="1" applyFill="1" applyBorder="1" applyAlignment="1">
      <alignment horizontal="center"/>
    </xf>
    <xf numFmtId="165" fontId="31" fillId="37" borderId="12" xfId="0" applyNumberFormat="1" applyFont="1" applyFill="1" applyBorder="1" applyAlignment="1">
      <alignment horizontal="center" vertical="top"/>
    </xf>
    <xf numFmtId="0" fontId="23" fillId="37" borderId="12" xfId="0" applyFont="1" applyFill="1" applyBorder="1" applyAlignment="1">
      <alignment horizontal="center"/>
    </xf>
    <xf numFmtId="0" fontId="23" fillId="37" borderId="21" xfId="0" applyFont="1" applyFill="1" applyBorder="1"/>
    <xf numFmtId="0" fontId="0" fillId="37" borderId="1" xfId="0" applyFill="1" applyBorder="1" applyAlignment="1">
      <alignment horizontal="left"/>
    </xf>
    <xf numFmtId="0" fontId="0" fillId="37" borderId="1" xfId="0" applyFill="1" applyBorder="1" applyAlignment="1">
      <alignment horizontal="center"/>
    </xf>
    <xf numFmtId="0" fontId="23" fillId="37" borderId="23" xfId="0" applyFont="1" applyFill="1" applyBorder="1" applyAlignment="1">
      <alignment horizontal="left"/>
    </xf>
    <xf numFmtId="166" fontId="23" fillId="37" borderId="25" xfId="0" applyNumberFormat="1" applyFont="1" applyFill="1" applyBorder="1" applyAlignment="1">
      <alignment horizontal="center"/>
    </xf>
    <xf numFmtId="166" fontId="23" fillId="37" borderId="1" xfId="0" applyNumberFormat="1" applyFont="1" applyFill="1" applyBorder="1" applyAlignment="1">
      <alignment horizontal="center"/>
    </xf>
    <xf numFmtId="166" fontId="23" fillId="37" borderId="17" xfId="0" applyNumberFormat="1" applyFont="1" applyFill="1" applyBorder="1" applyAlignment="1">
      <alignment horizontal="center"/>
    </xf>
    <xf numFmtId="0" fontId="23" fillId="37" borderId="24" xfId="0" applyFont="1" applyFill="1" applyBorder="1" applyAlignment="1">
      <alignment horizontal="left"/>
    </xf>
    <xf numFmtId="166" fontId="23" fillId="37" borderId="26" xfId="0" applyNumberFormat="1" applyFont="1" applyFill="1" applyBorder="1" applyAlignment="1">
      <alignment horizontal="center"/>
    </xf>
    <xf numFmtId="166" fontId="23" fillId="37" borderId="19" xfId="0" applyNumberFormat="1" applyFont="1" applyFill="1" applyBorder="1" applyAlignment="1">
      <alignment horizontal="center"/>
    </xf>
    <xf numFmtId="166" fontId="23" fillId="37" borderId="20" xfId="0" applyNumberFormat="1" applyFont="1" applyFill="1" applyBorder="1" applyAlignment="1">
      <alignment horizontal="center"/>
    </xf>
    <xf numFmtId="0" fontId="23" fillId="37" borderId="22" xfId="0" applyFont="1" applyFill="1" applyBorder="1"/>
    <xf numFmtId="166" fontId="23" fillId="37" borderId="13" xfId="0" applyNumberFormat="1" applyFont="1" applyFill="1" applyBorder="1" applyAlignment="1">
      <alignment horizontal="center"/>
    </xf>
    <xf numFmtId="2" fontId="23" fillId="37" borderId="14" xfId="0" applyNumberFormat="1" applyFont="1" applyFill="1" applyBorder="1" applyAlignment="1">
      <alignment horizontal="center"/>
    </xf>
    <xf numFmtId="0" fontId="23" fillId="37" borderId="15" xfId="0" applyFont="1" applyFill="1" applyBorder="1" applyAlignment="1">
      <alignment horizontal="center"/>
    </xf>
    <xf numFmtId="166" fontId="23" fillId="37" borderId="27" xfId="0" applyNumberFormat="1" applyFont="1" applyFill="1" applyBorder="1" applyAlignment="1">
      <alignment horizontal="center"/>
    </xf>
    <xf numFmtId="1" fontId="23" fillId="37" borderId="13" xfId="0" applyNumberFormat="1" applyFont="1" applyFill="1" applyBorder="1" applyAlignment="1">
      <alignment horizontal="center"/>
    </xf>
    <xf numFmtId="1" fontId="23" fillId="37" borderId="14" xfId="0" applyNumberFormat="1" applyFont="1" applyFill="1" applyBorder="1" applyAlignment="1">
      <alignment horizontal="center"/>
    </xf>
    <xf numFmtId="166" fontId="23" fillId="37" borderId="14" xfId="0" applyNumberFormat="1" applyFont="1" applyFill="1" applyBorder="1" applyAlignment="1">
      <alignment horizontal="center"/>
    </xf>
    <xf numFmtId="1" fontId="23" fillId="37" borderId="15" xfId="0" applyNumberFormat="1" applyFont="1" applyFill="1" applyBorder="1" applyAlignment="1">
      <alignment horizontal="center"/>
    </xf>
    <xf numFmtId="0" fontId="23" fillId="37" borderId="23" xfId="0" applyFont="1" applyFill="1" applyBorder="1"/>
    <xf numFmtId="166" fontId="23" fillId="37" borderId="16" xfId="0" applyNumberFormat="1" applyFont="1" applyFill="1" applyBorder="1" applyAlignment="1">
      <alignment horizontal="center"/>
    </xf>
    <xf numFmtId="2" fontId="23" fillId="37" borderId="1" xfId="0" applyNumberFormat="1" applyFont="1" applyFill="1" applyBorder="1" applyAlignment="1">
      <alignment horizontal="center"/>
    </xf>
    <xf numFmtId="0" fontId="23" fillId="37" borderId="17" xfId="0" applyFont="1" applyFill="1" applyBorder="1" applyAlignment="1">
      <alignment horizontal="center"/>
    </xf>
    <xf numFmtId="1" fontId="23" fillId="37" borderId="16" xfId="0" applyNumberFormat="1" applyFont="1" applyFill="1" applyBorder="1" applyAlignment="1">
      <alignment horizontal="center"/>
    </xf>
    <xf numFmtId="1" fontId="23" fillId="37" borderId="1" xfId="0" applyNumberFormat="1" applyFont="1" applyFill="1" applyBorder="1" applyAlignment="1">
      <alignment horizontal="center"/>
    </xf>
    <xf numFmtId="1" fontId="23" fillId="37" borderId="17" xfId="0" applyNumberFormat="1" applyFont="1" applyFill="1" applyBorder="1" applyAlignment="1">
      <alignment horizontal="center"/>
    </xf>
    <xf numFmtId="0" fontId="23" fillId="37" borderId="24" xfId="0" applyFont="1" applyFill="1" applyBorder="1"/>
    <xf numFmtId="166" fontId="23" fillId="37" borderId="18" xfId="0" applyNumberFormat="1" applyFont="1" applyFill="1" applyBorder="1" applyAlignment="1">
      <alignment horizontal="center"/>
    </xf>
    <xf numFmtId="2" fontId="23" fillId="37" borderId="19" xfId="0" applyNumberFormat="1" applyFont="1" applyFill="1" applyBorder="1" applyAlignment="1">
      <alignment horizontal="center"/>
    </xf>
    <xf numFmtId="0" fontId="23" fillId="37" borderId="20" xfId="0" applyFont="1" applyFill="1" applyBorder="1" applyAlignment="1">
      <alignment horizontal="center"/>
    </xf>
    <xf numFmtId="1" fontId="23" fillId="37" borderId="18" xfId="0" applyNumberFormat="1" applyFont="1" applyFill="1" applyBorder="1" applyAlignment="1">
      <alignment horizontal="center"/>
    </xf>
    <xf numFmtId="1" fontId="23" fillId="37" borderId="19" xfId="0" applyNumberFormat="1" applyFont="1" applyFill="1" applyBorder="1" applyAlignment="1">
      <alignment horizontal="center"/>
    </xf>
    <xf numFmtId="1" fontId="23" fillId="37" borderId="20" xfId="0" applyNumberFormat="1" applyFont="1" applyFill="1" applyBorder="1" applyAlignment="1">
      <alignment horizontal="center"/>
    </xf>
    <xf numFmtId="0" fontId="23" fillId="37" borderId="1" xfId="0" applyFont="1" applyFill="1" applyBorder="1"/>
    <xf numFmtId="0" fontId="23" fillId="37" borderId="13" xfId="0" applyFont="1" applyFill="1" applyBorder="1" applyAlignment="1">
      <alignment horizontal="center"/>
    </xf>
    <xf numFmtId="0" fontId="23" fillId="37" borderId="14" xfId="0" applyFont="1" applyFill="1" applyBorder="1" applyAlignment="1">
      <alignment horizontal="center"/>
    </xf>
    <xf numFmtId="0" fontId="23" fillId="37" borderId="16" xfId="0" applyFont="1" applyFill="1" applyBorder="1" applyAlignment="1">
      <alignment horizontal="center"/>
    </xf>
    <xf numFmtId="0" fontId="23" fillId="37" borderId="18" xfId="0" applyFont="1" applyFill="1" applyBorder="1" applyAlignment="1">
      <alignment horizontal="center"/>
    </xf>
    <xf numFmtId="0" fontId="23" fillId="37" borderId="19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67" fontId="20" fillId="33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" fontId="23" fillId="34" borderId="12" xfId="0" applyNumberFormat="1" applyFont="1" applyFill="1" applyBorder="1" applyAlignment="1">
      <alignment horizontal="center"/>
    </xf>
    <xf numFmtId="164" fontId="27" fillId="33" borderId="1" xfId="0" applyNumberFormat="1" applyFont="1" applyFill="1" applyBorder="1" applyAlignment="1">
      <alignment horizontal="center" vertical="center"/>
    </xf>
    <xf numFmtId="0" fontId="20" fillId="0" borderId="0" xfId="0" applyFont="1"/>
    <xf numFmtId="165" fontId="27" fillId="33" borderId="1" xfId="0" applyNumberFormat="1" applyFont="1" applyFill="1" applyBorder="1" applyAlignment="1">
      <alignment horizontal="center" vertical="center"/>
    </xf>
    <xf numFmtId="166" fontId="27" fillId="33" borderId="1" xfId="0" applyNumberFormat="1" applyFont="1" applyFill="1" applyBorder="1" applyAlignment="1">
      <alignment horizontal="center" vertical="center"/>
    </xf>
    <xf numFmtId="0" fontId="23" fillId="38" borderId="1" xfId="0" applyFont="1" applyFill="1" applyBorder="1" applyAlignment="1">
      <alignment horizontal="left"/>
    </xf>
    <xf numFmtId="0" fontId="0" fillId="38" borderId="1" xfId="0" applyFill="1" applyBorder="1" applyAlignment="1">
      <alignment horizontal="left"/>
    </xf>
    <xf numFmtId="0" fontId="25" fillId="0" borderId="1" xfId="1" applyFont="1" applyBorder="1" applyAlignment="1">
      <alignment horizontal="center" vertical="center"/>
    </xf>
    <xf numFmtId="0" fontId="25" fillId="33" borderId="1" xfId="1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27" fillId="0" borderId="1" xfId="0" applyFont="1" applyFill="1" applyBorder="1" applyAlignment="1">
      <alignment horizontal="center" vertical="center"/>
    </xf>
    <xf numFmtId="164" fontId="27" fillId="0" borderId="1" xfId="0" applyNumberFormat="1" applyFont="1" applyFill="1" applyBorder="1" applyAlignment="1">
      <alignment horizontal="center" vertical="center"/>
    </xf>
    <xf numFmtId="165" fontId="27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/>
    </xf>
    <xf numFmtId="166" fontId="27" fillId="0" borderId="1" xfId="0" applyNumberFormat="1" applyFont="1" applyFill="1" applyBorder="1" applyAlignment="1">
      <alignment horizontal="center" vertical="center"/>
    </xf>
    <xf numFmtId="2" fontId="27" fillId="0" borderId="1" xfId="0" applyNumberFormat="1" applyFont="1" applyFill="1" applyBorder="1" applyAlignment="1">
      <alignment horizontal="center" vertical="center"/>
    </xf>
    <xf numFmtId="1" fontId="27" fillId="0" borderId="1" xfId="0" applyNumberFormat="1" applyFont="1" applyFill="1" applyBorder="1" applyAlignment="1">
      <alignment horizontal="center" vertical="center"/>
    </xf>
  </cellXfs>
  <cellStyles count="5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5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25000000}"/>
    <cellStyle name="Normal 2 2" xfId="47" xr:uid="{00000000-0005-0000-0000-000026000000}"/>
    <cellStyle name="Normal 2 3" xfId="49" xr:uid="{00000000-0005-0000-0000-000027000000}"/>
    <cellStyle name="Normal 2 3 2" xfId="53" xr:uid="{00000000-0005-0000-0000-000028000000}"/>
    <cellStyle name="Normal 2 4" xfId="48" xr:uid="{00000000-0005-0000-0000-000029000000}"/>
    <cellStyle name="Normal 2 4 2" xfId="52" xr:uid="{00000000-0005-0000-0000-00002A000000}"/>
    <cellStyle name="Normal 2 5" xfId="46" xr:uid="{00000000-0005-0000-0000-00002B000000}"/>
    <cellStyle name="Normal 2 6" xfId="50" xr:uid="{00000000-0005-0000-0000-00002C000000}"/>
    <cellStyle name="Normal 3" xfId="2" xr:uid="{00000000-0005-0000-0000-00002D000000}"/>
    <cellStyle name="Normal 3 2" xfId="51" xr:uid="{00000000-0005-0000-0000-00002E000000}"/>
    <cellStyle name="Normal 3 3" xfId="44" xr:uid="{00000000-0005-0000-0000-00002F000000}"/>
    <cellStyle name="Normal 4" xfId="45" xr:uid="{00000000-0005-0000-0000-000030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anada.ca/en/health-canada/services/environmental-workplace-health/reports-publications/water-quality/guidelines-canadian-drinking-water-quality-summary-table.html" TargetMode="External"/><Relationship Id="rId1" Type="http://schemas.openxmlformats.org/officeDocument/2006/relationships/hyperlink" Target="https://www.knowyourh2o.com/indoor-6/color-taste-o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15"/>
  <sheetViews>
    <sheetView topLeftCell="CS7" zoomScaleNormal="100" workbookViewId="0">
      <selection activeCell="BF25" sqref="BF25:BG25"/>
    </sheetView>
  </sheetViews>
  <sheetFormatPr defaultRowHeight="15" x14ac:dyDescent="0.25"/>
  <cols>
    <col min="1" max="1" width="44" customWidth="1"/>
    <col min="2" max="2" width="35.7109375" customWidth="1"/>
    <col min="3" max="25" width="15.7109375" style="4" customWidth="1"/>
    <col min="26" max="113" width="15.7109375" customWidth="1"/>
  </cols>
  <sheetData>
    <row r="1" spans="1:113" x14ac:dyDescent="0.25">
      <c r="A1" s="1" t="s">
        <v>0</v>
      </c>
      <c r="B1" s="2"/>
      <c r="C1" s="6"/>
    </row>
    <row r="2" spans="1:113" x14ac:dyDescent="0.25">
      <c r="A2" s="1" t="s">
        <v>1</v>
      </c>
      <c r="B2" s="2"/>
      <c r="C2" s="6"/>
    </row>
    <row r="3" spans="1:113" x14ac:dyDescent="0.25">
      <c r="A3" s="1" t="s">
        <v>2</v>
      </c>
      <c r="B3" s="2" t="str">
        <f>INSTRUCTIONS!A3</f>
      </c>
      <c r="C3" s="6"/>
    </row>
    <row r="4" spans="1:113" x14ac:dyDescent="0.25">
      <c r="A4" s="1"/>
      <c r="B4" s="2"/>
      <c r="C4" s="6"/>
    </row>
    <row r="5" spans="1:113" x14ac:dyDescent="0.25">
      <c r="A5" s="1" t="s">
        <v>3</v>
      </c>
      <c r="B5" s="106"/>
      <c r="C5" s="6"/>
    </row>
    <row r="6" spans="1:113" x14ac:dyDescent="0.25">
      <c r="A6" s="1" t="s">
        <v>4</v>
      </c>
      <c r="B6" s="106" t="s">
        <v>5</v>
      </c>
      <c r="C6" s="6"/>
    </row>
    <row r="7" spans="1:113" x14ac:dyDescent="0.25">
      <c r="A7" s="1"/>
      <c r="B7" s="4"/>
      <c r="C7" s="6"/>
    </row>
    <row r="8" spans="1:113" x14ac:dyDescent="0.25">
      <c r="A8" s="1" t="s">
        <v>6</v>
      </c>
      <c r="B8" s="107"/>
      <c r="C8" s="6"/>
    </row>
    <row r="9" spans="1:113" x14ac:dyDescent="0.25">
      <c r="A9" s="1" t="s">
        <v>7</v>
      </c>
      <c r="B9" s="106"/>
      <c r="C9" s="6"/>
    </row>
    <row r="10" spans="1:113" x14ac:dyDescent="0.25">
      <c r="A10" s="1" t="s">
        <v>8</v>
      </c>
      <c r="B10" s="106"/>
      <c r="C10" s="6"/>
    </row>
    <row r="11" spans="1:113" x14ac:dyDescent="0.25">
      <c r="A11" s="1" t="s">
        <v>9</v>
      </c>
      <c r="B11" s="106"/>
      <c r="C11" s="6"/>
    </row>
    <row r="12" spans="1:113" x14ac:dyDescent="0.25">
      <c r="A12" s="1" t="s">
        <v>10</v>
      </c>
      <c r="B12" s="106"/>
      <c r="C12" s="7"/>
    </row>
    <row r="13" spans="1:113" x14ac:dyDescent="0.25">
      <c r="A13" s="1" t="s">
        <v>11</v>
      </c>
      <c r="B13" s="106"/>
      <c r="C13" s="7"/>
    </row>
    <row r="14" spans="1:113" x14ac:dyDescent="0.25">
      <c r="A14" s="1" t="s">
        <v>406</v>
      </c>
      <c r="B14" s="163" t="str">
        <f>INSTRUCTIONS!B40</f>
      </c>
      <c r="C14" s="6"/>
    </row>
    <row r="16" spans="1:113" x14ac:dyDescent="0.25">
      <c r="A16" s="174" t="s">
        <v>12</v>
      </c>
      <c r="B16" s="174"/>
      <c r="C16" s="8" t="s">
        <v>13</v>
      </c>
      <c r="D16" s="8" t="s">
        <v>14</v>
      </c>
      <c r="E16" s="8" t="s">
        <v>15</v>
      </c>
      <c r="F16" s="8" t="s">
        <v>16</v>
      </c>
      <c r="G16" s="8" t="s">
        <v>17</v>
      </c>
      <c r="H16" s="8" t="s">
        <v>18</v>
      </c>
      <c r="I16" s="8" t="s">
        <v>19</v>
      </c>
      <c r="J16" s="8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  <c r="Q16" s="8" t="s">
        <v>27</v>
      </c>
      <c r="R16" s="8" t="s">
        <v>28</v>
      </c>
      <c r="S16" s="8" t="s">
        <v>29</v>
      </c>
      <c r="T16" s="8" t="s">
        <v>30</v>
      </c>
      <c r="U16" s="8" t="s">
        <v>31</v>
      </c>
      <c r="V16" s="8" t="s">
        <v>32</v>
      </c>
      <c r="W16" s="8" t="s">
        <v>33</v>
      </c>
      <c r="X16" s="8" t="s">
        <v>34</v>
      </c>
      <c r="Y16" s="8" t="s">
        <v>35</v>
      </c>
      <c r="Z16" s="8" t="s">
        <v>36</v>
      </c>
      <c r="AA16" s="8" t="s">
        <v>37</v>
      </c>
      <c r="AB16" s="8" t="s">
        <v>38</v>
      </c>
      <c r="AC16" s="8" t="s">
        <v>39</v>
      </c>
      <c r="AD16" s="8" t="s">
        <v>40</v>
      </c>
      <c r="AE16" s="8" t="s">
        <v>41</v>
      </c>
      <c r="AF16" s="8" t="s">
        <v>42</v>
      </c>
      <c r="AG16" s="8" t="s">
        <v>43</v>
      </c>
      <c r="AH16" s="8" t="s">
        <v>44</v>
      </c>
      <c r="AI16" s="8" t="s">
        <v>45</v>
      </c>
      <c r="AJ16" s="8" t="s">
        <v>46</v>
      </c>
      <c r="AK16" s="8" t="s">
        <v>47</v>
      </c>
      <c r="AL16" s="8" t="s">
        <v>48</v>
      </c>
      <c r="AM16" s="8" t="s">
        <v>49</v>
      </c>
      <c r="AN16" s="8" t="s">
        <v>50</v>
      </c>
      <c r="AO16" s="8" t="s">
        <v>51</v>
      </c>
      <c r="AP16" s="8" t="s">
        <v>52</v>
      </c>
      <c r="AQ16" s="8" t="s">
        <v>53</v>
      </c>
      <c r="AR16" s="8" t="s">
        <v>54</v>
      </c>
      <c r="AS16" s="8" t="s">
        <v>55</v>
      </c>
      <c r="AT16" s="8" t="s">
        <v>56</v>
      </c>
      <c r="AU16" s="8" t="s">
        <v>57</v>
      </c>
      <c r="AV16" s="8" t="s">
        <v>58</v>
      </c>
      <c r="AW16" s="8" t="s">
        <v>59</v>
      </c>
      <c r="AX16" s="8" t="s">
        <v>60</v>
      </c>
      <c r="AY16" s="8" t="s">
        <v>61</v>
      </c>
      <c r="AZ16" s="8" t="s">
        <v>62</v>
      </c>
      <c r="BA16" s="8" t="s">
        <v>63</v>
      </c>
      <c r="BB16" s="8" t="s">
        <v>64</v>
      </c>
      <c r="BC16" s="8" t="s">
        <v>65</v>
      </c>
      <c r="BD16" s="8" t="s">
        <v>66</v>
      </c>
      <c r="BE16" s="8" t="s">
        <v>67</v>
      </c>
      <c r="BF16" s="8" t="s">
        <v>68</v>
      </c>
      <c r="BG16" s="8" t="s">
        <v>69</v>
      </c>
      <c r="BH16" s="8" t="s">
        <v>70</v>
      </c>
      <c r="BI16" s="8" t="s">
        <v>71</v>
      </c>
      <c r="BJ16" s="8" t="s">
        <v>72</v>
      </c>
      <c r="BK16" s="8" t="s">
        <v>73</v>
      </c>
      <c r="BL16" s="8" t="s">
        <v>74</v>
      </c>
      <c r="BM16" s="8" t="s">
        <v>75</v>
      </c>
      <c r="BN16" s="8" t="s">
        <v>76</v>
      </c>
      <c r="BO16" s="8" t="s">
        <v>77</v>
      </c>
      <c r="BP16" s="8" t="s">
        <v>78</v>
      </c>
      <c r="BQ16" s="8" t="s">
        <v>79</v>
      </c>
      <c r="BR16" s="8" t="s">
        <v>80</v>
      </c>
      <c r="BS16" s="8" t="s">
        <v>81</v>
      </c>
      <c r="BT16" s="8" t="s">
        <v>82</v>
      </c>
      <c r="BU16" s="8" t="s">
        <v>83</v>
      </c>
      <c r="BV16" s="8" t="s">
        <v>84</v>
      </c>
      <c r="BW16" s="8" t="s">
        <v>85</v>
      </c>
      <c r="BX16" s="8" t="s">
        <v>86</v>
      </c>
      <c r="BY16" s="8" t="s">
        <v>87</v>
      </c>
      <c r="BZ16" s="8" t="s">
        <v>88</v>
      </c>
      <c r="CA16" s="8" t="s">
        <v>89</v>
      </c>
      <c r="CB16" s="8" t="s">
        <v>90</v>
      </c>
      <c r="CC16" s="8" t="s">
        <v>91</v>
      </c>
      <c r="CD16" s="8" t="s">
        <v>92</v>
      </c>
      <c r="CE16" s="8" t="s">
        <v>93</v>
      </c>
      <c r="CF16" s="8" t="s">
        <v>94</v>
      </c>
      <c r="CG16" s="8" t="s">
        <v>95</v>
      </c>
      <c r="CH16" s="8" t="s">
        <v>96</v>
      </c>
      <c r="CI16" s="8" t="s">
        <v>97</v>
      </c>
      <c r="CJ16" s="8" t="s">
        <v>98</v>
      </c>
      <c r="CK16" s="8" t="s">
        <v>99</v>
      </c>
      <c r="CL16" s="8" t="s">
        <v>100</v>
      </c>
      <c r="CM16" s="8" t="s">
        <v>101</v>
      </c>
      <c r="CN16" s="8" t="s">
        <v>102</v>
      </c>
      <c r="CO16" s="8" t="s">
        <v>103</v>
      </c>
      <c r="CP16" s="8" t="s">
        <v>104</v>
      </c>
      <c r="CQ16" s="8" t="s">
        <v>105</v>
      </c>
      <c r="CR16" s="8" t="s">
        <v>106</v>
      </c>
      <c r="CS16" s="8" t="s">
        <v>107</v>
      </c>
      <c r="CT16" s="8" t="s">
        <v>108</v>
      </c>
      <c r="CU16" s="8" t="s">
        <v>109</v>
      </c>
      <c r="CV16" s="8" t="s">
        <v>110</v>
      </c>
      <c r="CW16" s="8" t="s">
        <v>111</v>
      </c>
      <c r="CX16" s="8" t="s">
        <v>112</v>
      </c>
      <c r="CY16" s="8" t="s">
        <v>113</v>
      </c>
      <c r="CZ16" s="8" t="s">
        <v>114</v>
      </c>
      <c r="DA16" s="8" t="s">
        <v>115</v>
      </c>
      <c r="DB16" s="8" t="s">
        <v>116</v>
      </c>
      <c r="DC16" s="8" t="s">
        <v>117</v>
      </c>
      <c r="DD16" s="8" t="s">
        <v>118</v>
      </c>
      <c r="DE16" s="8" t="s">
        <v>119</v>
      </c>
      <c r="DF16" s="8" t="s">
        <v>120</v>
      </c>
      <c r="DG16" s="8" t="s">
        <v>121</v>
      </c>
      <c r="DH16" s="8" t="s">
        <v>122</v>
      </c>
      <c r="DI16" s="8" t="s">
        <v>123</v>
      </c>
    </row>
    <row r="17" spans="1:113" x14ac:dyDescent="0.25">
      <c r="A17" s="51" t="s">
        <v>124</v>
      </c>
      <c r="B17" s="51" t="s">
        <v>125</v>
      </c>
      <c r="C17" s="52" t="s">
        <v>126</v>
      </c>
      <c r="D17" s="52" t="s">
        <v>126</v>
      </c>
      <c r="E17" s="52" t="s">
        <v>126</v>
      </c>
      <c r="F17" s="52" t="s">
        <v>126</v>
      </c>
      <c r="G17" s="52" t="s">
        <v>126</v>
      </c>
      <c r="H17" s="52" t="s">
        <v>126</v>
      </c>
      <c r="I17" s="52" t="s">
        <v>126</v>
      </c>
      <c r="J17" s="52" t="s">
        <v>126</v>
      </c>
      <c r="K17" s="52" t="s">
        <v>126</v>
      </c>
      <c r="L17" s="52" t="s">
        <v>126</v>
      </c>
      <c r="M17" s="52" t="s">
        <v>127</v>
      </c>
      <c r="N17" s="52" t="s">
        <v>126</v>
      </c>
      <c r="O17" s="52" t="s">
        <v>126</v>
      </c>
      <c r="P17" s="52" t="s">
        <v>126</v>
      </c>
      <c r="Q17" s="52" t="s">
        <v>126</v>
      </c>
      <c r="R17" s="52" t="s">
        <v>126</v>
      </c>
      <c r="S17" s="52" t="s">
        <v>126</v>
      </c>
      <c r="T17" s="52" t="s">
        <v>126</v>
      </c>
      <c r="U17" s="52" t="s">
        <v>126</v>
      </c>
      <c r="V17" s="52" t="s">
        <v>126</v>
      </c>
      <c r="W17" s="52" t="s">
        <v>126</v>
      </c>
      <c r="X17" s="52" t="s">
        <v>126</v>
      </c>
      <c r="Y17" s="52" t="s">
        <v>126</v>
      </c>
      <c r="Z17" s="52" t="s">
        <v>126</v>
      </c>
      <c r="AA17" s="52" t="s">
        <v>126</v>
      </c>
      <c r="AB17" s="52" t="s">
        <v>126</v>
      </c>
      <c r="AC17" s="52" t="s">
        <v>126</v>
      </c>
      <c r="AD17" s="52" t="s">
        <v>126</v>
      </c>
      <c r="AE17" s="52" t="s">
        <v>126</v>
      </c>
      <c r="AF17" s="52" t="s">
        <v>126</v>
      </c>
      <c r="AG17" s="52" t="s">
        <v>126</v>
      </c>
      <c r="AH17" s="52" t="s">
        <v>126</v>
      </c>
      <c r="AI17" s="52" t="s">
        <v>126</v>
      </c>
      <c r="AJ17" s="52" t="s">
        <v>126</v>
      </c>
      <c r="AK17" s="52" t="s">
        <v>126</v>
      </c>
      <c r="AL17" s="52" t="s">
        <v>126</v>
      </c>
      <c r="AM17" s="52" t="s">
        <v>126</v>
      </c>
      <c r="AN17" s="52" t="s">
        <v>126</v>
      </c>
      <c r="AO17" s="52" t="s">
        <v>127</v>
      </c>
      <c r="AP17" s="52" t="s">
        <v>127</v>
      </c>
      <c r="AQ17" s="52" t="s">
        <v>126</v>
      </c>
      <c r="AR17" s="52" t="s">
        <v>126</v>
      </c>
      <c r="AS17" s="52" t="s">
        <v>126</v>
      </c>
      <c r="AT17" s="52" t="s">
        <v>126</v>
      </c>
      <c r="AU17" s="52" t="s">
        <v>126</v>
      </c>
      <c r="AV17" s="52" t="s">
        <v>126</v>
      </c>
      <c r="AW17" s="52" t="s">
        <v>126</v>
      </c>
      <c r="AX17" s="52" t="s">
        <v>126</v>
      </c>
      <c r="AY17" s="52" t="s">
        <v>126</v>
      </c>
      <c r="AZ17" s="52" t="s">
        <v>126</v>
      </c>
      <c r="BA17" s="52" t="s">
        <v>126</v>
      </c>
      <c r="BB17" s="52" t="s">
        <v>126</v>
      </c>
      <c r="BC17" s="52" t="s">
        <v>126</v>
      </c>
      <c r="BD17" s="52" t="s">
        <v>126</v>
      </c>
      <c r="BE17" s="52" t="s">
        <v>126</v>
      </c>
      <c r="BF17" s="52" t="s">
        <v>126</v>
      </c>
      <c r="BG17" s="52" t="s">
        <v>126</v>
      </c>
      <c r="BH17" s="52" t="s">
        <v>126</v>
      </c>
      <c r="BI17" s="52" t="s">
        <v>126</v>
      </c>
      <c r="BJ17" s="52" t="s">
        <v>126</v>
      </c>
      <c r="BK17" s="52" t="s">
        <v>126</v>
      </c>
      <c r="BL17" s="52" t="s">
        <v>126</v>
      </c>
      <c r="BM17" s="52" t="s">
        <v>126</v>
      </c>
      <c r="BN17" s="52" t="s">
        <v>126</v>
      </c>
      <c r="BO17" s="52" t="s">
        <v>126</v>
      </c>
      <c r="BP17" s="52" t="s">
        <v>126</v>
      </c>
      <c r="BQ17" s="52" t="s">
        <v>126</v>
      </c>
      <c r="BR17" s="52" t="s">
        <v>126</v>
      </c>
      <c r="BS17" s="52" t="s">
        <v>126</v>
      </c>
      <c r="BT17" s="52" t="s">
        <v>126</v>
      </c>
      <c r="BU17" s="52" t="s">
        <v>126</v>
      </c>
      <c r="BV17" s="52" t="s">
        <v>126</v>
      </c>
      <c r="BW17" s="52" t="s">
        <v>126</v>
      </c>
      <c r="BX17" s="52" t="s">
        <v>126</v>
      </c>
      <c r="BY17" s="52" t="s">
        <v>126</v>
      </c>
      <c r="BZ17" s="52" t="s">
        <v>126</v>
      </c>
      <c r="CA17" s="52" t="s">
        <v>126</v>
      </c>
      <c r="CB17" s="52" t="s">
        <v>126</v>
      </c>
      <c r="CC17" s="52" t="s">
        <v>126</v>
      </c>
      <c r="CD17" s="52" t="s">
        <v>126</v>
      </c>
      <c r="CE17" s="52" t="s">
        <v>126</v>
      </c>
      <c r="CF17" s="52" t="s">
        <v>126</v>
      </c>
      <c r="CG17" s="52" t="s">
        <v>126</v>
      </c>
      <c r="CH17" s="52" t="s">
        <v>126</v>
      </c>
      <c r="CI17" s="52" t="s">
        <v>126</v>
      </c>
      <c r="CJ17" s="52" t="s">
        <v>126</v>
      </c>
      <c r="CK17" s="52" t="s">
        <v>126</v>
      </c>
      <c r="CL17" s="52" t="s">
        <v>126</v>
      </c>
      <c r="CM17" s="52" t="s">
        <v>126</v>
      </c>
      <c r="CN17" s="52" t="s">
        <v>126</v>
      </c>
      <c r="CO17" s="52" t="s">
        <v>126</v>
      </c>
      <c r="CP17" s="52" t="s">
        <v>126</v>
      </c>
      <c r="CQ17" s="52" t="s">
        <v>126</v>
      </c>
      <c r="CR17" s="52" t="s">
        <v>126</v>
      </c>
      <c r="CS17" s="52" t="s">
        <v>126</v>
      </c>
      <c r="CT17" s="52" t="s">
        <v>126</v>
      </c>
      <c r="CU17" s="52" t="s">
        <v>126</v>
      </c>
      <c r="CV17" s="52" t="s">
        <v>126</v>
      </c>
      <c r="CW17" s="52" t="s">
        <v>126</v>
      </c>
      <c r="CX17" s="52" t="s">
        <v>126</v>
      </c>
      <c r="CY17" s="52" t="s">
        <v>126</v>
      </c>
      <c r="CZ17" s="52" t="s">
        <v>126</v>
      </c>
      <c r="DA17" s="52" t="s">
        <v>126</v>
      </c>
      <c r="DB17" s="52" t="s">
        <v>126</v>
      </c>
      <c r="DC17" s="52" t="s">
        <v>126</v>
      </c>
      <c r="DD17" s="52" t="s">
        <v>126</v>
      </c>
      <c r="DE17" s="52" t="s">
        <v>126</v>
      </c>
      <c r="DF17" s="52" t="s">
        <v>126</v>
      </c>
      <c r="DG17" s="52" t="s">
        <v>126</v>
      </c>
      <c r="DH17" s="52" t="s">
        <v>126</v>
      </c>
      <c r="DI17" s="52" t="s">
        <v>126</v>
      </c>
    </row>
    <row r="18" spans="1:113" x14ac:dyDescent="0.25">
      <c r="A18" s="172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</row>
    <row r="19" spans="1:113" x14ac:dyDescent="0.25">
      <c r="A19" s="172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</row>
    <row r="20" spans="1:113" x14ac:dyDescent="0.25">
      <c r="A20" s="17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</row>
    <row r="21" spans="1:113" x14ac:dyDescent="0.25">
      <c r="A21" s="17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</row>
    <row r="22" spans="1:113" x14ac:dyDescent="0.25">
      <c r="A22" s="17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</row>
    <row r="23" spans="1:113" x14ac:dyDescent="0.25">
      <c r="A23" s="17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</row>
    <row r="24" spans="1:113" x14ac:dyDescent="0.25">
      <c r="A24" s="173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</row>
    <row r="25" spans="1:113" x14ac:dyDescent="0.25">
      <c r="A25" s="173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</row>
    <row r="26" spans="1:113" x14ac:dyDescent="0.25">
      <c r="A26" s="98"/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</row>
    <row r="27" spans="1:113" x14ac:dyDescent="0.25">
      <c r="A27" s="98"/>
      <c r="B27" s="98"/>
      <c r="C27" s="99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1"/>
    </row>
    <row r="28" spans="1:113" x14ac:dyDescent="0.25">
      <c r="A28" s="98"/>
      <c r="B28" s="98"/>
      <c r="C28" s="99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1"/>
    </row>
    <row r="29" spans="1:113" x14ac:dyDescent="0.25">
      <c r="A29" s="98"/>
      <c r="B29" s="98"/>
      <c r="C29" s="99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1"/>
    </row>
    <row r="30" spans="1:113" x14ac:dyDescent="0.25">
      <c r="A30" s="98"/>
      <c r="B30" s="98"/>
      <c r="C30" s="99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1"/>
    </row>
    <row r="31" spans="1:113" x14ac:dyDescent="0.25">
      <c r="A31" s="98"/>
      <c r="B31" s="98"/>
      <c r="C31" s="99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1"/>
    </row>
    <row r="32" spans="1:113" x14ac:dyDescent="0.25">
      <c r="A32" s="98"/>
      <c r="B32" s="98"/>
      <c r="C32" s="99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1"/>
    </row>
    <row r="33" spans="1:113" x14ac:dyDescent="0.25">
      <c r="A33" s="98"/>
      <c r="B33" s="98"/>
      <c r="C33" s="99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1"/>
    </row>
    <row r="34" spans="1:113" x14ac:dyDescent="0.25">
      <c r="A34" s="98"/>
      <c r="B34" s="98"/>
      <c r="C34" s="99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1"/>
    </row>
    <row r="35" spans="1:113" x14ac:dyDescent="0.25">
      <c r="A35" s="98"/>
      <c r="B35" s="98"/>
      <c r="C35" s="99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1"/>
    </row>
    <row r="36" spans="1:113" x14ac:dyDescent="0.25">
      <c r="A36" s="98"/>
      <c r="B36" s="98"/>
      <c r="C36" s="99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1"/>
    </row>
    <row r="37" spans="1:113" x14ac:dyDescent="0.25">
      <c r="A37" s="98"/>
      <c r="B37" s="98"/>
      <c r="C37" s="99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1"/>
    </row>
    <row r="38" spans="1:113" x14ac:dyDescent="0.25">
      <c r="A38" s="98"/>
      <c r="B38" s="98"/>
      <c r="C38" s="99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1"/>
    </row>
    <row r="39" spans="1:113" x14ac:dyDescent="0.25">
      <c r="A39" s="98"/>
      <c r="B39" s="98"/>
      <c r="C39" s="99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1"/>
    </row>
    <row r="40" spans="1:113" x14ac:dyDescent="0.25">
      <c r="A40" s="98"/>
      <c r="B40" s="98"/>
      <c r="C40" s="99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  <c r="DD40" s="100"/>
      <c r="DE40" s="100"/>
      <c r="DF40" s="100"/>
      <c r="DG40" s="100"/>
      <c r="DH40" s="100"/>
      <c r="DI40" s="101"/>
    </row>
    <row r="41" spans="1:113" x14ac:dyDescent="0.25">
      <c r="A41" s="98"/>
      <c r="B41" s="98"/>
      <c r="C41" s="99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  <c r="DC41" s="100"/>
      <c r="DD41" s="100"/>
      <c r="DE41" s="100"/>
      <c r="DF41" s="100"/>
      <c r="DG41" s="100"/>
      <c r="DH41" s="100"/>
      <c r="DI41" s="101"/>
    </row>
    <row r="42" spans="1:113" x14ac:dyDescent="0.25">
      <c r="A42" s="98"/>
      <c r="B42" s="98"/>
      <c r="C42" s="99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1"/>
    </row>
    <row r="43" spans="1:113" x14ac:dyDescent="0.25">
      <c r="A43" s="98"/>
      <c r="B43" s="98"/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/>
      <c r="DH43" s="100"/>
      <c r="DI43" s="101"/>
    </row>
    <row r="44" spans="1:113" x14ac:dyDescent="0.25">
      <c r="A44" s="98"/>
      <c r="B44" s="98"/>
      <c r="C44" s="99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  <c r="DC44" s="100"/>
      <c r="DD44" s="100"/>
      <c r="DE44" s="100"/>
      <c r="DF44" s="100"/>
      <c r="DG44" s="100"/>
      <c r="DH44" s="100"/>
      <c r="DI44" s="101"/>
    </row>
    <row r="45" spans="1:113" x14ac:dyDescent="0.25">
      <c r="A45" s="98"/>
      <c r="B45" s="98"/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0"/>
      <c r="DE45" s="100"/>
      <c r="DF45" s="100"/>
      <c r="DG45" s="100"/>
      <c r="DH45" s="100"/>
      <c r="DI45" s="101"/>
    </row>
    <row r="46" spans="1:113" x14ac:dyDescent="0.25">
      <c r="A46" s="98"/>
      <c r="B46" s="98"/>
      <c r="C46" s="99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1"/>
    </row>
    <row r="47" spans="1:113" x14ac:dyDescent="0.25">
      <c r="A47" s="98"/>
      <c r="B47" s="98"/>
      <c r="C47" s="99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1"/>
    </row>
    <row r="48" spans="1:113" x14ac:dyDescent="0.25">
      <c r="A48" s="98"/>
      <c r="B48" s="98"/>
      <c r="C48" s="99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1"/>
    </row>
    <row r="49" spans="1:113" x14ac:dyDescent="0.25">
      <c r="A49" s="98"/>
      <c r="B49" s="98"/>
      <c r="C49" s="99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1"/>
    </row>
    <row r="50" spans="1:113" x14ac:dyDescent="0.25">
      <c r="A50" s="98"/>
      <c r="B50" s="98"/>
      <c r="C50" s="99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1"/>
    </row>
    <row r="51" spans="1:113" x14ac:dyDescent="0.25">
      <c r="A51" s="98"/>
      <c r="B51" s="98"/>
      <c r="C51" s="99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1"/>
    </row>
    <row r="52" spans="1:113" x14ac:dyDescent="0.25">
      <c r="A52" s="98"/>
      <c r="B52" s="98"/>
      <c r="C52" s="99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1"/>
    </row>
    <row r="53" spans="1:113" x14ac:dyDescent="0.25">
      <c r="A53" s="98"/>
      <c r="B53" s="98"/>
      <c r="C53" s="99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1"/>
    </row>
    <row r="54" spans="1:113" x14ac:dyDescent="0.25">
      <c r="A54" s="98"/>
      <c r="B54" s="98"/>
      <c r="C54" s="99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1"/>
    </row>
    <row r="55" spans="1:113" x14ac:dyDescent="0.25">
      <c r="A55" s="98"/>
      <c r="B55" s="98"/>
      <c r="C55" s="99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1"/>
    </row>
    <row r="56" spans="1:113" x14ac:dyDescent="0.25">
      <c r="A56" s="98"/>
      <c r="B56" s="98"/>
      <c r="C56" s="99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1"/>
    </row>
    <row r="57" spans="1:113" x14ac:dyDescent="0.25">
      <c r="A57" s="98"/>
      <c r="B57" s="98"/>
      <c r="C57" s="99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1"/>
    </row>
    <row r="58" spans="1:113" x14ac:dyDescent="0.25">
      <c r="A58" s="98"/>
      <c r="B58" s="98"/>
      <c r="C58" s="99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1"/>
    </row>
    <row r="59" spans="1:113" x14ac:dyDescent="0.25">
      <c r="A59" s="98"/>
      <c r="B59" s="98"/>
      <c r="C59" s="99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1"/>
    </row>
    <row r="60" spans="1:113" x14ac:dyDescent="0.25">
      <c r="A60" s="98"/>
      <c r="B60" s="98"/>
      <c r="C60" s="99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1"/>
    </row>
    <row r="61" spans="1:113" x14ac:dyDescent="0.25">
      <c r="A61" s="98"/>
      <c r="B61" s="98"/>
      <c r="C61" s="99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1"/>
    </row>
    <row r="62" spans="1:113" ht="15.75" thickBot="1" x14ac:dyDescent="0.3">
      <c r="A62" s="102"/>
      <c r="B62" s="102"/>
      <c r="C62" s="103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  <c r="CC62" s="104"/>
      <c r="CD62" s="104"/>
      <c r="CE62" s="104"/>
      <c r="CF62" s="104"/>
      <c r="CG62" s="104"/>
      <c r="CH62" s="104"/>
      <c r="CI62" s="104"/>
      <c r="CJ62" s="104"/>
      <c r="CK62" s="104"/>
      <c r="CL62" s="104"/>
      <c r="CM62" s="104"/>
      <c r="CN62" s="104"/>
      <c r="CO62" s="104"/>
      <c r="CP62" s="104"/>
      <c r="CQ62" s="104"/>
      <c r="CR62" s="104"/>
      <c r="CS62" s="104"/>
      <c r="CT62" s="104"/>
      <c r="CU62" s="104"/>
      <c r="CV62" s="104"/>
      <c r="CW62" s="104"/>
      <c r="CX62" s="104"/>
      <c r="CY62" s="104"/>
      <c r="CZ62" s="104"/>
      <c r="DA62" s="104"/>
      <c r="DB62" s="104"/>
      <c r="DC62" s="104"/>
      <c r="DD62" s="104"/>
      <c r="DE62" s="104"/>
      <c r="DF62" s="104"/>
      <c r="DG62" s="104"/>
      <c r="DH62" s="104"/>
      <c r="DI62" s="105"/>
    </row>
    <row r="63" spans="1:113" ht="15.75" thickTop="1" x14ac:dyDescent="0.25">
      <c r="A63" s="53" t="s">
        <v>164</v>
      </c>
      <c r="B63" s="54" t="s">
        <v>165</v>
      </c>
      <c r="C63" s="56">
        <v>7.0000000000000001E-3</v>
      </c>
      <c r="D63" s="56">
        <v>8.9999999999999993E-3</v>
      </c>
      <c r="E63" s="56">
        <v>1.2E-2</v>
      </c>
      <c r="F63" s="56">
        <v>1.2999999999999999E-2</v>
      </c>
      <c r="G63" s="56">
        <v>1.4E-2</v>
      </c>
      <c r="H63" s="57">
        <v>1.6999999999999999E-3</v>
      </c>
      <c r="I63" s="57">
        <v>1.1000000000000001E-3</v>
      </c>
      <c r="J63" s="57">
        <v>6.9999999999999999E-4</v>
      </c>
      <c r="K63" s="57">
        <v>1E-3</v>
      </c>
      <c r="L63" s="57">
        <v>5.0000000000000001E-4</v>
      </c>
      <c r="M63" s="57">
        <v>1.5E-3</v>
      </c>
      <c r="N63" s="57" t="s">
        <v>170</v>
      </c>
      <c r="O63" s="57" t="s">
        <v>170</v>
      </c>
      <c r="P63" s="56">
        <v>4.0000000000000001E-3</v>
      </c>
      <c r="Q63" s="55">
        <v>0.02</v>
      </c>
      <c r="R63" s="57">
        <v>6.9999999999999999E-4</v>
      </c>
      <c r="S63" s="57">
        <v>6.9999999999999999E-4</v>
      </c>
      <c r="T63" s="56">
        <v>1E-3</v>
      </c>
      <c r="U63" s="56">
        <v>2E-3</v>
      </c>
      <c r="V63" s="57">
        <v>8.9999999999999998E-4</v>
      </c>
      <c r="W63" s="57">
        <v>1.4E-3</v>
      </c>
      <c r="X63" s="57">
        <v>3.2000000000000002E-3</v>
      </c>
      <c r="Y63" s="57">
        <v>5.0000000000000001E-4</v>
      </c>
      <c r="Z63" s="57">
        <v>6.9999999999999999E-4</v>
      </c>
      <c r="AA63" s="56">
        <v>2E-3</v>
      </c>
      <c r="AB63" s="56">
        <v>1E-3</v>
      </c>
      <c r="AC63" s="57">
        <v>2.9999999999999997E-4</v>
      </c>
      <c r="AD63" s="56">
        <v>1E-3</v>
      </c>
      <c r="AE63" s="57">
        <v>5.0000000000000001E-4</v>
      </c>
      <c r="AF63" s="57">
        <v>2.9999999999999997E-4</v>
      </c>
      <c r="AG63" s="57">
        <v>6.7000000000000002E-3</v>
      </c>
      <c r="AH63" s="57">
        <v>2.5000000000000001E-3</v>
      </c>
      <c r="AI63" s="56">
        <v>4.0000000000000001E-3</v>
      </c>
      <c r="AJ63" s="56">
        <v>5.0000000000000001E-3</v>
      </c>
      <c r="AK63" s="56">
        <v>1E-3</v>
      </c>
      <c r="AL63" s="56">
        <v>1E-3</v>
      </c>
      <c r="AM63" s="56">
        <v>2E-3</v>
      </c>
      <c r="AN63" s="56">
        <v>1E-3</v>
      </c>
      <c r="AO63" s="167">
        <v>7</v>
      </c>
      <c r="AP63" s="167">
        <v>7</v>
      </c>
      <c r="AQ63" s="56">
        <v>2E-3</v>
      </c>
      <c r="AR63" s="56">
        <v>1E-3</v>
      </c>
      <c r="AS63" s="56">
        <v>2E-3</v>
      </c>
      <c r="AT63" s="57">
        <v>4.0000000000000002E-4</v>
      </c>
      <c r="AU63" s="57">
        <v>2.9999999999999997E-4</v>
      </c>
      <c r="AV63" s="57" t="s">
        <v>170</v>
      </c>
      <c r="AW63" s="57" t="s">
        <v>170</v>
      </c>
      <c r="AX63" s="57">
        <v>4.0000000000000002E-4</v>
      </c>
      <c r="AY63" s="56">
        <v>1E-3</v>
      </c>
      <c r="AZ63" s="57">
        <v>6.9999999999999999E-4</v>
      </c>
      <c r="BA63" s="57">
        <v>4.1000000000000003E-3</v>
      </c>
      <c r="BB63" s="57">
        <v>6.9999999999999999E-4</v>
      </c>
      <c r="BC63" s="57">
        <v>3.5000000000000001E-3</v>
      </c>
      <c r="BD63" s="57">
        <v>2.3E-3</v>
      </c>
      <c r="BE63" s="57">
        <v>2.2000000000000001E-3</v>
      </c>
      <c r="BF63" s="57">
        <v>6.8999999999999999E-3</v>
      </c>
      <c r="BG63" s="57">
        <v>1.1000000000000001E-3</v>
      </c>
      <c r="BH63" s="55">
        <v>0.01</v>
      </c>
      <c r="BI63" s="55">
        <v>0.06</v>
      </c>
      <c r="BJ63" s="56">
        <v>3.0000000000000001E-3</v>
      </c>
      <c r="BK63" s="56">
        <v>2E-3</v>
      </c>
      <c r="BL63" s="57">
        <v>1.6999999999999999E-3</v>
      </c>
      <c r="BM63" s="57">
        <v>8.9999999999999998E-4</v>
      </c>
      <c r="BN63" s="57" t="s">
        <v>170</v>
      </c>
      <c r="BO63" s="57" t="s">
        <v>170</v>
      </c>
      <c r="BP63" s="56">
        <v>1.0999999999999999E-2</v>
      </c>
      <c r="BQ63" s="57">
        <v>5.0000000000000001E-3</v>
      </c>
      <c r="BR63" s="56">
        <v>7.0000000000000001E-3</v>
      </c>
      <c r="BS63" s="56">
        <v>5.6000000000000001E-2</v>
      </c>
      <c r="BT63" s="56">
        <v>3.4000000000000002E-2</v>
      </c>
      <c r="BU63" s="56">
        <v>1.0999999999999999E-2</v>
      </c>
      <c r="BV63" s="56">
        <v>7.0000000000000001E-3</v>
      </c>
      <c r="BW63" s="57" t="s">
        <v>170</v>
      </c>
      <c r="BX63" s="57" t="s">
        <v>170</v>
      </c>
      <c r="BY63" s="56">
        <v>1.7999999999999999E-2</v>
      </c>
      <c r="BZ63" s="56">
        <v>2.5000000000000001E-2</v>
      </c>
      <c r="CA63" s="56">
        <v>4.0000000000000001E-3</v>
      </c>
      <c r="CB63" s="56">
        <v>3.0000000000000001E-3</v>
      </c>
      <c r="CC63" s="56">
        <v>1E-3</v>
      </c>
      <c r="CD63" s="56">
        <v>2E-3</v>
      </c>
      <c r="CE63" s="56">
        <v>0.01</v>
      </c>
      <c r="CF63" s="56">
        <v>5.0000000000000001E-3</v>
      </c>
      <c r="CG63" s="57">
        <v>2.9999999999999997E-4</v>
      </c>
      <c r="CH63" s="57">
        <v>5.0000000000000001E-4</v>
      </c>
      <c r="CI63" s="56">
        <v>3.0000000000000001E-3</v>
      </c>
      <c r="CJ63" s="56">
        <v>4.0000000000000001E-3</v>
      </c>
      <c r="CK63" s="58">
        <v>0.1</v>
      </c>
      <c r="CL63" s="55">
        <v>0.01</v>
      </c>
      <c r="CM63" s="55">
        <v>0.01</v>
      </c>
      <c r="CN63" s="56">
        <v>3.0000000000000001E-3</v>
      </c>
      <c r="CO63" s="57">
        <v>5.0000000000000001E-4</v>
      </c>
      <c r="CP63" s="57">
        <v>5.0000000000000001E-4</v>
      </c>
      <c r="CQ63" s="55">
        <v>0.01</v>
      </c>
      <c r="CR63" s="55">
        <v>0.03</v>
      </c>
      <c r="CS63" s="55">
        <v>0.02</v>
      </c>
      <c r="CT63" s="56">
        <v>2E-3</v>
      </c>
      <c r="CU63" s="56">
        <v>1E-3</v>
      </c>
      <c r="CV63" s="55">
        <v>0.03</v>
      </c>
      <c r="CW63" s="56">
        <v>1.2E-2</v>
      </c>
      <c r="CX63" s="57">
        <v>8.0000000000000004E-4</v>
      </c>
      <c r="CY63" s="57">
        <v>3.0000000000000001E-3</v>
      </c>
      <c r="CZ63" s="56">
        <v>5.0000000000000001E-3</v>
      </c>
      <c r="DA63" s="55">
        <v>0.01</v>
      </c>
      <c r="DB63" s="57" t="s">
        <v>170</v>
      </c>
      <c r="DC63" s="57" t="s">
        <v>170</v>
      </c>
      <c r="DD63" s="57">
        <v>2.9999999999999997E-4</v>
      </c>
      <c r="DE63" s="57">
        <v>4.0000000000000002E-4</v>
      </c>
      <c r="DF63" s="57">
        <v>1E-3</v>
      </c>
      <c r="DG63" s="57">
        <v>6.9999999999999999E-4</v>
      </c>
      <c r="DH63" s="57">
        <v>5.9999999999999995E-4</v>
      </c>
      <c r="DI63" s="57">
        <v>5.0000000000000001E-4</v>
      </c>
    </row>
    <row r="64" spans="1:113" x14ac:dyDescent="0.25">
      <c r="A64" s="53" t="s">
        <v>164</v>
      </c>
      <c r="B64" s="54" t="s">
        <v>165</v>
      </c>
      <c r="C64" s="55" t="s">
        <v>473</v>
      </c>
      <c r="D64" s="55" t="s">
        <v>474</v>
      </c>
      <c r="E64" s="55" t="s">
        <v>475</v>
      </c>
      <c r="F64" s="55" t="s">
        <v>476</v>
      </c>
      <c r="G64" s="55" t="s">
        <v>477</v>
      </c>
      <c r="H64" s="55" t="s">
        <v>478</v>
      </c>
      <c r="I64" s="55" t="s">
        <v>479</v>
      </c>
      <c r="J64" s="55" t="s">
        <v>480</v>
      </c>
      <c r="K64" s="55" t="s">
        <v>481</v>
      </c>
      <c r="L64" s="55" t="s">
        <v>431</v>
      </c>
      <c r="M64" s="55" t="s">
        <v>482</v>
      </c>
      <c r="N64" s="55" t="s">
        <v>170</v>
      </c>
      <c r="O64" s="55" t="s">
        <v>170</v>
      </c>
      <c r="P64" s="55" t="s">
        <v>430</v>
      </c>
      <c r="Q64" s="55" t="s">
        <v>428</v>
      </c>
      <c r="R64" s="55" t="s">
        <v>480</v>
      </c>
      <c r="S64" s="55" t="s">
        <v>480</v>
      </c>
      <c r="T64" s="55" t="s">
        <v>168</v>
      </c>
      <c r="U64" s="55" t="s">
        <v>167</v>
      </c>
      <c r="V64" s="55" t="s">
        <v>483</v>
      </c>
      <c r="W64" s="55" t="s">
        <v>484</v>
      </c>
      <c r="X64" s="55" t="s">
        <v>485</v>
      </c>
      <c r="Y64" s="55" t="s">
        <v>431</v>
      </c>
      <c r="Z64" s="55" t="s">
        <v>480</v>
      </c>
      <c r="AA64" s="55" t="s">
        <v>167</v>
      </c>
      <c r="AB64" s="55" t="s">
        <v>168</v>
      </c>
      <c r="AC64" s="55" t="s">
        <v>169</v>
      </c>
      <c r="AD64" s="55" t="s">
        <v>168</v>
      </c>
      <c r="AE64" s="55" t="s">
        <v>431</v>
      </c>
      <c r="AF64" s="55" t="s">
        <v>169</v>
      </c>
      <c r="AG64" s="55" t="s">
        <v>499</v>
      </c>
      <c r="AH64" s="55" t="s">
        <v>500</v>
      </c>
      <c r="AI64" s="55" t="s">
        <v>430</v>
      </c>
      <c r="AJ64" s="55" t="s">
        <v>429</v>
      </c>
      <c r="AK64" s="55" t="s">
        <v>168</v>
      </c>
      <c r="AL64" s="55" t="s">
        <v>168</v>
      </c>
      <c r="AM64" s="55" t="s">
        <v>167</v>
      </c>
      <c r="AN64" s="55" t="s">
        <v>168</v>
      </c>
      <c r="AO64" s="55" t="s">
        <v>432</v>
      </c>
      <c r="AP64" s="55" t="s">
        <v>432</v>
      </c>
      <c r="AQ64" s="55" t="s">
        <v>167</v>
      </c>
      <c r="AR64" s="55" t="s">
        <v>168</v>
      </c>
      <c r="AS64" s="55" t="s">
        <v>167</v>
      </c>
      <c r="AT64" s="55" t="s">
        <v>171</v>
      </c>
      <c r="AU64" s="55" t="s">
        <v>169</v>
      </c>
      <c r="AV64" s="55" t="s">
        <v>170</v>
      </c>
      <c r="AW64" s="55" t="s">
        <v>170</v>
      </c>
      <c r="AX64" s="55" t="s">
        <v>171</v>
      </c>
      <c r="AY64" s="55" t="s">
        <v>168</v>
      </c>
      <c r="AZ64" s="55" t="s">
        <v>480</v>
      </c>
      <c r="BA64" s="55" t="s">
        <v>486</v>
      </c>
      <c r="BB64" s="55" t="s">
        <v>480</v>
      </c>
      <c r="BC64" s="55" t="s">
        <v>487</v>
      </c>
      <c r="BD64" s="55" t="s">
        <v>488</v>
      </c>
      <c r="BE64" s="55" t="s">
        <v>489</v>
      </c>
      <c r="BF64" s="55" t="s">
        <v>490</v>
      </c>
      <c r="BG64" s="55" t="s">
        <v>479</v>
      </c>
      <c r="BH64" s="55" t="s">
        <v>427</v>
      </c>
      <c r="BI64" s="55" t="s">
        <v>491</v>
      </c>
      <c r="BJ64" s="55" t="s">
        <v>166</v>
      </c>
      <c r="BK64" s="55" t="s">
        <v>167</v>
      </c>
      <c r="BL64" s="55" t="s">
        <v>478</v>
      </c>
      <c r="BM64" s="55" t="s">
        <v>483</v>
      </c>
      <c r="BN64" s="55" t="s">
        <v>170</v>
      </c>
      <c r="BO64" s="55" t="s">
        <v>170</v>
      </c>
      <c r="BP64" s="55" t="s">
        <v>492</v>
      </c>
      <c r="BQ64" s="55" t="s">
        <v>429</v>
      </c>
      <c r="BR64" s="55" t="s">
        <v>473</v>
      </c>
      <c r="BS64" s="55" t="s">
        <v>493</v>
      </c>
      <c r="BT64" s="55" t="s">
        <v>494</v>
      </c>
      <c r="BU64" s="55" t="s">
        <v>492</v>
      </c>
      <c r="BV64" s="55" t="s">
        <v>473</v>
      </c>
      <c r="BW64" s="55" t="s">
        <v>170</v>
      </c>
      <c r="BX64" s="55" t="s">
        <v>170</v>
      </c>
      <c r="BY64" s="55" t="s">
        <v>495</v>
      </c>
      <c r="BZ64" s="55" t="s">
        <v>496</v>
      </c>
      <c r="CA64" s="55" t="s">
        <v>430</v>
      </c>
      <c r="CB64" s="55" t="s">
        <v>166</v>
      </c>
      <c r="CC64" s="55" t="s">
        <v>168</v>
      </c>
      <c r="CD64" s="55" t="s">
        <v>167</v>
      </c>
      <c r="CE64" s="55" t="s">
        <v>501</v>
      </c>
      <c r="CF64" s="55" t="s">
        <v>429</v>
      </c>
      <c r="CG64" s="55" t="s">
        <v>169</v>
      </c>
      <c r="CH64" s="55" t="s">
        <v>431</v>
      </c>
      <c r="CI64" s="55" t="s">
        <v>166</v>
      </c>
      <c r="CJ64" s="55" t="s">
        <v>430</v>
      </c>
      <c r="CK64" s="55" t="s">
        <v>174</v>
      </c>
      <c r="CL64" s="55" t="s">
        <v>427</v>
      </c>
      <c r="CM64" s="55" t="s">
        <v>427</v>
      </c>
      <c r="CN64" s="55" t="s">
        <v>166</v>
      </c>
      <c r="CO64" s="55" t="s">
        <v>431</v>
      </c>
      <c r="CP64" s="55" t="s">
        <v>431</v>
      </c>
      <c r="CQ64" s="55" t="s">
        <v>427</v>
      </c>
      <c r="CR64" s="55" t="s">
        <v>433</v>
      </c>
      <c r="CS64" s="55" t="s">
        <v>428</v>
      </c>
      <c r="CT64" s="55" t="s">
        <v>167</v>
      </c>
      <c r="CU64" s="55" t="s">
        <v>168</v>
      </c>
      <c r="CV64" s="55" t="s">
        <v>433</v>
      </c>
      <c r="CW64" s="55" t="s">
        <v>475</v>
      </c>
      <c r="CX64" s="55" t="s">
        <v>497</v>
      </c>
      <c r="CY64" s="55" t="s">
        <v>166</v>
      </c>
      <c r="CZ64" s="55" t="s">
        <v>429</v>
      </c>
      <c r="DA64" s="55" t="s">
        <v>427</v>
      </c>
      <c r="DB64" s="55" t="s">
        <v>170</v>
      </c>
      <c r="DC64" s="55" t="s">
        <v>170</v>
      </c>
      <c r="DD64" s="55" t="s">
        <v>169</v>
      </c>
      <c r="DE64" s="55" t="s">
        <v>171</v>
      </c>
      <c r="DF64" s="55" t="s">
        <v>481</v>
      </c>
      <c r="DG64" s="55" t="s">
        <v>480</v>
      </c>
      <c r="DH64" s="55" t="s">
        <v>498</v>
      </c>
      <c r="DI64" s="55" t="s">
        <v>431</v>
      </c>
    </row>
    <row r="65" spans="1:113" x14ac:dyDescent="0.25">
      <c r="A65" s="12"/>
      <c r="B65" s="13"/>
      <c r="C65" s="14"/>
      <c r="D65" s="14"/>
      <c r="E65" s="15"/>
      <c r="F65" s="16"/>
      <c r="G65" s="17"/>
      <c r="H65" s="14"/>
      <c r="I65" s="14"/>
      <c r="J65" s="14"/>
      <c r="K65" s="15"/>
      <c r="L65" s="15"/>
      <c r="M65" s="15"/>
      <c r="N65" s="18"/>
      <c r="O65" s="18"/>
      <c r="P65" s="16"/>
      <c r="Q65" s="15"/>
      <c r="R65" s="18"/>
      <c r="S65" s="14"/>
      <c r="T65" s="14"/>
      <c r="U65" s="14"/>
      <c r="V65" s="18"/>
      <c r="W65" s="14"/>
      <c r="X65" s="14"/>
      <c r="Y65" s="16"/>
    </row>
    <row r="66" spans="1:113" x14ac:dyDescent="0.25">
      <c r="A66" s="12"/>
      <c r="B66" s="1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74"/>
      <c r="CR66" s="74"/>
      <c r="CS66" s="74"/>
      <c r="CT66" s="74"/>
      <c r="CU66" s="74"/>
      <c r="CV66" s="74"/>
      <c r="CW66" s="74"/>
      <c r="CX66" s="74"/>
      <c r="CY66" s="74"/>
      <c r="CZ66" s="74"/>
      <c r="DA66" s="74"/>
      <c r="DB66" s="74"/>
      <c r="DC66" s="74"/>
      <c r="DD66" s="74"/>
      <c r="DE66" s="74"/>
      <c r="DF66" s="74"/>
      <c r="DG66" s="74"/>
      <c r="DH66" s="74"/>
      <c r="DI66" s="74"/>
    </row>
    <row r="67" spans="1:113" x14ac:dyDescent="0.25">
      <c r="A67" s="75" t="s">
        <v>344</v>
      </c>
      <c r="B67" s="13"/>
      <c r="C67" s="18"/>
      <c r="D67" s="16"/>
      <c r="E67" s="14"/>
      <c r="F67" s="18"/>
      <c r="G67" s="15"/>
      <c r="H67" s="16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1:113" x14ac:dyDescent="0.25">
      <c r="A68" s="175" t="s">
        <v>172</v>
      </c>
      <c r="B68" s="175"/>
      <c r="C68" s="38" t="str">
        <f>C16</f>
      </c>
      <c r="D68" s="11" t="str">
        <f t="shared" ref="D68:BO68" si="0">D16</f>
      </c>
      <c r="E68" s="38" t="str">
        <f t="shared" si="0"/>
      </c>
      <c r="F68" s="38" t="str">
        <f t="shared" si="0"/>
      </c>
      <c r="G68" s="11" t="str">
        <f t="shared" si="0"/>
      </c>
      <c r="H68" s="11" t="str">
        <f t="shared" si="0"/>
      </c>
      <c r="I68" s="38" t="str">
        <f t="shared" si="0"/>
      </c>
      <c r="J68" s="11" t="str">
        <f t="shared" si="0"/>
      </c>
      <c r="K68" s="38" t="str">
        <f t="shared" si="0"/>
      </c>
      <c r="L68" s="11" t="str">
        <f t="shared" si="0"/>
      </c>
      <c r="M68" s="38" t="str">
        <f t="shared" si="0"/>
      </c>
      <c r="N68" s="11" t="str">
        <f t="shared" si="0"/>
      </c>
      <c r="O68" s="38" t="str">
        <f t="shared" si="0"/>
      </c>
      <c r="P68" s="38" t="str">
        <f t="shared" si="0"/>
      </c>
      <c r="Q68" s="11" t="str">
        <f t="shared" si="0"/>
      </c>
      <c r="R68" s="38" t="str">
        <f t="shared" si="0"/>
      </c>
      <c r="S68" s="11" t="str">
        <f t="shared" si="0"/>
      </c>
      <c r="T68" s="38" t="str">
        <f t="shared" si="0"/>
      </c>
      <c r="U68" s="11" t="str">
        <f t="shared" si="0"/>
      </c>
      <c r="V68" s="38" t="str">
        <f t="shared" si="0"/>
      </c>
      <c r="W68" s="11" t="str">
        <f t="shared" si="0"/>
      </c>
      <c r="X68" s="11" t="str">
        <f t="shared" si="0"/>
      </c>
      <c r="Y68" s="38" t="str">
        <f t="shared" si="0"/>
      </c>
      <c r="Z68" s="38" t="str">
        <f t="shared" si="0"/>
      </c>
      <c r="AA68" s="11" t="str">
        <f t="shared" si="0"/>
      </c>
      <c r="AB68" s="38" t="str">
        <f t="shared" si="0"/>
      </c>
      <c r="AC68" s="11" t="str">
        <f t="shared" si="0"/>
      </c>
      <c r="AD68" s="38" t="str">
        <f t="shared" si="0"/>
      </c>
      <c r="AE68" s="11" t="str">
        <f t="shared" si="0"/>
      </c>
      <c r="AF68" s="38" t="str">
        <f t="shared" si="0"/>
      </c>
      <c r="AG68" s="11" t="str">
        <f t="shared" si="0"/>
      </c>
      <c r="AH68" s="38" t="str">
        <f t="shared" si="0"/>
      </c>
      <c r="AI68" s="38" t="str">
        <f t="shared" si="0"/>
      </c>
      <c r="AJ68" s="11" t="str">
        <f t="shared" si="0"/>
      </c>
      <c r="AK68" s="11" t="str">
        <f t="shared" si="0"/>
      </c>
      <c r="AL68" s="38" t="str">
        <f t="shared" si="0"/>
      </c>
      <c r="AM68" s="11" t="str">
        <f t="shared" si="0"/>
      </c>
      <c r="AN68" s="38" t="str">
        <f t="shared" si="0"/>
      </c>
      <c r="AO68" s="11" t="str">
        <f t="shared" si="0"/>
      </c>
      <c r="AP68" s="38" t="str">
        <f t="shared" si="0"/>
      </c>
      <c r="AQ68" s="11" t="str">
        <f t="shared" si="0"/>
      </c>
      <c r="AR68" s="38" t="str">
        <f t="shared" si="0"/>
      </c>
      <c r="AS68" s="38" t="str">
        <f t="shared" si="0"/>
      </c>
      <c r="AT68" s="38" t="str">
        <f t="shared" si="0"/>
      </c>
      <c r="AU68" s="11" t="str">
        <f t="shared" si="0"/>
      </c>
      <c r="AV68" s="11" t="str">
        <f t="shared" si="0"/>
      </c>
      <c r="AW68" s="38" t="str">
        <f t="shared" si="0"/>
      </c>
      <c r="AX68" s="38" t="str">
        <f t="shared" si="0"/>
      </c>
      <c r="AY68" s="11" t="str">
        <f t="shared" si="0"/>
      </c>
      <c r="AZ68" s="38" t="str">
        <f t="shared" si="0"/>
      </c>
      <c r="BA68" s="11" t="str">
        <f t="shared" si="0"/>
      </c>
      <c r="BB68" s="38" t="str">
        <f t="shared" si="0"/>
      </c>
      <c r="BC68" s="11" t="str">
        <f t="shared" si="0"/>
      </c>
      <c r="BD68" s="38" t="str">
        <f t="shared" si="0"/>
      </c>
      <c r="BE68" s="11" t="str">
        <f t="shared" si="0"/>
      </c>
      <c r="BF68" s="11" t="str">
        <f t="shared" si="0"/>
      </c>
      <c r="BG68" s="38" t="str">
        <f t="shared" si="0"/>
      </c>
      <c r="BH68" s="11" t="str">
        <f t="shared" si="0"/>
      </c>
      <c r="BI68" s="38" t="str">
        <f t="shared" si="0"/>
      </c>
      <c r="BJ68" s="38" t="str">
        <f t="shared" si="0"/>
      </c>
      <c r="BK68" s="11" t="str">
        <f t="shared" si="0"/>
      </c>
      <c r="BL68" s="11" t="str">
        <f t="shared" si="0"/>
      </c>
      <c r="BM68" s="38" t="str">
        <f t="shared" si="0"/>
      </c>
      <c r="BN68" s="11" t="str">
        <f t="shared" si="0"/>
      </c>
      <c r="BO68" s="11" t="str">
        <f t="shared" si="0"/>
      </c>
      <c r="BP68" s="38" t="str">
        <f t="shared" ref="BP68:DI68" si="1">BP16</f>
      </c>
      <c r="BQ68" s="38" t="str">
        <f t="shared" si="1"/>
      </c>
      <c r="BR68" s="38" t="str">
        <f t="shared" si="1"/>
      </c>
      <c r="BS68" s="11" t="str">
        <f t="shared" si="1"/>
      </c>
      <c r="BT68" s="38" t="str">
        <f t="shared" si="1"/>
      </c>
      <c r="BU68" s="38" t="str">
        <f t="shared" si="1"/>
      </c>
      <c r="BV68" s="11" t="str">
        <f t="shared" si="1"/>
      </c>
      <c r="BW68" s="11" t="str">
        <f t="shared" si="1"/>
      </c>
      <c r="BX68" s="38" t="str">
        <f t="shared" si="1"/>
      </c>
      <c r="BY68" s="38" t="str">
        <f t="shared" si="1"/>
      </c>
      <c r="BZ68" s="11" t="str">
        <f t="shared" si="1"/>
      </c>
      <c r="CA68" s="38" t="str">
        <f t="shared" si="1"/>
      </c>
      <c r="CB68" s="11" t="str">
        <f t="shared" si="1"/>
      </c>
      <c r="CC68" s="38" t="str">
        <f t="shared" si="1"/>
      </c>
      <c r="CD68" s="11" t="str">
        <f t="shared" si="1"/>
      </c>
      <c r="CE68" s="38" t="str">
        <f t="shared" si="1"/>
      </c>
      <c r="CF68" s="11" t="str">
        <f t="shared" si="1"/>
      </c>
      <c r="CG68" s="38" t="str">
        <f t="shared" si="1"/>
      </c>
      <c r="CH68" s="11" t="str">
        <f t="shared" si="1"/>
      </c>
      <c r="CI68" s="11" t="str">
        <f t="shared" si="1"/>
      </c>
      <c r="CJ68" s="38" t="str">
        <f t="shared" si="1"/>
      </c>
      <c r="CK68" s="11" t="str">
        <f t="shared" si="1"/>
      </c>
      <c r="CL68" s="38" t="str">
        <f t="shared" si="1"/>
      </c>
      <c r="CM68" s="11" t="str">
        <f t="shared" si="1"/>
      </c>
      <c r="CN68" s="38" t="str">
        <f t="shared" si="1"/>
      </c>
      <c r="CO68" s="38" t="str">
        <f t="shared" si="1"/>
      </c>
      <c r="CP68" s="11" t="str">
        <f t="shared" si="1"/>
      </c>
      <c r="CQ68" s="38" t="str">
        <f t="shared" si="1"/>
      </c>
      <c r="CR68" s="11" t="str">
        <f t="shared" si="1"/>
      </c>
      <c r="CS68" s="11" t="str">
        <f t="shared" si="1"/>
      </c>
      <c r="CT68" s="38" t="str">
        <f t="shared" si="1"/>
      </c>
      <c r="CU68" s="11" t="str">
        <f t="shared" si="1"/>
      </c>
      <c r="CV68" s="11" t="str">
        <f t="shared" si="1"/>
      </c>
      <c r="CW68" s="38" t="str">
        <f t="shared" si="1"/>
      </c>
      <c r="CX68" s="38" t="str">
        <f t="shared" si="1"/>
      </c>
      <c r="CY68" s="11" t="str">
        <f t="shared" si="1"/>
      </c>
      <c r="CZ68" s="38" t="str">
        <f t="shared" si="1"/>
      </c>
      <c r="DA68" s="11" t="str">
        <f t="shared" si="1"/>
      </c>
      <c r="DB68" s="11" t="str">
        <f t="shared" si="1"/>
      </c>
      <c r="DC68" s="38" t="str">
        <f t="shared" si="1"/>
      </c>
      <c r="DD68" s="38" t="str">
        <f t="shared" si="1"/>
      </c>
      <c r="DE68" s="11" t="str">
        <f t="shared" si="1"/>
      </c>
      <c r="DF68" s="11" t="str">
        <f t="shared" si="1"/>
      </c>
      <c r="DG68" s="38" t="str">
        <f t="shared" si="1"/>
      </c>
      <c r="DH68" s="11" t="str">
        <f t="shared" si="1"/>
      </c>
      <c r="DI68" s="38" t="str">
        <f t="shared" si="1"/>
      </c>
    </row>
    <row r="69" spans="1:113" x14ac:dyDescent="0.25">
      <c r="A69" s="39" t="s">
        <v>124</v>
      </c>
      <c r="B69" s="39" t="s">
        <v>125</v>
      </c>
      <c r="C69" s="38" t="str">
        <f>C17</f>
      </c>
      <c r="D69" s="11" t="str">
        <f t="shared" ref="D69:BO69" si="2">D17</f>
      </c>
      <c r="E69" s="38" t="str">
        <f t="shared" si="2"/>
      </c>
      <c r="F69" s="38" t="str">
        <f t="shared" si="2"/>
      </c>
      <c r="G69" s="11" t="str">
        <f t="shared" si="2"/>
      </c>
      <c r="H69" s="11" t="str">
        <f t="shared" si="2"/>
      </c>
      <c r="I69" s="38" t="str">
        <f t="shared" si="2"/>
      </c>
      <c r="J69" s="11" t="str">
        <f t="shared" si="2"/>
      </c>
      <c r="K69" s="38" t="str">
        <f t="shared" si="2"/>
      </c>
      <c r="L69" s="11" t="str">
        <f t="shared" si="2"/>
      </c>
      <c r="M69" s="38" t="str">
        <f t="shared" si="2"/>
      </c>
      <c r="N69" s="11" t="str">
        <f t="shared" si="2"/>
      </c>
      <c r="O69" s="38" t="str">
        <f t="shared" si="2"/>
      </c>
      <c r="P69" s="38" t="str">
        <f t="shared" si="2"/>
      </c>
      <c r="Q69" s="11" t="str">
        <f t="shared" si="2"/>
      </c>
      <c r="R69" s="38" t="str">
        <f t="shared" si="2"/>
      </c>
      <c r="S69" s="11" t="str">
        <f t="shared" si="2"/>
      </c>
      <c r="T69" s="38" t="str">
        <f t="shared" si="2"/>
      </c>
      <c r="U69" s="11" t="str">
        <f t="shared" si="2"/>
      </c>
      <c r="V69" s="38" t="str">
        <f t="shared" si="2"/>
      </c>
      <c r="W69" s="11" t="str">
        <f t="shared" si="2"/>
      </c>
      <c r="X69" s="11" t="str">
        <f t="shared" si="2"/>
      </c>
      <c r="Y69" s="38" t="str">
        <f t="shared" si="2"/>
      </c>
      <c r="Z69" s="38" t="str">
        <f t="shared" si="2"/>
      </c>
      <c r="AA69" s="11" t="str">
        <f t="shared" si="2"/>
      </c>
      <c r="AB69" s="38" t="str">
        <f t="shared" si="2"/>
      </c>
      <c r="AC69" s="11" t="str">
        <f t="shared" si="2"/>
      </c>
      <c r="AD69" s="38" t="str">
        <f t="shared" si="2"/>
      </c>
      <c r="AE69" s="11" t="str">
        <f t="shared" si="2"/>
      </c>
      <c r="AF69" s="38" t="str">
        <f t="shared" si="2"/>
      </c>
      <c r="AG69" s="11" t="str">
        <f t="shared" si="2"/>
      </c>
      <c r="AH69" s="38" t="str">
        <f t="shared" si="2"/>
      </c>
      <c r="AI69" s="38" t="str">
        <f t="shared" si="2"/>
      </c>
      <c r="AJ69" s="11" t="str">
        <f t="shared" si="2"/>
      </c>
      <c r="AK69" s="11" t="str">
        <f t="shared" si="2"/>
      </c>
      <c r="AL69" s="38" t="str">
        <f t="shared" si="2"/>
      </c>
      <c r="AM69" s="11" t="str">
        <f t="shared" si="2"/>
      </c>
      <c r="AN69" s="38" t="str">
        <f t="shared" si="2"/>
      </c>
      <c r="AO69" s="11" t="str">
        <f t="shared" si="2"/>
      </c>
      <c r="AP69" s="38" t="str">
        <f t="shared" si="2"/>
      </c>
      <c r="AQ69" s="11" t="str">
        <f t="shared" si="2"/>
      </c>
      <c r="AR69" s="38" t="str">
        <f t="shared" si="2"/>
      </c>
      <c r="AS69" s="38" t="str">
        <f t="shared" si="2"/>
      </c>
      <c r="AT69" s="38" t="str">
        <f t="shared" si="2"/>
      </c>
      <c r="AU69" s="11" t="str">
        <f t="shared" si="2"/>
      </c>
      <c r="AV69" s="11" t="str">
        <f t="shared" si="2"/>
      </c>
      <c r="AW69" s="38" t="str">
        <f t="shared" si="2"/>
      </c>
      <c r="AX69" s="38" t="str">
        <f t="shared" si="2"/>
      </c>
      <c r="AY69" s="11" t="str">
        <f t="shared" si="2"/>
      </c>
      <c r="AZ69" s="38" t="str">
        <f t="shared" si="2"/>
      </c>
      <c r="BA69" s="11" t="str">
        <f t="shared" si="2"/>
      </c>
      <c r="BB69" s="38" t="str">
        <f t="shared" si="2"/>
      </c>
      <c r="BC69" s="11" t="str">
        <f t="shared" si="2"/>
      </c>
      <c r="BD69" s="38" t="str">
        <f t="shared" si="2"/>
      </c>
      <c r="BE69" s="11" t="str">
        <f t="shared" si="2"/>
      </c>
      <c r="BF69" s="11" t="str">
        <f t="shared" si="2"/>
      </c>
      <c r="BG69" s="38" t="str">
        <f t="shared" si="2"/>
      </c>
      <c r="BH69" s="11" t="str">
        <f t="shared" si="2"/>
      </c>
      <c r="BI69" s="38" t="str">
        <f t="shared" si="2"/>
      </c>
      <c r="BJ69" s="38" t="str">
        <f t="shared" si="2"/>
      </c>
      <c r="BK69" s="11" t="str">
        <f t="shared" si="2"/>
      </c>
      <c r="BL69" s="11" t="str">
        <f t="shared" si="2"/>
      </c>
      <c r="BM69" s="38" t="str">
        <f t="shared" si="2"/>
      </c>
      <c r="BN69" s="11" t="str">
        <f t="shared" si="2"/>
      </c>
      <c r="BO69" s="11" t="str">
        <f t="shared" si="2"/>
      </c>
      <c r="BP69" s="38" t="str">
        <f t="shared" ref="BP69:DI69" si="3">BP17</f>
      </c>
      <c r="BQ69" s="38" t="str">
        <f t="shared" si="3"/>
      </c>
      <c r="BR69" s="38" t="str">
        <f t="shared" si="3"/>
      </c>
      <c r="BS69" s="11" t="str">
        <f t="shared" si="3"/>
      </c>
      <c r="BT69" s="38" t="str">
        <f t="shared" si="3"/>
      </c>
      <c r="BU69" s="38" t="str">
        <f t="shared" si="3"/>
      </c>
      <c r="BV69" s="11" t="str">
        <f t="shared" si="3"/>
      </c>
      <c r="BW69" s="11" t="str">
        <f t="shared" si="3"/>
      </c>
      <c r="BX69" s="38" t="str">
        <f t="shared" si="3"/>
      </c>
      <c r="BY69" s="38" t="str">
        <f t="shared" si="3"/>
      </c>
      <c r="BZ69" s="11" t="str">
        <f t="shared" si="3"/>
      </c>
      <c r="CA69" s="38" t="str">
        <f t="shared" si="3"/>
      </c>
      <c r="CB69" s="11" t="str">
        <f t="shared" si="3"/>
      </c>
      <c r="CC69" s="38" t="str">
        <f t="shared" si="3"/>
      </c>
      <c r="CD69" s="11" t="str">
        <f t="shared" si="3"/>
      </c>
      <c r="CE69" s="38" t="str">
        <f t="shared" si="3"/>
      </c>
      <c r="CF69" s="11" t="str">
        <f t="shared" si="3"/>
      </c>
      <c r="CG69" s="38" t="str">
        <f t="shared" si="3"/>
      </c>
      <c r="CH69" s="11" t="str">
        <f t="shared" si="3"/>
      </c>
      <c r="CI69" s="11" t="str">
        <f t="shared" si="3"/>
      </c>
      <c r="CJ69" s="38" t="str">
        <f t="shared" si="3"/>
      </c>
      <c r="CK69" s="11" t="str">
        <f t="shared" si="3"/>
      </c>
      <c r="CL69" s="38" t="str">
        <f t="shared" si="3"/>
      </c>
      <c r="CM69" s="11" t="str">
        <f t="shared" si="3"/>
      </c>
      <c r="CN69" s="38" t="str">
        <f t="shared" si="3"/>
      </c>
      <c r="CO69" s="38" t="str">
        <f t="shared" si="3"/>
      </c>
      <c r="CP69" s="11" t="str">
        <f t="shared" si="3"/>
      </c>
      <c r="CQ69" s="38" t="str">
        <f t="shared" si="3"/>
      </c>
      <c r="CR69" s="11" t="str">
        <f t="shared" si="3"/>
      </c>
      <c r="CS69" s="11" t="str">
        <f t="shared" si="3"/>
      </c>
      <c r="CT69" s="38" t="str">
        <f t="shared" si="3"/>
      </c>
      <c r="CU69" s="11" t="str">
        <f t="shared" si="3"/>
      </c>
      <c r="CV69" s="11" t="str">
        <f t="shared" si="3"/>
      </c>
      <c r="CW69" s="38" t="str">
        <f t="shared" si="3"/>
      </c>
      <c r="CX69" s="38" t="str">
        <f t="shared" si="3"/>
      </c>
      <c r="CY69" s="11" t="str">
        <f t="shared" si="3"/>
      </c>
      <c r="CZ69" s="38" t="str">
        <f t="shared" si="3"/>
      </c>
      <c r="DA69" s="11" t="str">
        <f t="shared" si="3"/>
      </c>
      <c r="DB69" s="11" t="str">
        <f t="shared" si="3"/>
      </c>
      <c r="DC69" s="38" t="str">
        <f t="shared" si="3"/>
      </c>
      <c r="DD69" s="38" t="str">
        <f t="shared" si="3"/>
      </c>
      <c r="DE69" s="11" t="str">
        <f t="shared" si="3"/>
      </c>
      <c r="DF69" s="11" t="str">
        <f t="shared" si="3"/>
      </c>
      <c r="DG69" s="38" t="str">
        <f t="shared" si="3"/>
      </c>
      <c r="DH69" s="11" t="str">
        <f t="shared" si="3"/>
      </c>
      <c r="DI69" s="38" t="str">
        <f t="shared" si="3"/>
      </c>
    </row>
    <row r="70" spans="1:113" x14ac:dyDescent="0.25">
      <c r="A70" s="20" t="str">
        <f t="shared" ref="A70:B89" si="4">A18</f>
      </c>
      <c r="B70" s="20" t="str">
        <f t="shared" si="4"/>
      </c>
      <c r="C70" s="9" t="str">
        <f>IF(ISBLANK(C18),"NO DATA",IF(ISNUMBER(FIND(CODES!$A$12,C18)),CODES!$A$12,IF(OR(ISNUMBER(FIND(CODES!$A$10,C18)),ISNUMBER(FIND(CODES!$A$11,C18))),CODES!$A$13,IF(OR(C18&lt;C$63,ISNUMBER(C18)=FALSE),C$64,C18))))</f>
      </c>
      <c r="D70" s="9" t="str">
        <f>IF(ISBLANK(D18),"NO DATA",IF(ISNUMBER(FIND(CODES!$A$12,D18)),CODES!$A$12,IF(OR(ISNUMBER(FIND(CODES!$A$10,D18)),ISNUMBER(FIND(CODES!$A$11,D18))),CODES!$A$13,IF(OR(D18&lt;D$63,ISNUMBER(D18)=FALSE),D$64,D18))))</f>
      </c>
      <c r="E70" s="9" t="str">
        <f>IF(ISBLANK(E18),"NO DATA",IF(ISNUMBER(FIND(CODES!$A$12,E18)),CODES!$A$12,IF(OR(ISNUMBER(FIND(CODES!$A$10,E18)),ISNUMBER(FIND(CODES!$A$11,E18))),CODES!$A$13,IF(OR(E18&lt;E$63,ISNUMBER(E18)=FALSE),E$64,E18))))</f>
      </c>
      <c r="F70" s="9" t="str">
        <f>IF(ISBLANK(F18),"NO DATA",IF(ISNUMBER(FIND(CODES!$A$12,F18)),CODES!$A$12,IF(OR(ISNUMBER(FIND(CODES!$A$10,F18)),ISNUMBER(FIND(CODES!$A$11,F18))),CODES!$A$13,IF(OR(F18&lt;F$63,ISNUMBER(F18)=FALSE),F$64,F18))))</f>
      </c>
      <c r="G70" s="9" t="str">
        <f>IF(ISBLANK(G18),"NO DATA",IF(ISNUMBER(FIND(CODES!$A$12,G18)),CODES!$A$12,IF(OR(ISNUMBER(FIND(CODES!$A$10,G18)),ISNUMBER(FIND(CODES!$A$11,G18))),CODES!$A$13,IF(OR(G18&lt;G$63,ISNUMBER(G18)=FALSE),G$64,G18))))</f>
      </c>
      <c r="H70" s="9">
        <f>IF(ISBLANK(H18),"NO DATA",IF(ISNUMBER(FIND(CODES!$A$12,H18)),CODES!$A$12,IF(OR(ISNUMBER(FIND(CODES!$A$10,H18)),ISNUMBER(FIND(CODES!$A$11,H18))),CODES!$A$13,IF(OR(H18&lt;H$63,ISNUMBER(H18)=FALSE),H$64,H18))))</f>
      </c>
      <c r="I70" s="9">
        <f>IF(ISBLANK(I18),"NO DATA",IF(ISNUMBER(FIND(CODES!$A$12,I18)),CODES!$A$12,IF(OR(ISNUMBER(FIND(CODES!$A$10,I18)),ISNUMBER(FIND(CODES!$A$11,I18))),CODES!$A$13,IF(OR(I18&lt;I$63,ISNUMBER(I18)=FALSE),I$64,I18))))</f>
      </c>
      <c r="J70" s="9">
        <f>IF(ISBLANK(J18),"NO DATA",IF(ISNUMBER(FIND(CODES!$A$12,J18)),CODES!$A$12,IF(OR(ISNUMBER(FIND(CODES!$A$10,J18)),ISNUMBER(FIND(CODES!$A$11,J18))),CODES!$A$13,IF(OR(J18&lt;J$63,ISNUMBER(J18)=FALSE),J$64,J18))))</f>
      </c>
      <c r="K70" s="9">
        <f>IF(ISBLANK(K18),"NO DATA",IF(ISNUMBER(FIND(CODES!$A$12,K18)),CODES!$A$12,IF(OR(ISNUMBER(FIND(CODES!$A$10,K18)),ISNUMBER(FIND(CODES!$A$11,K18))),CODES!$A$13,IF(OR(K18&lt;K$63,ISNUMBER(K18)=FALSE),K$64,K18))))</f>
      </c>
      <c r="L70" s="9" t="str">
        <f>IF(ISBLANK(L18),"NO DATA",IF(ISNUMBER(FIND(CODES!$A$12,L18)),CODES!$A$12,IF(OR(ISNUMBER(FIND(CODES!$A$10,L18)),ISNUMBER(FIND(CODES!$A$11,L18))),CODES!$A$13,IF(OR(L18&lt;L$63,ISNUMBER(L18)=FALSE),L$64,L18))))</f>
      </c>
      <c r="M70" s="9" t="str">
        <f>IF(ISBLANK(M18),"NO DATA",IF(ISNUMBER(FIND(CODES!$A$12,M18)),CODES!$A$12,IF(OR(ISNUMBER(FIND(CODES!$A$10,M18)),ISNUMBER(FIND(CODES!$A$11,M18))),CODES!$A$13,IF(OR(M18&lt;M$63,ISNUMBER(M18)=FALSE),M$64,M18))))</f>
      </c>
      <c r="N70" s="9" t="str">
        <f>IF(ISBLANK(N18),"NO DATA",IF(ISNUMBER(FIND(CODES!$A$12,N18)),CODES!$A$12,IF(OR(ISNUMBER(FIND(CODES!$A$10,N18)),ISNUMBER(FIND(CODES!$A$11,N18))),CODES!$A$13,IF(OR(N18&lt;N$63,ISNUMBER(N18)=FALSE),N$64,N18))))</f>
      </c>
      <c r="O70" s="9" t="str">
        <f>IF(ISBLANK(O18),"NO DATA",IF(ISNUMBER(FIND(CODES!$A$12,O18)),CODES!$A$12,IF(OR(ISNUMBER(FIND(CODES!$A$10,O18)),ISNUMBER(FIND(CODES!$A$11,O18))),CODES!$A$13,IF(OR(O18&lt;O$63,ISNUMBER(O18)=FALSE),O$64,O18))))</f>
      </c>
      <c r="P70" s="9">
        <f>IF(ISBLANK(P18),"NO DATA",IF(ISNUMBER(FIND(CODES!$A$12,P18)),CODES!$A$12,IF(OR(ISNUMBER(FIND(CODES!$A$10,P18)),ISNUMBER(FIND(CODES!$A$11,P18))),CODES!$A$13,IF(OR(P18&lt;P$63,ISNUMBER(P18)=FALSE),P$64,P18))))</f>
      </c>
      <c r="Q70" s="9">
        <f>IF(ISBLANK(Q18),"NO DATA",IF(ISNUMBER(FIND(CODES!$A$12,Q18)),CODES!$A$12,IF(OR(ISNUMBER(FIND(CODES!$A$10,Q18)),ISNUMBER(FIND(CODES!$A$11,Q18))),CODES!$A$13,IF(OR(Q18&lt;Q$63,ISNUMBER(Q18)=FALSE),Q$64,Q18))))</f>
      </c>
      <c r="R70" s="9" t="str">
        <f>IF(ISBLANK(R18),"NO DATA",IF(ISNUMBER(FIND(CODES!$A$12,R18)),CODES!$A$12,IF(OR(ISNUMBER(FIND(CODES!$A$10,R18)),ISNUMBER(FIND(CODES!$A$11,R18))),CODES!$A$13,IF(OR(R18&lt;R$63,ISNUMBER(R18)=FALSE),R$64,R18))))</f>
      </c>
      <c r="S70" s="9" t="str">
        <f>IF(ISBLANK(S18),"NO DATA",IF(ISNUMBER(FIND(CODES!$A$12,S18)),CODES!$A$12,IF(OR(ISNUMBER(FIND(CODES!$A$10,S18)),ISNUMBER(FIND(CODES!$A$11,S18))),CODES!$A$13,IF(OR(S18&lt;S$63,ISNUMBER(S18)=FALSE),S$64,S18))))</f>
      </c>
      <c r="T70" s="9" t="str">
        <f>IF(ISBLANK(T18),"NO DATA",IF(ISNUMBER(FIND(CODES!$A$12,T18)),CODES!$A$12,IF(OR(ISNUMBER(FIND(CODES!$A$10,T18)),ISNUMBER(FIND(CODES!$A$11,T18))),CODES!$A$13,IF(OR(T18&lt;T$63,ISNUMBER(T18)=FALSE),T$64,T18))))</f>
      </c>
      <c r="U70" s="9" t="str">
        <f>IF(ISBLANK(U18),"NO DATA",IF(ISNUMBER(FIND(CODES!$A$12,U18)),CODES!$A$12,IF(OR(ISNUMBER(FIND(CODES!$A$10,U18)),ISNUMBER(FIND(CODES!$A$11,U18))),CODES!$A$13,IF(OR(U18&lt;U$63,ISNUMBER(U18)=FALSE),U$64,U18))))</f>
      </c>
      <c r="V70" s="9" t="str">
        <f>IF(ISBLANK(V18),"NO DATA",IF(ISNUMBER(FIND(CODES!$A$12,V18)),CODES!$A$12,IF(OR(ISNUMBER(FIND(CODES!$A$10,V18)),ISNUMBER(FIND(CODES!$A$11,V18))),CODES!$A$13,IF(OR(V18&lt;V$63,ISNUMBER(V18)=FALSE),V$64,V18))))</f>
      </c>
      <c r="W70" s="9" t="str">
        <f>IF(ISBLANK(W18),"NO DATA",IF(ISNUMBER(FIND(CODES!$A$12,W18)),CODES!$A$12,IF(OR(ISNUMBER(FIND(CODES!$A$10,W18)),ISNUMBER(FIND(CODES!$A$11,W18))),CODES!$A$13,IF(OR(W18&lt;W$63,ISNUMBER(W18)=FALSE),W$64,W18))))</f>
      </c>
      <c r="X70" s="9" t="str">
        <f>IF(ISBLANK(X18),"NO DATA",IF(ISNUMBER(FIND(CODES!$A$12,X18)),CODES!$A$12,IF(OR(ISNUMBER(FIND(CODES!$A$10,X18)),ISNUMBER(FIND(CODES!$A$11,X18))),CODES!$A$13,IF(OR(X18&lt;X$63,ISNUMBER(X18)=FALSE),X$64,X18))))</f>
      </c>
      <c r="Y70" s="9">
        <f>IF(ISBLANK(Y18),"NO DATA",IF(ISNUMBER(FIND(CODES!$A$12,Y18)),CODES!$A$12,IF(OR(ISNUMBER(FIND(CODES!$A$10,Y18)),ISNUMBER(FIND(CODES!$A$11,Y18))),CODES!$A$13,IF(OR(Y18&lt;Y$63,ISNUMBER(Y18)=FALSE),Y$64,Y18))))</f>
      </c>
      <c r="Z70" s="9">
        <f>IF(ISBLANK(Z18),"NO DATA",IF(ISNUMBER(FIND(CODES!$A$12,Z18)),CODES!$A$12,IF(OR(ISNUMBER(FIND(CODES!$A$10,Z18)),ISNUMBER(FIND(CODES!$A$11,Z18))),CODES!$A$13,IF(OR(Z18&lt;Z$63,ISNUMBER(Z18)=FALSE),Z$64,Z18))))</f>
      </c>
      <c r="AA70" s="9" t="str">
        <f>IF(ISBLANK(AA18),"NO DATA",IF(ISNUMBER(FIND(CODES!$A$12,AA18)),CODES!$A$12,IF(OR(ISNUMBER(FIND(CODES!$A$10,AA18)),ISNUMBER(FIND(CODES!$A$11,AA18))),CODES!$A$13,IF(OR(AA18&lt;AA$63,ISNUMBER(AA18)=FALSE),AA$64,AA18))))</f>
      </c>
      <c r="AB70" s="9" t="str">
        <f>IF(ISBLANK(AB18),"NO DATA",IF(ISNUMBER(FIND(CODES!$A$12,AB18)),CODES!$A$12,IF(OR(ISNUMBER(FIND(CODES!$A$10,AB18)),ISNUMBER(FIND(CODES!$A$11,AB18))),CODES!$A$13,IF(OR(AB18&lt;AB$63,ISNUMBER(AB18)=FALSE),AB$64,AB18))))</f>
      </c>
      <c r="AC70" s="9" t="str">
        <f>IF(ISBLANK(AC18),"NO DATA",IF(ISNUMBER(FIND(CODES!$A$12,AC18)),CODES!$A$12,IF(OR(ISNUMBER(FIND(CODES!$A$10,AC18)),ISNUMBER(FIND(CODES!$A$11,AC18))),CODES!$A$13,IF(OR(AC18&lt;AC$63,ISNUMBER(AC18)=FALSE),AC$64,AC18))))</f>
      </c>
      <c r="AD70" s="9" t="str">
        <f>IF(ISBLANK(AD18),"NO DATA",IF(ISNUMBER(FIND(CODES!$A$12,AD18)),CODES!$A$12,IF(OR(ISNUMBER(FIND(CODES!$A$10,AD18)),ISNUMBER(FIND(CODES!$A$11,AD18))),CODES!$A$13,IF(OR(AD18&lt;AD$63,ISNUMBER(AD18)=FALSE),AD$64,AD18))))</f>
      </c>
      <c r="AE70" s="9" t="str">
        <f>IF(ISBLANK(AE18),"NO DATA",IF(ISNUMBER(FIND(CODES!$A$12,AE18)),CODES!$A$12,IF(OR(ISNUMBER(FIND(CODES!$A$10,AE18)),ISNUMBER(FIND(CODES!$A$11,AE18))),CODES!$A$13,IF(OR(AE18&lt;AE$63,ISNUMBER(AE18)=FALSE),AE$64,AE18))))</f>
      </c>
      <c r="AF70" s="9" t="str">
        <f>IF(ISBLANK(AF18),"NO DATA",IF(ISNUMBER(FIND(CODES!$A$12,AF18)),CODES!$A$12,IF(OR(ISNUMBER(FIND(CODES!$A$10,AF18)),ISNUMBER(FIND(CODES!$A$11,AF18))),CODES!$A$13,IF(OR(AF18&lt;AF$63,ISNUMBER(AF18)=FALSE),AF$64,AF18))))</f>
      </c>
      <c r="AG70" s="9">
        <f>IF(ISBLANK(AG18),"NO DATA",IF(ISNUMBER(FIND(CODES!$A$12,AG18)),CODES!$A$12,IF(OR(ISNUMBER(FIND(CODES!$A$10,AG18)),ISNUMBER(FIND(CODES!$A$11,AG18))),CODES!$A$13,IF(OR(AG18&lt;AG$63,ISNUMBER(AG18)=FALSE),AG$64,AG18))))</f>
      </c>
      <c r="AH70" s="9">
        <f>IF(ISBLANK(AH18),"NO DATA",IF(ISNUMBER(FIND(CODES!$A$12,AH18)),CODES!$A$12,IF(OR(ISNUMBER(FIND(CODES!$A$10,AH18)),ISNUMBER(FIND(CODES!$A$11,AH18))),CODES!$A$13,IF(OR(AH18&lt;AH$63,ISNUMBER(AH18)=FALSE),AH$64,AH18))))</f>
      </c>
      <c r="AI70" s="9" t="str">
        <f>IF(ISBLANK(AI18),"NO DATA",IF(ISNUMBER(FIND(CODES!$A$12,AI18)),CODES!$A$12,IF(OR(ISNUMBER(FIND(CODES!$A$10,AI18)),ISNUMBER(FIND(CODES!$A$11,AI18))),CODES!$A$13,IF(OR(AI18&lt;AI$63,ISNUMBER(AI18)=FALSE),AI$64,AI18))))</f>
      </c>
      <c r="AJ70" s="9" t="str">
        <f>IF(ISBLANK(AJ18),"NO DATA",IF(ISNUMBER(FIND(CODES!$A$12,AJ18)),CODES!$A$12,IF(OR(ISNUMBER(FIND(CODES!$A$10,AJ18)),ISNUMBER(FIND(CODES!$A$11,AJ18))),CODES!$A$13,IF(OR(AJ18&lt;AJ$63,ISNUMBER(AJ18)=FALSE),AJ$64,AJ18))))</f>
      </c>
      <c r="AK70" s="9">
        <f>IF(ISBLANK(AK18),"NO DATA",IF(ISNUMBER(FIND(CODES!$A$12,AK18)),CODES!$A$12,IF(OR(ISNUMBER(FIND(CODES!$A$10,AK18)),ISNUMBER(FIND(CODES!$A$11,AK18))),CODES!$A$13,IF(OR(AK18&lt;AK$63,ISNUMBER(AK18)=FALSE),AK$64,AK18))))</f>
      </c>
      <c r="AL70" s="9" t="str">
        <f>IF(ISBLANK(AL18),"NO DATA",IF(ISNUMBER(FIND(CODES!$A$12,AL18)),CODES!$A$12,IF(OR(ISNUMBER(FIND(CODES!$A$10,AL18)),ISNUMBER(FIND(CODES!$A$11,AL18))),CODES!$A$13,IF(OR(AL18&lt;AL$63,ISNUMBER(AL18)=FALSE),AL$64,AL18))))</f>
      </c>
      <c r="AM70" s="9" t="str">
        <f>IF(ISBLANK(AM18),"NO DATA",IF(ISNUMBER(FIND(CODES!$A$12,AM18)),CODES!$A$12,IF(OR(ISNUMBER(FIND(CODES!$A$10,AM18)),ISNUMBER(FIND(CODES!$A$11,AM18))),CODES!$A$13,IF(OR(AM18&lt;AM$63,ISNUMBER(AM18)=FALSE),AM$64,AM18))))</f>
      </c>
      <c r="AN70" s="9" t="str">
        <f>IF(ISBLANK(AN18),"NO DATA",IF(ISNUMBER(FIND(CODES!$A$12,AN18)),CODES!$A$12,IF(OR(ISNUMBER(FIND(CODES!$A$10,AN18)),ISNUMBER(FIND(CODES!$A$11,AN18))),CODES!$A$13,IF(OR(AN18&lt;AN$63,ISNUMBER(AN18)=FALSE),AN$64,AN18))))</f>
      </c>
      <c r="AO70" s="9" t="str">
        <f>IF(ISBLANK(AO18),"NO DATA",IF(ISNUMBER(FIND(CODES!$A$12,AO18)),CODES!$A$12,IF(OR(ISNUMBER(FIND(CODES!$A$10,AO18)),ISNUMBER(FIND(CODES!$A$11,AO18))),CODES!$A$13,IF(OR(AO18&lt;AO$63,ISNUMBER(AO18)=FALSE),AO$64,AO18))))</f>
      </c>
      <c r="AP70" s="9" t="str">
        <f>IF(ISBLANK(AP18),"NO DATA",IF(ISNUMBER(FIND(CODES!$A$12,AP18)),CODES!$A$12,IF(OR(ISNUMBER(FIND(CODES!$A$10,AP18)),ISNUMBER(FIND(CODES!$A$11,AP18))),CODES!$A$13,IF(OR(AP18&lt;AP$63,ISNUMBER(AP18)=FALSE),AP$64,AP18))))</f>
      </c>
      <c r="AQ70" s="9" t="str">
        <f>IF(ISBLANK(AQ18),"NO DATA",IF(ISNUMBER(FIND(CODES!$A$12,AQ18)),CODES!$A$12,IF(OR(ISNUMBER(FIND(CODES!$A$10,AQ18)),ISNUMBER(FIND(CODES!$A$11,AQ18))),CODES!$A$13,IF(OR(AQ18&lt;AQ$63,ISNUMBER(AQ18)=FALSE),AQ$64,AQ18))))</f>
      </c>
      <c r="AR70" s="9" t="str">
        <f>IF(ISBLANK(AR18),"NO DATA",IF(ISNUMBER(FIND(CODES!$A$12,AR18)),CODES!$A$12,IF(OR(ISNUMBER(FIND(CODES!$A$10,AR18)),ISNUMBER(FIND(CODES!$A$11,AR18))),CODES!$A$13,IF(OR(AR18&lt;AR$63,ISNUMBER(AR18)=FALSE),AR$64,AR18))))</f>
      </c>
      <c r="AS70" s="9">
        <f>IF(ISBLANK(AS18),"NO DATA",IF(ISNUMBER(FIND(CODES!$A$12,AS18)),CODES!$A$12,IF(OR(ISNUMBER(FIND(CODES!$A$10,AS18)),ISNUMBER(FIND(CODES!$A$11,AS18))),CODES!$A$13,IF(OR(AS18&lt;AS$63,ISNUMBER(AS18)=FALSE),AS$64,AS18))))</f>
      </c>
      <c r="AT70" s="9">
        <f>IF(ISBLANK(AT18),"NO DATA",IF(ISNUMBER(FIND(CODES!$A$12,AT18)),CODES!$A$12,IF(OR(ISNUMBER(FIND(CODES!$A$10,AT18)),ISNUMBER(FIND(CODES!$A$11,AT18))),CODES!$A$13,IF(OR(AT18&lt;AT$63,ISNUMBER(AT18)=FALSE),AT$64,AT18))))</f>
      </c>
      <c r="AU70" s="9" t="str">
        <f>IF(ISBLANK(AU18),"NO DATA",IF(ISNUMBER(FIND(CODES!$A$12,AU18)),CODES!$A$12,IF(OR(ISNUMBER(FIND(CODES!$A$10,AU18)),ISNUMBER(FIND(CODES!$A$11,AU18))),CODES!$A$13,IF(OR(AU18&lt;AU$63,ISNUMBER(AU18)=FALSE),AU$64,AU18))))</f>
      </c>
      <c r="AV70" s="9" t="str">
        <f>IF(ISBLANK(AV18),"NO DATA",IF(ISNUMBER(FIND(CODES!$A$12,AV18)),CODES!$A$12,IF(OR(ISNUMBER(FIND(CODES!$A$10,AV18)),ISNUMBER(FIND(CODES!$A$11,AV18))),CODES!$A$13,IF(OR(AV18&lt;AV$63,ISNUMBER(AV18)=FALSE),AV$64,AV18))))</f>
      </c>
      <c r="AW70" s="9" t="str">
        <f>IF(ISBLANK(AW18),"NO DATA",IF(ISNUMBER(FIND(CODES!$A$12,AW18)),CODES!$A$12,IF(OR(ISNUMBER(FIND(CODES!$A$10,AW18)),ISNUMBER(FIND(CODES!$A$11,AW18))),CODES!$A$13,IF(OR(AW18&lt;AW$63,ISNUMBER(AW18)=FALSE),AW$64,AW18))))</f>
      </c>
      <c r="AX70" s="9" t="str">
        <f>IF(ISBLANK(AX18),"NO DATA",IF(ISNUMBER(FIND(CODES!$A$12,AX18)),CODES!$A$12,IF(OR(ISNUMBER(FIND(CODES!$A$10,AX18)),ISNUMBER(FIND(CODES!$A$11,AX18))),CODES!$A$13,IF(OR(AX18&lt;AX$63,ISNUMBER(AX18)=FALSE),AX$64,AX18))))</f>
      </c>
      <c r="AY70" s="9" t="str">
        <f>IF(ISBLANK(AY18),"NO DATA",IF(ISNUMBER(FIND(CODES!$A$12,AY18)),CODES!$A$12,IF(OR(ISNUMBER(FIND(CODES!$A$10,AY18)),ISNUMBER(FIND(CODES!$A$11,AY18))),CODES!$A$13,IF(OR(AY18&lt;AY$63,ISNUMBER(AY18)=FALSE),AY$64,AY18))))</f>
      </c>
      <c r="AZ70" s="9">
        <f>IF(ISBLANK(AZ18),"NO DATA",IF(ISNUMBER(FIND(CODES!$A$12,AZ18)),CODES!$A$12,IF(OR(ISNUMBER(FIND(CODES!$A$10,AZ18)),ISNUMBER(FIND(CODES!$A$11,AZ18))),CODES!$A$13,IF(OR(AZ18&lt;AZ$63,ISNUMBER(AZ18)=FALSE),AZ$64,AZ18))))</f>
      </c>
      <c r="BA70" s="9">
        <f>IF(ISBLANK(BA18),"NO DATA",IF(ISNUMBER(FIND(CODES!$A$12,BA18)),CODES!$A$12,IF(OR(ISNUMBER(FIND(CODES!$A$10,BA18)),ISNUMBER(FIND(CODES!$A$11,BA18))),CODES!$A$13,IF(OR(BA18&lt;BA$63,ISNUMBER(BA18)=FALSE),BA$64,BA18))))</f>
      </c>
      <c r="BB70" s="9">
        <f>IF(ISBLANK(BB18),"NO DATA",IF(ISNUMBER(FIND(CODES!$A$12,BB18)),CODES!$A$12,IF(OR(ISNUMBER(FIND(CODES!$A$10,BB18)),ISNUMBER(FIND(CODES!$A$11,BB18))),CODES!$A$13,IF(OR(BB18&lt;BB$63,ISNUMBER(BB18)=FALSE),BB$64,BB18))))</f>
      </c>
      <c r="BC70" s="9">
        <f>IF(ISBLANK(BC18),"NO DATA",IF(ISNUMBER(FIND(CODES!$A$12,BC18)),CODES!$A$12,IF(OR(ISNUMBER(FIND(CODES!$A$10,BC18)),ISNUMBER(FIND(CODES!$A$11,BC18))),CODES!$A$13,IF(OR(BC18&lt;BC$63,ISNUMBER(BC18)=FALSE),BC$64,BC18))))</f>
      </c>
      <c r="BD70" s="9" t="str">
        <f>IF(ISBLANK(BD18),"NO DATA",IF(ISNUMBER(FIND(CODES!$A$12,BD18)),CODES!$A$12,IF(OR(ISNUMBER(FIND(CODES!$A$10,BD18)),ISNUMBER(FIND(CODES!$A$11,BD18))),CODES!$A$13,IF(OR(BD18&lt;BD$63,ISNUMBER(BD18)=FALSE),BD$64,BD18))))</f>
      </c>
      <c r="BE70" s="9" t="str">
        <f>IF(ISBLANK(BE18),"NO DATA",IF(ISNUMBER(FIND(CODES!$A$12,BE18)),CODES!$A$12,IF(OR(ISNUMBER(FIND(CODES!$A$10,BE18)),ISNUMBER(FIND(CODES!$A$11,BE18))),CODES!$A$13,IF(OR(BE18&lt;BE$63,ISNUMBER(BE18)=FALSE),BE$64,BE18))))</f>
      </c>
      <c r="BF70" s="9">
        <f>IF(ISBLANK(BF18),"NO DATA",IF(ISNUMBER(FIND(CODES!$A$12,BF18)),CODES!$A$12,IF(OR(ISNUMBER(FIND(CODES!$A$10,BF18)),ISNUMBER(FIND(CODES!$A$11,BF18))),CODES!$A$13,IF(OR(BF18&lt;BF$63,ISNUMBER(BF18)=FALSE),BF$64,BF18))))</f>
      </c>
      <c r="BG70" s="9">
        <f>IF(ISBLANK(BG18),"NO DATA",IF(ISNUMBER(FIND(CODES!$A$12,BG18)),CODES!$A$12,IF(OR(ISNUMBER(FIND(CODES!$A$10,BG18)),ISNUMBER(FIND(CODES!$A$11,BG18))),CODES!$A$13,IF(OR(BG18&lt;BG$63,ISNUMBER(BG18)=FALSE),BG$64,BG18))))</f>
      </c>
      <c r="BH70" s="9" t="str">
        <f>IF(ISBLANK(BH18),"NO DATA",IF(ISNUMBER(FIND(CODES!$A$12,BH18)),CODES!$A$12,IF(OR(ISNUMBER(FIND(CODES!$A$10,BH18)),ISNUMBER(FIND(CODES!$A$11,BH18))),CODES!$A$13,IF(OR(BH18&lt;BH$63,ISNUMBER(BH18)=FALSE),BH$64,BH18))))</f>
      </c>
      <c r="BI70" s="9" t="str">
        <f>IF(ISBLANK(BI18),"NO DATA",IF(ISNUMBER(FIND(CODES!$A$12,BI18)),CODES!$A$12,IF(OR(ISNUMBER(FIND(CODES!$A$10,BI18)),ISNUMBER(FIND(CODES!$A$11,BI18))),CODES!$A$13,IF(OR(BI18&lt;BI$63,ISNUMBER(BI18)=FALSE),BI$64,BI18))))</f>
      </c>
      <c r="BJ70" s="9" t="str">
        <f>IF(ISBLANK(BJ18),"NO DATA",IF(ISNUMBER(FIND(CODES!$A$12,BJ18)),CODES!$A$12,IF(OR(ISNUMBER(FIND(CODES!$A$10,BJ18)),ISNUMBER(FIND(CODES!$A$11,BJ18))),CODES!$A$13,IF(OR(BJ18&lt;BJ$63,ISNUMBER(BJ18)=FALSE),BJ$64,BJ18))))</f>
      </c>
      <c r="BK70" s="9" t="str">
        <f>IF(ISBLANK(BK18),"NO DATA",IF(ISNUMBER(FIND(CODES!$A$12,BK18)),CODES!$A$12,IF(OR(ISNUMBER(FIND(CODES!$A$10,BK18)),ISNUMBER(FIND(CODES!$A$11,BK18))),CODES!$A$13,IF(OR(BK18&lt;BK$63,ISNUMBER(BK18)=FALSE),BK$64,BK18))))</f>
      </c>
      <c r="BL70" s="9" t="str">
        <f>IF(ISBLANK(BL18),"NO DATA",IF(ISNUMBER(FIND(CODES!$A$12,BL18)),CODES!$A$12,IF(OR(ISNUMBER(FIND(CODES!$A$10,BL18)),ISNUMBER(FIND(CODES!$A$11,BL18))),CODES!$A$13,IF(OR(BL18&lt;BL$63,ISNUMBER(BL18)=FALSE),BL$64,BL18))))</f>
      </c>
      <c r="BM70" s="9">
        <f>IF(ISBLANK(BM18),"NO DATA",IF(ISNUMBER(FIND(CODES!$A$12,BM18)),CODES!$A$12,IF(OR(ISNUMBER(FIND(CODES!$A$10,BM18)),ISNUMBER(FIND(CODES!$A$11,BM18))),CODES!$A$13,IF(OR(BM18&lt;BM$63,ISNUMBER(BM18)=FALSE),BM$64,BM18))))</f>
      </c>
      <c r="BN70" s="9" t="str">
        <f>IF(ISBLANK(BN18),"NO DATA",IF(ISNUMBER(FIND(CODES!$A$12,BN18)),CODES!$A$12,IF(OR(ISNUMBER(FIND(CODES!$A$10,BN18)),ISNUMBER(FIND(CODES!$A$11,BN18))),CODES!$A$13,IF(OR(BN18&lt;BN$63,ISNUMBER(BN18)=FALSE),BN$64,BN18))))</f>
      </c>
      <c r="BO70" s="9" t="str">
        <f>IF(ISBLANK(BO18),"NO DATA",IF(ISNUMBER(FIND(CODES!$A$12,BO18)),CODES!$A$12,IF(OR(ISNUMBER(FIND(CODES!$A$10,BO18)),ISNUMBER(FIND(CODES!$A$11,BO18))),CODES!$A$13,IF(OR(BO18&lt;BO$63,ISNUMBER(BO18)=FALSE),BO$64,BO18))))</f>
      </c>
      <c r="BP70" s="9" t="str">
        <f>IF(ISBLANK(BP18),"NO DATA",IF(ISNUMBER(FIND(CODES!$A$12,BP18)),CODES!$A$12,IF(OR(ISNUMBER(FIND(CODES!$A$10,BP18)),ISNUMBER(FIND(CODES!$A$11,BP18))),CODES!$A$13,IF(OR(BP18&lt;BP$63,ISNUMBER(BP18)=FALSE),BP$64,BP18))))</f>
      </c>
      <c r="BQ70" s="9" t="str">
        <f>IF(ISBLANK(BQ18),"NO DATA",IF(ISNUMBER(FIND(CODES!$A$12,BQ18)),CODES!$A$12,IF(OR(ISNUMBER(FIND(CODES!$A$10,BQ18)),ISNUMBER(FIND(CODES!$A$11,BQ18))),CODES!$A$13,IF(OR(BQ18&lt;BQ$63,ISNUMBER(BQ18)=FALSE),BQ$64,BQ18))))</f>
      </c>
      <c r="BR70" s="9" t="str">
        <f>IF(ISBLANK(BR18),"NO DATA",IF(ISNUMBER(FIND(CODES!$A$12,BR18)),CODES!$A$12,IF(OR(ISNUMBER(FIND(CODES!$A$10,BR18)),ISNUMBER(FIND(CODES!$A$11,BR18))),CODES!$A$13,IF(OR(BR18&lt;BR$63,ISNUMBER(BR18)=FALSE),BR$64,BR18))))</f>
      </c>
      <c r="BS70" s="9">
        <f>IF(ISBLANK(BS18),"NO DATA",IF(ISNUMBER(FIND(CODES!$A$12,BS18)),CODES!$A$12,IF(OR(ISNUMBER(FIND(CODES!$A$10,BS18)),ISNUMBER(FIND(CODES!$A$11,BS18))),CODES!$A$13,IF(OR(BS18&lt;BS$63,ISNUMBER(BS18)=FALSE),BS$64,BS18))))</f>
      </c>
      <c r="BT70" s="9">
        <f>IF(ISBLANK(BT18),"NO DATA",IF(ISNUMBER(FIND(CODES!$A$12,BT18)),CODES!$A$12,IF(OR(ISNUMBER(FIND(CODES!$A$10,BT18)),ISNUMBER(FIND(CODES!$A$11,BT18))),CODES!$A$13,IF(OR(BT18&lt;BT$63,ISNUMBER(BT18)=FALSE),BT$64,BT18))))</f>
      </c>
      <c r="BU70" s="9" t="str">
        <f>IF(ISBLANK(BU18),"NO DATA",IF(ISNUMBER(FIND(CODES!$A$12,BU18)),CODES!$A$12,IF(OR(ISNUMBER(FIND(CODES!$A$10,BU18)),ISNUMBER(FIND(CODES!$A$11,BU18))),CODES!$A$13,IF(OR(BU18&lt;BU$63,ISNUMBER(BU18)=FALSE),BU$64,BU18))))</f>
      </c>
      <c r="BV70" s="9" t="str">
        <f>IF(ISBLANK(BV18),"NO DATA",IF(ISNUMBER(FIND(CODES!$A$12,BV18)),CODES!$A$12,IF(OR(ISNUMBER(FIND(CODES!$A$10,BV18)),ISNUMBER(FIND(CODES!$A$11,BV18))),CODES!$A$13,IF(OR(BV18&lt;BV$63,ISNUMBER(BV18)=FALSE),BV$64,BV18))))</f>
      </c>
      <c r="BW70" s="9" t="str">
        <f>IF(ISBLANK(BW18),"NO DATA",IF(ISNUMBER(FIND(CODES!$A$12,BW18)),CODES!$A$12,IF(OR(ISNUMBER(FIND(CODES!$A$10,BW18)),ISNUMBER(FIND(CODES!$A$11,BW18))),CODES!$A$13,IF(OR(BW18&lt;BW$63,ISNUMBER(BW18)=FALSE),BW$64,BW18))))</f>
      </c>
      <c r="BX70" s="9" t="str">
        <f>IF(ISBLANK(BX18),"NO DATA",IF(ISNUMBER(FIND(CODES!$A$12,BX18)),CODES!$A$12,IF(OR(ISNUMBER(FIND(CODES!$A$10,BX18)),ISNUMBER(FIND(CODES!$A$11,BX18))),CODES!$A$13,IF(OR(BX18&lt;BX$63,ISNUMBER(BX18)=FALSE),BX$64,BX18))))</f>
      </c>
      <c r="BY70" s="9" t="str">
        <f>IF(ISBLANK(BY18),"NO DATA",IF(ISNUMBER(FIND(CODES!$A$12,BY18)),CODES!$A$12,IF(OR(ISNUMBER(FIND(CODES!$A$10,BY18)),ISNUMBER(FIND(CODES!$A$11,BY18))),CODES!$A$13,IF(OR(BY18&lt;BY$63,ISNUMBER(BY18)=FALSE),BY$64,BY18))))</f>
      </c>
      <c r="BZ70" s="9" t="str">
        <f>IF(ISBLANK(BZ18),"NO DATA",IF(ISNUMBER(FIND(CODES!$A$12,BZ18)),CODES!$A$12,IF(OR(ISNUMBER(FIND(CODES!$A$10,BZ18)),ISNUMBER(FIND(CODES!$A$11,BZ18))),CODES!$A$13,IF(OR(BZ18&lt;BZ$63,ISNUMBER(BZ18)=FALSE),BZ$64,BZ18))))</f>
      </c>
      <c r="CA70" s="9" t="str">
        <f>IF(ISBLANK(CA18),"NO DATA",IF(ISNUMBER(FIND(CODES!$A$12,CA18)),CODES!$A$12,IF(OR(ISNUMBER(FIND(CODES!$A$10,CA18)),ISNUMBER(FIND(CODES!$A$11,CA18))),CODES!$A$13,IF(OR(CA18&lt;CA$63,ISNUMBER(CA18)=FALSE),CA$64,CA18))))</f>
      </c>
      <c r="CB70" s="9" t="str">
        <f>IF(ISBLANK(CB18),"NO DATA",IF(ISNUMBER(FIND(CODES!$A$12,CB18)),CODES!$A$12,IF(OR(ISNUMBER(FIND(CODES!$A$10,CB18)),ISNUMBER(FIND(CODES!$A$11,CB18))),CODES!$A$13,IF(OR(CB18&lt;CB$63,ISNUMBER(CB18)=FALSE),CB$64,CB18))))</f>
      </c>
      <c r="CC70" s="9" t="str">
        <f>IF(ISBLANK(CC18),"NO DATA",IF(ISNUMBER(FIND(CODES!$A$12,CC18)),CODES!$A$12,IF(OR(ISNUMBER(FIND(CODES!$A$10,CC18)),ISNUMBER(FIND(CODES!$A$11,CC18))),CODES!$A$13,IF(OR(CC18&lt;CC$63,ISNUMBER(CC18)=FALSE),CC$64,CC18))))</f>
      </c>
      <c r="CD70" s="9" t="str">
        <f>IF(ISBLANK(CD18),"NO DATA",IF(ISNUMBER(FIND(CODES!$A$12,CD18)),CODES!$A$12,IF(OR(ISNUMBER(FIND(CODES!$A$10,CD18)),ISNUMBER(FIND(CODES!$A$11,CD18))),CODES!$A$13,IF(OR(CD18&lt;CD$63,ISNUMBER(CD18)=FALSE),CD$64,CD18))))</f>
      </c>
      <c r="CE70" s="9" t="str">
        <f>IF(ISBLANK(CE18),"NO DATA",IF(ISNUMBER(FIND(CODES!$A$12,CE18)),CODES!$A$12,IF(OR(ISNUMBER(FIND(CODES!$A$10,CE18)),ISNUMBER(FIND(CODES!$A$11,CE18))),CODES!$A$13,IF(OR(CE18&lt;CE$63,ISNUMBER(CE18)=FALSE),CE$64,CE18))))</f>
      </c>
      <c r="CF70" s="9">
        <f>IF(ISBLANK(CF18),"NO DATA",IF(ISNUMBER(FIND(CODES!$A$12,CF18)),CODES!$A$12,IF(OR(ISNUMBER(FIND(CODES!$A$10,CF18)),ISNUMBER(FIND(CODES!$A$11,CF18))),CODES!$A$13,IF(OR(CF18&lt;CF$63,ISNUMBER(CF18)=FALSE),CF$64,CF18))))</f>
      </c>
      <c r="CG70" s="9">
        <f>IF(ISBLANK(CG18),"NO DATA",IF(ISNUMBER(FIND(CODES!$A$12,CG18)),CODES!$A$12,IF(OR(ISNUMBER(FIND(CODES!$A$10,CG18)),ISNUMBER(FIND(CODES!$A$11,CG18))),CODES!$A$13,IF(OR(CG18&lt;CG$63,ISNUMBER(CG18)=FALSE),CG$64,CG18))))</f>
      </c>
      <c r="CH70" s="9">
        <f>IF(ISBLANK(CH18),"NO DATA",IF(ISNUMBER(FIND(CODES!$A$12,CH18)),CODES!$A$12,IF(OR(ISNUMBER(FIND(CODES!$A$10,CH18)),ISNUMBER(FIND(CODES!$A$11,CH18))),CODES!$A$13,IF(OR(CH18&lt;CH$63,ISNUMBER(CH18)=FALSE),CH$64,CH18))))</f>
      </c>
      <c r="CI70" s="9" t="str">
        <f>IF(ISBLANK(CI18),"NO DATA",IF(ISNUMBER(FIND(CODES!$A$12,CI18)),CODES!$A$12,IF(OR(ISNUMBER(FIND(CODES!$A$10,CI18)),ISNUMBER(FIND(CODES!$A$11,CI18))),CODES!$A$13,IF(OR(CI18&lt;CI$63,ISNUMBER(CI18)=FALSE),CI$64,CI18))))</f>
      </c>
      <c r="CJ70" s="9" t="str">
        <f>IF(ISBLANK(CJ18),"NO DATA",IF(ISNUMBER(FIND(CODES!$A$12,CJ18)),CODES!$A$12,IF(OR(ISNUMBER(FIND(CODES!$A$10,CJ18)),ISNUMBER(FIND(CODES!$A$11,CJ18))),CODES!$A$13,IF(OR(CJ18&lt;CJ$63,ISNUMBER(CJ18)=FALSE),CJ$64,CJ18))))</f>
      </c>
      <c r="CK70" s="9" t="str">
        <f>IF(ISBLANK(CK18),"NO DATA",IF(ISNUMBER(FIND(CODES!$A$12,CK18)),CODES!$A$12,IF(OR(ISNUMBER(FIND(CODES!$A$10,CK18)),ISNUMBER(FIND(CODES!$A$11,CK18))),CODES!$A$13,IF(OR(CK18&lt;CK$63,ISNUMBER(CK18)=FALSE),CK$64,CK18))))</f>
      </c>
      <c r="CL70" s="9" t="str">
        <f>IF(ISBLANK(CL18),"NO DATA",IF(ISNUMBER(FIND(CODES!$A$12,CL18)),CODES!$A$12,IF(OR(ISNUMBER(FIND(CODES!$A$10,CL18)),ISNUMBER(FIND(CODES!$A$11,CL18))),CODES!$A$13,IF(OR(CL18&lt;CL$63,ISNUMBER(CL18)=FALSE),CL$64,CL18))))</f>
      </c>
      <c r="CM70" s="9" t="str">
        <f>IF(ISBLANK(CM18),"NO DATA",IF(ISNUMBER(FIND(CODES!$A$12,CM18)),CODES!$A$12,IF(OR(ISNUMBER(FIND(CODES!$A$10,CM18)),ISNUMBER(FIND(CODES!$A$11,CM18))),CODES!$A$13,IF(OR(CM18&lt;CM$63,ISNUMBER(CM18)=FALSE),CM$64,CM18))))</f>
      </c>
      <c r="CN70" s="9" t="str">
        <f>IF(ISBLANK(CN18),"NO DATA",IF(ISNUMBER(FIND(CODES!$A$12,CN18)),CODES!$A$12,IF(OR(ISNUMBER(FIND(CODES!$A$10,CN18)),ISNUMBER(FIND(CODES!$A$11,CN18))),CODES!$A$13,IF(OR(CN18&lt;CN$63,ISNUMBER(CN18)=FALSE),CN$64,CN18))))</f>
      </c>
      <c r="CO70" s="9" t="str">
        <f>IF(ISBLANK(CO18),"NO DATA",IF(ISNUMBER(FIND(CODES!$A$12,CO18)),CODES!$A$12,IF(OR(ISNUMBER(FIND(CODES!$A$10,CO18)),ISNUMBER(FIND(CODES!$A$11,CO18))),CODES!$A$13,IF(OR(CO18&lt;CO$63,ISNUMBER(CO18)=FALSE),CO$64,CO18))))</f>
      </c>
      <c r="CP70" s="9" t="str">
        <f>IF(ISBLANK(CP18),"NO DATA",IF(ISNUMBER(FIND(CODES!$A$12,CP18)),CODES!$A$12,IF(OR(ISNUMBER(FIND(CODES!$A$10,CP18)),ISNUMBER(FIND(CODES!$A$11,CP18))),CODES!$A$13,IF(OR(CP18&lt;CP$63,ISNUMBER(CP18)=FALSE),CP$64,CP18))))</f>
      </c>
      <c r="CQ70" s="9" t="str">
        <f>IF(ISBLANK(CQ18),"NO DATA",IF(ISNUMBER(FIND(CODES!$A$12,CQ18)),CODES!$A$12,IF(OR(ISNUMBER(FIND(CODES!$A$10,CQ18)),ISNUMBER(FIND(CODES!$A$11,CQ18))),CODES!$A$13,IF(OR(CQ18&lt;CQ$63,ISNUMBER(CQ18)=FALSE),CQ$64,CQ18))))</f>
      </c>
      <c r="CR70" s="9" t="str">
        <f>IF(ISBLANK(CR18),"NO DATA",IF(ISNUMBER(FIND(CODES!$A$12,CR18)),CODES!$A$12,IF(OR(ISNUMBER(FIND(CODES!$A$10,CR18)),ISNUMBER(FIND(CODES!$A$11,CR18))),CODES!$A$13,IF(OR(CR18&lt;CR$63,ISNUMBER(CR18)=FALSE),CR$64,CR18))))</f>
      </c>
      <c r="CS70" s="9" t="str">
        <f>IF(ISBLANK(CS18),"NO DATA",IF(ISNUMBER(FIND(CODES!$A$12,CS18)),CODES!$A$12,IF(OR(ISNUMBER(FIND(CODES!$A$10,CS18)),ISNUMBER(FIND(CODES!$A$11,CS18))),CODES!$A$13,IF(OR(CS18&lt;CS$63,ISNUMBER(CS18)=FALSE),CS$64,CS18))))</f>
      </c>
      <c r="CT70" s="9" t="str">
        <f>IF(ISBLANK(CT18),"NO DATA",IF(ISNUMBER(FIND(CODES!$A$12,CT18)),CODES!$A$12,IF(OR(ISNUMBER(FIND(CODES!$A$10,CT18)),ISNUMBER(FIND(CODES!$A$11,CT18))),CODES!$A$13,IF(OR(CT18&lt;CT$63,ISNUMBER(CT18)=FALSE),CT$64,CT18))))</f>
      </c>
      <c r="CU70" s="9" t="str">
        <f>IF(ISBLANK(CU18),"NO DATA",IF(ISNUMBER(FIND(CODES!$A$12,CU18)),CODES!$A$12,IF(OR(ISNUMBER(FIND(CODES!$A$10,CU18)),ISNUMBER(FIND(CODES!$A$11,CU18))),CODES!$A$13,IF(OR(CU18&lt;CU$63,ISNUMBER(CU18)=FALSE),CU$64,CU18))))</f>
      </c>
      <c r="CV70" s="9">
        <f>IF(ISBLANK(CV18),"NO DATA",IF(ISNUMBER(FIND(CODES!$A$12,CV18)),CODES!$A$12,IF(OR(ISNUMBER(FIND(CODES!$A$10,CV18)),ISNUMBER(FIND(CODES!$A$11,CV18))),CODES!$A$13,IF(OR(CV18&lt;CV$63,ISNUMBER(CV18)=FALSE),CV$64,CV18))))</f>
      </c>
      <c r="CW70" s="9" t="str">
        <f>IF(ISBLANK(CW18),"NO DATA",IF(ISNUMBER(FIND(CODES!$A$12,CW18)),CODES!$A$12,IF(OR(ISNUMBER(FIND(CODES!$A$10,CW18)),ISNUMBER(FIND(CODES!$A$11,CW18))),CODES!$A$13,IF(OR(CW18&lt;CW$63,ISNUMBER(CW18)=FALSE),CW$64,CW18))))</f>
      </c>
      <c r="CX70" s="9" t="str">
        <f>IF(ISBLANK(CX18),"NO DATA",IF(ISNUMBER(FIND(CODES!$A$12,CX18)),CODES!$A$12,IF(OR(ISNUMBER(FIND(CODES!$A$10,CX18)),ISNUMBER(FIND(CODES!$A$11,CX18))),CODES!$A$13,IF(OR(CX18&lt;CX$63,ISNUMBER(CX18)=FALSE),CX$64,CX18))))</f>
      </c>
      <c r="CY70" s="9">
        <f>IF(ISBLANK(CY18),"NO DATA",IF(ISNUMBER(FIND(CODES!$A$12,CY18)),CODES!$A$12,IF(OR(ISNUMBER(FIND(CODES!$A$10,CY18)),ISNUMBER(FIND(CODES!$A$11,CY18))),CODES!$A$13,IF(OR(CY18&lt;CY$63,ISNUMBER(CY18)=FALSE),CY$64,CY18))))</f>
      </c>
      <c r="CZ70" s="9" t="str">
        <f>IF(ISBLANK(CZ18),"NO DATA",IF(ISNUMBER(FIND(CODES!$A$12,CZ18)),CODES!$A$12,IF(OR(ISNUMBER(FIND(CODES!$A$10,CZ18)),ISNUMBER(FIND(CODES!$A$11,CZ18))),CODES!$A$13,IF(OR(CZ18&lt;CZ$63,ISNUMBER(CZ18)=FALSE),CZ$64,CZ18))))</f>
      </c>
      <c r="DA70" s="9" t="str">
        <f>IF(ISBLANK(DA18),"NO DATA",IF(ISNUMBER(FIND(CODES!$A$12,DA18)),CODES!$A$12,IF(OR(ISNUMBER(FIND(CODES!$A$10,DA18)),ISNUMBER(FIND(CODES!$A$11,DA18))),CODES!$A$13,IF(OR(DA18&lt;DA$63,ISNUMBER(DA18)=FALSE),DA$64,DA18))))</f>
      </c>
      <c r="DB70" s="9" t="str">
        <f>IF(ISBLANK(DB18),"NO DATA",IF(ISNUMBER(FIND(CODES!$A$12,DB18)),CODES!$A$12,IF(OR(ISNUMBER(FIND(CODES!$A$10,DB18)),ISNUMBER(FIND(CODES!$A$11,DB18))),CODES!$A$13,IF(OR(DB18&lt;DB$63,ISNUMBER(DB18)=FALSE),DB$64,DB18))))</f>
      </c>
      <c r="DC70" s="9" t="str">
        <f>IF(ISBLANK(DC18),"NO DATA",IF(ISNUMBER(FIND(CODES!$A$12,DC18)),CODES!$A$12,IF(OR(ISNUMBER(FIND(CODES!$A$10,DC18)),ISNUMBER(FIND(CODES!$A$11,DC18))),CODES!$A$13,IF(OR(DC18&lt;DC$63,ISNUMBER(DC18)=FALSE),DC$64,DC18))))</f>
      </c>
      <c r="DD70" s="9" t="str">
        <f>IF(ISBLANK(DD18),"NO DATA",IF(ISNUMBER(FIND(CODES!$A$12,DD18)),CODES!$A$12,IF(OR(ISNUMBER(FIND(CODES!$A$10,DD18)),ISNUMBER(FIND(CODES!$A$11,DD18))),CODES!$A$13,IF(OR(DD18&lt;DD$63,ISNUMBER(DD18)=FALSE),DD$64,DD18))))</f>
      </c>
      <c r="DE70" s="9" t="str">
        <f>IF(ISBLANK(DE18),"NO DATA",IF(ISNUMBER(FIND(CODES!$A$12,DE18)),CODES!$A$12,IF(OR(ISNUMBER(FIND(CODES!$A$10,DE18)),ISNUMBER(FIND(CODES!$A$11,DE18))),CODES!$A$13,IF(OR(DE18&lt;DE$63,ISNUMBER(DE18)=FALSE),DE$64,DE18))))</f>
      </c>
      <c r="DF70" s="9">
        <f>IF(ISBLANK(DF18),"NO DATA",IF(ISNUMBER(FIND(CODES!$A$12,DF18)),CODES!$A$12,IF(OR(ISNUMBER(FIND(CODES!$A$10,DF18)),ISNUMBER(FIND(CODES!$A$11,DF18))),CODES!$A$13,IF(OR(DF18&lt;DF$63,ISNUMBER(DF18)=FALSE),DF$64,DF18))))</f>
      </c>
      <c r="DG70" s="9">
        <f>IF(ISBLANK(DG18),"NO DATA",IF(ISNUMBER(FIND(CODES!$A$12,DG18)),CODES!$A$12,IF(OR(ISNUMBER(FIND(CODES!$A$10,DG18)),ISNUMBER(FIND(CODES!$A$11,DG18))),CODES!$A$13,IF(OR(DG18&lt;DG$63,ISNUMBER(DG18)=FALSE),DG$64,DG18))))</f>
      </c>
      <c r="DH70" s="9" t="str">
        <f>IF(ISBLANK(DH18),"NO DATA",IF(ISNUMBER(FIND(CODES!$A$12,DH18)),CODES!$A$12,IF(OR(ISNUMBER(FIND(CODES!$A$10,DH18)),ISNUMBER(FIND(CODES!$A$11,DH18))),CODES!$A$13,IF(OR(DH18&lt;DH$63,ISNUMBER(DH18)=FALSE),DH$64,DH18))))</f>
      </c>
      <c r="DI70" s="9" t="str">
        <f>IF(ISBLANK(DI18),"NO DATA",IF(ISNUMBER(FIND(CODES!$A$12,DI18)),CODES!$A$12,IF(OR(ISNUMBER(FIND(CODES!$A$10,DI18)),ISNUMBER(FIND(CODES!$A$11,DI18))),CODES!$A$13,IF(OR(DI18&lt;DI$63,ISNUMBER(DI18)=FALSE),DI$64,DI18))))</f>
      </c>
    </row>
    <row r="71" spans="1:113" x14ac:dyDescent="0.25">
      <c r="A71" s="20" t="str">
        <f t="shared" si="4"/>
      </c>
      <c r="B71" s="20" t="str">
        <f t="shared" si="4"/>
      </c>
      <c r="C71" s="9" t="str">
        <f>IF(ISBLANK(C19),"NO DATA",IF(ISNUMBER(FIND(CODES!$A$12,C19)),CODES!$A$12,IF(OR(ISNUMBER(FIND(CODES!$A$10,C19)),ISNUMBER(FIND(CODES!$A$11,C19))),CODES!$A$13,IF(OR(C19&lt;C$63,ISNUMBER(C19)=FALSE),C$64,C19))))</f>
      </c>
      <c r="D71" s="9" t="str">
        <f>IF(ISBLANK(D19),"NO DATA",IF(ISNUMBER(FIND(CODES!$A$12,D19)),CODES!$A$12,IF(OR(ISNUMBER(FIND(CODES!$A$10,D19)),ISNUMBER(FIND(CODES!$A$11,D19))),CODES!$A$13,IF(OR(D19&lt;D$63,ISNUMBER(D19)=FALSE),D$64,D19))))</f>
      </c>
      <c r="E71" s="9">
        <f>IF(ISBLANK(E19),"NO DATA",IF(ISNUMBER(FIND(CODES!$A$12,E19)),CODES!$A$12,IF(OR(ISNUMBER(FIND(CODES!$A$10,E19)),ISNUMBER(FIND(CODES!$A$11,E19))),CODES!$A$13,IF(OR(E19&lt;E$63,ISNUMBER(E19)=FALSE),E$64,E19))))</f>
      </c>
      <c r="F71" s="9" t="str">
        <f>IF(ISBLANK(F19),"NO DATA",IF(ISNUMBER(FIND(CODES!$A$12,F19)),CODES!$A$12,IF(OR(ISNUMBER(FIND(CODES!$A$10,F19)),ISNUMBER(FIND(CODES!$A$11,F19))),CODES!$A$13,IF(OR(F19&lt;F$63,ISNUMBER(F19)=FALSE),F$64,F19))))</f>
      </c>
      <c r="G71" s="9" t="str">
        <f>IF(ISBLANK(G19),"NO DATA",IF(ISNUMBER(FIND(CODES!$A$12,G19)),CODES!$A$12,IF(OR(ISNUMBER(FIND(CODES!$A$10,G19)),ISNUMBER(FIND(CODES!$A$11,G19))),CODES!$A$13,IF(OR(G19&lt;G$63,ISNUMBER(G19)=FALSE),G$64,G19))))</f>
      </c>
      <c r="H71" s="9">
        <f>IF(ISBLANK(H19),"NO DATA",IF(ISNUMBER(FIND(CODES!$A$12,H19)),CODES!$A$12,IF(OR(ISNUMBER(FIND(CODES!$A$10,H19)),ISNUMBER(FIND(CODES!$A$11,H19))),CODES!$A$13,IF(OR(H19&lt;H$63,ISNUMBER(H19)=FALSE),H$64,H19))))</f>
      </c>
      <c r="I71" s="9">
        <f>IF(ISBLANK(I19),"NO DATA",IF(ISNUMBER(FIND(CODES!$A$12,I19)),CODES!$A$12,IF(OR(ISNUMBER(FIND(CODES!$A$10,I19)),ISNUMBER(FIND(CODES!$A$11,I19))),CODES!$A$13,IF(OR(I19&lt;I$63,ISNUMBER(I19)=FALSE),I$64,I19))))</f>
      </c>
      <c r="J71" s="9">
        <f>IF(ISBLANK(J19),"NO DATA",IF(ISNUMBER(FIND(CODES!$A$12,J19)),CODES!$A$12,IF(OR(ISNUMBER(FIND(CODES!$A$10,J19)),ISNUMBER(FIND(CODES!$A$11,J19))),CODES!$A$13,IF(OR(J19&lt;J$63,ISNUMBER(J19)=FALSE),J$64,J19))))</f>
      </c>
      <c r="K71" s="9">
        <f>IF(ISBLANK(K19),"NO DATA",IF(ISNUMBER(FIND(CODES!$A$12,K19)),CODES!$A$12,IF(OR(ISNUMBER(FIND(CODES!$A$10,K19)),ISNUMBER(FIND(CODES!$A$11,K19))),CODES!$A$13,IF(OR(K19&lt;K$63,ISNUMBER(K19)=FALSE),K$64,K19))))</f>
      </c>
      <c r="L71" s="9" t="str">
        <f>IF(ISBLANK(L19),"NO DATA",IF(ISNUMBER(FIND(CODES!$A$12,L19)),CODES!$A$12,IF(OR(ISNUMBER(FIND(CODES!$A$10,L19)),ISNUMBER(FIND(CODES!$A$11,L19))),CODES!$A$13,IF(OR(L19&lt;L$63,ISNUMBER(L19)=FALSE),L$64,L19))))</f>
      </c>
      <c r="M71" s="9" t="str">
        <f>IF(ISBLANK(M19),"NO DATA",IF(ISNUMBER(FIND(CODES!$A$12,M19)),CODES!$A$12,IF(OR(ISNUMBER(FIND(CODES!$A$10,M19)),ISNUMBER(FIND(CODES!$A$11,M19))),CODES!$A$13,IF(OR(M19&lt;M$63,ISNUMBER(M19)=FALSE),M$64,M19))))</f>
      </c>
      <c r="N71" s="9" t="str">
        <f>IF(ISBLANK(N19),"NO DATA",IF(ISNUMBER(FIND(CODES!$A$12,N19)),CODES!$A$12,IF(OR(ISNUMBER(FIND(CODES!$A$10,N19)),ISNUMBER(FIND(CODES!$A$11,N19))),CODES!$A$13,IF(OR(N19&lt;N$63,ISNUMBER(N19)=FALSE),N$64,N19))))</f>
      </c>
      <c r="O71" s="9" t="str">
        <f>IF(ISBLANK(O19),"NO DATA",IF(ISNUMBER(FIND(CODES!$A$12,O19)),CODES!$A$12,IF(OR(ISNUMBER(FIND(CODES!$A$10,O19)),ISNUMBER(FIND(CODES!$A$11,O19))),CODES!$A$13,IF(OR(O19&lt;O$63,ISNUMBER(O19)=FALSE),O$64,O19))))</f>
      </c>
      <c r="P71" s="9">
        <f>IF(ISBLANK(P19),"NO DATA",IF(ISNUMBER(FIND(CODES!$A$12,P19)),CODES!$A$12,IF(OR(ISNUMBER(FIND(CODES!$A$10,P19)),ISNUMBER(FIND(CODES!$A$11,P19))),CODES!$A$13,IF(OR(P19&lt;P$63,ISNUMBER(P19)=FALSE),P$64,P19))))</f>
      </c>
      <c r="Q71" s="9">
        <f>IF(ISBLANK(Q19),"NO DATA",IF(ISNUMBER(FIND(CODES!$A$12,Q19)),CODES!$A$12,IF(OR(ISNUMBER(FIND(CODES!$A$10,Q19)),ISNUMBER(FIND(CODES!$A$11,Q19))),CODES!$A$13,IF(OR(Q19&lt;Q$63,ISNUMBER(Q19)=FALSE),Q$64,Q19))))</f>
      </c>
      <c r="R71" s="9" t="str">
        <f>IF(ISBLANK(R19),"NO DATA",IF(ISNUMBER(FIND(CODES!$A$12,R19)),CODES!$A$12,IF(OR(ISNUMBER(FIND(CODES!$A$10,R19)),ISNUMBER(FIND(CODES!$A$11,R19))),CODES!$A$13,IF(OR(R19&lt;R$63,ISNUMBER(R19)=FALSE),R$64,R19))))</f>
      </c>
      <c r="S71" s="9" t="str">
        <f>IF(ISBLANK(S19),"NO DATA",IF(ISNUMBER(FIND(CODES!$A$12,S19)),CODES!$A$12,IF(OR(ISNUMBER(FIND(CODES!$A$10,S19)),ISNUMBER(FIND(CODES!$A$11,S19))),CODES!$A$13,IF(OR(S19&lt;S$63,ISNUMBER(S19)=FALSE),S$64,S19))))</f>
      </c>
      <c r="T71" s="9" t="str">
        <f>IF(ISBLANK(T19),"NO DATA",IF(ISNUMBER(FIND(CODES!$A$12,T19)),CODES!$A$12,IF(OR(ISNUMBER(FIND(CODES!$A$10,T19)),ISNUMBER(FIND(CODES!$A$11,T19))),CODES!$A$13,IF(OR(T19&lt;T$63,ISNUMBER(T19)=FALSE),T$64,T19))))</f>
      </c>
      <c r="U71" s="9" t="str">
        <f>IF(ISBLANK(U19),"NO DATA",IF(ISNUMBER(FIND(CODES!$A$12,U19)),CODES!$A$12,IF(OR(ISNUMBER(FIND(CODES!$A$10,U19)),ISNUMBER(FIND(CODES!$A$11,U19))),CODES!$A$13,IF(OR(U19&lt;U$63,ISNUMBER(U19)=FALSE),U$64,U19))))</f>
      </c>
      <c r="V71" s="9" t="str">
        <f>IF(ISBLANK(V19),"NO DATA",IF(ISNUMBER(FIND(CODES!$A$12,V19)),CODES!$A$12,IF(OR(ISNUMBER(FIND(CODES!$A$10,V19)),ISNUMBER(FIND(CODES!$A$11,V19))),CODES!$A$13,IF(OR(V19&lt;V$63,ISNUMBER(V19)=FALSE),V$64,V19))))</f>
      </c>
      <c r="W71" s="9" t="str">
        <f>IF(ISBLANK(W19),"NO DATA",IF(ISNUMBER(FIND(CODES!$A$12,W19)),CODES!$A$12,IF(OR(ISNUMBER(FIND(CODES!$A$10,W19)),ISNUMBER(FIND(CODES!$A$11,W19))),CODES!$A$13,IF(OR(W19&lt;W$63,ISNUMBER(W19)=FALSE),W$64,W19))))</f>
      </c>
      <c r="X71" s="9" t="str">
        <f>IF(ISBLANK(X19),"NO DATA",IF(ISNUMBER(FIND(CODES!$A$12,X19)),CODES!$A$12,IF(OR(ISNUMBER(FIND(CODES!$A$10,X19)),ISNUMBER(FIND(CODES!$A$11,X19))),CODES!$A$13,IF(OR(X19&lt;X$63,ISNUMBER(X19)=FALSE),X$64,X19))))</f>
      </c>
      <c r="Y71" s="9" t="str">
        <f>IF(ISBLANK(Y19),"NO DATA",IF(ISNUMBER(FIND(CODES!$A$12,Y19)),CODES!$A$12,IF(OR(ISNUMBER(FIND(CODES!$A$10,Y19)),ISNUMBER(FIND(CODES!$A$11,Y19))),CODES!$A$13,IF(OR(Y19&lt;Y$63,ISNUMBER(Y19)=FALSE),Y$64,Y19))))</f>
      </c>
      <c r="Z71" s="9">
        <f>IF(ISBLANK(Z19),"NO DATA",IF(ISNUMBER(FIND(CODES!$A$12,Z19)),CODES!$A$12,IF(OR(ISNUMBER(FIND(CODES!$A$10,Z19)),ISNUMBER(FIND(CODES!$A$11,Z19))),CODES!$A$13,IF(OR(Z19&lt;Z$63,ISNUMBER(Z19)=FALSE),Z$64,Z19))))</f>
      </c>
      <c r="AA71" s="9" t="str">
        <f>IF(ISBLANK(AA19),"NO DATA",IF(ISNUMBER(FIND(CODES!$A$12,AA19)),CODES!$A$12,IF(OR(ISNUMBER(FIND(CODES!$A$10,AA19)),ISNUMBER(FIND(CODES!$A$11,AA19))),CODES!$A$13,IF(OR(AA19&lt;AA$63,ISNUMBER(AA19)=FALSE),AA$64,AA19))))</f>
      </c>
      <c r="AB71" s="9" t="str">
        <f>IF(ISBLANK(AB19),"NO DATA",IF(ISNUMBER(FIND(CODES!$A$12,AB19)),CODES!$A$12,IF(OR(ISNUMBER(FIND(CODES!$A$10,AB19)),ISNUMBER(FIND(CODES!$A$11,AB19))),CODES!$A$13,IF(OR(AB19&lt;AB$63,ISNUMBER(AB19)=FALSE),AB$64,AB19))))</f>
      </c>
      <c r="AC71" s="9">
        <f>IF(ISBLANK(AC19),"NO DATA",IF(ISNUMBER(FIND(CODES!$A$12,AC19)),CODES!$A$12,IF(OR(ISNUMBER(FIND(CODES!$A$10,AC19)),ISNUMBER(FIND(CODES!$A$11,AC19))),CODES!$A$13,IF(OR(AC19&lt;AC$63,ISNUMBER(AC19)=FALSE),AC$64,AC19))))</f>
      </c>
      <c r="AD71" s="9" t="str">
        <f>IF(ISBLANK(AD19),"NO DATA",IF(ISNUMBER(FIND(CODES!$A$12,AD19)),CODES!$A$12,IF(OR(ISNUMBER(FIND(CODES!$A$10,AD19)),ISNUMBER(FIND(CODES!$A$11,AD19))),CODES!$A$13,IF(OR(AD19&lt;AD$63,ISNUMBER(AD19)=FALSE),AD$64,AD19))))</f>
      </c>
      <c r="AE71" s="9" t="str">
        <f>IF(ISBLANK(AE19),"NO DATA",IF(ISNUMBER(FIND(CODES!$A$12,AE19)),CODES!$A$12,IF(OR(ISNUMBER(FIND(CODES!$A$10,AE19)),ISNUMBER(FIND(CODES!$A$11,AE19))),CODES!$A$13,IF(OR(AE19&lt;AE$63,ISNUMBER(AE19)=FALSE),AE$64,AE19))))</f>
      </c>
      <c r="AF71" s="9" t="str">
        <f>IF(ISBLANK(AF19),"NO DATA",IF(ISNUMBER(FIND(CODES!$A$12,AF19)),CODES!$A$12,IF(OR(ISNUMBER(FIND(CODES!$A$10,AF19)),ISNUMBER(FIND(CODES!$A$11,AF19))),CODES!$A$13,IF(OR(AF19&lt;AF$63,ISNUMBER(AF19)=FALSE),AF$64,AF19))))</f>
      </c>
      <c r="AG71" s="9">
        <f>IF(ISBLANK(AG19),"NO DATA",IF(ISNUMBER(FIND(CODES!$A$12,AG19)),CODES!$A$12,IF(OR(ISNUMBER(FIND(CODES!$A$10,AG19)),ISNUMBER(FIND(CODES!$A$11,AG19))),CODES!$A$13,IF(OR(AG19&lt;AG$63,ISNUMBER(AG19)=FALSE),AG$64,AG19))))</f>
      </c>
      <c r="AH71" s="9">
        <f>IF(ISBLANK(AH19),"NO DATA",IF(ISNUMBER(FIND(CODES!$A$12,AH19)),CODES!$A$12,IF(OR(ISNUMBER(FIND(CODES!$A$10,AH19)),ISNUMBER(FIND(CODES!$A$11,AH19))),CODES!$A$13,IF(OR(AH19&lt;AH$63,ISNUMBER(AH19)=FALSE),AH$64,AH19))))</f>
      </c>
      <c r="AI71" s="9" t="str">
        <f>IF(ISBLANK(AI19),"NO DATA",IF(ISNUMBER(FIND(CODES!$A$12,AI19)),CODES!$A$12,IF(OR(ISNUMBER(FIND(CODES!$A$10,AI19)),ISNUMBER(FIND(CODES!$A$11,AI19))),CODES!$A$13,IF(OR(AI19&lt;AI$63,ISNUMBER(AI19)=FALSE),AI$64,AI19))))</f>
      </c>
      <c r="AJ71" s="9" t="str">
        <f>IF(ISBLANK(AJ19),"NO DATA",IF(ISNUMBER(FIND(CODES!$A$12,AJ19)),CODES!$A$12,IF(OR(ISNUMBER(FIND(CODES!$A$10,AJ19)),ISNUMBER(FIND(CODES!$A$11,AJ19))),CODES!$A$13,IF(OR(AJ19&lt;AJ$63,ISNUMBER(AJ19)=FALSE),AJ$64,AJ19))))</f>
      </c>
      <c r="AK71" s="9">
        <f>IF(ISBLANK(AK19),"NO DATA",IF(ISNUMBER(FIND(CODES!$A$12,AK19)),CODES!$A$12,IF(OR(ISNUMBER(FIND(CODES!$A$10,AK19)),ISNUMBER(FIND(CODES!$A$11,AK19))),CODES!$A$13,IF(OR(AK19&lt;AK$63,ISNUMBER(AK19)=FALSE),AK$64,AK19))))</f>
      </c>
      <c r="AL71" s="9" t="str">
        <f>IF(ISBLANK(AL19),"NO DATA",IF(ISNUMBER(FIND(CODES!$A$12,AL19)),CODES!$A$12,IF(OR(ISNUMBER(FIND(CODES!$A$10,AL19)),ISNUMBER(FIND(CODES!$A$11,AL19))),CODES!$A$13,IF(OR(AL19&lt;AL$63,ISNUMBER(AL19)=FALSE),AL$64,AL19))))</f>
      </c>
      <c r="AM71" s="9" t="str">
        <f>IF(ISBLANK(AM19),"NO DATA",IF(ISNUMBER(FIND(CODES!$A$12,AM19)),CODES!$A$12,IF(OR(ISNUMBER(FIND(CODES!$A$10,AM19)),ISNUMBER(FIND(CODES!$A$11,AM19))),CODES!$A$13,IF(OR(AM19&lt;AM$63,ISNUMBER(AM19)=FALSE),AM$64,AM19))))</f>
      </c>
      <c r="AN71" s="9" t="str">
        <f>IF(ISBLANK(AN19),"NO DATA",IF(ISNUMBER(FIND(CODES!$A$12,AN19)),CODES!$A$12,IF(OR(ISNUMBER(FIND(CODES!$A$10,AN19)),ISNUMBER(FIND(CODES!$A$11,AN19))),CODES!$A$13,IF(OR(AN19&lt;AN$63,ISNUMBER(AN19)=FALSE),AN$64,AN19))))</f>
      </c>
      <c r="AO71" s="9" t="str">
        <f>IF(ISBLANK(AO19),"NO DATA",IF(ISNUMBER(FIND(CODES!$A$12,AO19)),CODES!$A$12,IF(OR(ISNUMBER(FIND(CODES!$A$10,AO19)),ISNUMBER(FIND(CODES!$A$11,AO19))),CODES!$A$13,IF(OR(AO19&lt;AO$63,ISNUMBER(AO19)=FALSE),AO$64,AO19))))</f>
      </c>
      <c r="AP71" s="9" t="str">
        <f>IF(ISBLANK(AP19),"NO DATA",IF(ISNUMBER(FIND(CODES!$A$12,AP19)),CODES!$A$12,IF(OR(ISNUMBER(FIND(CODES!$A$10,AP19)),ISNUMBER(FIND(CODES!$A$11,AP19))),CODES!$A$13,IF(OR(AP19&lt;AP$63,ISNUMBER(AP19)=FALSE),AP$64,AP19))))</f>
      </c>
      <c r="AQ71" s="9" t="str">
        <f>IF(ISBLANK(AQ19),"NO DATA",IF(ISNUMBER(FIND(CODES!$A$12,AQ19)),CODES!$A$12,IF(OR(ISNUMBER(FIND(CODES!$A$10,AQ19)),ISNUMBER(FIND(CODES!$A$11,AQ19))),CODES!$A$13,IF(OR(AQ19&lt;AQ$63,ISNUMBER(AQ19)=FALSE),AQ$64,AQ19))))</f>
      </c>
      <c r="AR71" s="9" t="str">
        <f>IF(ISBLANK(AR19),"NO DATA",IF(ISNUMBER(FIND(CODES!$A$12,AR19)),CODES!$A$12,IF(OR(ISNUMBER(FIND(CODES!$A$10,AR19)),ISNUMBER(FIND(CODES!$A$11,AR19))),CODES!$A$13,IF(OR(AR19&lt;AR$63,ISNUMBER(AR19)=FALSE),AR$64,AR19))))</f>
      </c>
      <c r="AS71" s="9">
        <f>IF(ISBLANK(AS19),"NO DATA",IF(ISNUMBER(FIND(CODES!$A$12,AS19)),CODES!$A$12,IF(OR(ISNUMBER(FIND(CODES!$A$10,AS19)),ISNUMBER(FIND(CODES!$A$11,AS19))),CODES!$A$13,IF(OR(AS19&lt;AS$63,ISNUMBER(AS19)=FALSE),AS$64,AS19))))</f>
      </c>
      <c r="AT71" s="9">
        <f>IF(ISBLANK(AT19),"NO DATA",IF(ISNUMBER(FIND(CODES!$A$12,AT19)),CODES!$A$12,IF(OR(ISNUMBER(FIND(CODES!$A$10,AT19)),ISNUMBER(FIND(CODES!$A$11,AT19))),CODES!$A$13,IF(OR(AT19&lt;AT$63,ISNUMBER(AT19)=FALSE),AT$64,AT19))))</f>
      </c>
      <c r="AU71" s="9" t="str">
        <f>IF(ISBLANK(AU19),"NO DATA",IF(ISNUMBER(FIND(CODES!$A$12,AU19)),CODES!$A$12,IF(OR(ISNUMBER(FIND(CODES!$A$10,AU19)),ISNUMBER(FIND(CODES!$A$11,AU19))),CODES!$A$13,IF(OR(AU19&lt;AU$63,ISNUMBER(AU19)=FALSE),AU$64,AU19))))</f>
      </c>
      <c r="AV71" s="9" t="str">
        <f>IF(ISBLANK(AV19),"NO DATA",IF(ISNUMBER(FIND(CODES!$A$12,AV19)),CODES!$A$12,IF(OR(ISNUMBER(FIND(CODES!$A$10,AV19)),ISNUMBER(FIND(CODES!$A$11,AV19))),CODES!$A$13,IF(OR(AV19&lt;AV$63,ISNUMBER(AV19)=FALSE),AV$64,AV19))))</f>
      </c>
      <c r="AW71" s="9" t="str">
        <f>IF(ISBLANK(AW19),"NO DATA",IF(ISNUMBER(FIND(CODES!$A$12,AW19)),CODES!$A$12,IF(OR(ISNUMBER(FIND(CODES!$A$10,AW19)),ISNUMBER(FIND(CODES!$A$11,AW19))),CODES!$A$13,IF(OR(AW19&lt;AW$63,ISNUMBER(AW19)=FALSE),AW$64,AW19))))</f>
      </c>
      <c r="AX71" s="9" t="str">
        <f>IF(ISBLANK(AX19),"NO DATA",IF(ISNUMBER(FIND(CODES!$A$12,AX19)),CODES!$A$12,IF(OR(ISNUMBER(FIND(CODES!$A$10,AX19)),ISNUMBER(FIND(CODES!$A$11,AX19))),CODES!$A$13,IF(OR(AX19&lt;AX$63,ISNUMBER(AX19)=FALSE),AX$64,AX19))))</f>
      </c>
      <c r="AY71" s="9" t="str">
        <f>IF(ISBLANK(AY19),"NO DATA",IF(ISNUMBER(FIND(CODES!$A$12,AY19)),CODES!$A$12,IF(OR(ISNUMBER(FIND(CODES!$A$10,AY19)),ISNUMBER(FIND(CODES!$A$11,AY19))),CODES!$A$13,IF(OR(AY19&lt;AY$63,ISNUMBER(AY19)=FALSE),AY$64,AY19))))</f>
      </c>
      <c r="AZ71" s="9">
        <f>IF(ISBLANK(AZ19),"NO DATA",IF(ISNUMBER(FIND(CODES!$A$12,AZ19)),CODES!$A$12,IF(OR(ISNUMBER(FIND(CODES!$A$10,AZ19)),ISNUMBER(FIND(CODES!$A$11,AZ19))),CODES!$A$13,IF(OR(AZ19&lt;AZ$63,ISNUMBER(AZ19)=FALSE),AZ$64,AZ19))))</f>
      </c>
      <c r="BA71" s="9">
        <f>IF(ISBLANK(BA19),"NO DATA",IF(ISNUMBER(FIND(CODES!$A$12,BA19)),CODES!$A$12,IF(OR(ISNUMBER(FIND(CODES!$A$10,BA19)),ISNUMBER(FIND(CODES!$A$11,BA19))),CODES!$A$13,IF(OR(BA19&lt;BA$63,ISNUMBER(BA19)=FALSE),BA$64,BA19))))</f>
      </c>
      <c r="BB71" s="9">
        <f>IF(ISBLANK(BB19),"NO DATA",IF(ISNUMBER(FIND(CODES!$A$12,BB19)),CODES!$A$12,IF(OR(ISNUMBER(FIND(CODES!$A$10,BB19)),ISNUMBER(FIND(CODES!$A$11,BB19))),CODES!$A$13,IF(OR(BB19&lt;BB$63,ISNUMBER(BB19)=FALSE),BB$64,BB19))))</f>
      </c>
      <c r="BC71" s="9">
        <f>IF(ISBLANK(BC19),"NO DATA",IF(ISNUMBER(FIND(CODES!$A$12,BC19)),CODES!$A$12,IF(OR(ISNUMBER(FIND(CODES!$A$10,BC19)),ISNUMBER(FIND(CODES!$A$11,BC19))),CODES!$A$13,IF(OR(BC19&lt;BC$63,ISNUMBER(BC19)=FALSE),BC$64,BC19))))</f>
      </c>
      <c r="BD71" s="9" t="str">
        <f>IF(ISBLANK(BD19),"NO DATA",IF(ISNUMBER(FIND(CODES!$A$12,BD19)),CODES!$A$12,IF(OR(ISNUMBER(FIND(CODES!$A$10,BD19)),ISNUMBER(FIND(CODES!$A$11,BD19))),CODES!$A$13,IF(OR(BD19&lt;BD$63,ISNUMBER(BD19)=FALSE),BD$64,BD19))))</f>
      </c>
      <c r="BE71" s="9" t="str">
        <f>IF(ISBLANK(BE19),"NO DATA",IF(ISNUMBER(FIND(CODES!$A$12,BE19)),CODES!$A$12,IF(OR(ISNUMBER(FIND(CODES!$A$10,BE19)),ISNUMBER(FIND(CODES!$A$11,BE19))),CODES!$A$13,IF(OR(BE19&lt;BE$63,ISNUMBER(BE19)=FALSE),BE$64,BE19))))</f>
      </c>
      <c r="BF71" s="9">
        <f>IF(ISBLANK(BF19),"NO DATA",IF(ISNUMBER(FIND(CODES!$A$12,BF19)),CODES!$A$12,IF(OR(ISNUMBER(FIND(CODES!$A$10,BF19)),ISNUMBER(FIND(CODES!$A$11,BF19))),CODES!$A$13,IF(OR(BF19&lt;BF$63,ISNUMBER(BF19)=FALSE),BF$64,BF19))))</f>
      </c>
      <c r="BG71" s="9">
        <f>IF(ISBLANK(BG19),"NO DATA",IF(ISNUMBER(FIND(CODES!$A$12,BG19)),CODES!$A$12,IF(OR(ISNUMBER(FIND(CODES!$A$10,BG19)),ISNUMBER(FIND(CODES!$A$11,BG19))),CODES!$A$13,IF(OR(BG19&lt;BG$63,ISNUMBER(BG19)=FALSE),BG$64,BG19))))</f>
      </c>
      <c r="BH71" s="9" t="str">
        <f>IF(ISBLANK(BH19),"NO DATA",IF(ISNUMBER(FIND(CODES!$A$12,BH19)),CODES!$A$12,IF(OR(ISNUMBER(FIND(CODES!$A$10,BH19)),ISNUMBER(FIND(CODES!$A$11,BH19))),CODES!$A$13,IF(OR(BH19&lt;BH$63,ISNUMBER(BH19)=FALSE),BH$64,BH19))))</f>
      </c>
      <c r="BI71" s="9" t="str">
        <f>IF(ISBLANK(BI19),"NO DATA",IF(ISNUMBER(FIND(CODES!$A$12,BI19)),CODES!$A$12,IF(OR(ISNUMBER(FIND(CODES!$A$10,BI19)),ISNUMBER(FIND(CODES!$A$11,BI19))),CODES!$A$13,IF(OR(BI19&lt;BI$63,ISNUMBER(BI19)=FALSE),BI$64,BI19))))</f>
      </c>
      <c r="BJ71" s="9" t="str">
        <f>IF(ISBLANK(BJ19),"NO DATA",IF(ISNUMBER(FIND(CODES!$A$12,BJ19)),CODES!$A$12,IF(OR(ISNUMBER(FIND(CODES!$A$10,BJ19)),ISNUMBER(FIND(CODES!$A$11,BJ19))),CODES!$A$13,IF(OR(BJ19&lt;BJ$63,ISNUMBER(BJ19)=FALSE),BJ$64,BJ19))))</f>
      </c>
      <c r="BK71" s="9" t="str">
        <f>IF(ISBLANK(BK19),"NO DATA",IF(ISNUMBER(FIND(CODES!$A$12,BK19)),CODES!$A$12,IF(OR(ISNUMBER(FIND(CODES!$A$10,BK19)),ISNUMBER(FIND(CODES!$A$11,BK19))),CODES!$A$13,IF(OR(BK19&lt;BK$63,ISNUMBER(BK19)=FALSE),BK$64,BK19))))</f>
      </c>
      <c r="BL71" s="9" t="str">
        <f>IF(ISBLANK(BL19),"NO DATA",IF(ISNUMBER(FIND(CODES!$A$12,BL19)),CODES!$A$12,IF(OR(ISNUMBER(FIND(CODES!$A$10,BL19)),ISNUMBER(FIND(CODES!$A$11,BL19))),CODES!$A$13,IF(OR(BL19&lt;BL$63,ISNUMBER(BL19)=FALSE),BL$64,BL19))))</f>
      </c>
      <c r="BM71" s="9" t="str">
        <f>IF(ISBLANK(BM19),"NO DATA",IF(ISNUMBER(FIND(CODES!$A$12,BM19)),CODES!$A$12,IF(OR(ISNUMBER(FIND(CODES!$A$10,BM19)),ISNUMBER(FIND(CODES!$A$11,BM19))),CODES!$A$13,IF(OR(BM19&lt;BM$63,ISNUMBER(BM19)=FALSE),BM$64,BM19))))</f>
      </c>
      <c r="BN71" s="9" t="str">
        <f>IF(ISBLANK(BN19),"NO DATA",IF(ISNUMBER(FIND(CODES!$A$12,BN19)),CODES!$A$12,IF(OR(ISNUMBER(FIND(CODES!$A$10,BN19)),ISNUMBER(FIND(CODES!$A$11,BN19))),CODES!$A$13,IF(OR(BN19&lt;BN$63,ISNUMBER(BN19)=FALSE),BN$64,BN19))))</f>
      </c>
      <c r="BO71" s="9" t="str">
        <f>IF(ISBLANK(BO19),"NO DATA",IF(ISNUMBER(FIND(CODES!$A$12,BO19)),CODES!$A$12,IF(OR(ISNUMBER(FIND(CODES!$A$10,BO19)),ISNUMBER(FIND(CODES!$A$11,BO19))),CODES!$A$13,IF(OR(BO19&lt;BO$63,ISNUMBER(BO19)=FALSE),BO$64,BO19))))</f>
      </c>
      <c r="BP71" s="9">
        <f>IF(ISBLANK(BP19),"NO DATA",IF(ISNUMBER(FIND(CODES!$A$12,BP19)),CODES!$A$12,IF(OR(ISNUMBER(FIND(CODES!$A$10,BP19)),ISNUMBER(FIND(CODES!$A$11,BP19))),CODES!$A$13,IF(OR(BP19&lt;BP$63,ISNUMBER(BP19)=FALSE),BP$64,BP19))))</f>
      </c>
      <c r="BQ71" s="9" t="str">
        <f>IF(ISBLANK(BQ19),"NO DATA",IF(ISNUMBER(FIND(CODES!$A$12,BQ19)),CODES!$A$12,IF(OR(ISNUMBER(FIND(CODES!$A$10,BQ19)),ISNUMBER(FIND(CODES!$A$11,BQ19))),CODES!$A$13,IF(OR(BQ19&lt;BQ$63,ISNUMBER(BQ19)=FALSE),BQ$64,BQ19))))</f>
      </c>
      <c r="BR71" s="9" t="str">
        <f>IF(ISBLANK(BR19),"NO DATA",IF(ISNUMBER(FIND(CODES!$A$12,BR19)),CODES!$A$12,IF(OR(ISNUMBER(FIND(CODES!$A$10,BR19)),ISNUMBER(FIND(CODES!$A$11,BR19))),CODES!$A$13,IF(OR(BR19&lt;BR$63,ISNUMBER(BR19)=FALSE),BR$64,BR19))))</f>
      </c>
      <c r="BS71" s="9">
        <f>IF(ISBLANK(BS19),"NO DATA",IF(ISNUMBER(FIND(CODES!$A$12,BS19)),CODES!$A$12,IF(OR(ISNUMBER(FIND(CODES!$A$10,BS19)),ISNUMBER(FIND(CODES!$A$11,BS19))),CODES!$A$13,IF(OR(BS19&lt;BS$63,ISNUMBER(BS19)=FALSE),BS$64,BS19))))</f>
      </c>
      <c r="BT71" s="9">
        <f>IF(ISBLANK(BT19),"NO DATA",IF(ISNUMBER(FIND(CODES!$A$12,BT19)),CODES!$A$12,IF(OR(ISNUMBER(FIND(CODES!$A$10,BT19)),ISNUMBER(FIND(CODES!$A$11,BT19))),CODES!$A$13,IF(OR(BT19&lt;BT$63,ISNUMBER(BT19)=FALSE),BT$64,BT19))))</f>
      </c>
      <c r="BU71" s="9" t="str">
        <f>IF(ISBLANK(BU19),"NO DATA",IF(ISNUMBER(FIND(CODES!$A$12,BU19)),CODES!$A$12,IF(OR(ISNUMBER(FIND(CODES!$A$10,BU19)),ISNUMBER(FIND(CODES!$A$11,BU19))),CODES!$A$13,IF(OR(BU19&lt;BU$63,ISNUMBER(BU19)=FALSE),BU$64,BU19))))</f>
      </c>
      <c r="BV71" s="9" t="str">
        <f>IF(ISBLANK(BV19),"NO DATA",IF(ISNUMBER(FIND(CODES!$A$12,BV19)),CODES!$A$12,IF(OR(ISNUMBER(FIND(CODES!$A$10,BV19)),ISNUMBER(FIND(CODES!$A$11,BV19))),CODES!$A$13,IF(OR(BV19&lt;BV$63,ISNUMBER(BV19)=FALSE),BV$64,BV19))))</f>
      </c>
      <c r="BW71" s="9" t="str">
        <f>IF(ISBLANK(BW19),"NO DATA",IF(ISNUMBER(FIND(CODES!$A$12,BW19)),CODES!$A$12,IF(OR(ISNUMBER(FIND(CODES!$A$10,BW19)),ISNUMBER(FIND(CODES!$A$11,BW19))),CODES!$A$13,IF(OR(BW19&lt;BW$63,ISNUMBER(BW19)=FALSE),BW$64,BW19))))</f>
      </c>
      <c r="BX71" s="9" t="str">
        <f>IF(ISBLANK(BX19),"NO DATA",IF(ISNUMBER(FIND(CODES!$A$12,BX19)),CODES!$A$12,IF(OR(ISNUMBER(FIND(CODES!$A$10,BX19)),ISNUMBER(FIND(CODES!$A$11,BX19))),CODES!$A$13,IF(OR(BX19&lt;BX$63,ISNUMBER(BX19)=FALSE),BX$64,BX19))))</f>
      </c>
      <c r="BY71" s="9" t="str">
        <f>IF(ISBLANK(BY19),"NO DATA",IF(ISNUMBER(FIND(CODES!$A$12,BY19)),CODES!$A$12,IF(OR(ISNUMBER(FIND(CODES!$A$10,BY19)),ISNUMBER(FIND(CODES!$A$11,BY19))),CODES!$A$13,IF(OR(BY19&lt;BY$63,ISNUMBER(BY19)=FALSE),BY$64,BY19))))</f>
      </c>
      <c r="BZ71" s="9" t="str">
        <f>IF(ISBLANK(BZ19),"NO DATA",IF(ISNUMBER(FIND(CODES!$A$12,BZ19)),CODES!$A$12,IF(OR(ISNUMBER(FIND(CODES!$A$10,BZ19)),ISNUMBER(FIND(CODES!$A$11,BZ19))),CODES!$A$13,IF(OR(BZ19&lt;BZ$63,ISNUMBER(BZ19)=FALSE),BZ$64,BZ19))))</f>
      </c>
      <c r="CA71" s="9" t="str">
        <f>IF(ISBLANK(CA19),"NO DATA",IF(ISNUMBER(FIND(CODES!$A$12,CA19)),CODES!$A$12,IF(OR(ISNUMBER(FIND(CODES!$A$10,CA19)),ISNUMBER(FIND(CODES!$A$11,CA19))),CODES!$A$13,IF(OR(CA19&lt;CA$63,ISNUMBER(CA19)=FALSE),CA$64,CA19))))</f>
      </c>
      <c r="CB71" s="9" t="str">
        <f>IF(ISBLANK(CB19),"NO DATA",IF(ISNUMBER(FIND(CODES!$A$12,CB19)),CODES!$A$12,IF(OR(ISNUMBER(FIND(CODES!$A$10,CB19)),ISNUMBER(FIND(CODES!$A$11,CB19))),CODES!$A$13,IF(OR(CB19&lt;CB$63,ISNUMBER(CB19)=FALSE),CB$64,CB19))))</f>
      </c>
      <c r="CC71" s="9" t="str">
        <f>IF(ISBLANK(CC19),"NO DATA",IF(ISNUMBER(FIND(CODES!$A$12,CC19)),CODES!$A$12,IF(OR(ISNUMBER(FIND(CODES!$A$10,CC19)),ISNUMBER(FIND(CODES!$A$11,CC19))),CODES!$A$13,IF(OR(CC19&lt;CC$63,ISNUMBER(CC19)=FALSE),CC$64,CC19))))</f>
      </c>
      <c r="CD71" s="9" t="str">
        <f>IF(ISBLANK(CD19),"NO DATA",IF(ISNUMBER(FIND(CODES!$A$12,CD19)),CODES!$A$12,IF(OR(ISNUMBER(FIND(CODES!$A$10,CD19)),ISNUMBER(FIND(CODES!$A$11,CD19))),CODES!$A$13,IF(OR(CD19&lt;CD$63,ISNUMBER(CD19)=FALSE),CD$64,CD19))))</f>
      </c>
      <c r="CE71" s="9" t="str">
        <f>IF(ISBLANK(CE19),"NO DATA",IF(ISNUMBER(FIND(CODES!$A$12,CE19)),CODES!$A$12,IF(OR(ISNUMBER(FIND(CODES!$A$10,CE19)),ISNUMBER(FIND(CODES!$A$11,CE19))),CODES!$A$13,IF(OR(CE19&lt;CE$63,ISNUMBER(CE19)=FALSE),CE$64,CE19))))</f>
      </c>
      <c r="CF71" s="9">
        <f>IF(ISBLANK(CF19),"NO DATA",IF(ISNUMBER(FIND(CODES!$A$12,CF19)),CODES!$A$12,IF(OR(ISNUMBER(FIND(CODES!$A$10,CF19)),ISNUMBER(FIND(CODES!$A$11,CF19))),CODES!$A$13,IF(OR(CF19&lt;CF$63,ISNUMBER(CF19)=FALSE),CF$64,CF19))))</f>
      </c>
      <c r="CG71" s="9">
        <f>IF(ISBLANK(CG19),"NO DATA",IF(ISNUMBER(FIND(CODES!$A$12,CG19)),CODES!$A$12,IF(OR(ISNUMBER(FIND(CODES!$A$10,CG19)),ISNUMBER(FIND(CODES!$A$11,CG19))),CODES!$A$13,IF(OR(CG19&lt;CG$63,ISNUMBER(CG19)=FALSE),CG$64,CG19))))</f>
      </c>
      <c r="CH71" s="9">
        <f>IF(ISBLANK(CH19),"NO DATA",IF(ISNUMBER(FIND(CODES!$A$12,CH19)),CODES!$A$12,IF(OR(ISNUMBER(FIND(CODES!$A$10,CH19)),ISNUMBER(FIND(CODES!$A$11,CH19))),CODES!$A$13,IF(OR(CH19&lt;CH$63,ISNUMBER(CH19)=FALSE),CH$64,CH19))))</f>
      </c>
      <c r="CI71" s="9" t="str">
        <f>IF(ISBLANK(CI19),"NO DATA",IF(ISNUMBER(FIND(CODES!$A$12,CI19)),CODES!$A$12,IF(OR(ISNUMBER(FIND(CODES!$A$10,CI19)),ISNUMBER(FIND(CODES!$A$11,CI19))),CODES!$A$13,IF(OR(CI19&lt;CI$63,ISNUMBER(CI19)=FALSE),CI$64,CI19))))</f>
      </c>
      <c r="CJ71" s="9" t="str">
        <f>IF(ISBLANK(CJ19),"NO DATA",IF(ISNUMBER(FIND(CODES!$A$12,CJ19)),CODES!$A$12,IF(OR(ISNUMBER(FIND(CODES!$A$10,CJ19)),ISNUMBER(FIND(CODES!$A$11,CJ19))),CODES!$A$13,IF(OR(CJ19&lt;CJ$63,ISNUMBER(CJ19)=FALSE),CJ$64,CJ19))))</f>
      </c>
      <c r="CK71" s="9" t="str">
        <f>IF(ISBLANK(CK19),"NO DATA",IF(ISNUMBER(FIND(CODES!$A$12,CK19)),CODES!$A$12,IF(OR(ISNUMBER(FIND(CODES!$A$10,CK19)),ISNUMBER(FIND(CODES!$A$11,CK19))),CODES!$A$13,IF(OR(CK19&lt;CK$63,ISNUMBER(CK19)=FALSE),CK$64,CK19))))</f>
      </c>
      <c r="CL71" s="9" t="str">
        <f>IF(ISBLANK(CL19),"NO DATA",IF(ISNUMBER(FIND(CODES!$A$12,CL19)),CODES!$A$12,IF(OR(ISNUMBER(FIND(CODES!$A$10,CL19)),ISNUMBER(FIND(CODES!$A$11,CL19))),CODES!$A$13,IF(OR(CL19&lt;CL$63,ISNUMBER(CL19)=FALSE),CL$64,CL19))))</f>
      </c>
      <c r="CM71" s="9" t="str">
        <f>IF(ISBLANK(CM19),"NO DATA",IF(ISNUMBER(FIND(CODES!$A$12,CM19)),CODES!$A$12,IF(OR(ISNUMBER(FIND(CODES!$A$10,CM19)),ISNUMBER(FIND(CODES!$A$11,CM19))),CODES!$A$13,IF(OR(CM19&lt;CM$63,ISNUMBER(CM19)=FALSE),CM$64,CM19))))</f>
      </c>
      <c r="CN71" s="9" t="str">
        <f>IF(ISBLANK(CN19),"NO DATA",IF(ISNUMBER(FIND(CODES!$A$12,CN19)),CODES!$A$12,IF(OR(ISNUMBER(FIND(CODES!$A$10,CN19)),ISNUMBER(FIND(CODES!$A$11,CN19))),CODES!$A$13,IF(OR(CN19&lt;CN$63,ISNUMBER(CN19)=FALSE),CN$64,CN19))))</f>
      </c>
      <c r="CO71" s="9">
        <f>IF(ISBLANK(CO19),"NO DATA",IF(ISNUMBER(FIND(CODES!$A$12,CO19)),CODES!$A$12,IF(OR(ISNUMBER(FIND(CODES!$A$10,CO19)),ISNUMBER(FIND(CODES!$A$11,CO19))),CODES!$A$13,IF(OR(CO19&lt;CO$63,ISNUMBER(CO19)=FALSE),CO$64,CO19))))</f>
      </c>
      <c r="CP71" s="9" t="str">
        <f>IF(ISBLANK(CP19),"NO DATA",IF(ISNUMBER(FIND(CODES!$A$12,CP19)),CODES!$A$12,IF(OR(ISNUMBER(FIND(CODES!$A$10,CP19)),ISNUMBER(FIND(CODES!$A$11,CP19))),CODES!$A$13,IF(OR(CP19&lt;CP$63,ISNUMBER(CP19)=FALSE),CP$64,CP19))))</f>
      </c>
      <c r="CQ71" s="9" t="str">
        <f>IF(ISBLANK(CQ19),"NO DATA",IF(ISNUMBER(FIND(CODES!$A$12,CQ19)),CODES!$A$12,IF(OR(ISNUMBER(FIND(CODES!$A$10,CQ19)),ISNUMBER(FIND(CODES!$A$11,CQ19))),CODES!$A$13,IF(OR(CQ19&lt;CQ$63,ISNUMBER(CQ19)=FALSE),CQ$64,CQ19))))</f>
      </c>
      <c r="CR71" s="9" t="str">
        <f>IF(ISBLANK(CR19),"NO DATA",IF(ISNUMBER(FIND(CODES!$A$12,CR19)),CODES!$A$12,IF(OR(ISNUMBER(FIND(CODES!$A$10,CR19)),ISNUMBER(FIND(CODES!$A$11,CR19))),CODES!$A$13,IF(OR(CR19&lt;CR$63,ISNUMBER(CR19)=FALSE),CR$64,CR19))))</f>
      </c>
      <c r="CS71" s="9" t="str">
        <f>IF(ISBLANK(CS19),"NO DATA",IF(ISNUMBER(FIND(CODES!$A$12,CS19)),CODES!$A$12,IF(OR(ISNUMBER(FIND(CODES!$A$10,CS19)),ISNUMBER(FIND(CODES!$A$11,CS19))),CODES!$A$13,IF(OR(CS19&lt;CS$63,ISNUMBER(CS19)=FALSE),CS$64,CS19))))</f>
      </c>
      <c r="CT71" s="9" t="str">
        <f>IF(ISBLANK(CT19),"NO DATA",IF(ISNUMBER(FIND(CODES!$A$12,CT19)),CODES!$A$12,IF(OR(ISNUMBER(FIND(CODES!$A$10,CT19)),ISNUMBER(FIND(CODES!$A$11,CT19))),CODES!$A$13,IF(OR(CT19&lt;CT$63,ISNUMBER(CT19)=FALSE),CT$64,CT19))))</f>
      </c>
      <c r="CU71" s="9" t="str">
        <f>IF(ISBLANK(CU19),"NO DATA",IF(ISNUMBER(FIND(CODES!$A$12,CU19)),CODES!$A$12,IF(OR(ISNUMBER(FIND(CODES!$A$10,CU19)),ISNUMBER(FIND(CODES!$A$11,CU19))),CODES!$A$13,IF(OR(CU19&lt;CU$63,ISNUMBER(CU19)=FALSE),CU$64,CU19))))</f>
      </c>
      <c r="CV71" s="9">
        <f>IF(ISBLANK(CV19),"NO DATA",IF(ISNUMBER(FIND(CODES!$A$12,CV19)),CODES!$A$12,IF(OR(ISNUMBER(FIND(CODES!$A$10,CV19)),ISNUMBER(FIND(CODES!$A$11,CV19))),CODES!$A$13,IF(OR(CV19&lt;CV$63,ISNUMBER(CV19)=FALSE),CV$64,CV19))))</f>
      </c>
      <c r="CW71" s="9" t="str">
        <f>IF(ISBLANK(CW19),"NO DATA",IF(ISNUMBER(FIND(CODES!$A$12,CW19)),CODES!$A$12,IF(OR(ISNUMBER(FIND(CODES!$A$10,CW19)),ISNUMBER(FIND(CODES!$A$11,CW19))),CODES!$A$13,IF(OR(CW19&lt;CW$63,ISNUMBER(CW19)=FALSE),CW$64,CW19))))</f>
      </c>
      <c r="CX71" s="9">
        <f>IF(ISBLANK(CX19),"NO DATA",IF(ISNUMBER(FIND(CODES!$A$12,CX19)),CODES!$A$12,IF(OR(ISNUMBER(FIND(CODES!$A$10,CX19)),ISNUMBER(FIND(CODES!$A$11,CX19))),CODES!$A$13,IF(OR(CX19&lt;CX$63,ISNUMBER(CX19)=FALSE),CX$64,CX19))))</f>
      </c>
      <c r="CY71" s="9">
        <f>IF(ISBLANK(CY19),"NO DATA",IF(ISNUMBER(FIND(CODES!$A$12,CY19)),CODES!$A$12,IF(OR(ISNUMBER(FIND(CODES!$A$10,CY19)),ISNUMBER(FIND(CODES!$A$11,CY19))),CODES!$A$13,IF(OR(CY19&lt;CY$63,ISNUMBER(CY19)=FALSE),CY$64,CY19))))</f>
      </c>
      <c r="CZ71" s="9" t="str">
        <f>IF(ISBLANK(CZ19),"NO DATA",IF(ISNUMBER(FIND(CODES!$A$12,CZ19)),CODES!$A$12,IF(OR(ISNUMBER(FIND(CODES!$A$10,CZ19)),ISNUMBER(FIND(CODES!$A$11,CZ19))),CODES!$A$13,IF(OR(CZ19&lt;CZ$63,ISNUMBER(CZ19)=FALSE),CZ$64,CZ19))))</f>
      </c>
      <c r="DA71" s="9" t="str">
        <f>IF(ISBLANK(DA19),"NO DATA",IF(ISNUMBER(FIND(CODES!$A$12,DA19)),CODES!$A$12,IF(OR(ISNUMBER(FIND(CODES!$A$10,DA19)),ISNUMBER(FIND(CODES!$A$11,DA19))),CODES!$A$13,IF(OR(DA19&lt;DA$63,ISNUMBER(DA19)=FALSE),DA$64,DA19))))</f>
      </c>
      <c r="DB71" s="9" t="str">
        <f>IF(ISBLANK(DB19),"NO DATA",IF(ISNUMBER(FIND(CODES!$A$12,DB19)),CODES!$A$12,IF(OR(ISNUMBER(FIND(CODES!$A$10,DB19)),ISNUMBER(FIND(CODES!$A$11,DB19))),CODES!$A$13,IF(OR(DB19&lt;DB$63,ISNUMBER(DB19)=FALSE),DB$64,DB19))))</f>
      </c>
      <c r="DC71" s="9" t="str">
        <f>IF(ISBLANK(DC19),"NO DATA",IF(ISNUMBER(FIND(CODES!$A$12,DC19)),CODES!$A$12,IF(OR(ISNUMBER(FIND(CODES!$A$10,DC19)),ISNUMBER(FIND(CODES!$A$11,DC19))),CODES!$A$13,IF(OR(DC19&lt;DC$63,ISNUMBER(DC19)=FALSE),DC$64,DC19))))</f>
      </c>
      <c r="DD71" s="9" t="str">
        <f>IF(ISBLANK(DD19),"NO DATA",IF(ISNUMBER(FIND(CODES!$A$12,DD19)),CODES!$A$12,IF(OR(ISNUMBER(FIND(CODES!$A$10,DD19)),ISNUMBER(FIND(CODES!$A$11,DD19))),CODES!$A$13,IF(OR(DD19&lt;DD$63,ISNUMBER(DD19)=FALSE),DD$64,DD19))))</f>
      </c>
      <c r="DE71" s="9" t="str">
        <f>IF(ISBLANK(DE19),"NO DATA",IF(ISNUMBER(FIND(CODES!$A$12,DE19)),CODES!$A$12,IF(OR(ISNUMBER(FIND(CODES!$A$10,DE19)),ISNUMBER(FIND(CODES!$A$11,DE19))),CODES!$A$13,IF(OR(DE19&lt;DE$63,ISNUMBER(DE19)=FALSE),DE$64,DE19))))</f>
      </c>
      <c r="DF71" s="9">
        <f>IF(ISBLANK(DF19),"NO DATA",IF(ISNUMBER(FIND(CODES!$A$12,DF19)),CODES!$A$12,IF(OR(ISNUMBER(FIND(CODES!$A$10,DF19)),ISNUMBER(FIND(CODES!$A$11,DF19))),CODES!$A$13,IF(OR(DF19&lt;DF$63,ISNUMBER(DF19)=FALSE),DF$64,DF19))))</f>
      </c>
      <c r="DG71" s="9">
        <f>IF(ISBLANK(DG19),"NO DATA",IF(ISNUMBER(FIND(CODES!$A$12,DG19)),CODES!$A$12,IF(OR(ISNUMBER(FIND(CODES!$A$10,DG19)),ISNUMBER(FIND(CODES!$A$11,DG19))),CODES!$A$13,IF(OR(DG19&lt;DG$63,ISNUMBER(DG19)=FALSE),DG$64,DG19))))</f>
      </c>
      <c r="DH71" s="9" t="str">
        <f>IF(ISBLANK(DH19),"NO DATA",IF(ISNUMBER(FIND(CODES!$A$12,DH19)),CODES!$A$12,IF(OR(ISNUMBER(FIND(CODES!$A$10,DH19)),ISNUMBER(FIND(CODES!$A$11,DH19))),CODES!$A$13,IF(OR(DH19&lt;DH$63,ISNUMBER(DH19)=FALSE),DH$64,DH19))))</f>
      </c>
      <c r="DI71" s="9" t="str">
        <f>IF(ISBLANK(DI19),"NO DATA",IF(ISNUMBER(FIND(CODES!$A$12,DI19)),CODES!$A$12,IF(OR(ISNUMBER(FIND(CODES!$A$10,DI19)),ISNUMBER(FIND(CODES!$A$11,DI19))),CODES!$A$13,IF(OR(DI19&lt;DI$63,ISNUMBER(DI19)=FALSE),DI$64,DI19))))</f>
      </c>
    </row>
    <row r="72" spans="1:113" x14ac:dyDescent="0.25">
      <c r="A72" s="20" t="str">
        <f t="shared" si="4"/>
      </c>
      <c r="B72" s="20" t="str">
        <f t="shared" si="4"/>
      </c>
      <c r="C72" s="9" t="str">
        <f>IF(ISBLANK(C20),"NO DATA",IF(ISNUMBER(FIND(CODES!$A$12,C20)),CODES!$A$12,IF(OR(ISNUMBER(FIND(CODES!$A$10,C20)),ISNUMBER(FIND(CODES!$A$11,C20))),CODES!$A$13,IF(OR(C20&lt;C$63,ISNUMBER(C20)=FALSE),C$64,C20))))</f>
      </c>
      <c r="D72" s="9" t="str">
        <f>IF(ISBLANK(D20),"NO DATA",IF(ISNUMBER(FIND(CODES!$A$12,D20)),CODES!$A$12,IF(OR(ISNUMBER(FIND(CODES!$A$10,D20)),ISNUMBER(FIND(CODES!$A$11,D20))),CODES!$A$13,IF(OR(D20&lt;D$63,ISNUMBER(D20)=FALSE),D$64,D20))))</f>
      </c>
      <c r="E72" s="9" t="str">
        <f>IF(ISBLANK(E20),"NO DATA",IF(ISNUMBER(FIND(CODES!$A$12,E20)),CODES!$A$12,IF(OR(ISNUMBER(FIND(CODES!$A$10,E20)),ISNUMBER(FIND(CODES!$A$11,E20))),CODES!$A$13,IF(OR(E20&lt;E$63,ISNUMBER(E20)=FALSE),E$64,E20))))</f>
      </c>
      <c r="F72" s="9" t="str">
        <f>IF(ISBLANK(F20),"NO DATA",IF(ISNUMBER(FIND(CODES!$A$12,F20)),CODES!$A$12,IF(OR(ISNUMBER(FIND(CODES!$A$10,F20)),ISNUMBER(FIND(CODES!$A$11,F20))),CODES!$A$13,IF(OR(F20&lt;F$63,ISNUMBER(F20)=FALSE),F$64,F20))))</f>
      </c>
      <c r="G72" s="9" t="str">
        <f>IF(ISBLANK(G20),"NO DATA",IF(ISNUMBER(FIND(CODES!$A$12,G20)),CODES!$A$12,IF(OR(ISNUMBER(FIND(CODES!$A$10,G20)),ISNUMBER(FIND(CODES!$A$11,G20))),CODES!$A$13,IF(OR(G20&lt;G$63,ISNUMBER(G20)=FALSE),G$64,G20))))</f>
      </c>
      <c r="H72" s="9">
        <f>IF(ISBLANK(H20),"NO DATA",IF(ISNUMBER(FIND(CODES!$A$12,H20)),CODES!$A$12,IF(OR(ISNUMBER(FIND(CODES!$A$10,H20)),ISNUMBER(FIND(CODES!$A$11,H20))),CODES!$A$13,IF(OR(H20&lt;H$63,ISNUMBER(H20)=FALSE),H$64,H20))))</f>
      </c>
      <c r="I72" s="9">
        <f>IF(ISBLANK(I20),"NO DATA",IF(ISNUMBER(FIND(CODES!$A$12,I20)),CODES!$A$12,IF(OR(ISNUMBER(FIND(CODES!$A$10,I20)),ISNUMBER(FIND(CODES!$A$11,I20))),CODES!$A$13,IF(OR(I20&lt;I$63,ISNUMBER(I20)=FALSE),I$64,I20))))</f>
      </c>
      <c r="J72" s="9">
        <f>IF(ISBLANK(J20),"NO DATA",IF(ISNUMBER(FIND(CODES!$A$12,J20)),CODES!$A$12,IF(OR(ISNUMBER(FIND(CODES!$A$10,J20)),ISNUMBER(FIND(CODES!$A$11,J20))),CODES!$A$13,IF(OR(J20&lt;J$63,ISNUMBER(J20)=FALSE),J$64,J20))))</f>
      </c>
      <c r="K72" s="9">
        <f>IF(ISBLANK(K20),"NO DATA",IF(ISNUMBER(FIND(CODES!$A$12,K20)),CODES!$A$12,IF(OR(ISNUMBER(FIND(CODES!$A$10,K20)),ISNUMBER(FIND(CODES!$A$11,K20))),CODES!$A$13,IF(OR(K20&lt;K$63,ISNUMBER(K20)=FALSE),K$64,K20))))</f>
      </c>
      <c r="L72" s="9" t="str">
        <f>IF(ISBLANK(L20),"NO DATA",IF(ISNUMBER(FIND(CODES!$A$12,L20)),CODES!$A$12,IF(OR(ISNUMBER(FIND(CODES!$A$10,L20)),ISNUMBER(FIND(CODES!$A$11,L20))),CODES!$A$13,IF(OR(L20&lt;L$63,ISNUMBER(L20)=FALSE),L$64,L20))))</f>
      </c>
      <c r="M72" s="9" t="str">
        <f>IF(ISBLANK(M20),"NO DATA",IF(ISNUMBER(FIND(CODES!$A$12,M20)),CODES!$A$12,IF(OR(ISNUMBER(FIND(CODES!$A$10,M20)),ISNUMBER(FIND(CODES!$A$11,M20))),CODES!$A$13,IF(OR(M20&lt;M$63,ISNUMBER(M20)=FALSE),M$64,M20))))</f>
      </c>
      <c r="N72" s="9" t="str">
        <f>IF(ISBLANK(N20),"NO DATA",IF(ISNUMBER(FIND(CODES!$A$12,N20)),CODES!$A$12,IF(OR(ISNUMBER(FIND(CODES!$A$10,N20)),ISNUMBER(FIND(CODES!$A$11,N20))),CODES!$A$13,IF(OR(N20&lt;N$63,ISNUMBER(N20)=FALSE),N$64,N20))))</f>
      </c>
      <c r="O72" s="9" t="str">
        <f>IF(ISBLANK(O20),"NO DATA",IF(ISNUMBER(FIND(CODES!$A$12,O20)),CODES!$A$12,IF(OR(ISNUMBER(FIND(CODES!$A$10,O20)),ISNUMBER(FIND(CODES!$A$11,O20))),CODES!$A$13,IF(OR(O20&lt;O$63,ISNUMBER(O20)=FALSE),O$64,O20))))</f>
      </c>
      <c r="P72" s="9">
        <f>IF(ISBLANK(P20),"NO DATA",IF(ISNUMBER(FIND(CODES!$A$12,P20)),CODES!$A$12,IF(OR(ISNUMBER(FIND(CODES!$A$10,P20)),ISNUMBER(FIND(CODES!$A$11,P20))),CODES!$A$13,IF(OR(P20&lt;P$63,ISNUMBER(P20)=FALSE),P$64,P20))))</f>
      </c>
      <c r="Q72" s="9">
        <f>IF(ISBLANK(Q20),"NO DATA",IF(ISNUMBER(FIND(CODES!$A$12,Q20)),CODES!$A$12,IF(OR(ISNUMBER(FIND(CODES!$A$10,Q20)),ISNUMBER(FIND(CODES!$A$11,Q20))),CODES!$A$13,IF(OR(Q20&lt;Q$63,ISNUMBER(Q20)=FALSE),Q$64,Q20))))</f>
      </c>
      <c r="R72" s="9" t="str">
        <f>IF(ISBLANK(R20),"NO DATA",IF(ISNUMBER(FIND(CODES!$A$12,R20)),CODES!$A$12,IF(OR(ISNUMBER(FIND(CODES!$A$10,R20)),ISNUMBER(FIND(CODES!$A$11,R20))),CODES!$A$13,IF(OR(R20&lt;R$63,ISNUMBER(R20)=FALSE),R$64,R20))))</f>
      </c>
      <c r="S72" s="9" t="str">
        <f>IF(ISBLANK(S20),"NO DATA",IF(ISNUMBER(FIND(CODES!$A$12,S20)),CODES!$A$12,IF(OR(ISNUMBER(FIND(CODES!$A$10,S20)),ISNUMBER(FIND(CODES!$A$11,S20))),CODES!$A$13,IF(OR(S20&lt;S$63,ISNUMBER(S20)=FALSE),S$64,S20))))</f>
      </c>
      <c r="T72" s="9" t="str">
        <f>IF(ISBLANK(T20),"NO DATA",IF(ISNUMBER(FIND(CODES!$A$12,T20)),CODES!$A$12,IF(OR(ISNUMBER(FIND(CODES!$A$10,T20)),ISNUMBER(FIND(CODES!$A$11,T20))),CODES!$A$13,IF(OR(T20&lt;T$63,ISNUMBER(T20)=FALSE),T$64,T20))))</f>
      </c>
      <c r="U72" s="9" t="str">
        <f>IF(ISBLANK(U20),"NO DATA",IF(ISNUMBER(FIND(CODES!$A$12,U20)),CODES!$A$12,IF(OR(ISNUMBER(FIND(CODES!$A$10,U20)),ISNUMBER(FIND(CODES!$A$11,U20))),CODES!$A$13,IF(OR(U20&lt;U$63,ISNUMBER(U20)=FALSE),U$64,U20))))</f>
      </c>
      <c r="V72" s="9" t="str">
        <f>IF(ISBLANK(V20),"NO DATA",IF(ISNUMBER(FIND(CODES!$A$12,V20)),CODES!$A$12,IF(OR(ISNUMBER(FIND(CODES!$A$10,V20)),ISNUMBER(FIND(CODES!$A$11,V20))),CODES!$A$13,IF(OR(V20&lt;V$63,ISNUMBER(V20)=FALSE),V$64,V20))))</f>
      </c>
      <c r="W72" s="9" t="str">
        <f>IF(ISBLANK(W20),"NO DATA",IF(ISNUMBER(FIND(CODES!$A$12,W20)),CODES!$A$12,IF(OR(ISNUMBER(FIND(CODES!$A$10,W20)),ISNUMBER(FIND(CODES!$A$11,W20))),CODES!$A$13,IF(OR(W20&lt;W$63,ISNUMBER(W20)=FALSE),W$64,W20))))</f>
      </c>
      <c r="X72" s="9" t="str">
        <f>IF(ISBLANK(X20),"NO DATA",IF(ISNUMBER(FIND(CODES!$A$12,X20)),CODES!$A$12,IF(OR(ISNUMBER(FIND(CODES!$A$10,X20)),ISNUMBER(FIND(CODES!$A$11,X20))),CODES!$A$13,IF(OR(X20&lt;X$63,ISNUMBER(X20)=FALSE),X$64,X20))))</f>
      </c>
      <c r="Y72" s="9" t="str">
        <f>IF(ISBLANK(Y20),"NO DATA",IF(ISNUMBER(FIND(CODES!$A$12,Y20)),CODES!$A$12,IF(OR(ISNUMBER(FIND(CODES!$A$10,Y20)),ISNUMBER(FIND(CODES!$A$11,Y20))),CODES!$A$13,IF(OR(Y20&lt;Y$63,ISNUMBER(Y20)=FALSE),Y$64,Y20))))</f>
      </c>
      <c r="Z72" s="9">
        <f>IF(ISBLANK(Z20),"NO DATA",IF(ISNUMBER(FIND(CODES!$A$12,Z20)),CODES!$A$12,IF(OR(ISNUMBER(FIND(CODES!$A$10,Z20)),ISNUMBER(FIND(CODES!$A$11,Z20))),CODES!$A$13,IF(OR(Z20&lt;Z$63,ISNUMBER(Z20)=FALSE),Z$64,Z20))))</f>
      </c>
      <c r="AA72" s="9" t="str">
        <f>IF(ISBLANK(AA20),"NO DATA",IF(ISNUMBER(FIND(CODES!$A$12,AA20)),CODES!$A$12,IF(OR(ISNUMBER(FIND(CODES!$A$10,AA20)),ISNUMBER(FIND(CODES!$A$11,AA20))),CODES!$A$13,IF(OR(AA20&lt;AA$63,ISNUMBER(AA20)=FALSE),AA$64,AA20))))</f>
      </c>
      <c r="AB72" s="9" t="str">
        <f>IF(ISBLANK(AB20),"NO DATA",IF(ISNUMBER(FIND(CODES!$A$12,AB20)),CODES!$A$12,IF(OR(ISNUMBER(FIND(CODES!$A$10,AB20)),ISNUMBER(FIND(CODES!$A$11,AB20))),CODES!$A$13,IF(OR(AB20&lt;AB$63,ISNUMBER(AB20)=FALSE),AB$64,AB20))))</f>
      </c>
      <c r="AC72" s="9" t="str">
        <f>IF(ISBLANK(AC20),"NO DATA",IF(ISNUMBER(FIND(CODES!$A$12,AC20)),CODES!$A$12,IF(OR(ISNUMBER(FIND(CODES!$A$10,AC20)),ISNUMBER(FIND(CODES!$A$11,AC20))),CODES!$A$13,IF(OR(AC20&lt;AC$63,ISNUMBER(AC20)=FALSE),AC$64,AC20))))</f>
      </c>
      <c r="AD72" s="9" t="str">
        <f>IF(ISBLANK(AD20),"NO DATA",IF(ISNUMBER(FIND(CODES!$A$12,AD20)),CODES!$A$12,IF(OR(ISNUMBER(FIND(CODES!$A$10,AD20)),ISNUMBER(FIND(CODES!$A$11,AD20))),CODES!$A$13,IF(OR(AD20&lt;AD$63,ISNUMBER(AD20)=FALSE),AD$64,AD20))))</f>
      </c>
      <c r="AE72" s="9" t="str">
        <f>IF(ISBLANK(AE20),"NO DATA",IF(ISNUMBER(FIND(CODES!$A$12,AE20)),CODES!$A$12,IF(OR(ISNUMBER(FIND(CODES!$A$10,AE20)),ISNUMBER(FIND(CODES!$A$11,AE20))),CODES!$A$13,IF(OR(AE20&lt;AE$63,ISNUMBER(AE20)=FALSE),AE$64,AE20))))</f>
      </c>
      <c r="AF72" s="9" t="str">
        <f>IF(ISBLANK(AF20),"NO DATA",IF(ISNUMBER(FIND(CODES!$A$12,AF20)),CODES!$A$12,IF(OR(ISNUMBER(FIND(CODES!$A$10,AF20)),ISNUMBER(FIND(CODES!$A$11,AF20))),CODES!$A$13,IF(OR(AF20&lt;AF$63,ISNUMBER(AF20)=FALSE),AF$64,AF20))))</f>
      </c>
      <c r="AG72" s="9">
        <f>IF(ISBLANK(AG20),"NO DATA",IF(ISNUMBER(FIND(CODES!$A$12,AG20)),CODES!$A$12,IF(OR(ISNUMBER(FIND(CODES!$A$10,AG20)),ISNUMBER(FIND(CODES!$A$11,AG20))),CODES!$A$13,IF(OR(AG20&lt;AG$63,ISNUMBER(AG20)=FALSE),AG$64,AG20))))</f>
      </c>
      <c r="AH72" s="9">
        <f>IF(ISBLANK(AH20),"NO DATA",IF(ISNUMBER(FIND(CODES!$A$12,AH20)),CODES!$A$12,IF(OR(ISNUMBER(FIND(CODES!$A$10,AH20)),ISNUMBER(FIND(CODES!$A$11,AH20))),CODES!$A$13,IF(OR(AH20&lt;AH$63,ISNUMBER(AH20)=FALSE),AH$64,AH20))))</f>
      </c>
      <c r="AI72" s="9" t="str">
        <f>IF(ISBLANK(AI20),"NO DATA",IF(ISNUMBER(FIND(CODES!$A$12,AI20)),CODES!$A$12,IF(OR(ISNUMBER(FIND(CODES!$A$10,AI20)),ISNUMBER(FIND(CODES!$A$11,AI20))),CODES!$A$13,IF(OR(AI20&lt;AI$63,ISNUMBER(AI20)=FALSE),AI$64,AI20))))</f>
      </c>
      <c r="AJ72" s="9" t="str">
        <f>IF(ISBLANK(AJ20),"NO DATA",IF(ISNUMBER(FIND(CODES!$A$12,AJ20)),CODES!$A$12,IF(OR(ISNUMBER(FIND(CODES!$A$10,AJ20)),ISNUMBER(FIND(CODES!$A$11,AJ20))),CODES!$A$13,IF(OR(AJ20&lt;AJ$63,ISNUMBER(AJ20)=FALSE),AJ$64,AJ20))))</f>
      </c>
      <c r="AK72" s="9">
        <f>IF(ISBLANK(AK20),"NO DATA",IF(ISNUMBER(FIND(CODES!$A$12,AK20)),CODES!$A$12,IF(OR(ISNUMBER(FIND(CODES!$A$10,AK20)),ISNUMBER(FIND(CODES!$A$11,AK20))),CODES!$A$13,IF(OR(AK20&lt;AK$63,ISNUMBER(AK20)=FALSE),AK$64,AK20))))</f>
      </c>
      <c r="AL72" s="9" t="str">
        <f>IF(ISBLANK(AL20),"NO DATA",IF(ISNUMBER(FIND(CODES!$A$12,AL20)),CODES!$A$12,IF(OR(ISNUMBER(FIND(CODES!$A$10,AL20)),ISNUMBER(FIND(CODES!$A$11,AL20))),CODES!$A$13,IF(OR(AL20&lt;AL$63,ISNUMBER(AL20)=FALSE),AL$64,AL20))))</f>
      </c>
      <c r="AM72" s="9" t="str">
        <f>IF(ISBLANK(AM20),"NO DATA",IF(ISNUMBER(FIND(CODES!$A$12,AM20)),CODES!$A$12,IF(OR(ISNUMBER(FIND(CODES!$A$10,AM20)),ISNUMBER(FIND(CODES!$A$11,AM20))),CODES!$A$13,IF(OR(AM20&lt;AM$63,ISNUMBER(AM20)=FALSE),AM$64,AM20))))</f>
      </c>
      <c r="AN72" s="9" t="str">
        <f>IF(ISBLANK(AN20),"NO DATA",IF(ISNUMBER(FIND(CODES!$A$12,AN20)),CODES!$A$12,IF(OR(ISNUMBER(FIND(CODES!$A$10,AN20)),ISNUMBER(FIND(CODES!$A$11,AN20))),CODES!$A$13,IF(OR(AN20&lt;AN$63,ISNUMBER(AN20)=FALSE),AN$64,AN20))))</f>
      </c>
      <c r="AO72" s="9" t="str">
        <f>IF(ISBLANK(AO20),"NO DATA",IF(ISNUMBER(FIND(CODES!$A$12,AO20)),CODES!$A$12,IF(OR(ISNUMBER(FIND(CODES!$A$10,AO20)),ISNUMBER(FIND(CODES!$A$11,AO20))),CODES!$A$13,IF(OR(AO20&lt;AO$63,ISNUMBER(AO20)=FALSE),AO$64,AO20))))</f>
      </c>
      <c r="AP72" s="9" t="str">
        <f>IF(ISBLANK(AP20),"NO DATA",IF(ISNUMBER(FIND(CODES!$A$12,AP20)),CODES!$A$12,IF(OR(ISNUMBER(FIND(CODES!$A$10,AP20)),ISNUMBER(FIND(CODES!$A$11,AP20))),CODES!$A$13,IF(OR(AP20&lt;AP$63,ISNUMBER(AP20)=FALSE),AP$64,AP20))))</f>
      </c>
      <c r="AQ72" s="9" t="str">
        <f>IF(ISBLANK(AQ20),"NO DATA",IF(ISNUMBER(FIND(CODES!$A$12,AQ20)),CODES!$A$12,IF(OR(ISNUMBER(FIND(CODES!$A$10,AQ20)),ISNUMBER(FIND(CODES!$A$11,AQ20))),CODES!$A$13,IF(OR(AQ20&lt;AQ$63,ISNUMBER(AQ20)=FALSE),AQ$64,AQ20))))</f>
      </c>
      <c r="AR72" s="9" t="str">
        <f>IF(ISBLANK(AR20),"NO DATA",IF(ISNUMBER(FIND(CODES!$A$12,AR20)),CODES!$A$12,IF(OR(ISNUMBER(FIND(CODES!$A$10,AR20)),ISNUMBER(FIND(CODES!$A$11,AR20))),CODES!$A$13,IF(OR(AR20&lt;AR$63,ISNUMBER(AR20)=FALSE),AR$64,AR20))))</f>
      </c>
      <c r="AS72" s="9">
        <f>IF(ISBLANK(AS20),"NO DATA",IF(ISNUMBER(FIND(CODES!$A$12,AS20)),CODES!$A$12,IF(OR(ISNUMBER(FIND(CODES!$A$10,AS20)),ISNUMBER(FIND(CODES!$A$11,AS20))),CODES!$A$13,IF(OR(AS20&lt;AS$63,ISNUMBER(AS20)=FALSE),AS$64,AS20))))</f>
      </c>
      <c r="AT72" s="9">
        <f>IF(ISBLANK(AT20),"NO DATA",IF(ISNUMBER(FIND(CODES!$A$12,AT20)),CODES!$A$12,IF(OR(ISNUMBER(FIND(CODES!$A$10,AT20)),ISNUMBER(FIND(CODES!$A$11,AT20))),CODES!$A$13,IF(OR(AT20&lt;AT$63,ISNUMBER(AT20)=FALSE),AT$64,AT20))))</f>
      </c>
      <c r="AU72" s="9" t="str">
        <f>IF(ISBLANK(AU20),"NO DATA",IF(ISNUMBER(FIND(CODES!$A$12,AU20)),CODES!$A$12,IF(OR(ISNUMBER(FIND(CODES!$A$10,AU20)),ISNUMBER(FIND(CODES!$A$11,AU20))),CODES!$A$13,IF(OR(AU20&lt;AU$63,ISNUMBER(AU20)=FALSE),AU$64,AU20))))</f>
      </c>
      <c r="AV72" s="9" t="str">
        <f>IF(ISBLANK(AV20),"NO DATA",IF(ISNUMBER(FIND(CODES!$A$12,AV20)),CODES!$A$12,IF(OR(ISNUMBER(FIND(CODES!$A$10,AV20)),ISNUMBER(FIND(CODES!$A$11,AV20))),CODES!$A$13,IF(OR(AV20&lt;AV$63,ISNUMBER(AV20)=FALSE),AV$64,AV20))))</f>
      </c>
      <c r="AW72" s="9" t="str">
        <f>IF(ISBLANK(AW20),"NO DATA",IF(ISNUMBER(FIND(CODES!$A$12,AW20)),CODES!$A$12,IF(OR(ISNUMBER(FIND(CODES!$A$10,AW20)),ISNUMBER(FIND(CODES!$A$11,AW20))),CODES!$A$13,IF(OR(AW20&lt;AW$63,ISNUMBER(AW20)=FALSE),AW$64,AW20))))</f>
      </c>
      <c r="AX72" s="9" t="str">
        <f>IF(ISBLANK(AX20),"NO DATA",IF(ISNUMBER(FIND(CODES!$A$12,AX20)),CODES!$A$12,IF(OR(ISNUMBER(FIND(CODES!$A$10,AX20)),ISNUMBER(FIND(CODES!$A$11,AX20))),CODES!$A$13,IF(OR(AX20&lt;AX$63,ISNUMBER(AX20)=FALSE),AX$64,AX20))))</f>
      </c>
      <c r="AY72" s="9" t="str">
        <f>IF(ISBLANK(AY20),"NO DATA",IF(ISNUMBER(FIND(CODES!$A$12,AY20)),CODES!$A$12,IF(OR(ISNUMBER(FIND(CODES!$A$10,AY20)),ISNUMBER(FIND(CODES!$A$11,AY20))),CODES!$A$13,IF(OR(AY20&lt;AY$63,ISNUMBER(AY20)=FALSE),AY$64,AY20))))</f>
      </c>
      <c r="AZ72" s="9">
        <f>IF(ISBLANK(AZ20),"NO DATA",IF(ISNUMBER(FIND(CODES!$A$12,AZ20)),CODES!$A$12,IF(OR(ISNUMBER(FIND(CODES!$A$10,AZ20)),ISNUMBER(FIND(CODES!$A$11,AZ20))),CODES!$A$13,IF(OR(AZ20&lt;AZ$63,ISNUMBER(AZ20)=FALSE),AZ$64,AZ20))))</f>
      </c>
      <c r="BA72" s="9">
        <f>IF(ISBLANK(BA20),"NO DATA",IF(ISNUMBER(FIND(CODES!$A$12,BA20)),CODES!$A$12,IF(OR(ISNUMBER(FIND(CODES!$A$10,BA20)),ISNUMBER(FIND(CODES!$A$11,BA20))),CODES!$A$13,IF(OR(BA20&lt;BA$63,ISNUMBER(BA20)=FALSE),BA$64,BA20))))</f>
      </c>
      <c r="BB72" s="9">
        <f>IF(ISBLANK(BB20),"NO DATA",IF(ISNUMBER(FIND(CODES!$A$12,BB20)),CODES!$A$12,IF(OR(ISNUMBER(FIND(CODES!$A$10,BB20)),ISNUMBER(FIND(CODES!$A$11,BB20))),CODES!$A$13,IF(OR(BB20&lt;BB$63,ISNUMBER(BB20)=FALSE),BB$64,BB20))))</f>
      </c>
      <c r="BC72" s="9">
        <f>IF(ISBLANK(BC20),"NO DATA",IF(ISNUMBER(FIND(CODES!$A$12,BC20)),CODES!$A$12,IF(OR(ISNUMBER(FIND(CODES!$A$10,BC20)),ISNUMBER(FIND(CODES!$A$11,BC20))),CODES!$A$13,IF(OR(BC20&lt;BC$63,ISNUMBER(BC20)=FALSE),BC$64,BC20))))</f>
      </c>
      <c r="BD72" s="9" t="str">
        <f>IF(ISBLANK(BD20),"NO DATA",IF(ISNUMBER(FIND(CODES!$A$12,BD20)),CODES!$A$12,IF(OR(ISNUMBER(FIND(CODES!$A$10,BD20)),ISNUMBER(FIND(CODES!$A$11,BD20))),CODES!$A$13,IF(OR(BD20&lt;BD$63,ISNUMBER(BD20)=FALSE),BD$64,BD20))))</f>
      </c>
      <c r="BE72" s="9" t="str">
        <f>IF(ISBLANK(BE20),"NO DATA",IF(ISNUMBER(FIND(CODES!$A$12,BE20)),CODES!$A$12,IF(OR(ISNUMBER(FIND(CODES!$A$10,BE20)),ISNUMBER(FIND(CODES!$A$11,BE20))),CODES!$A$13,IF(OR(BE20&lt;BE$63,ISNUMBER(BE20)=FALSE),BE$64,BE20))))</f>
      </c>
      <c r="BF72" s="9">
        <f>IF(ISBLANK(BF20),"NO DATA",IF(ISNUMBER(FIND(CODES!$A$12,BF20)),CODES!$A$12,IF(OR(ISNUMBER(FIND(CODES!$A$10,BF20)),ISNUMBER(FIND(CODES!$A$11,BF20))),CODES!$A$13,IF(OR(BF20&lt;BF$63,ISNUMBER(BF20)=FALSE),BF$64,BF20))))</f>
      </c>
      <c r="BG72" s="9">
        <f>IF(ISBLANK(BG20),"NO DATA",IF(ISNUMBER(FIND(CODES!$A$12,BG20)),CODES!$A$12,IF(OR(ISNUMBER(FIND(CODES!$A$10,BG20)),ISNUMBER(FIND(CODES!$A$11,BG20))),CODES!$A$13,IF(OR(BG20&lt;BG$63,ISNUMBER(BG20)=FALSE),BG$64,BG20))))</f>
      </c>
      <c r="BH72" s="9" t="str">
        <f>IF(ISBLANK(BH20),"NO DATA",IF(ISNUMBER(FIND(CODES!$A$12,BH20)),CODES!$A$12,IF(OR(ISNUMBER(FIND(CODES!$A$10,BH20)),ISNUMBER(FIND(CODES!$A$11,BH20))),CODES!$A$13,IF(OR(BH20&lt;BH$63,ISNUMBER(BH20)=FALSE),BH$64,BH20))))</f>
      </c>
      <c r="BI72" s="9" t="str">
        <f>IF(ISBLANK(BI20),"NO DATA",IF(ISNUMBER(FIND(CODES!$A$12,BI20)),CODES!$A$12,IF(OR(ISNUMBER(FIND(CODES!$A$10,BI20)),ISNUMBER(FIND(CODES!$A$11,BI20))),CODES!$A$13,IF(OR(BI20&lt;BI$63,ISNUMBER(BI20)=FALSE),BI$64,BI20))))</f>
      </c>
      <c r="BJ72" s="9" t="str">
        <f>IF(ISBLANK(BJ20),"NO DATA",IF(ISNUMBER(FIND(CODES!$A$12,BJ20)),CODES!$A$12,IF(OR(ISNUMBER(FIND(CODES!$A$10,BJ20)),ISNUMBER(FIND(CODES!$A$11,BJ20))),CODES!$A$13,IF(OR(BJ20&lt;BJ$63,ISNUMBER(BJ20)=FALSE),BJ$64,BJ20))))</f>
      </c>
      <c r="BK72" s="9" t="str">
        <f>IF(ISBLANK(BK20),"NO DATA",IF(ISNUMBER(FIND(CODES!$A$12,BK20)),CODES!$A$12,IF(OR(ISNUMBER(FIND(CODES!$A$10,BK20)),ISNUMBER(FIND(CODES!$A$11,BK20))),CODES!$A$13,IF(OR(BK20&lt;BK$63,ISNUMBER(BK20)=FALSE),BK$64,BK20))))</f>
      </c>
      <c r="BL72" s="9" t="str">
        <f>IF(ISBLANK(BL20),"NO DATA",IF(ISNUMBER(FIND(CODES!$A$12,BL20)),CODES!$A$12,IF(OR(ISNUMBER(FIND(CODES!$A$10,BL20)),ISNUMBER(FIND(CODES!$A$11,BL20))),CODES!$A$13,IF(OR(BL20&lt;BL$63,ISNUMBER(BL20)=FALSE),BL$64,BL20))))</f>
      </c>
      <c r="BM72" s="9" t="str">
        <f>IF(ISBLANK(BM20),"NO DATA",IF(ISNUMBER(FIND(CODES!$A$12,BM20)),CODES!$A$12,IF(OR(ISNUMBER(FIND(CODES!$A$10,BM20)),ISNUMBER(FIND(CODES!$A$11,BM20))),CODES!$A$13,IF(OR(BM20&lt;BM$63,ISNUMBER(BM20)=FALSE),BM$64,BM20))))</f>
      </c>
      <c r="BN72" s="9" t="str">
        <f>IF(ISBLANK(BN20),"NO DATA",IF(ISNUMBER(FIND(CODES!$A$12,BN20)),CODES!$A$12,IF(OR(ISNUMBER(FIND(CODES!$A$10,BN20)),ISNUMBER(FIND(CODES!$A$11,BN20))),CODES!$A$13,IF(OR(BN20&lt;BN$63,ISNUMBER(BN20)=FALSE),BN$64,BN20))))</f>
      </c>
      <c r="BO72" s="9" t="str">
        <f>IF(ISBLANK(BO20),"NO DATA",IF(ISNUMBER(FIND(CODES!$A$12,BO20)),CODES!$A$12,IF(OR(ISNUMBER(FIND(CODES!$A$10,BO20)),ISNUMBER(FIND(CODES!$A$11,BO20))),CODES!$A$13,IF(OR(BO20&lt;BO$63,ISNUMBER(BO20)=FALSE),BO$64,BO20))))</f>
      </c>
      <c r="BP72" s="9" t="str">
        <f>IF(ISBLANK(BP20),"NO DATA",IF(ISNUMBER(FIND(CODES!$A$12,BP20)),CODES!$A$12,IF(OR(ISNUMBER(FIND(CODES!$A$10,BP20)),ISNUMBER(FIND(CODES!$A$11,BP20))),CODES!$A$13,IF(OR(BP20&lt;BP$63,ISNUMBER(BP20)=FALSE),BP$64,BP20))))</f>
      </c>
      <c r="BQ72" s="9" t="str">
        <f>IF(ISBLANK(BQ20),"NO DATA",IF(ISNUMBER(FIND(CODES!$A$12,BQ20)),CODES!$A$12,IF(OR(ISNUMBER(FIND(CODES!$A$10,BQ20)),ISNUMBER(FIND(CODES!$A$11,BQ20))),CODES!$A$13,IF(OR(BQ20&lt;BQ$63,ISNUMBER(BQ20)=FALSE),BQ$64,BQ20))))</f>
      </c>
      <c r="BR72" s="9" t="str">
        <f>IF(ISBLANK(BR20),"NO DATA",IF(ISNUMBER(FIND(CODES!$A$12,BR20)),CODES!$A$12,IF(OR(ISNUMBER(FIND(CODES!$A$10,BR20)),ISNUMBER(FIND(CODES!$A$11,BR20))),CODES!$A$13,IF(OR(BR20&lt;BR$63,ISNUMBER(BR20)=FALSE),BR$64,BR20))))</f>
      </c>
      <c r="BS72" s="9">
        <f>IF(ISBLANK(BS20),"NO DATA",IF(ISNUMBER(FIND(CODES!$A$12,BS20)),CODES!$A$12,IF(OR(ISNUMBER(FIND(CODES!$A$10,BS20)),ISNUMBER(FIND(CODES!$A$11,BS20))),CODES!$A$13,IF(OR(BS20&lt;BS$63,ISNUMBER(BS20)=FALSE),BS$64,BS20))))</f>
      </c>
      <c r="BT72" s="9">
        <f>IF(ISBLANK(BT20),"NO DATA",IF(ISNUMBER(FIND(CODES!$A$12,BT20)),CODES!$A$12,IF(OR(ISNUMBER(FIND(CODES!$A$10,BT20)),ISNUMBER(FIND(CODES!$A$11,BT20))),CODES!$A$13,IF(OR(BT20&lt;BT$63,ISNUMBER(BT20)=FALSE),BT$64,BT20))))</f>
      </c>
      <c r="BU72" s="9" t="str">
        <f>IF(ISBLANK(BU20),"NO DATA",IF(ISNUMBER(FIND(CODES!$A$12,BU20)),CODES!$A$12,IF(OR(ISNUMBER(FIND(CODES!$A$10,BU20)),ISNUMBER(FIND(CODES!$A$11,BU20))),CODES!$A$13,IF(OR(BU20&lt;BU$63,ISNUMBER(BU20)=FALSE),BU$64,BU20))))</f>
      </c>
      <c r="BV72" s="9">
        <f>IF(ISBLANK(BV20),"NO DATA",IF(ISNUMBER(FIND(CODES!$A$12,BV20)),CODES!$A$12,IF(OR(ISNUMBER(FIND(CODES!$A$10,BV20)),ISNUMBER(FIND(CODES!$A$11,BV20))),CODES!$A$13,IF(OR(BV20&lt;BV$63,ISNUMBER(BV20)=FALSE),BV$64,BV20))))</f>
      </c>
      <c r="BW72" s="9" t="str">
        <f>IF(ISBLANK(BW20),"NO DATA",IF(ISNUMBER(FIND(CODES!$A$12,BW20)),CODES!$A$12,IF(OR(ISNUMBER(FIND(CODES!$A$10,BW20)),ISNUMBER(FIND(CODES!$A$11,BW20))),CODES!$A$13,IF(OR(BW20&lt;BW$63,ISNUMBER(BW20)=FALSE),BW$64,BW20))))</f>
      </c>
      <c r="BX72" s="9" t="str">
        <f>IF(ISBLANK(BX20),"NO DATA",IF(ISNUMBER(FIND(CODES!$A$12,BX20)),CODES!$A$12,IF(OR(ISNUMBER(FIND(CODES!$A$10,BX20)),ISNUMBER(FIND(CODES!$A$11,BX20))),CODES!$A$13,IF(OR(BX20&lt;BX$63,ISNUMBER(BX20)=FALSE),BX$64,BX20))))</f>
      </c>
      <c r="BY72" s="9" t="str">
        <f>IF(ISBLANK(BY20),"NO DATA",IF(ISNUMBER(FIND(CODES!$A$12,BY20)),CODES!$A$12,IF(OR(ISNUMBER(FIND(CODES!$A$10,BY20)),ISNUMBER(FIND(CODES!$A$11,BY20))),CODES!$A$13,IF(OR(BY20&lt;BY$63,ISNUMBER(BY20)=FALSE),BY$64,BY20))))</f>
      </c>
      <c r="BZ72" s="9" t="str">
        <f>IF(ISBLANK(BZ20),"NO DATA",IF(ISNUMBER(FIND(CODES!$A$12,BZ20)),CODES!$A$12,IF(OR(ISNUMBER(FIND(CODES!$A$10,BZ20)),ISNUMBER(FIND(CODES!$A$11,BZ20))),CODES!$A$13,IF(OR(BZ20&lt;BZ$63,ISNUMBER(BZ20)=FALSE),BZ$64,BZ20))))</f>
      </c>
      <c r="CA72" s="9" t="str">
        <f>IF(ISBLANK(CA20),"NO DATA",IF(ISNUMBER(FIND(CODES!$A$12,CA20)),CODES!$A$12,IF(OR(ISNUMBER(FIND(CODES!$A$10,CA20)),ISNUMBER(FIND(CODES!$A$11,CA20))),CODES!$A$13,IF(OR(CA20&lt;CA$63,ISNUMBER(CA20)=FALSE),CA$64,CA20))))</f>
      </c>
      <c r="CB72" s="9" t="str">
        <f>IF(ISBLANK(CB20),"NO DATA",IF(ISNUMBER(FIND(CODES!$A$12,CB20)),CODES!$A$12,IF(OR(ISNUMBER(FIND(CODES!$A$10,CB20)),ISNUMBER(FIND(CODES!$A$11,CB20))),CODES!$A$13,IF(OR(CB20&lt;CB$63,ISNUMBER(CB20)=FALSE),CB$64,CB20))))</f>
      </c>
      <c r="CC72" s="9" t="str">
        <f>IF(ISBLANK(CC20),"NO DATA",IF(ISNUMBER(FIND(CODES!$A$12,CC20)),CODES!$A$12,IF(OR(ISNUMBER(FIND(CODES!$A$10,CC20)),ISNUMBER(FIND(CODES!$A$11,CC20))),CODES!$A$13,IF(OR(CC20&lt;CC$63,ISNUMBER(CC20)=FALSE),CC$64,CC20))))</f>
      </c>
      <c r="CD72" s="9" t="str">
        <f>IF(ISBLANK(CD20),"NO DATA",IF(ISNUMBER(FIND(CODES!$A$12,CD20)),CODES!$A$12,IF(OR(ISNUMBER(FIND(CODES!$A$10,CD20)),ISNUMBER(FIND(CODES!$A$11,CD20))),CODES!$A$13,IF(OR(CD20&lt;CD$63,ISNUMBER(CD20)=FALSE),CD$64,CD20))))</f>
      </c>
      <c r="CE72" s="9" t="str">
        <f>IF(ISBLANK(CE20),"NO DATA",IF(ISNUMBER(FIND(CODES!$A$12,CE20)),CODES!$A$12,IF(OR(ISNUMBER(FIND(CODES!$A$10,CE20)),ISNUMBER(FIND(CODES!$A$11,CE20))),CODES!$A$13,IF(OR(CE20&lt;CE$63,ISNUMBER(CE20)=FALSE),CE$64,CE20))))</f>
      </c>
      <c r="CF72" s="9">
        <f>IF(ISBLANK(CF20),"NO DATA",IF(ISNUMBER(FIND(CODES!$A$12,CF20)),CODES!$A$12,IF(OR(ISNUMBER(FIND(CODES!$A$10,CF20)),ISNUMBER(FIND(CODES!$A$11,CF20))),CODES!$A$13,IF(OR(CF20&lt;CF$63,ISNUMBER(CF20)=FALSE),CF$64,CF20))))</f>
      </c>
      <c r="CG72" s="9">
        <f>IF(ISBLANK(CG20),"NO DATA",IF(ISNUMBER(FIND(CODES!$A$12,CG20)),CODES!$A$12,IF(OR(ISNUMBER(FIND(CODES!$A$10,CG20)),ISNUMBER(FIND(CODES!$A$11,CG20))),CODES!$A$13,IF(OR(CG20&lt;CG$63,ISNUMBER(CG20)=FALSE),CG$64,CG20))))</f>
      </c>
      <c r="CH72" s="9">
        <f>IF(ISBLANK(CH20),"NO DATA",IF(ISNUMBER(FIND(CODES!$A$12,CH20)),CODES!$A$12,IF(OR(ISNUMBER(FIND(CODES!$A$10,CH20)),ISNUMBER(FIND(CODES!$A$11,CH20))),CODES!$A$13,IF(OR(CH20&lt;CH$63,ISNUMBER(CH20)=FALSE),CH$64,CH20))))</f>
      </c>
      <c r="CI72" s="9" t="str">
        <f>IF(ISBLANK(CI20),"NO DATA",IF(ISNUMBER(FIND(CODES!$A$12,CI20)),CODES!$A$12,IF(OR(ISNUMBER(FIND(CODES!$A$10,CI20)),ISNUMBER(FIND(CODES!$A$11,CI20))),CODES!$A$13,IF(OR(CI20&lt;CI$63,ISNUMBER(CI20)=FALSE),CI$64,CI20))))</f>
      </c>
      <c r="CJ72" s="9" t="str">
        <f>IF(ISBLANK(CJ20),"NO DATA",IF(ISNUMBER(FIND(CODES!$A$12,CJ20)),CODES!$A$12,IF(OR(ISNUMBER(FIND(CODES!$A$10,CJ20)),ISNUMBER(FIND(CODES!$A$11,CJ20))),CODES!$A$13,IF(OR(CJ20&lt;CJ$63,ISNUMBER(CJ20)=FALSE),CJ$64,CJ20))))</f>
      </c>
      <c r="CK72" s="9" t="str">
        <f>IF(ISBLANK(CK20),"NO DATA",IF(ISNUMBER(FIND(CODES!$A$12,CK20)),CODES!$A$12,IF(OR(ISNUMBER(FIND(CODES!$A$10,CK20)),ISNUMBER(FIND(CODES!$A$11,CK20))),CODES!$A$13,IF(OR(CK20&lt;CK$63,ISNUMBER(CK20)=FALSE),CK$64,CK20))))</f>
      </c>
      <c r="CL72" s="9" t="str">
        <f>IF(ISBLANK(CL20),"NO DATA",IF(ISNUMBER(FIND(CODES!$A$12,CL20)),CODES!$A$12,IF(OR(ISNUMBER(FIND(CODES!$A$10,CL20)),ISNUMBER(FIND(CODES!$A$11,CL20))),CODES!$A$13,IF(OR(CL20&lt;CL$63,ISNUMBER(CL20)=FALSE),CL$64,CL20))))</f>
      </c>
      <c r="CM72" s="9" t="str">
        <f>IF(ISBLANK(CM20),"NO DATA",IF(ISNUMBER(FIND(CODES!$A$12,CM20)),CODES!$A$12,IF(OR(ISNUMBER(FIND(CODES!$A$10,CM20)),ISNUMBER(FIND(CODES!$A$11,CM20))),CODES!$A$13,IF(OR(CM20&lt;CM$63,ISNUMBER(CM20)=FALSE),CM$64,CM20))))</f>
      </c>
      <c r="CN72" s="9" t="str">
        <f>IF(ISBLANK(CN20),"NO DATA",IF(ISNUMBER(FIND(CODES!$A$12,CN20)),CODES!$A$12,IF(OR(ISNUMBER(FIND(CODES!$A$10,CN20)),ISNUMBER(FIND(CODES!$A$11,CN20))),CODES!$A$13,IF(OR(CN20&lt;CN$63,ISNUMBER(CN20)=FALSE),CN$64,CN20))))</f>
      </c>
      <c r="CO72" s="9" t="str">
        <f>IF(ISBLANK(CO20),"NO DATA",IF(ISNUMBER(FIND(CODES!$A$12,CO20)),CODES!$A$12,IF(OR(ISNUMBER(FIND(CODES!$A$10,CO20)),ISNUMBER(FIND(CODES!$A$11,CO20))),CODES!$A$13,IF(OR(CO20&lt;CO$63,ISNUMBER(CO20)=FALSE),CO$64,CO20))))</f>
      </c>
      <c r="CP72" s="9" t="str">
        <f>IF(ISBLANK(CP20),"NO DATA",IF(ISNUMBER(FIND(CODES!$A$12,CP20)),CODES!$A$12,IF(OR(ISNUMBER(FIND(CODES!$A$10,CP20)),ISNUMBER(FIND(CODES!$A$11,CP20))),CODES!$A$13,IF(OR(CP20&lt;CP$63,ISNUMBER(CP20)=FALSE),CP$64,CP20))))</f>
      </c>
      <c r="CQ72" s="9" t="str">
        <f>IF(ISBLANK(CQ20),"NO DATA",IF(ISNUMBER(FIND(CODES!$A$12,CQ20)),CODES!$A$12,IF(OR(ISNUMBER(FIND(CODES!$A$10,CQ20)),ISNUMBER(FIND(CODES!$A$11,CQ20))),CODES!$A$13,IF(OR(CQ20&lt;CQ$63,ISNUMBER(CQ20)=FALSE),CQ$64,CQ20))))</f>
      </c>
      <c r="CR72" s="9" t="str">
        <f>IF(ISBLANK(CR20),"NO DATA",IF(ISNUMBER(FIND(CODES!$A$12,CR20)),CODES!$A$12,IF(OR(ISNUMBER(FIND(CODES!$A$10,CR20)),ISNUMBER(FIND(CODES!$A$11,CR20))),CODES!$A$13,IF(OR(CR20&lt;CR$63,ISNUMBER(CR20)=FALSE),CR$64,CR20))))</f>
      </c>
      <c r="CS72" s="9" t="str">
        <f>IF(ISBLANK(CS20),"NO DATA",IF(ISNUMBER(FIND(CODES!$A$12,CS20)),CODES!$A$12,IF(OR(ISNUMBER(FIND(CODES!$A$10,CS20)),ISNUMBER(FIND(CODES!$A$11,CS20))),CODES!$A$13,IF(OR(CS20&lt;CS$63,ISNUMBER(CS20)=FALSE),CS$64,CS20))))</f>
      </c>
      <c r="CT72" s="9" t="str">
        <f>IF(ISBLANK(CT20),"NO DATA",IF(ISNUMBER(FIND(CODES!$A$12,CT20)),CODES!$A$12,IF(OR(ISNUMBER(FIND(CODES!$A$10,CT20)),ISNUMBER(FIND(CODES!$A$11,CT20))),CODES!$A$13,IF(OR(CT20&lt;CT$63,ISNUMBER(CT20)=FALSE),CT$64,CT20))))</f>
      </c>
      <c r="CU72" s="9" t="str">
        <f>IF(ISBLANK(CU20),"NO DATA",IF(ISNUMBER(FIND(CODES!$A$12,CU20)),CODES!$A$12,IF(OR(ISNUMBER(FIND(CODES!$A$10,CU20)),ISNUMBER(FIND(CODES!$A$11,CU20))),CODES!$A$13,IF(OR(CU20&lt;CU$63,ISNUMBER(CU20)=FALSE),CU$64,CU20))))</f>
      </c>
      <c r="CV72" s="9">
        <f>IF(ISBLANK(CV20),"NO DATA",IF(ISNUMBER(FIND(CODES!$A$12,CV20)),CODES!$A$12,IF(OR(ISNUMBER(FIND(CODES!$A$10,CV20)),ISNUMBER(FIND(CODES!$A$11,CV20))),CODES!$A$13,IF(OR(CV20&lt;CV$63,ISNUMBER(CV20)=FALSE),CV$64,CV20))))</f>
      </c>
      <c r="CW72" s="9" t="str">
        <f>IF(ISBLANK(CW20),"NO DATA",IF(ISNUMBER(FIND(CODES!$A$12,CW20)),CODES!$A$12,IF(OR(ISNUMBER(FIND(CODES!$A$10,CW20)),ISNUMBER(FIND(CODES!$A$11,CW20))),CODES!$A$13,IF(OR(CW20&lt;CW$63,ISNUMBER(CW20)=FALSE),CW$64,CW20))))</f>
      </c>
      <c r="CX72" s="9" t="str">
        <f>IF(ISBLANK(CX20),"NO DATA",IF(ISNUMBER(FIND(CODES!$A$12,CX20)),CODES!$A$12,IF(OR(ISNUMBER(FIND(CODES!$A$10,CX20)),ISNUMBER(FIND(CODES!$A$11,CX20))),CODES!$A$13,IF(OR(CX20&lt;CX$63,ISNUMBER(CX20)=FALSE),CX$64,CX20))))</f>
      </c>
      <c r="CY72" s="9">
        <f>IF(ISBLANK(CY20),"NO DATA",IF(ISNUMBER(FIND(CODES!$A$12,CY20)),CODES!$A$12,IF(OR(ISNUMBER(FIND(CODES!$A$10,CY20)),ISNUMBER(FIND(CODES!$A$11,CY20))),CODES!$A$13,IF(OR(CY20&lt;CY$63,ISNUMBER(CY20)=FALSE),CY$64,CY20))))</f>
      </c>
      <c r="CZ72" s="9" t="str">
        <f>IF(ISBLANK(CZ20),"NO DATA",IF(ISNUMBER(FIND(CODES!$A$12,CZ20)),CODES!$A$12,IF(OR(ISNUMBER(FIND(CODES!$A$10,CZ20)),ISNUMBER(FIND(CODES!$A$11,CZ20))),CODES!$A$13,IF(OR(CZ20&lt;CZ$63,ISNUMBER(CZ20)=FALSE),CZ$64,CZ20))))</f>
      </c>
      <c r="DA72" s="9" t="str">
        <f>IF(ISBLANK(DA20),"NO DATA",IF(ISNUMBER(FIND(CODES!$A$12,DA20)),CODES!$A$12,IF(OR(ISNUMBER(FIND(CODES!$A$10,DA20)),ISNUMBER(FIND(CODES!$A$11,DA20))),CODES!$A$13,IF(OR(DA20&lt;DA$63,ISNUMBER(DA20)=FALSE),DA$64,DA20))))</f>
      </c>
      <c r="DB72" s="9" t="str">
        <f>IF(ISBLANK(DB20),"NO DATA",IF(ISNUMBER(FIND(CODES!$A$12,DB20)),CODES!$A$12,IF(OR(ISNUMBER(FIND(CODES!$A$10,DB20)),ISNUMBER(FIND(CODES!$A$11,DB20))),CODES!$A$13,IF(OR(DB20&lt;DB$63,ISNUMBER(DB20)=FALSE),DB$64,DB20))))</f>
      </c>
      <c r="DC72" s="9" t="str">
        <f>IF(ISBLANK(DC20),"NO DATA",IF(ISNUMBER(FIND(CODES!$A$12,DC20)),CODES!$A$12,IF(OR(ISNUMBER(FIND(CODES!$A$10,DC20)),ISNUMBER(FIND(CODES!$A$11,DC20))),CODES!$A$13,IF(OR(DC20&lt;DC$63,ISNUMBER(DC20)=FALSE),DC$64,DC20))))</f>
      </c>
      <c r="DD72" s="9" t="str">
        <f>IF(ISBLANK(DD20),"NO DATA",IF(ISNUMBER(FIND(CODES!$A$12,DD20)),CODES!$A$12,IF(OR(ISNUMBER(FIND(CODES!$A$10,DD20)),ISNUMBER(FIND(CODES!$A$11,DD20))),CODES!$A$13,IF(OR(DD20&lt;DD$63,ISNUMBER(DD20)=FALSE),DD$64,DD20))))</f>
      </c>
      <c r="DE72" s="9" t="str">
        <f>IF(ISBLANK(DE20),"NO DATA",IF(ISNUMBER(FIND(CODES!$A$12,DE20)),CODES!$A$12,IF(OR(ISNUMBER(FIND(CODES!$A$10,DE20)),ISNUMBER(FIND(CODES!$A$11,DE20))),CODES!$A$13,IF(OR(DE20&lt;DE$63,ISNUMBER(DE20)=FALSE),DE$64,DE20))))</f>
      </c>
      <c r="DF72" s="9">
        <f>IF(ISBLANK(DF20),"NO DATA",IF(ISNUMBER(FIND(CODES!$A$12,DF20)),CODES!$A$12,IF(OR(ISNUMBER(FIND(CODES!$A$10,DF20)),ISNUMBER(FIND(CODES!$A$11,DF20))),CODES!$A$13,IF(OR(DF20&lt;DF$63,ISNUMBER(DF20)=FALSE),DF$64,DF20))))</f>
      </c>
      <c r="DG72" s="9">
        <f>IF(ISBLANK(DG20),"NO DATA",IF(ISNUMBER(FIND(CODES!$A$12,DG20)),CODES!$A$12,IF(OR(ISNUMBER(FIND(CODES!$A$10,DG20)),ISNUMBER(FIND(CODES!$A$11,DG20))),CODES!$A$13,IF(OR(DG20&lt;DG$63,ISNUMBER(DG20)=FALSE),DG$64,DG20))))</f>
      </c>
      <c r="DH72" s="9" t="str">
        <f>IF(ISBLANK(DH20),"NO DATA",IF(ISNUMBER(FIND(CODES!$A$12,DH20)),CODES!$A$12,IF(OR(ISNUMBER(FIND(CODES!$A$10,DH20)),ISNUMBER(FIND(CODES!$A$11,DH20))),CODES!$A$13,IF(OR(DH20&lt;DH$63,ISNUMBER(DH20)=FALSE),DH$64,DH20))))</f>
      </c>
      <c r="DI72" s="9" t="str">
        <f>IF(ISBLANK(DI20),"NO DATA",IF(ISNUMBER(FIND(CODES!$A$12,DI20)),CODES!$A$12,IF(OR(ISNUMBER(FIND(CODES!$A$10,DI20)),ISNUMBER(FIND(CODES!$A$11,DI20))),CODES!$A$13,IF(OR(DI20&lt;DI$63,ISNUMBER(DI20)=FALSE),DI$64,DI20))))</f>
      </c>
    </row>
    <row r="73" spans="1:113" x14ac:dyDescent="0.25">
      <c r="A73" s="20" t="str">
        <f t="shared" si="4"/>
      </c>
      <c r="B73" s="20" t="str">
        <f t="shared" si="4"/>
      </c>
      <c r="C73" s="9" t="str">
        <f>IF(ISBLANK(C21),"NO DATA",IF(ISNUMBER(FIND(CODES!$A$12,C21)),CODES!$A$12,IF(OR(ISNUMBER(FIND(CODES!$A$10,C21)),ISNUMBER(FIND(CODES!$A$11,C21))),CODES!$A$13,IF(OR(C21&lt;C$63,ISNUMBER(C21)=FALSE),C$64,C21))))</f>
      </c>
      <c r="D73" s="9" t="str">
        <f>IF(ISBLANK(D21),"NO DATA",IF(ISNUMBER(FIND(CODES!$A$12,D21)),CODES!$A$12,IF(OR(ISNUMBER(FIND(CODES!$A$10,D21)),ISNUMBER(FIND(CODES!$A$11,D21))),CODES!$A$13,IF(OR(D21&lt;D$63,ISNUMBER(D21)=FALSE),D$64,D21))))</f>
      </c>
      <c r="E73" s="9" t="str">
        <f>IF(ISBLANK(E21),"NO DATA",IF(ISNUMBER(FIND(CODES!$A$12,E21)),CODES!$A$12,IF(OR(ISNUMBER(FIND(CODES!$A$10,E21)),ISNUMBER(FIND(CODES!$A$11,E21))),CODES!$A$13,IF(OR(E21&lt;E$63,ISNUMBER(E21)=FALSE),E$64,E21))))</f>
      </c>
      <c r="F73" s="9" t="str">
        <f>IF(ISBLANK(F21),"NO DATA",IF(ISNUMBER(FIND(CODES!$A$12,F21)),CODES!$A$12,IF(OR(ISNUMBER(FIND(CODES!$A$10,F21)),ISNUMBER(FIND(CODES!$A$11,F21))),CODES!$A$13,IF(OR(F21&lt;F$63,ISNUMBER(F21)=FALSE),F$64,F21))))</f>
      </c>
      <c r="G73" s="9" t="str">
        <f>IF(ISBLANK(G21),"NO DATA",IF(ISNUMBER(FIND(CODES!$A$12,G21)),CODES!$A$12,IF(OR(ISNUMBER(FIND(CODES!$A$10,G21)),ISNUMBER(FIND(CODES!$A$11,G21))),CODES!$A$13,IF(OR(G21&lt;G$63,ISNUMBER(G21)=FALSE),G$64,G21))))</f>
      </c>
      <c r="H73" s="9">
        <f>IF(ISBLANK(H21),"NO DATA",IF(ISNUMBER(FIND(CODES!$A$12,H21)),CODES!$A$12,IF(OR(ISNUMBER(FIND(CODES!$A$10,H21)),ISNUMBER(FIND(CODES!$A$11,H21))),CODES!$A$13,IF(OR(H21&lt;H$63,ISNUMBER(H21)=FALSE),H$64,H21))))</f>
      </c>
      <c r="I73" s="9">
        <f>IF(ISBLANK(I21),"NO DATA",IF(ISNUMBER(FIND(CODES!$A$12,I21)),CODES!$A$12,IF(OR(ISNUMBER(FIND(CODES!$A$10,I21)),ISNUMBER(FIND(CODES!$A$11,I21))),CODES!$A$13,IF(OR(I21&lt;I$63,ISNUMBER(I21)=FALSE),I$64,I21))))</f>
      </c>
      <c r="J73" s="9">
        <f>IF(ISBLANK(J21),"NO DATA",IF(ISNUMBER(FIND(CODES!$A$12,J21)),CODES!$A$12,IF(OR(ISNUMBER(FIND(CODES!$A$10,J21)),ISNUMBER(FIND(CODES!$A$11,J21))),CODES!$A$13,IF(OR(J21&lt;J$63,ISNUMBER(J21)=FALSE),J$64,J21))))</f>
      </c>
      <c r="K73" s="9">
        <f>IF(ISBLANK(K21),"NO DATA",IF(ISNUMBER(FIND(CODES!$A$12,K21)),CODES!$A$12,IF(OR(ISNUMBER(FIND(CODES!$A$10,K21)),ISNUMBER(FIND(CODES!$A$11,K21))),CODES!$A$13,IF(OR(K21&lt;K$63,ISNUMBER(K21)=FALSE),K$64,K21))))</f>
      </c>
      <c r="L73" s="9" t="str">
        <f>IF(ISBLANK(L21),"NO DATA",IF(ISNUMBER(FIND(CODES!$A$12,L21)),CODES!$A$12,IF(OR(ISNUMBER(FIND(CODES!$A$10,L21)),ISNUMBER(FIND(CODES!$A$11,L21))),CODES!$A$13,IF(OR(L21&lt;L$63,ISNUMBER(L21)=FALSE),L$64,L21))))</f>
      </c>
      <c r="M73" s="9" t="str">
        <f>IF(ISBLANK(M21),"NO DATA",IF(ISNUMBER(FIND(CODES!$A$12,M21)),CODES!$A$12,IF(OR(ISNUMBER(FIND(CODES!$A$10,M21)),ISNUMBER(FIND(CODES!$A$11,M21))),CODES!$A$13,IF(OR(M21&lt;M$63,ISNUMBER(M21)=FALSE),M$64,M21))))</f>
      </c>
      <c r="N73" s="9" t="str">
        <f>IF(ISBLANK(N21),"NO DATA",IF(ISNUMBER(FIND(CODES!$A$12,N21)),CODES!$A$12,IF(OR(ISNUMBER(FIND(CODES!$A$10,N21)),ISNUMBER(FIND(CODES!$A$11,N21))),CODES!$A$13,IF(OR(N21&lt;N$63,ISNUMBER(N21)=FALSE),N$64,N21))))</f>
      </c>
      <c r="O73" s="9" t="str">
        <f>IF(ISBLANK(O21),"NO DATA",IF(ISNUMBER(FIND(CODES!$A$12,O21)),CODES!$A$12,IF(OR(ISNUMBER(FIND(CODES!$A$10,O21)),ISNUMBER(FIND(CODES!$A$11,O21))),CODES!$A$13,IF(OR(O21&lt;O$63,ISNUMBER(O21)=FALSE),O$64,O21))))</f>
      </c>
      <c r="P73" s="9">
        <f>IF(ISBLANK(P21),"NO DATA",IF(ISNUMBER(FIND(CODES!$A$12,P21)),CODES!$A$12,IF(OR(ISNUMBER(FIND(CODES!$A$10,P21)),ISNUMBER(FIND(CODES!$A$11,P21))),CODES!$A$13,IF(OR(P21&lt;P$63,ISNUMBER(P21)=FALSE),P$64,P21))))</f>
      </c>
      <c r="Q73" s="9">
        <f>IF(ISBLANK(Q21),"NO DATA",IF(ISNUMBER(FIND(CODES!$A$12,Q21)),CODES!$A$12,IF(OR(ISNUMBER(FIND(CODES!$A$10,Q21)),ISNUMBER(FIND(CODES!$A$11,Q21))),CODES!$A$13,IF(OR(Q21&lt;Q$63,ISNUMBER(Q21)=FALSE),Q$64,Q21))))</f>
      </c>
      <c r="R73" s="9" t="str">
        <f>IF(ISBLANK(R21),"NO DATA",IF(ISNUMBER(FIND(CODES!$A$12,R21)),CODES!$A$12,IF(OR(ISNUMBER(FIND(CODES!$A$10,R21)),ISNUMBER(FIND(CODES!$A$11,R21))),CODES!$A$13,IF(OR(R21&lt;R$63,ISNUMBER(R21)=FALSE),R$64,R21))))</f>
      </c>
      <c r="S73" s="9" t="str">
        <f>IF(ISBLANK(S21),"NO DATA",IF(ISNUMBER(FIND(CODES!$A$12,S21)),CODES!$A$12,IF(OR(ISNUMBER(FIND(CODES!$A$10,S21)),ISNUMBER(FIND(CODES!$A$11,S21))),CODES!$A$13,IF(OR(S21&lt;S$63,ISNUMBER(S21)=FALSE),S$64,S21))))</f>
      </c>
      <c r="T73" s="9" t="str">
        <f>IF(ISBLANK(T21),"NO DATA",IF(ISNUMBER(FIND(CODES!$A$12,T21)),CODES!$A$12,IF(OR(ISNUMBER(FIND(CODES!$A$10,T21)),ISNUMBER(FIND(CODES!$A$11,T21))),CODES!$A$13,IF(OR(T21&lt;T$63,ISNUMBER(T21)=FALSE),T$64,T21))))</f>
      </c>
      <c r="U73" s="9" t="str">
        <f>IF(ISBLANK(U21),"NO DATA",IF(ISNUMBER(FIND(CODES!$A$12,U21)),CODES!$A$12,IF(OR(ISNUMBER(FIND(CODES!$A$10,U21)),ISNUMBER(FIND(CODES!$A$11,U21))),CODES!$A$13,IF(OR(U21&lt;U$63,ISNUMBER(U21)=FALSE),U$64,U21))))</f>
      </c>
      <c r="V73" s="9" t="str">
        <f>IF(ISBLANK(V21),"NO DATA",IF(ISNUMBER(FIND(CODES!$A$12,V21)),CODES!$A$12,IF(OR(ISNUMBER(FIND(CODES!$A$10,V21)),ISNUMBER(FIND(CODES!$A$11,V21))),CODES!$A$13,IF(OR(V21&lt;V$63,ISNUMBER(V21)=FALSE),V$64,V21))))</f>
      </c>
      <c r="W73" s="9" t="str">
        <f>IF(ISBLANK(W21),"NO DATA",IF(ISNUMBER(FIND(CODES!$A$12,W21)),CODES!$A$12,IF(OR(ISNUMBER(FIND(CODES!$A$10,W21)),ISNUMBER(FIND(CODES!$A$11,W21))),CODES!$A$13,IF(OR(W21&lt;W$63,ISNUMBER(W21)=FALSE),W$64,W21))))</f>
      </c>
      <c r="X73" s="9" t="str">
        <f>IF(ISBLANK(X21),"NO DATA",IF(ISNUMBER(FIND(CODES!$A$12,X21)),CODES!$A$12,IF(OR(ISNUMBER(FIND(CODES!$A$10,X21)),ISNUMBER(FIND(CODES!$A$11,X21))),CODES!$A$13,IF(OR(X21&lt;X$63,ISNUMBER(X21)=FALSE),X$64,X21))))</f>
      </c>
      <c r="Y73" s="9" t="str">
        <f>IF(ISBLANK(Y21),"NO DATA",IF(ISNUMBER(FIND(CODES!$A$12,Y21)),CODES!$A$12,IF(OR(ISNUMBER(FIND(CODES!$A$10,Y21)),ISNUMBER(FIND(CODES!$A$11,Y21))),CODES!$A$13,IF(OR(Y21&lt;Y$63,ISNUMBER(Y21)=FALSE),Y$64,Y21))))</f>
      </c>
      <c r="Z73" s="9">
        <f>IF(ISBLANK(Z21),"NO DATA",IF(ISNUMBER(FIND(CODES!$A$12,Z21)),CODES!$A$12,IF(OR(ISNUMBER(FIND(CODES!$A$10,Z21)),ISNUMBER(FIND(CODES!$A$11,Z21))),CODES!$A$13,IF(OR(Z21&lt;Z$63,ISNUMBER(Z21)=FALSE),Z$64,Z21))))</f>
      </c>
      <c r="AA73" s="9" t="str">
        <f>IF(ISBLANK(AA21),"NO DATA",IF(ISNUMBER(FIND(CODES!$A$12,AA21)),CODES!$A$12,IF(OR(ISNUMBER(FIND(CODES!$A$10,AA21)),ISNUMBER(FIND(CODES!$A$11,AA21))),CODES!$A$13,IF(OR(AA21&lt;AA$63,ISNUMBER(AA21)=FALSE),AA$64,AA21))))</f>
      </c>
      <c r="AB73" s="9" t="str">
        <f>IF(ISBLANK(AB21),"NO DATA",IF(ISNUMBER(FIND(CODES!$A$12,AB21)),CODES!$A$12,IF(OR(ISNUMBER(FIND(CODES!$A$10,AB21)),ISNUMBER(FIND(CODES!$A$11,AB21))),CODES!$A$13,IF(OR(AB21&lt;AB$63,ISNUMBER(AB21)=FALSE),AB$64,AB21))))</f>
      </c>
      <c r="AC73" s="9" t="str">
        <f>IF(ISBLANK(AC21),"NO DATA",IF(ISNUMBER(FIND(CODES!$A$12,AC21)),CODES!$A$12,IF(OR(ISNUMBER(FIND(CODES!$A$10,AC21)),ISNUMBER(FIND(CODES!$A$11,AC21))),CODES!$A$13,IF(OR(AC21&lt;AC$63,ISNUMBER(AC21)=FALSE),AC$64,AC21))))</f>
      </c>
      <c r="AD73" s="9" t="str">
        <f>IF(ISBLANK(AD21),"NO DATA",IF(ISNUMBER(FIND(CODES!$A$12,AD21)),CODES!$A$12,IF(OR(ISNUMBER(FIND(CODES!$A$10,AD21)),ISNUMBER(FIND(CODES!$A$11,AD21))),CODES!$A$13,IF(OR(AD21&lt;AD$63,ISNUMBER(AD21)=FALSE),AD$64,AD21))))</f>
      </c>
      <c r="AE73" s="9" t="str">
        <f>IF(ISBLANK(AE21),"NO DATA",IF(ISNUMBER(FIND(CODES!$A$12,AE21)),CODES!$A$12,IF(OR(ISNUMBER(FIND(CODES!$A$10,AE21)),ISNUMBER(FIND(CODES!$A$11,AE21))),CODES!$A$13,IF(OR(AE21&lt;AE$63,ISNUMBER(AE21)=FALSE),AE$64,AE21))))</f>
      </c>
      <c r="AF73" s="9" t="str">
        <f>IF(ISBLANK(AF21),"NO DATA",IF(ISNUMBER(FIND(CODES!$A$12,AF21)),CODES!$A$12,IF(OR(ISNUMBER(FIND(CODES!$A$10,AF21)),ISNUMBER(FIND(CODES!$A$11,AF21))),CODES!$A$13,IF(OR(AF21&lt;AF$63,ISNUMBER(AF21)=FALSE),AF$64,AF21))))</f>
      </c>
      <c r="AG73" s="9">
        <f>IF(ISBLANK(AG21),"NO DATA",IF(ISNUMBER(FIND(CODES!$A$12,AG21)),CODES!$A$12,IF(OR(ISNUMBER(FIND(CODES!$A$10,AG21)),ISNUMBER(FIND(CODES!$A$11,AG21))),CODES!$A$13,IF(OR(AG21&lt;AG$63,ISNUMBER(AG21)=FALSE),AG$64,AG21))))</f>
      </c>
      <c r="AH73" s="9">
        <f>IF(ISBLANK(AH21),"NO DATA",IF(ISNUMBER(FIND(CODES!$A$12,AH21)),CODES!$A$12,IF(OR(ISNUMBER(FIND(CODES!$A$10,AH21)),ISNUMBER(FIND(CODES!$A$11,AH21))),CODES!$A$13,IF(OR(AH21&lt;AH$63,ISNUMBER(AH21)=FALSE),AH$64,AH21))))</f>
      </c>
      <c r="AI73" s="9" t="str">
        <f>IF(ISBLANK(AI21),"NO DATA",IF(ISNUMBER(FIND(CODES!$A$12,AI21)),CODES!$A$12,IF(OR(ISNUMBER(FIND(CODES!$A$10,AI21)),ISNUMBER(FIND(CODES!$A$11,AI21))),CODES!$A$13,IF(OR(AI21&lt;AI$63,ISNUMBER(AI21)=FALSE),AI$64,AI21))))</f>
      </c>
      <c r="AJ73" s="9" t="str">
        <f>IF(ISBLANK(AJ21),"NO DATA",IF(ISNUMBER(FIND(CODES!$A$12,AJ21)),CODES!$A$12,IF(OR(ISNUMBER(FIND(CODES!$A$10,AJ21)),ISNUMBER(FIND(CODES!$A$11,AJ21))),CODES!$A$13,IF(OR(AJ21&lt;AJ$63,ISNUMBER(AJ21)=FALSE),AJ$64,AJ21))))</f>
      </c>
      <c r="AK73" s="9">
        <f>IF(ISBLANK(AK21),"NO DATA",IF(ISNUMBER(FIND(CODES!$A$12,AK21)),CODES!$A$12,IF(OR(ISNUMBER(FIND(CODES!$A$10,AK21)),ISNUMBER(FIND(CODES!$A$11,AK21))),CODES!$A$13,IF(OR(AK21&lt;AK$63,ISNUMBER(AK21)=FALSE),AK$64,AK21))))</f>
      </c>
      <c r="AL73" s="9" t="str">
        <f>IF(ISBLANK(AL21),"NO DATA",IF(ISNUMBER(FIND(CODES!$A$12,AL21)),CODES!$A$12,IF(OR(ISNUMBER(FIND(CODES!$A$10,AL21)),ISNUMBER(FIND(CODES!$A$11,AL21))),CODES!$A$13,IF(OR(AL21&lt;AL$63,ISNUMBER(AL21)=FALSE),AL$64,AL21))))</f>
      </c>
      <c r="AM73" s="9" t="str">
        <f>IF(ISBLANK(AM21),"NO DATA",IF(ISNUMBER(FIND(CODES!$A$12,AM21)),CODES!$A$12,IF(OR(ISNUMBER(FIND(CODES!$A$10,AM21)),ISNUMBER(FIND(CODES!$A$11,AM21))),CODES!$A$13,IF(OR(AM21&lt;AM$63,ISNUMBER(AM21)=FALSE),AM$64,AM21))))</f>
      </c>
      <c r="AN73" s="9" t="str">
        <f>IF(ISBLANK(AN21),"NO DATA",IF(ISNUMBER(FIND(CODES!$A$12,AN21)),CODES!$A$12,IF(OR(ISNUMBER(FIND(CODES!$A$10,AN21)),ISNUMBER(FIND(CODES!$A$11,AN21))),CODES!$A$13,IF(OR(AN21&lt;AN$63,ISNUMBER(AN21)=FALSE),AN$64,AN21))))</f>
      </c>
      <c r="AO73" s="9" t="str">
        <f>IF(ISBLANK(AO21),"NO DATA",IF(ISNUMBER(FIND(CODES!$A$12,AO21)),CODES!$A$12,IF(OR(ISNUMBER(FIND(CODES!$A$10,AO21)),ISNUMBER(FIND(CODES!$A$11,AO21))),CODES!$A$13,IF(OR(AO21&lt;AO$63,ISNUMBER(AO21)=FALSE),AO$64,AO21))))</f>
      </c>
      <c r="AP73" s="9" t="str">
        <f>IF(ISBLANK(AP21),"NO DATA",IF(ISNUMBER(FIND(CODES!$A$12,AP21)),CODES!$A$12,IF(OR(ISNUMBER(FIND(CODES!$A$10,AP21)),ISNUMBER(FIND(CODES!$A$11,AP21))),CODES!$A$13,IF(OR(AP21&lt;AP$63,ISNUMBER(AP21)=FALSE),AP$64,AP21))))</f>
      </c>
      <c r="AQ73" s="9" t="str">
        <f>IF(ISBLANK(AQ21),"NO DATA",IF(ISNUMBER(FIND(CODES!$A$12,AQ21)),CODES!$A$12,IF(OR(ISNUMBER(FIND(CODES!$A$10,AQ21)),ISNUMBER(FIND(CODES!$A$11,AQ21))),CODES!$A$13,IF(OR(AQ21&lt;AQ$63,ISNUMBER(AQ21)=FALSE),AQ$64,AQ21))))</f>
      </c>
      <c r="AR73" s="9" t="str">
        <f>IF(ISBLANK(AR21),"NO DATA",IF(ISNUMBER(FIND(CODES!$A$12,AR21)),CODES!$A$12,IF(OR(ISNUMBER(FIND(CODES!$A$10,AR21)),ISNUMBER(FIND(CODES!$A$11,AR21))),CODES!$A$13,IF(OR(AR21&lt;AR$63,ISNUMBER(AR21)=FALSE),AR$64,AR21))))</f>
      </c>
      <c r="AS73" s="9">
        <f>IF(ISBLANK(AS21),"NO DATA",IF(ISNUMBER(FIND(CODES!$A$12,AS21)),CODES!$A$12,IF(OR(ISNUMBER(FIND(CODES!$A$10,AS21)),ISNUMBER(FIND(CODES!$A$11,AS21))),CODES!$A$13,IF(OR(AS21&lt;AS$63,ISNUMBER(AS21)=FALSE),AS$64,AS21))))</f>
      </c>
      <c r="AT73" s="9">
        <f>IF(ISBLANK(AT21),"NO DATA",IF(ISNUMBER(FIND(CODES!$A$12,AT21)),CODES!$A$12,IF(OR(ISNUMBER(FIND(CODES!$A$10,AT21)),ISNUMBER(FIND(CODES!$A$11,AT21))),CODES!$A$13,IF(OR(AT21&lt;AT$63,ISNUMBER(AT21)=FALSE),AT$64,AT21))))</f>
      </c>
      <c r="AU73" s="9" t="str">
        <f>IF(ISBLANK(AU21),"NO DATA",IF(ISNUMBER(FIND(CODES!$A$12,AU21)),CODES!$A$12,IF(OR(ISNUMBER(FIND(CODES!$A$10,AU21)),ISNUMBER(FIND(CODES!$A$11,AU21))),CODES!$A$13,IF(OR(AU21&lt;AU$63,ISNUMBER(AU21)=FALSE),AU$64,AU21))))</f>
      </c>
      <c r="AV73" s="9" t="str">
        <f>IF(ISBLANK(AV21),"NO DATA",IF(ISNUMBER(FIND(CODES!$A$12,AV21)),CODES!$A$12,IF(OR(ISNUMBER(FIND(CODES!$A$10,AV21)),ISNUMBER(FIND(CODES!$A$11,AV21))),CODES!$A$13,IF(OR(AV21&lt;AV$63,ISNUMBER(AV21)=FALSE),AV$64,AV21))))</f>
      </c>
      <c r="AW73" s="9" t="str">
        <f>IF(ISBLANK(AW21),"NO DATA",IF(ISNUMBER(FIND(CODES!$A$12,AW21)),CODES!$A$12,IF(OR(ISNUMBER(FIND(CODES!$A$10,AW21)),ISNUMBER(FIND(CODES!$A$11,AW21))),CODES!$A$13,IF(OR(AW21&lt;AW$63,ISNUMBER(AW21)=FALSE),AW$64,AW21))))</f>
      </c>
      <c r="AX73" s="9" t="str">
        <f>IF(ISBLANK(AX21),"NO DATA",IF(ISNUMBER(FIND(CODES!$A$12,AX21)),CODES!$A$12,IF(OR(ISNUMBER(FIND(CODES!$A$10,AX21)),ISNUMBER(FIND(CODES!$A$11,AX21))),CODES!$A$13,IF(OR(AX21&lt;AX$63,ISNUMBER(AX21)=FALSE),AX$64,AX21))))</f>
      </c>
      <c r="AY73" s="9" t="str">
        <f>IF(ISBLANK(AY21),"NO DATA",IF(ISNUMBER(FIND(CODES!$A$12,AY21)),CODES!$A$12,IF(OR(ISNUMBER(FIND(CODES!$A$10,AY21)),ISNUMBER(FIND(CODES!$A$11,AY21))),CODES!$A$13,IF(OR(AY21&lt;AY$63,ISNUMBER(AY21)=FALSE),AY$64,AY21))))</f>
      </c>
      <c r="AZ73" s="9">
        <f>IF(ISBLANK(AZ21),"NO DATA",IF(ISNUMBER(FIND(CODES!$A$12,AZ21)),CODES!$A$12,IF(OR(ISNUMBER(FIND(CODES!$A$10,AZ21)),ISNUMBER(FIND(CODES!$A$11,AZ21))),CODES!$A$13,IF(OR(AZ21&lt;AZ$63,ISNUMBER(AZ21)=FALSE),AZ$64,AZ21))))</f>
      </c>
      <c r="BA73" s="9">
        <f>IF(ISBLANK(BA21),"NO DATA",IF(ISNUMBER(FIND(CODES!$A$12,BA21)),CODES!$A$12,IF(OR(ISNUMBER(FIND(CODES!$A$10,BA21)),ISNUMBER(FIND(CODES!$A$11,BA21))),CODES!$A$13,IF(OR(BA21&lt;BA$63,ISNUMBER(BA21)=FALSE),BA$64,BA21))))</f>
      </c>
      <c r="BB73" s="9">
        <f>IF(ISBLANK(BB21),"NO DATA",IF(ISNUMBER(FIND(CODES!$A$12,BB21)),CODES!$A$12,IF(OR(ISNUMBER(FIND(CODES!$A$10,BB21)),ISNUMBER(FIND(CODES!$A$11,BB21))),CODES!$A$13,IF(OR(BB21&lt;BB$63,ISNUMBER(BB21)=FALSE),BB$64,BB21))))</f>
      </c>
      <c r="BC73" s="9">
        <f>IF(ISBLANK(BC21),"NO DATA",IF(ISNUMBER(FIND(CODES!$A$12,BC21)),CODES!$A$12,IF(OR(ISNUMBER(FIND(CODES!$A$10,BC21)),ISNUMBER(FIND(CODES!$A$11,BC21))),CODES!$A$13,IF(OR(BC21&lt;BC$63,ISNUMBER(BC21)=FALSE),BC$64,BC21))))</f>
      </c>
      <c r="BD73" s="9" t="str">
        <f>IF(ISBLANK(BD21),"NO DATA",IF(ISNUMBER(FIND(CODES!$A$12,BD21)),CODES!$A$12,IF(OR(ISNUMBER(FIND(CODES!$A$10,BD21)),ISNUMBER(FIND(CODES!$A$11,BD21))),CODES!$A$13,IF(OR(BD21&lt;BD$63,ISNUMBER(BD21)=FALSE),BD$64,BD21))))</f>
      </c>
      <c r="BE73" s="9" t="str">
        <f>IF(ISBLANK(BE21),"NO DATA",IF(ISNUMBER(FIND(CODES!$A$12,BE21)),CODES!$A$12,IF(OR(ISNUMBER(FIND(CODES!$A$10,BE21)),ISNUMBER(FIND(CODES!$A$11,BE21))),CODES!$A$13,IF(OR(BE21&lt;BE$63,ISNUMBER(BE21)=FALSE),BE$64,BE21))))</f>
      </c>
      <c r="BF73" s="9">
        <f>IF(ISBLANK(BF21),"NO DATA",IF(ISNUMBER(FIND(CODES!$A$12,BF21)),CODES!$A$12,IF(OR(ISNUMBER(FIND(CODES!$A$10,BF21)),ISNUMBER(FIND(CODES!$A$11,BF21))),CODES!$A$13,IF(OR(BF21&lt;BF$63,ISNUMBER(BF21)=FALSE),BF$64,BF21))))</f>
      </c>
      <c r="BG73" s="9">
        <f>IF(ISBLANK(BG21),"NO DATA",IF(ISNUMBER(FIND(CODES!$A$12,BG21)),CODES!$A$12,IF(OR(ISNUMBER(FIND(CODES!$A$10,BG21)),ISNUMBER(FIND(CODES!$A$11,BG21))),CODES!$A$13,IF(OR(BG21&lt;BG$63,ISNUMBER(BG21)=FALSE),BG$64,BG21))))</f>
      </c>
      <c r="BH73" s="9" t="str">
        <f>IF(ISBLANK(BH21),"NO DATA",IF(ISNUMBER(FIND(CODES!$A$12,BH21)),CODES!$A$12,IF(OR(ISNUMBER(FIND(CODES!$A$10,BH21)),ISNUMBER(FIND(CODES!$A$11,BH21))),CODES!$A$13,IF(OR(BH21&lt;BH$63,ISNUMBER(BH21)=FALSE),BH$64,BH21))))</f>
      </c>
      <c r="BI73" s="9" t="str">
        <f>IF(ISBLANK(BI21),"NO DATA",IF(ISNUMBER(FIND(CODES!$A$12,BI21)),CODES!$A$12,IF(OR(ISNUMBER(FIND(CODES!$A$10,BI21)),ISNUMBER(FIND(CODES!$A$11,BI21))),CODES!$A$13,IF(OR(BI21&lt;BI$63,ISNUMBER(BI21)=FALSE),BI$64,BI21))))</f>
      </c>
      <c r="BJ73" s="9" t="str">
        <f>IF(ISBLANK(BJ21),"NO DATA",IF(ISNUMBER(FIND(CODES!$A$12,BJ21)),CODES!$A$12,IF(OR(ISNUMBER(FIND(CODES!$A$10,BJ21)),ISNUMBER(FIND(CODES!$A$11,BJ21))),CODES!$A$13,IF(OR(BJ21&lt;BJ$63,ISNUMBER(BJ21)=FALSE),BJ$64,BJ21))))</f>
      </c>
      <c r="BK73" s="9" t="str">
        <f>IF(ISBLANK(BK21),"NO DATA",IF(ISNUMBER(FIND(CODES!$A$12,BK21)),CODES!$A$12,IF(OR(ISNUMBER(FIND(CODES!$A$10,BK21)),ISNUMBER(FIND(CODES!$A$11,BK21))),CODES!$A$13,IF(OR(BK21&lt;BK$63,ISNUMBER(BK21)=FALSE),BK$64,BK21))))</f>
      </c>
      <c r="BL73" s="9" t="str">
        <f>IF(ISBLANK(BL21),"NO DATA",IF(ISNUMBER(FIND(CODES!$A$12,BL21)),CODES!$A$12,IF(OR(ISNUMBER(FIND(CODES!$A$10,BL21)),ISNUMBER(FIND(CODES!$A$11,BL21))),CODES!$A$13,IF(OR(BL21&lt;BL$63,ISNUMBER(BL21)=FALSE),BL$64,BL21))))</f>
      </c>
      <c r="BM73" s="9" t="str">
        <f>IF(ISBLANK(BM21),"NO DATA",IF(ISNUMBER(FIND(CODES!$A$12,BM21)),CODES!$A$12,IF(OR(ISNUMBER(FIND(CODES!$A$10,BM21)),ISNUMBER(FIND(CODES!$A$11,BM21))),CODES!$A$13,IF(OR(BM21&lt;BM$63,ISNUMBER(BM21)=FALSE),BM$64,BM21))))</f>
      </c>
      <c r="BN73" s="9" t="str">
        <f>IF(ISBLANK(BN21),"NO DATA",IF(ISNUMBER(FIND(CODES!$A$12,BN21)),CODES!$A$12,IF(OR(ISNUMBER(FIND(CODES!$A$10,BN21)),ISNUMBER(FIND(CODES!$A$11,BN21))),CODES!$A$13,IF(OR(BN21&lt;BN$63,ISNUMBER(BN21)=FALSE),BN$64,BN21))))</f>
      </c>
      <c r="BO73" s="9" t="str">
        <f>IF(ISBLANK(BO21),"NO DATA",IF(ISNUMBER(FIND(CODES!$A$12,BO21)),CODES!$A$12,IF(OR(ISNUMBER(FIND(CODES!$A$10,BO21)),ISNUMBER(FIND(CODES!$A$11,BO21))),CODES!$A$13,IF(OR(BO21&lt;BO$63,ISNUMBER(BO21)=FALSE),BO$64,BO21))))</f>
      </c>
      <c r="BP73" s="9" t="str">
        <f>IF(ISBLANK(BP21),"NO DATA",IF(ISNUMBER(FIND(CODES!$A$12,BP21)),CODES!$A$12,IF(OR(ISNUMBER(FIND(CODES!$A$10,BP21)),ISNUMBER(FIND(CODES!$A$11,BP21))),CODES!$A$13,IF(OR(BP21&lt;BP$63,ISNUMBER(BP21)=FALSE),BP$64,BP21))))</f>
      </c>
      <c r="BQ73" s="9" t="str">
        <f>IF(ISBLANK(BQ21),"NO DATA",IF(ISNUMBER(FIND(CODES!$A$12,BQ21)),CODES!$A$12,IF(OR(ISNUMBER(FIND(CODES!$A$10,BQ21)),ISNUMBER(FIND(CODES!$A$11,BQ21))),CODES!$A$13,IF(OR(BQ21&lt;BQ$63,ISNUMBER(BQ21)=FALSE),BQ$64,BQ21))))</f>
      </c>
      <c r="BR73" s="9" t="str">
        <f>IF(ISBLANK(BR21),"NO DATA",IF(ISNUMBER(FIND(CODES!$A$12,BR21)),CODES!$A$12,IF(OR(ISNUMBER(FIND(CODES!$A$10,BR21)),ISNUMBER(FIND(CODES!$A$11,BR21))),CODES!$A$13,IF(OR(BR21&lt;BR$63,ISNUMBER(BR21)=FALSE),BR$64,BR21))))</f>
      </c>
      <c r="BS73" s="9">
        <f>IF(ISBLANK(BS21),"NO DATA",IF(ISNUMBER(FIND(CODES!$A$12,BS21)),CODES!$A$12,IF(OR(ISNUMBER(FIND(CODES!$A$10,BS21)),ISNUMBER(FIND(CODES!$A$11,BS21))),CODES!$A$13,IF(OR(BS21&lt;BS$63,ISNUMBER(BS21)=FALSE),BS$64,BS21))))</f>
      </c>
      <c r="BT73" s="9">
        <f>IF(ISBLANK(BT21),"NO DATA",IF(ISNUMBER(FIND(CODES!$A$12,BT21)),CODES!$A$12,IF(OR(ISNUMBER(FIND(CODES!$A$10,BT21)),ISNUMBER(FIND(CODES!$A$11,BT21))),CODES!$A$13,IF(OR(BT21&lt;BT$63,ISNUMBER(BT21)=FALSE),BT$64,BT21))))</f>
      </c>
      <c r="BU73" s="9" t="str">
        <f>IF(ISBLANK(BU21),"NO DATA",IF(ISNUMBER(FIND(CODES!$A$12,BU21)),CODES!$A$12,IF(OR(ISNUMBER(FIND(CODES!$A$10,BU21)),ISNUMBER(FIND(CODES!$A$11,BU21))),CODES!$A$13,IF(OR(BU21&lt;BU$63,ISNUMBER(BU21)=FALSE),BU$64,BU21))))</f>
      </c>
      <c r="BV73" s="9" t="str">
        <f>IF(ISBLANK(BV21),"NO DATA",IF(ISNUMBER(FIND(CODES!$A$12,BV21)),CODES!$A$12,IF(OR(ISNUMBER(FIND(CODES!$A$10,BV21)),ISNUMBER(FIND(CODES!$A$11,BV21))),CODES!$A$13,IF(OR(BV21&lt;BV$63,ISNUMBER(BV21)=FALSE),BV$64,BV21))))</f>
      </c>
      <c r="BW73" s="9" t="str">
        <f>IF(ISBLANK(BW21),"NO DATA",IF(ISNUMBER(FIND(CODES!$A$12,BW21)),CODES!$A$12,IF(OR(ISNUMBER(FIND(CODES!$A$10,BW21)),ISNUMBER(FIND(CODES!$A$11,BW21))),CODES!$A$13,IF(OR(BW21&lt;BW$63,ISNUMBER(BW21)=FALSE),BW$64,BW21))))</f>
      </c>
      <c r="BX73" s="9" t="str">
        <f>IF(ISBLANK(BX21),"NO DATA",IF(ISNUMBER(FIND(CODES!$A$12,BX21)),CODES!$A$12,IF(OR(ISNUMBER(FIND(CODES!$A$10,BX21)),ISNUMBER(FIND(CODES!$A$11,BX21))),CODES!$A$13,IF(OR(BX21&lt;BX$63,ISNUMBER(BX21)=FALSE),BX$64,BX21))))</f>
      </c>
      <c r="BY73" s="9" t="str">
        <f>IF(ISBLANK(BY21),"NO DATA",IF(ISNUMBER(FIND(CODES!$A$12,BY21)),CODES!$A$12,IF(OR(ISNUMBER(FIND(CODES!$A$10,BY21)),ISNUMBER(FIND(CODES!$A$11,BY21))),CODES!$A$13,IF(OR(BY21&lt;BY$63,ISNUMBER(BY21)=FALSE),BY$64,BY21))))</f>
      </c>
      <c r="BZ73" s="9" t="str">
        <f>IF(ISBLANK(BZ21),"NO DATA",IF(ISNUMBER(FIND(CODES!$A$12,BZ21)),CODES!$A$12,IF(OR(ISNUMBER(FIND(CODES!$A$10,BZ21)),ISNUMBER(FIND(CODES!$A$11,BZ21))),CODES!$A$13,IF(OR(BZ21&lt;BZ$63,ISNUMBER(BZ21)=FALSE),BZ$64,BZ21))))</f>
      </c>
      <c r="CA73" s="9" t="str">
        <f>IF(ISBLANK(CA21),"NO DATA",IF(ISNUMBER(FIND(CODES!$A$12,CA21)),CODES!$A$12,IF(OR(ISNUMBER(FIND(CODES!$A$10,CA21)),ISNUMBER(FIND(CODES!$A$11,CA21))),CODES!$A$13,IF(OR(CA21&lt;CA$63,ISNUMBER(CA21)=FALSE),CA$64,CA21))))</f>
      </c>
      <c r="CB73" s="9" t="str">
        <f>IF(ISBLANK(CB21),"NO DATA",IF(ISNUMBER(FIND(CODES!$A$12,CB21)),CODES!$A$12,IF(OR(ISNUMBER(FIND(CODES!$A$10,CB21)),ISNUMBER(FIND(CODES!$A$11,CB21))),CODES!$A$13,IF(OR(CB21&lt;CB$63,ISNUMBER(CB21)=FALSE),CB$64,CB21))))</f>
      </c>
      <c r="CC73" s="9" t="str">
        <f>IF(ISBLANK(CC21),"NO DATA",IF(ISNUMBER(FIND(CODES!$A$12,CC21)),CODES!$A$12,IF(OR(ISNUMBER(FIND(CODES!$A$10,CC21)),ISNUMBER(FIND(CODES!$A$11,CC21))),CODES!$A$13,IF(OR(CC21&lt;CC$63,ISNUMBER(CC21)=FALSE),CC$64,CC21))))</f>
      </c>
      <c r="CD73" s="9" t="str">
        <f>IF(ISBLANK(CD21),"NO DATA",IF(ISNUMBER(FIND(CODES!$A$12,CD21)),CODES!$A$12,IF(OR(ISNUMBER(FIND(CODES!$A$10,CD21)),ISNUMBER(FIND(CODES!$A$11,CD21))),CODES!$A$13,IF(OR(CD21&lt;CD$63,ISNUMBER(CD21)=FALSE),CD$64,CD21))))</f>
      </c>
      <c r="CE73" s="9" t="str">
        <f>IF(ISBLANK(CE21),"NO DATA",IF(ISNUMBER(FIND(CODES!$A$12,CE21)),CODES!$A$12,IF(OR(ISNUMBER(FIND(CODES!$A$10,CE21)),ISNUMBER(FIND(CODES!$A$11,CE21))),CODES!$A$13,IF(OR(CE21&lt;CE$63,ISNUMBER(CE21)=FALSE),CE$64,CE21))))</f>
      </c>
      <c r="CF73" s="9">
        <f>IF(ISBLANK(CF21),"NO DATA",IF(ISNUMBER(FIND(CODES!$A$12,CF21)),CODES!$A$12,IF(OR(ISNUMBER(FIND(CODES!$A$10,CF21)),ISNUMBER(FIND(CODES!$A$11,CF21))),CODES!$A$13,IF(OR(CF21&lt;CF$63,ISNUMBER(CF21)=FALSE),CF$64,CF21))))</f>
      </c>
      <c r="CG73" s="9">
        <f>IF(ISBLANK(CG21),"NO DATA",IF(ISNUMBER(FIND(CODES!$A$12,CG21)),CODES!$A$12,IF(OR(ISNUMBER(FIND(CODES!$A$10,CG21)),ISNUMBER(FIND(CODES!$A$11,CG21))),CODES!$A$13,IF(OR(CG21&lt;CG$63,ISNUMBER(CG21)=FALSE),CG$64,CG21))))</f>
      </c>
      <c r="CH73" s="9">
        <f>IF(ISBLANK(CH21),"NO DATA",IF(ISNUMBER(FIND(CODES!$A$12,CH21)),CODES!$A$12,IF(OR(ISNUMBER(FIND(CODES!$A$10,CH21)),ISNUMBER(FIND(CODES!$A$11,CH21))),CODES!$A$13,IF(OR(CH21&lt;CH$63,ISNUMBER(CH21)=FALSE),CH$64,CH21))))</f>
      </c>
      <c r="CI73" s="9" t="str">
        <f>IF(ISBLANK(CI21),"NO DATA",IF(ISNUMBER(FIND(CODES!$A$12,CI21)),CODES!$A$12,IF(OR(ISNUMBER(FIND(CODES!$A$10,CI21)),ISNUMBER(FIND(CODES!$A$11,CI21))),CODES!$A$13,IF(OR(CI21&lt;CI$63,ISNUMBER(CI21)=FALSE),CI$64,CI21))))</f>
      </c>
      <c r="CJ73" s="9" t="str">
        <f>IF(ISBLANK(CJ21),"NO DATA",IF(ISNUMBER(FIND(CODES!$A$12,CJ21)),CODES!$A$12,IF(OR(ISNUMBER(FIND(CODES!$A$10,CJ21)),ISNUMBER(FIND(CODES!$A$11,CJ21))),CODES!$A$13,IF(OR(CJ21&lt;CJ$63,ISNUMBER(CJ21)=FALSE),CJ$64,CJ21))))</f>
      </c>
      <c r="CK73" s="9" t="str">
        <f>IF(ISBLANK(CK21),"NO DATA",IF(ISNUMBER(FIND(CODES!$A$12,CK21)),CODES!$A$12,IF(OR(ISNUMBER(FIND(CODES!$A$10,CK21)),ISNUMBER(FIND(CODES!$A$11,CK21))),CODES!$A$13,IF(OR(CK21&lt;CK$63,ISNUMBER(CK21)=FALSE),CK$64,CK21))))</f>
      </c>
      <c r="CL73" s="9" t="str">
        <f>IF(ISBLANK(CL21),"NO DATA",IF(ISNUMBER(FIND(CODES!$A$12,CL21)),CODES!$A$12,IF(OR(ISNUMBER(FIND(CODES!$A$10,CL21)),ISNUMBER(FIND(CODES!$A$11,CL21))),CODES!$A$13,IF(OR(CL21&lt;CL$63,ISNUMBER(CL21)=FALSE),CL$64,CL21))))</f>
      </c>
      <c r="CM73" s="9" t="str">
        <f>IF(ISBLANK(CM21),"NO DATA",IF(ISNUMBER(FIND(CODES!$A$12,CM21)),CODES!$A$12,IF(OR(ISNUMBER(FIND(CODES!$A$10,CM21)),ISNUMBER(FIND(CODES!$A$11,CM21))),CODES!$A$13,IF(OR(CM21&lt;CM$63,ISNUMBER(CM21)=FALSE),CM$64,CM21))))</f>
      </c>
      <c r="CN73" s="9" t="str">
        <f>IF(ISBLANK(CN21),"NO DATA",IF(ISNUMBER(FIND(CODES!$A$12,CN21)),CODES!$A$12,IF(OR(ISNUMBER(FIND(CODES!$A$10,CN21)),ISNUMBER(FIND(CODES!$A$11,CN21))),CODES!$A$13,IF(OR(CN21&lt;CN$63,ISNUMBER(CN21)=FALSE),CN$64,CN21))))</f>
      </c>
      <c r="CO73" s="9" t="str">
        <f>IF(ISBLANK(CO21),"NO DATA",IF(ISNUMBER(FIND(CODES!$A$12,CO21)),CODES!$A$12,IF(OR(ISNUMBER(FIND(CODES!$A$10,CO21)),ISNUMBER(FIND(CODES!$A$11,CO21))),CODES!$A$13,IF(OR(CO21&lt;CO$63,ISNUMBER(CO21)=FALSE),CO$64,CO21))))</f>
      </c>
      <c r="CP73" s="9" t="str">
        <f>IF(ISBLANK(CP21),"NO DATA",IF(ISNUMBER(FIND(CODES!$A$12,CP21)),CODES!$A$12,IF(OR(ISNUMBER(FIND(CODES!$A$10,CP21)),ISNUMBER(FIND(CODES!$A$11,CP21))),CODES!$A$13,IF(OR(CP21&lt;CP$63,ISNUMBER(CP21)=FALSE),CP$64,CP21))))</f>
      </c>
      <c r="CQ73" s="9" t="str">
        <f>IF(ISBLANK(CQ21),"NO DATA",IF(ISNUMBER(FIND(CODES!$A$12,CQ21)),CODES!$A$12,IF(OR(ISNUMBER(FIND(CODES!$A$10,CQ21)),ISNUMBER(FIND(CODES!$A$11,CQ21))),CODES!$A$13,IF(OR(CQ21&lt;CQ$63,ISNUMBER(CQ21)=FALSE),CQ$64,CQ21))))</f>
      </c>
      <c r="CR73" s="9" t="str">
        <f>IF(ISBLANK(CR21),"NO DATA",IF(ISNUMBER(FIND(CODES!$A$12,CR21)),CODES!$A$12,IF(OR(ISNUMBER(FIND(CODES!$A$10,CR21)),ISNUMBER(FIND(CODES!$A$11,CR21))),CODES!$A$13,IF(OR(CR21&lt;CR$63,ISNUMBER(CR21)=FALSE),CR$64,CR21))))</f>
      </c>
      <c r="CS73" s="9" t="str">
        <f>IF(ISBLANK(CS21),"NO DATA",IF(ISNUMBER(FIND(CODES!$A$12,CS21)),CODES!$A$12,IF(OR(ISNUMBER(FIND(CODES!$A$10,CS21)),ISNUMBER(FIND(CODES!$A$11,CS21))),CODES!$A$13,IF(OR(CS21&lt;CS$63,ISNUMBER(CS21)=FALSE),CS$64,CS21))))</f>
      </c>
      <c r="CT73" s="9" t="str">
        <f>IF(ISBLANK(CT21),"NO DATA",IF(ISNUMBER(FIND(CODES!$A$12,CT21)),CODES!$A$12,IF(OR(ISNUMBER(FIND(CODES!$A$10,CT21)),ISNUMBER(FIND(CODES!$A$11,CT21))),CODES!$A$13,IF(OR(CT21&lt;CT$63,ISNUMBER(CT21)=FALSE),CT$64,CT21))))</f>
      </c>
      <c r="CU73" s="9" t="str">
        <f>IF(ISBLANK(CU21),"NO DATA",IF(ISNUMBER(FIND(CODES!$A$12,CU21)),CODES!$A$12,IF(OR(ISNUMBER(FIND(CODES!$A$10,CU21)),ISNUMBER(FIND(CODES!$A$11,CU21))),CODES!$A$13,IF(OR(CU21&lt;CU$63,ISNUMBER(CU21)=FALSE),CU$64,CU21))))</f>
      </c>
      <c r="CV73" s="9">
        <f>IF(ISBLANK(CV21),"NO DATA",IF(ISNUMBER(FIND(CODES!$A$12,CV21)),CODES!$A$12,IF(OR(ISNUMBER(FIND(CODES!$A$10,CV21)),ISNUMBER(FIND(CODES!$A$11,CV21))),CODES!$A$13,IF(OR(CV21&lt;CV$63,ISNUMBER(CV21)=FALSE),CV$64,CV21))))</f>
      </c>
      <c r="CW73" s="9" t="str">
        <f>IF(ISBLANK(CW21),"NO DATA",IF(ISNUMBER(FIND(CODES!$A$12,CW21)),CODES!$A$12,IF(OR(ISNUMBER(FIND(CODES!$A$10,CW21)),ISNUMBER(FIND(CODES!$A$11,CW21))),CODES!$A$13,IF(OR(CW21&lt;CW$63,ISNUMBER(CW21)=FALSE),CW$64,CW21))))</f>
      </c>
      <c r="CX73" s="9" t="str">
        <f>IF(ISBLANK(CX21),"NO DATA",IF(ISNUMBER(FIND(CODES!$A$12,CX21)),CODES!$A$12,IF(OR(ISNUMBER(FIND(CODES!$A$10,CX21)),ISNUMBER(FIND(CODES!$A$11,CX21))),CODES!$A$13,IF(OR(CX21&lt;CX$63,ISNUMBER(CX21)=FALSE),CX$64,CX21))))</f>
      </c>
      <c r="CY73" s="9">
        <f>IF(ISBLANK(CY21),"NO DATA",IF(ISNUMBER(FIND(CODES!$A$12,CY21)),CODES!$A$12,IF(OR(ISNUMBER(FIND(CODES!$A$10,CY21)),ISNUMBER(FIND(CODES!$A$11,CY21))),CODES!$A$13,IF(OR(CY21&lt;CY$63,ISNUMBER(CY21)=FALSE),CY$64,CY21))))</f>
      </c>
      <c r="CZ73" s="9" t="str">
        <f>IF(ISBLANK(CZ21),"NO DATA",IF(ISNUMBER(FIND(CODES!$A$12,CZ21)),CODES!$A$12,IF(OR(ISNUMBER(FIND(CODES!$A$10,CZ21)),ISNUMBER(FIND(CODES!$A$11,CZ21))),CODES!$A$13,IF(OR(CZ21&lt;CZ$63,ISNUMBER(CZ21)=FALSE),CZ$64,CZ21))))</f>
      </c>
      <c r="DA73" s="9" t="str">
        <f>IF(ISBLANK(DA21),"NO DATA",IF(ISNUMBER(FIND(CODES!$A$12,DA21)),CODES!$A$12,IF(OR(ISNUMBER(FIND(CODES!$A$10,DA21)),ISNUMBER(FIND(CODES!$A$11,DA21))),CODES!$A$13,IF(OR(DA21&lt;DA$63,ISNUMBER(DA21)=FALSE),DA$64,DA21))))</f>
      </c>
      <c r="DB73" s="9" t="str">
        <f>IF(ISBLANK(DB21),"NO DATA",IF(ISNUMBER(FIND(CODES!$A$12,DB21)),CODES!$A$12,IF(OR(ISNUMBER(FIND(CODES!$A$10,DB21)),ISNUMBER(FIND(CODES!$A$11,DB21))),CODES!$A$13,IF(OR(DB21&lt;DB$63,ISNUMBER(DB21)=FALSE),DB$64,DB21))))</f>
      </c>
      <c r="DC73" s="9" t="str">
        <f>IF(ISBLANK(DC21),"NO DATA",IF(ISNUMBER(FIND(CODES!$A$12,DC21)),CODES!$A$12,IF(OR(ISNUMBER(FIND(CODES!$A$10,DC21)),ISNUMBER(FIND(CODES!$A$11,DC21))),CODES!$A$13,IF(OR(DC21&lt;DC$63,ISNUMBER(DC21)=FALSE),DC$64,DC21))))</f>
      </c>
      <c r="DD73" s="9" t="str">
        <f>IF(ISBLANK(DD21),"NO DATA",IF(ISNUMBER(FIND(CODES!$A$12,DD21)),CODES!$A$12,IF(OR(ISNUMBER(FIND(CODES!$A$10,DD21)),ISNUMBER(FIND(CODES!$A$11,DD21))),CODES!$A$13,IF(OR(DD21&lt;DD$63,ISNUMBER(DD21)=FALSE),DD$64,DD21))))</f>
      </c>
      <c r="DE73" s="9" t="str">
        <f>IF(ISBLANK(DE21),"NO DATA",IF(ISNUMBER(FIND(CODES!$A$12,DE21)),CODES!$A$12,IF(OR(ISNUMBER(FIND(CODES!$A$10,DE21)),ISNUMBER(FIND(CODES!$A$11,DE21))),CODES!$A$13,IF(OR(DE21&lt;DE$63,ISNUMBER(DE21)=FALSE),DE$64,DE21))))</f>
      </c>
      <c r="DF73" s="9">
        <f>IF(ISBLANK(DF21),"NO DATA",IF(ISNUMBER(FIND(CODES!$A$12,DF21)),CODES!$A$12,IF(OR(ISNUMBER(FIND(CODES!$A$10,DF21)),ISNUMBER(FIND(CODES!$A$11,DF21))),CODES!$A$13,IF(OR(DF21&lt;DF$63,ISNUMBER(DF21)=FALSE),DF$64,DF21))))</f>
      </c>
      <c r="DG73" s="9">
        <f>IF(ISBLANK(DG21),"NO DATA",IF(ISNUMBER(FIND(CODES!$A$12,DG21)),CODES!$A$12,IF(OR(ISNUMBER(FIND(CODES!$A$10,DG21)),ISNUMBER(FIND(CODES!$A$11,DG21))),CODES!$A$13,IF(OR(DG21&lt;DG$63,ISNUMBER(DG21)=FALSE),DG$64,DG21))))</f>
      </c>
      <c r="DH73" s="9" t="str">
        <f>IF(ISBLANK(DH21),"NO DATA",IF(ISNUMBER(FIND(CODES!$A$12,DH21)),CODES!$A$12,IF(OR(ISNUMBER(FIND(CODES!$A$10,DH21)),ISNUMBER(FIND(CODES!$A$11,DH21))),CODES!$A$13,IF(OR(DH21&lt;DH$63,ISNUMBER(DH21)=FALSE),DH$64,DH21))))</f>
      </c>
      <c r="DI73" s="9" t="str">
        <f>IF(ISBLANK(DI21),"NO DATA",IF(ISNUMBER(FIND(CODES!$A$12,DI21)),CODES!$A$12,IF(OR(ISNUMBER(FIND(CODES!$A$10,DI21)),ISNUMBER(FIND(CODES!$A$11,DI21))),CODES!$A$13,IF(OR(DI21&lt;DI$63,ISNUMBER(DI21)=FALSE),DI$64,DI21))))</f>
      </c>
    </row>
    <row r="74" spans="1:113" x14ac:dyDescent="0.25">
      <c r="A74" s="20" t="str">
        <f t="shared" si="4"/>
      </c>
      <c r="B74" s="20" t="str">
        <f t="shared" si="4"/>
      </c>
      <c r="C74" s="9" t="str">
        <f>IF(ISBLANK(C22),"NO DATA",IF(ISNUMBER(FIND(CODES!$A$12,C22)),CODES!$A$12,IF(OR(ISNUMBER(FIND(CODES!$A$10,C22)),ISNUMBER(FIND(CODES!$A$11,C22))),CODES!$A$13,IF(OR(C22&lt;C$63,ISNUMBER(C22)=FALSE),C$64,C22))))</f>
      </c>
      <c r="D74" s="9" t="str">
        <f>IF(ISBLANK(D22),"NO DATA",IF(ISNUMBER(FIND(CODES!$A$12,D22)),CODES!$A$12,IF(OR(ISNUMBER(FIND(CODES!$A$10,D22)),ISNUMBER(FIND(CODES!$A$11,D22))),CODES!$A$13,IF(OR(D22&lt;D$63,ISNUMBER(D22)=FALSE),D$64,D22))))</f>
      </c>
      <c r="E74" s="9" t="str">
        <f>IF(ISBLANK(E22),"NO DATA",IF(ISNUMBER(FIND(CODES!$A$12,E22)),CODES!$A$12,IF(OR(ISNUMBER(FIND(CODES!$A$10,E22)),ISNUMBER(FIND(CODES!$A$11,E22))),CODES!$A$13,IF(OR(E22&lt;E$63,ISNUMBER(E22)=FALSE),E$64,E22))))</f>
      </c>
      <c r="F74" s="9" t="str">
        <f>IF(ISBLANK(F22),"NO DATA",IF(ISNUMBER(FIND(CODES!$A$12,F22)),CODES!$A$12,IF(OR(ISNUMBER(FIND(CODES!$A$10,F22)),ISNUMBER(FIND(CODES!$A$11,F22))),CODES!$A$13,IF(OR(F22&lt;F$63,ISNUMBER(F22)=FALSE),F$64,F22))))</f>
      </c>
      <c r="G74" s="9" t="str">
        <f>IF(ISBLANK(G22),"NO DATA",IF(ISNUMBER(FIND(CODES!$A$12,G22)),CODES!$A$12,IF(OR(ISNUMBER(FIND(CODES!$A$10,G22)),ISNUMBER(FIND(CODES!$A$11,G22))),CODES!$A$13,IF(OR(G22&lt;G$63,ISNUMBER(G22)=FALSE),G$64,G22))))</f>
      </c>
      <c r="H74" s="9">
        <f>IF(ISBLANK(H22),"NO DATA",IF(ISNUMBER(FIND(CODES!$A$12,H22)),CODES!$A$12,IF(OR(ISNUMBER(FIND(CODES!$A$10,H22)),ISNUMBER(FIND(CODES!$A$11,H22))),CODES!$A$13,IF(OR(H22&lt;H$63,ISNUMBER(H22)=FALSE),H$64,H22))))</f>
      </c>
      <c r="I74" s="9">
        <f>IF(ISBLANK(I22),"NO DATA",IF(ISNUMBER(FIND(CODES!$A$12,I22)),CODES!$A$12,IF(OR(ISNUMBER(FIND(CODES!$A$10,I22)),ISNUMBER(FIND(CODES!$A$11,I22))),CODES!$A$13,IF(OR(I22&lt;I$63,ISNUMBER(I22)=FALSE),I$64,I22))))</f>
      </c>
      <c r="J74" s="9">
        <f>IF(ISBLANK(J22),"NO DATA",IF(ISNUMBER(FIND(CODES!$A$12,J22)),CODES!$A$12,IF(OR(ISNUMBER(FIND(CODES!$A$10,J22)),ISNUMBER(FIND(CODES!$A$11,J22))),CODES!$A$13,IF(OR(J22&lt;J$63,ISNUMBER(J22)=FALSE),J$64,J22))))</f>
      </c>
      <c r="K74" s="9">
        <f>IF(ISBLANK(K22),"NO DATA",IF(ISNUMBER(FIND(CODES!$A$12,K22)),CODES!$A$12,IF(OR(ISNUMBER(FIND(CODES!$A$10,K22)),ISNUMBER(FIND(CODES!$A$11,K22))),CODES!$A$13,IF(OR(K22&lt;K$63,ISNUMBER(K22)=FALSE),K$64,K22))))</f>
      </c>
      <c r="L74" s="9" t="str">
        <f>IF(ISBLANK(L22),"NO DATA",IF(ISNUMBER(FIND(CODES!$A$12,L22)),CODES!$A$12,IF(OR(ISNUMBER(FIND(CODES!$A$10,L22)),ISNUMBER(FIND(CODES!$A$11,L22))),CODES!$A$13,IF(OR(L22&lt;L$63,ISNUMBER(L22)=FALSE),L$64,L22))))</f>
      </c>
      <c r="M74" s="9" t="str">
        <f>IF(ISBLANK(M22),"NO DATA",IF(ISNUMBER(FIND(CODES!$A$12,M22)),CODES!$A$12,IF(OR(ISNUMBER(FIND(CODES!$A$10,M22)),ISNUMBER(FIND(CODES!$A$11,M22))),CODES!$A$13,IF(OR(M22&lt;M$63,ISNUMBER(M22)=FALSE),M$64,M22))))</f>
      </c>
      <c r="N74" s="9" t="str">
        <f>IF(ISBLANK(N22),"NO DATA",IF(ISNUMBER(FIND(CODES!$A$12,N22)),CODES!$A$12,IF(OR(ISNUMBER(FIND(CODES!$A$10,N22)),ISNUMBER(FIND(CODES!$A$11,N22))),CODES!$A$13,IF(OR(N22&lt;N$63,ISNUMBER(N22)=FALSE),N$64,N22))))</f>
      </c>
      <c r="O74" s="9" t="str">
        <f>IF(ISBLANK(O22),"NO DATA",IF(ISNUMBER(FIND(CODES!$A$12,O22)),CODES!$A$12,IF(OR(ISNUMBER(FIND(CODES!$A$10,O22)),ISNUMBER(FIND(CODES!$A$11,O22))),CODES!$A$13,IF(OR(O22&lt;O$63,ISNUMBER(O22)=FALSE),O$64,O22))))</f>
      </c>
      <c r="P74" s="9">
        <f>IF(ISBLANK(P22),"NO DATA",IF(ISNUMBER(FIND(CODES!$A$12,P22)),CODES!$A$12,IF(OR(ISNUMBER(FIND(CODES!$A$10,P22)),ISNUMBER(FIND(CODES!$A$11,P22))),CODES!$A$13,IF(OR(P22&lt;P$63,ISNUMBER(P22)=FALSE),P$64,P22))))</f>
      </c>
      <c r="Q74" s="9">
        <f>IF(ISBLANK(Q22),"NO DATA",IF(ISNUMBER(FIND(CODES!$A$12,Q22)),CODES!$A$12,IF(OR(ISNUMBER(FIND(CODES!$A$10,Q22)),ISNUMBER(FIND(CODES!$A$11,Q22))),CODES!$A$13,IF(OR(Q22&lt;Q$63,ISNUMBER(Q22)=FALSE),Q$64,Q22))))</f>
      </c>
      <c r="R74" s="9" t="str">
        <f>IF(ISBLANK(R22),"NO DATA",IF(ISNUMBER(FIND(CODES!$A$12,R22)),CODES!$A$12,IF(OR(ISNUMBER(FIND(CODES!$A$10,R22)),ISNUMBER(FIND(CODES!$A$11,R22))),CODES!$A$13,IF(OR(R22&lt;R$63,ISNUMBER(R22)=FALSE),R$64,R22))))</f>
      </c>
      <c r="S74" s="9" t="str">
        <f>IF(ISBLANK(S22),"NO DATA",IF(ISNUMBER(FIND(CODES!$A$12,S22)),CODES!$A$12,IF(OR(ISNUMBER(FIND(CODES!$A$10,S22)),ISNUMBER(FIND(CODES!$A$11,S22))),CODES!$A$13,IF(OR(S22&lt;S$63,ISNUMBER(S22)=FALSE),S$64,S22))))</f>
      </c>
      <c r="T74" s="9" t="str">
        <f>IF(ISBLANK(T22),"NO DATA",IF(ISNUMBER(FIND(CODES!$A$12,T22)),CODES!$A$12,IF(OR(ISNUMBER(FIND(CODES!$A$10,T22)),ISNUMBER(FIND(CODES!$A$11,T22))),CODES!$A$13,IF(OR(T22&lt;T$63,ISNUMBER(T22)=FALSE),T$64,T22))))</f>
      </c>
      <c r="U74" s="9" t="str">
        <f>IF(ISBLANK(U22),"NO DATA",IF(ISNUMBER(FIND(CODES!$A$12,U22)),CODES!$A$12,IF(OR(ISNUMBER(FIND(CODES!$A$10,U22)),ISNUMBER(FIND(CODES!$A$11,U22))),CODES!$A$13,IF(OR(U22&lt;U$63,ISNUMBER(U22)=FALSE),U$64,U22))))</f>
      </c>
      <c r="V74" s="9" t="str">
        <f>IF(ISBLANK(V22),"NO DATA",IF(ISNUMBER(FIND(CODES!$A$12,V22)),CODES!$A$12,IF(OR(ISNUMBER(FIND(CODES!$A$10,V22)),ISNUMBER(FIND(CODES!$A$11,V22))),CODES!$A$13,IF(OR(V22&lt;V$63,ISNUMBER(V22)=FALSE),V$64,V22))))</f>
      </c>
      <c r="W74" s="9" t="str">
        <f>IF(ISBLANK(W22),"NO DATA",IF(ISNUMBER(FIND(CODES!$A$12,W22)),CODES!$A$12,IF(OR(ISNUMBER(FIND(CODES!$A$10,W22)),ISNUMBER(FIND(CODES!$A$11,W22))),CODES!$A$13,IF(OR(W22&lt;W$63,ISNUMBER(W22)=FALSE),W$64,W22))))</f>
      </c>
      <c r="X74" s="9" t="str">
        <f>IF(ISBLANK(X22),"NO DATA",IF(ISNUMBER(FIND(CODES!$A$12,X22)),CODES!$A$12,IF(OR(ISNUMBER(FIND(CODES!$A$10,X22)),ISNUMBER(FIND(CODES!$A$11,X22))),CODES!$A$13,IF(OR(X22&lt;X$63,ISNUMBER(X22)=FALSE),X$64,X22))))</f>
      </c>
      <c r="Y74" s="9" t="str">
        <f>IF(ISBLANK(Y22),"NO DATA",IF(ISNUMBER(FIND(CODES!$A$12,Y22)),CODES!$A$12,IF(OR(ISNUMBER(FIND(CODES!$A$10,Y22)),ISNUMBER(FIND(CODES!$A$11,Y22))),CODES!$A$13,IF(OR(Y22&lt;Y$63,ISNUMBER(Y22)=FALSE),Y$64,Y22))))</f>
      </c>
      <c r="Z74" s="9">
        <f>IF(ISBLANK(Z22),"NO DATA",IF(ISNUMBER(FIND(CODES!$A$12,Z22)),CODES!$A$12,IF(OR(ISNUMBER(FIND(CODES!$A$10,Z22)),ISNUMBER(FIND(CODES!$A$11,Z22))),CODES!$A$13,IF(OR(Z22&lt;Z$63,ISNUMBER(Z22)=FALSE),Z$64,Z22))))</f>
      </c>
      <c r="AA74" s="9" t="str">
        <f>IF(ISBLANK(AA22),"NO DATA",IF(ISNUMBER(FIND(CODES!$A$12,AA22)),CODES!$A$12,IF(OR(ISNUMBER(FIND(CODES!$A$10,AA22)),ISNUMBER(FIND(CODES!$A$11,AA22))),CODES!$A$13,IF(OR(AA22&lt;AA$63,ISNUMBER(AA22)=FALSE),AA$64,AA22))))</f>
      </c>
      <c r="AB74" s="9" t="str">
        <f>IF(ISBLANK(AB22),"NO DATA",IF(ISNUMBER(FIND(CODES!$A$12,AB22)),CODES!$A$12,IF(OR(ISNUMBER(FIND(CODES!$A$10,AB22)),ISNUMBER(FIND(CODES!$A$11,AB22))),CODES!$A$13,IF(OR(AB22&lt;AB$63,ISNUMBER(AB22)=FALSE),AB$64,AB22))))</f>
      </c>
      <c r="AC74" s="9" t="str">
        <f>IF(ISBLANK(AC22),"NO DATA",IF(ISNUMBER(FIND(CODES!$A$12,AC22)),CODES!$A$12,IF(OR(ISNUMBER(FIND(CODES!$A$10,AC22)),ISNUMBER(FIND(CODES!$A$11,AC22))),CODES!$A$13,IF(OR(AC22&lt;AC$63,ISNUMBER(AC22)=FALSE),AC$64,AC22))))</f>
      </c>
      <c r="AD74" s="9" t="str">
        <f>IF(ISBLANK(AD22),"NO DATA",IF(ISNUMBER(FIND(CODES!$A$12,AD22)),CODES!$A$12,IF(OR(ISNUMBER(FIND(CODES!$A$10,AD22)),ISNUMBER(FIND(CODES!$A$11,AD22))),CODES!$A$13,IF(OR(AD22&lt;AD$63,ISNUMBER(AD22)=FALSE),AD$64,AD22))))</f>
      </c>
      <c r="AE74" s="9" t="str">
        <f>IF(ISBLANK(AE22),"NO DATA",IF(ISNUMBER(FIND(CODES!$A$12,AE22)),CODES!$A$12,IF(OR(ISNUMBER(FIND(CODES!$A$10,AE22)),ISNUMBER(FIND(CODES!$A$11,AE22))),CODES!$A$13,IF(OR(AE22&lt;AE$63,ISNUMBER(AE22)=FALSE),AE$64,AE22))))</f>
      </c>
      <c r="AF74" s="9" t="str">
        <f>IF(ISBLANK(AF22),"NO DATA",IF(ISNUMBER(FIND(CODES!$A$12,AF22)),CODES!$A$12,IF(OR(ISNUMBER(FIND(CODES!$A$10,AF22)),ISNUMBER(FIND(CODES!$A$11,AF22))),CODES!$A$13,IF(OR(AF22&lt;AF$63,ISNUMBER(AF22)=FALSE),AF$64,AF22))))</f>
      </c>
      <c r="AG74" s="9">
        <f>IF(ISBLANK(AG22),"NO DATA",IF(ISNUMBER(FIND(CODES!$A$12,AG22)),CODES!$A$12,IF(OR(ISNUMBER(FIND(CODES!$A$10,AG22)),ISNUMBER(FIND(CODES!$A$11,AG22))),CODES!$A$13,IF(OR(AG22&lt;AG$63,ISNUMBER(AG22)=FALSE),AG$64,AG22))))</f>
      </c>
      <c r="AH74" s="9">
        <f>IF(ISBLANK(AH22),"NO DATA",IF(ISNUMBER(FIND(CODES!$A$12,AH22)),CODES!$A$12,IF(OR(ISNUMBER(FIND(CODES!$A$10,AH22)),ISNUMBER(FIND(CODES!$A$11,AH22))),CODES!$A$13,IF(OR(AH22&lt;AH$63,ISNUMBER(AH22)=FALSE),AH$64,AH22))))</f>
      </c>
      <c r="AI74" s="9" t="str">
        <f>IF(ISBLANK(AI22),"NO DATA",IF(ISNUMBER(FIND(CODES!$A$12,AI22)),CODES!$A$12,IF(OR(ISNUMBER(FIND(CODES!$A$10,AI22)),ISNUMBER(FIND(CODES!$A$11,AI22))),CODES!$A$13,IF(OR(AI22&lt;AI$63,ISNUMBER(AI22)=FALSE),AI$64,AI22))))</f>
      </c>
      <c r="AJ74" s="9" t="str">
        <f>IF(ISBLANK(AJ22),"NO DATA",IF(ISNUMBER(FIND(CODES!$A$12,AJ22)),CODES!$A$12,IF(OR(ISNUMBER(FIND(CODES!$A$10,AJ22)),ISNUMBER(FIND(CODES!$A$11,AJ22))),CODES!$A$13,IF(OR(AJ22&lt;AJ$63,ISNUMBER(AJ22)=FALSE),AJ$64,AJ22))))</f>
      </c>
      <c r="AK74" s="9">
        <f>IF(ISBLANK(AK22),"NO DATA",IF(ISNUMBER(FIND(CODES!$A$12,AK22)),CODES!$A$12,IF(OR(ISNUMBER(FIND(CODES!$A$10,AK22)),ISNUMBER(FIND(CODES!$A$11,AK22))),CODES!$A$13,IF(OR(AK22&lt;AK$63,ISNUMBER(AK22)=FALSE),AK$64,AK22))))</f>
      </c>
      <c r="AL74" s="9" t="str">
        <f>IF(ISBLANK(AL22),"NO DATA",IF(ISNUMBER(FIND(CODES!$A$12,AL22)),CODES!$A$12,IF(OR(ISNUMBER(FIND(CODES!$A$10,AL22)),ISNUMBER(FIND(CODES!$A$11,AL22))),CODES!$A$13,IF(OR(AL22&lt;AL$63,ISNUMBER(AL22)=FALSE),AL$64,AL22))))</f>
      </c>
      <c r="AM74" s="9" t="str">
        <f>IF(ISBLANK(AM22),"NO DATA",IF(ISNUMBER(FIND(CODES!$A$12,AM22)),CODES!$A$12,IF(OR(ISNUMBER(FIND(CODES!$A$10,AM22)),ISNUMBER(FIND(CODES!$A$11,AM22))),CODES!$A$13,IF(OR(AM22&lt;AM$63,ISNUMBER(AM22)=FALSE),AM$64,AM22))))</f>
      </c>
      <c r="AN74" s="9" t="str">
        <f>IF(ISBLANK(AN22),"NO DATA",IF(ISNUMBER(FIND(CODES!$A$12,AN22)),CODES!$A$12,IF(OR(ISNUMBER(FIND(CODES!$A$10,AN22)),ISNUMBER(FIND(CODES!$A$11,AN22))),CODES!$A$13,IF(OR(AN22&lt;AN$63,ISNUMBER(AN22)=FALSE),AN$64,AN22))))</f>
      </c>
      <c r="AO74" s="9" t="str">
        <f>IF(ISBLANK(AO22),"NO DATA",IF(ISNUMBER(FIND(CODES!$A$12,AO22)),CODES!$A$12,IF(OR(ISNUMBER(FIND(CODES!$A$10,AO22)),ISNUMBER(FIND(CODES!$A$11,AO22))),CODES!$A$13,IF(OR(AO22&lt;AO$63,ISNUMBER(AO22)=FALSE),AO$64,AO22))))</f>
      </c>
      <c r="AP74" s="9" t="str">
        <f>IF(ISBLANK(AP22),"NO DATA",IF(ISNUMBER(FIND(CODES!$A$12,AP22)),CODES!$A$12,IF(OR(ISNUMBER(FIND(CODES!$A$10,AP22)),ISNUMBER(FIND(CODES!$A$11,AP22))),CODES!$A$13,IF(OR(AP22&lt;AP$63,ISNUMBER(AP22)=FALSE),AP$64,AP22))))</f>
      </c>
      <c r="AQ74" s="9" t="str">
        <f>IF(ISBLANK(AQ22),"NO DATA",IF(ISNUMBER(FIND(CODES!$A$12,AQ22)),CODES!$A$12,IF(OR(ISNUMBER(FIND(CODES!$A$10,AQ22)),ISNUMBER(FIND(CODES!$A$11,AQ22))),CODES!$A$13,IF(OR(AQ22&lt;AQ$63,ISNUMBER(AQ22)=FALSE),AQ$64,AQ22))))</f>
      </c>
      <c r="AR74" s="9" t="str">
        <f>IF(ISBLANK(AR22),"NO DATA",IF(ISNUMBER(FIND(CODES!$A$12,AR22)),CODES!$A$12,IF(OR(ISNUMBER(FIND(CODES!$A$10,AR22)),ISNUMBER(FIND(CODES!$A$11,AR22))),CODES!$A$13,IF(OR(AR22&lt;AR$63,ISNUMBER(AR22)=FALSE),AR$64,AR22))))</f>
      </c>
      <c r="AS74" s="9">
        <f>IF(ISBLANK(AS22),"NO DATA",IF(ISNUMBER(FIND(CODES!$A$12,AS22)),CODES!$A$12,IF(OR(ISNUMBER(FIND(CODES!$A$10,AS22)),ISNUMBER(FIND(CODES!$A$11,AS22))),CODES!$A$13,IF(OR(AS22&lt;AS$63,ISNUMBER(AS22)=FALSE),AS$64,AS22))))</f>
      </c>
      <c r="AT74" s="9">
        <f>IF(ISBLANK(AT22),"NO DATA",IF(ISNUMBER(FIND(CODES!$A$12,AT22)),CODES!$A$12,IF(OR(ISNUMBER(FIND(CODES!$A$10,AT22)),ISNUMBER(FIND(CODES!$A$11,AT22))),CODES!$A$13,IF(OR(AT22&lt;AT$63,ISNUMBER(AT22)=FALSE),AT$64,AT22))))</f>
      </c>
      <c r="AU74" s="9" t="str">
        <f>IF(ISBLANK(AU22),"NO DATA",IF(ISNUMBER(FIND(CODES!$A$12,AU22)),CODES!$A$12,IF(OR(ISNUMBER(FIND(CODES!$A$10,AU22)),ISNUMBER(FIND(CODES!$A$11,AU22))),CODES!$A$13,IF(OR(AU22&lt;AU$63,ISNUMBER(AU22)=FALSE),AU$64,AU22))))</f>
      </c>
      <c r="AV74" s="9" t="str">
        <f>IF(ISBLANK(AV22),"NO DATA",IF(ISNUMBER(FIND(CODES!$A$12,AV22)),CODES!$A$12,IF(OR(ISNUMBER(FIND(CODES!$A$10,AV22)),ISNUMBER(FIND(CODES!$A$11,AV22))),CODES!$A$13,IF(OR(AV22&lt;AV$63,ISNUMBER(AV22)=FALSE),AV$64,AV22))))</f>
      </c>
      <c r="AW74" s="9" t="str">
        <f>IF(ISBLANK(AW22),"NO DATA",IF(ISNUMBER(FIND(CODES!$A$12,AW22)),CODES!$A$12,IF(OR(ISNUMBER(FIND(CODES!$A$10,AW22)),ISNUMBER(FIND(CODES!$A$11,AW22))),CODES!$A$13,IF(OR(AW22&lt;AW$63,ISNUMBER(AW22)=FALSE),AW$64,AW22))))</f>
      </c>
      <c r="AX74" s="9" t="str">
        <f>IF(ISBLANK(AX22),"NO DATA",IF(ISNUMBER(FIND(CODES!$A$12,AX22)),CODES!$A$12,IF(OR(ISNUMBER(FIND(CODES!$A$10,AX22)),ISNUMBER(FIND(CODES!$A$11,AX22))),CODES!$A$13,IF(OR(AX22&lt;AX$63,ISNUMBER(AX22)=FALSE),AX$64,AX22))))</f>
      </c>
      <c r="AY74" s="9" t="str">
        <f>IF(ISBLANK(AY22),"NO DATA",IF(ISNUMBER(FIND(CODES!$A$12,AY22)),CODES!$A$12,IF(OR(ISNUMBER(FIND(CODES!$A$10,AY22)),ISNUMBER(FIND(CODES!$A$11,AY22))),CODES!$A$13,IF(OR(AY22&lt;AY$63,ISNUMBER(AY22)=FALSE),AY$64,AY22))))</f>
      </c>
      <c r="AZ74" s="9">
        <f>IF(ISBLANK(AZ22),"NO DATA",IF(ISNUMBER(FIND(CODES!$A$12,AZ22)),CODES!$A$12,IF(OR(ISNUMBER(FIND(CODES!$A$10,AZ22)),ISNUMBER(FIND(CODES!$A$11,AZ22))),CODES!$A$13,IF(OR(AZ22&lt;AZ$63,ISNUMBER(AZ22)=FALSE),AZ$64,AZ22))))</f>
      </c>
      <c r="BA74" s="9">
        <f>IF(ISBLANK(BA22),"NO DATA",IF(ISNUMBER(FIND(CODES!$A$12,BA22)),CODES!$A$12,IF(OR(ISNUMBER(FIND(CODES!$A$10,BA22)),ISNUMBER(FIND(CODES!$A$11,BA22))),CODES!$A$13,IF(OR(BA22&lt;BA$63,ISNUMBER(BA22)=FALSE),BA$64,BA22))))</f>
      </c>
      <c r="BB74" s="9">
        <f>IF(ISBLANK(BB22),"NO DATA",IF(ISNUMBER(FIND(CODES!$A$12,BB22)),CODES!$A$12,IF(OR(ISNUMBER(FIND(CODES!$A$10,BB22)),ISNUMBER(FIND(CODES!$A$11,BB22))),CODES!$A$13,IF(OR(BB22&lt;BB$63,ISNUMBER(BB22)=FALSE),BB$64,BB22))))</f>
      </c>
      <c r="BC74" s="9" t="str">
        <f>IF(ISBLANK(BC22),"NO DATA",IF(ISNUMBER(FIND(CODES!$A$12,BC22)),CODES!$A$12,IF(OR(ISNUMBER(FIND(CODES!$A$10,BC22)),ISNUMBER(FIND(CODES!$A$11,BC22))),CODES!$A$13,IF(OR(BC22&lt;BC$63,ISNUMBER(BC22)=FALSE),BC$64,BC22))))</f>
      </c>
      <c r="BD74" s="9" t="str">
        <f>IF(ISBLANK(BD22),"NO DATA",IF(ISNUMBER(FIND(CODES!$A$12,BD22)),CODES!$A$12,IF(OR(ISNUMBER(FIND(CODES!$A$10,BD22)),ISNUMBER(FIND(CODES!$A$11,BD22))),CODES!$A$13,IF(OR(BD22&lt;BD$63,ISNUMBER(BD22)=FALSE),BD$64,BD22))))</f>
      </c>
      <c r="BE74" s="9" t="str">
        <f>IF(ISBLANK(BE22),"NO DATA",IF(ISNUMBER(FIND(CODES!$A$12,BE22)),CODES!$A$12,IF(OR(ISNUMBER(FIND(CODES!$A$10,BE22)),ISNUMBER(FIND(CODES!$A$11,BE22))),CODES!$A$13,IF(OR(BE22&lt;BE$63,ISNUMBER(BE22)=FALSE),BE$64,BE22))))</f>
      </c>
      <c r="BF74" s="9">
        <f>IF(ISBLANK(BF22),"NO DATA",IF(ISNUMBER(FIND(CODES!$A$12,BF22)),CODES!$A$12,IF(OR(ISNUMBER(FIND(CODES!$A$10,BF22)),ISNUMBER(FIND(CODES!$A$11,BF22))),CODES!$A$13,IF(OR(BF22&lt;BF$63,ISNUMBER(BF22)=FALSE),BF$64,BF22))))</f>
      </c>
      <c r="BG74" s="9">
        <f>IF(ISBLANK(BG22),"NO DATA",IF(ISNUMBER(FIND(CODES!$A$12,BG22)),CODES!$A$12,IF(OR(ISNUMBER(FIND(CODES!$A$10,BG22)),ISNUMBER(FIND(CODES!$A$11,BG22))),CODES!$A$13,IF(OR(BG22&lt;BG$63,ISNUMBER(BG22)=FALSE),BG$64,BG22))))</f>
      </c>
      <c r="BH74" s="9" t="str">
        <f>IF(ISBLANK(BH22),"NO DATA",IF(ISNUMBER(FIND(CODES!$A$12,BH22)),CODES!$A$12,IF(OR(ISNUMBER(FIND(CODES!$A$10,BH22)),ISNUMBER(FIND(CODES!$A$11,BH22))),CODES!$A$13,IF(OR(BH22&lt;BH$63,ISNUMBER(BH22)=FALSE),BH$64,BH22))))</f>
      </c>
      <c r="BI74" s="9" t="str">
        <f>IF(ISBLANK(BI22),"NO DATA",IF(ISNUMBER(FIND(CODES!$A$12,BI22)),CODES!$A$12,IF(OR(ISNUMBER(FIND(CODES!$A$10,BI22)),ISNUMBER(FIND(CODES!$A$11,BI22))),CODES!$A$13,IF(OR(BI22&lt;BI$63,ISNUMBER(BI22)=FALSE),BI$64,BI22))))</f>
      </c>
      <c r="BJ74" s="9" t="str">
        <f>IF(ISBLANK(BJ22),"NO DATA",IF(ISNUMBER(FIND(CODES!$A$12,BJ22)),CODES!$A$12,IF(OR(ISNUMBER(FIND(CODES!$A$10,BJ22)),ISNUMBER(FIND(CODES!$A$11,BJ22))),CODES!$A$13,IF(OR(BJ22&lt;BJ$63,ISNUMBER(BJ22)=FALSE),BJ$64,BJ22))))</f>
      </c>
      <c r="BK74" s="9" t="str">
        <f>IF(ISBLANK(BK22),"NO DATA",IF(ISNUMBER(FIND(CODES!$A$12,BK22)),CODES!$A$12,IF(OR(ISNUMBER(FIND(CODES!$A$10,BK22)),ISNUMBER(FIND(CODES!$A$11,BK22))),CODES!$A$13,IF(OR(BK22&lt;BK$63,ISNUMBER(BK22)=FALSE),BK$64,BK22))))</f>
      </c>
      <c r="BL74" s="9" t="str">
        <f>IF(ISBLANK(BL22),"NO DATA",IF(ISNUMBER(FIND(CODES!$A$12,BL22)),CODES!$A$12,IF(OR(ISNUMBER(FIND(CODES!$A$10,BL22)),ISNUMBER(FIND(CODES!$A$11,BL22))),CODES!$A$13,IF(OR(BL22&lt;BL$63,ISNUMBER(BL22)=FALSE),BL$64,BL22))))</f>
      </c>
      <c r="BM74" s="9" t="str">
        <f>IF(ISBLANK(BM22),"NO DATA",IF(ISNUMBER(FIND(CODES!$A$12,BM22)),CODES!$A$12,IF(OR(ISNUMBER(FIND(CODES!$A$10,BM22)),ISNUMBER(FIND(CODES!$A$11,BM22))),CODES!$A$13,IF(OR(BM22&lt;BM$63,ISNUMBER(BM22)=FALSE),BM$64,BM22))))</f>
      </c>
      <c r="BN74" s="9" t="str">
        <f>IF(ISBLANK(BN22),"NO DATA",IF(ISNUMBER(FIND(CODES!$A$12,BN22)),CODES!$A$12,IF(OR(ISNUMBER(FIND(CODES!$A$10,BN22)),ISNUMBER(FIND(CODES!$A$11,BN22))),CODES!$A$13,IF(OR(BN22&lt;BN$63,ISNUMBER(BN22)=FALSE),BN$64,BN22))))</f>
      </c>
      <c r="BO74" s="9" t="str">
        <f>IF(ISBLANK(BO22),"NO DATA",IF(ISNUMBER(FIND(CODES!$A$12,BO22)),CODES!$A$12,IF(OR(ISNUMBER(FIND(CODES!$A$10,BO22)),ISNUMBER(FIND(CODES!$A$11,BO22))),CODES!$A$13,IF(OR(BO22&lt;BO$63,ISNUMBER(BO22)=FALSE),BO$64,BO22))))</f>
      </c>
      <c r="BP74" s="9">
        <f>IF(ISBLANK(BP22),"NO DATA",IF(ISNUMBER(FIND(CODES!$A$12,BP22)),CODES!$A$12,IF(OR(ISNUMBER(FIND(CODES!$A$10,BP22)),ISNUMBER(FIND(CODES!$A$11,BP22))),CODES!$A$13,IF(OR(BP22&lt;BP$63,ISNUMBER(BP22)=FALSE),BP$64,BP22))))</f>
      </c>
      <c r="BQ74" s="9" t="str">
        <f>IF(ISBLANK(BQ22),"NO DATA",IF(ISNUMBER(FIND(CODES!$A$12,BQ22)),CODES!$A$12,IF(OR(ISNUMBER(FIND(CODES!$A$10,BQ22)),ISNUMBER(FIND(CODES!$A$11,BQ22))),CODES!$A$13,IF(OR(BQ22&lt;BQ$63,ISNUMBER(BQ22)=FALSE),BQ$64,BQ22))))</f>
      </c>
      <c r="BR74" s="9" t="str">
        <f>IF(ISBLANK(BR22),"NO DATA",IF(ISNUMBER(FIND(CODES!$A$12,BR22)),CODES!$A$12,IF(OR(ISNUMBER(FIND(CODES!$A$10,BR22)),ISNUMBER(FIND(CODES!$A$11,BR22))),CODES!$A$13,IF(OR(BR22&lt;BR$63,ISNUMBER(BR22)=FALSE),BR$64,BR22))))</f>
      </c>
      <c r="BS74" s="9">
        <f>IF(ISBLANK(BS22),"NO DATA",IF(ISNUMBER(FIND(CODES!$A$12,BS22)),CODES!$A$12,IF(OR(ISNUMBER(FIND(CODES!$A$10,BS22)),ISNUMBER(FIND(CODES!$A$11,BS22))),CODES!$A$13,IF(OR(BS22&lt;BS$63,ISNUMBER(BS22)=FALSE),BS$64,BS22))))</f>
      </c>
      <c r="BT74" s="9">
        <f>IF(ISBLANK(BT22),"NO DATA",IF(ISNUMBER(FIND(CODES!$A$12,BT22)),CODES!$A$12,IF(OR(ISNUMBER(FIND(CODES!$A$10,BT22)),ISNUMBER(FIND(CODES!$A$11,BT22))),CODES!$A$13,IF(OR(BT22&lt;BT$63,ISNUMBER(BT22)=FALSE),BT$64,BT22))))</f>
      </c>
      <c r="BU74" s="9" t="str">
        <f>IF(ISBLANK(BU22),"NO DATA",IF(ISNUMBER(FIND(CODES!$A$12,BU22)),CODES!$A$12,IF(OR(ISNUMBER(FIND(CODES!$A$10,BU22)),ISNUMBER(FIND(CODES!$A$11,BU22))),CODES!$A$13,IF(OR(BU22&lt;BU$63,ISNUMBER(BU22)=FALSE),BU$64,BU22))))</f>
      </c>
      <c r="BV74" s="9" t="str">
        <f>IF(ISBLANK(BV22),"NO DATA",IF(ISNUMBER(FIND(CODES!$A$12,BV22)),CODES!$A$12,IF(OR(ISNUMBER(FIND(CODES!$A$10,BV22)),ISNUMBER(FIND(CODES!$A$11,BV22))),CODES!$A$13,IF(OR(BV22&lt;BV$63,ISNUMBER(BV22)=FALSE),BV$64,BV22))))</f>
      </c>
      <c r="BW74" s="9" t="str">
        <f>IF(ISBLANK(BW22),"NO DATA",IF(ISNUMBER(FIND(CODES!$A$12,BW22)),CODES!$A$12,IF(OR(ISNUMBER(FIND(CODES!$A$10,BW22)),ISNUMBER(FIND(CODES!$A$11,BW22))),CODES!$A$13,IF(OR(BW22&lt;BW$63,ISNUMBER(BW22)=FALSE),BW$64,BW22))))</f>
      </c>
      <c r="BX74" s="9" t="str">
        <f>IF(ISBLANK(BX22),"NO DATA",IF(ISNUMBER(FIND(CODES!$A$12,BX22)),CODES!$A$12,IF(OR(ISNUMBER(FIND(CODES!$A$10,BX22)),ISNUMBER(FIND(CODES!$A$11,BX22))),CODES!$A$13,IF(OR(BX22&lt;BX$63,ISNUMBER(BX22)=FALSE),BX$64,BX22))))</f>
      </c>
      <c r="BY74" s="9" t="str">
        <f>IF(ISBLANK(BY22),"NO DATA",IF(ISNUMBER(FIND(CODES!$A$12,BY22)),CODES!$A$12,IF(OR(ISNUMBER(FIND(CODES!$A$10,BY22)),ISNUMBER(FIND(CODES!$A$11,BY22))),CODES!$A$13,IF(OR(BY22&lt;BY$63,ISNUMBER(BY22)=FALSE),BY$64,BY22))))</f>
      </c>
      <c r="BZ74" s="9" t="str">
        <f>IF(ISBLANK(BZ22),"NO DATA",IF(ISNUMBER(FIND(CODES!$A$12,BZ22)),CODES!$A$12,IF(OR(ISNUMBER(FIND(CODES!$A$10,BZ22)),ISNUMBER(FIND(CODES!$A$11,BZ22))),CODES!$A$13,IF(OR(BZ22&lt;BZ$63,ISNUMBER(BZ22)=FALSE),BZ$64,BZ22))))</f>
      </c>
      <c r="CA74" s="9" t="str">
        <f>IF(ISBLANK(CA22),"NO DATA",IF(ISNUMBER(FIND(CODES!$A$12,CA22)),CODES!$A$12,IF(OR(ISNUMBER(FIND(CODES!$A$10,CA22)),ISNUMBER(FIND(CODES!$A$11,CA22))),CODES!$A$13,IF(OR(CA22&lt;CA$63,ISNUMBER(CA22)=FALSE),CA$64,CA22))))</f>
      </c>
      <c r="CB74" s="9" t="str">
        <f>IF(ISBLANK(CB22),"NO DATA",IF(ISNUMBER(FIND(CODES!$A$12,CB22)),CODES!$A$12,IF(OR(ISNUMBER(FIND(CODES!$A$10,CB22)),ISNUMBER(FIND(CODES!$A$11,CB22))),CODES!$A$13,IF(OR(CB22&lt;CB$63,ISNUMBER(CB22)=FALSE),CB$64,CB22))))</f>
      </c>
      <c r="CC74" s="9" t="str">
        <f>IF(ISBLANK(CC22),"NO DATA",IF(ISNUMBER(FIND(CODES!$A$12,CC22)),CODES!$A$12,IF(OR(ISNUMBER(FIND(CODES!$A$10,CC22)),ISNUMBER(FIND(CODES!$A$11,CC22))),CODES!$A$13,IF(OR(CC22&lt;CC$63,ISNUMBER(CC22)=FALSE),CC$64,CC22))))</f>
      </c>
      <c r="CD74" s="9" t="str">
        <f>IF(ISBLANK(CD22),"NO DATA",IF(ISNUMBER(FIND(CODES!$A$12,CD22)),CODES!$A$12,IF(OR(ISNUMBER(FIND(CODES!$A$10,CD22)),ISNUMBER(FIND(CODES!$A$11,CD22))),CODES!$A$13,IF(OR(CD22&lt;CD$63,ISNUMBER(CD22)=FALSE),CD$64,CD22))))</f>
      </c>
      <c r="CE74" s="9" t="str">
        <f>IF(ISBLANK(CE22),"NO DATA",IF(ISNUMBER(FIND(CODES!$A$12,CE22)),CODES!$A$12,IF(OR(ISNUMBER(FIND(CODES!$A$10,CE22)),ISNUMBER(FIND(CODES!$A$11,CE22))),CODES!$A$13,IF(OR(CE22&lt;CE$63,ISNUMBER(CE22)=FALSE),CE$64,CE22))))</f>
      </c>
      <c r="CF74" s="9">
        <f>IF(ISBLANK(CF22),"NO DATA",IF(ISNUMBER(FIND(CODES!$A$12,CF22)),CODES!$A$12,IF(OR(ISNUMBER(FIND(CODES!$A$10,CF22)),ISNUMBER(FIND(CODES!$A$11,CF22))),CODES!$A$13,IF(OR(CF22&lt;CF$63,ISNUMBER(CF22)=FALSE),CF$64,CF22))))</f>
      </c>
      <c r="CG74" s="9">
        <f>IF(ISBLANK(CG22),"NO DATA",IF(ISNUMBER(FIND(CODES!$A$12,CG22)),CODES!$A$12,IF(OR(ISNUMBER(FIND(CODES!$A$10,CG22)),ISNUMBER(FIND(CODES!$A$11,CG22))),CODES!$A$13,IF(OR(CG22&lt;CG$63,ISNUMBER(CG22)=FALSE),CG$64,CG22))))</f>
      </c>
      <c r="CH74" s="9">
        <f>IF(ISBLANK(CH22),"NO DATA",IF(ISNUMBER(FIND(CODES!$A$12,CH22)),CODES!$A$12,IF(OR(ISNUMBER(FIND(CODES!$A$10,CH22)),ISNUMBER(FIND(CODES!$A$11,CH22))),CODES!$A$13,IF(OR(CH22&lt;CH$63,ISNUMBER(CH22)=FALSE),CH$64,CH22))))</f>
      </c>
      <c r="CI74" s="9" t="str">
        <f>IF(ISBLANK(CI22),"NO DATA",IF(ISNUMBER(FIND(CODES!$A$12,CI22)),CODES!$A$12,IF(OR(ISNUMBER(FIND(CODES!$A$10,CI22)),ISNUMBER(FIND(CODES!$A$11,CI22))),CODES!$A$13,IF(OR(CI22&lt;CI$63,ISNUMBER(CI22)=FALSE),CI$64,CI22))))</f>
      </c>
      <c r="CJ74" s="9" t="str">
        <f>IF(ISBLANK(CJ22),"NO DATA",IF(ISNUMBER(FIND(CODES!$A$12,CJ22)),CODES!$A$12,IF(OR(ISNUMBER(FIND(CODES!$A$10,CJ22)),ISNUMBER(FIND(CODES!$A$11,CJ22))),CODES!$A$13,IF(OR(CJ22&lt;CJ$63,ISNUMBER(CJ22)=FALSE),CJ$64,CJ22))))</f>
      </c>
      <c r="CK74" s="9" t="str">
        <f>IF(ISBLANK(CK22),"NO DATA",IF(ISNUMBER(FIND(CODES!$A$12,CK22)),CODES!$A$12,IF(OR(ISNUMBER(FIND(CODES!$A$10,CK22)),ISNUMBER(FIND(CODES!$A$11,CK22))),CODES!$A$13,IF(OR(CK22&lt;CK$63,ISNUMBER(CK22)=FALSE),CK$64,CK22))))</f>
      </c>
      <c r="CL74" s="9" t="str">
        <f>IF(ISBLANK(CL22),"NO DATA",IF(ISNUMBER(FIND(CODES!$A$12,CL22)),CODES!$A$12,IF(OR(ISNUMBER(FIND(CODES!$A$10,CL22)),ISNUMBER(FIND(CODES!$A$11,CL22))),CODES!$A$13,IF(OR(CL22&lt;CL$63,ISNUMBER(CL22)=FALSE),CL$64,CL22))))</f>
      </c>
      <c r="CM74" s="9" t="str">
        <f>IF(ISBLANK(CM22),"NO DATA",IF(ISNUMBER(FIND(CODES!$A$12,CM22)),CODES!$A$12,IF(OR(ISNUMBER(FIND(CODES!$A$10,CM22)),ISNUMBER(FIND(CODES!$A$11,CM22))),CODES!$A$13,IF(OR(CM22&lt;CM$63,ISNUMBER(CM22)=FALSE),CM$64,CM22))))</f>
      </c>
      <c r="CN74" s="9" t="str">
        <f>IF(ISBLANK(CN22),"NO DATA",IF(ISNUMBER(FIND(CODES!$A$12,CN22)),CODES!$A$12,IF(OR(ISNUMBER(FIND(CODES!$A$10,CN22)),ISNUMBER(FIND(CODES!$A$11,CN22))),CODES!$A$13,IF(OR(CN22&lt;CN$63,ISNUMBER(CN22)=FALSE),CN$64,CN22))))</f>
      </c>
      <c r="CO74" s="9" t="str">
        <f>IF(ISBLANK(CO22),"NO DATA",IF(ISNUMBER(FIND(CODES!$A$12,CO22)),CODES!$A$12,IF(OR(ISNUMBER(FIND(CODES!$A$10,CO22)),ISNUMBER(FIND(CODES!$A$11,CO22))),CODES!$A$13,IF(OR(CO22&lt;CO$63,ISNUMBER(CO22)=FALSE),CO$64,CO22))))</f>
      </c>
      <c r="CP74" s="9" t="str">
        <f>IF(ISBLANK(CP22),"NO DATA",IF(ISNUMBER(FIND(CODES!$A$12,CP22)),CODES!$A$12,IF(OR(ISNUMBER(FIND(CODES!$A$10,CP22)),ISNUMBER(FIND(CODES!$A$11,CP22))),CODES!$A$13,IF(OR(CP22&lt;CP$63,ISNUMBER(CP22)=FALSE),CP$64,CP22))))</f>
      </c>
      <c r="CQ74" s="9" t="str">
        <f>IF(ISBLANK(CQ22),"NO DATA",IF(ISNUMBER(FIND(CODES!$A$12,CQ22)),CODES!$A$12,IF(OR(ISNUMBER(FIND(CODES!$A$10,CQ22)),ISNUMBER(FIND(CODES!$A$11,CQ22))),CODES!$A$13,IF(OR(CQ22&lt;CQ$63,ISNUMBER(CQ22)=FALSE),CQ$64,CQ22))))</f>
      </c>
      <c r="CR74" s="9" t="str">
        <f>IF(ISBLANK(CR22),"NO DATA",IF(ISNUMBER(FIND(CODES!$A$12,CR22)),CODES!$A$12,IF(OR(ISNUMBER(FIND(CODES!$A$10,CR22)),ISNUMBER(FIND(CODES!$A$11,CR22))),CODES!$A$13,IF(OR(CR22&lt;CR$63,ISNUMBER(CR22)=FALSE),CR$64,CR22))))</f>
      </c>
      <c r="CS74" s="9" t="str">
        <f>IF(ISBLANK(CS22),"NO DATA",IF(ISNUMBER(FIND(CODES!$A$12,CS22)),CODES!$A$12,IF(OR(ISNUMBER(FIND(CODES!$A$10,CS22)),ISNUMBER(FIND(CODES!$A$11,CS22))),CODES!$A$13,IF(OR(CS22&lt;CS$63,ISNUMBER(CS22)=FALSE),CS$64,CS22))))</f>
      </c>
      <c r="CT74" s="9" t="str">
        <f>IF(ISBLANK(CT22),"NO DATA",IF(ISNUMBER(FIND(CODES!$A$12,CT22)),CODES!$A$12,IF(OR(ISNUMBER(FIND(CODES!$A$10,CT22)),ISNUMBER(FIND(CODES!$A$11,CT22))),CODES!$A$13,IF(OR(CT22&lt;CT$63,ISNUMBER(CT22)=FALSE),CT$64,CT22))))</f>
      </c>
      <c r="CU74" s="9" t="str">
        <f>IF(ISBLANK(CU22),"NO DATA",IF(ISNUMBER(FIND(CODES!$A$12,CU22)),CODES!$A$12,IF(OR(ISNUMBER(FIND(CODES!$A$10,CU22)),ISNUMBER(FIND(CODES!$A$11,CU22))),CODES!$A$13,IF(OR(CU22&lt;CU$63,ISNUMBER(CU22)=FALSE),CU$64,CU22))))</f>
      </c>
      <c r="CV74" s="9">
        <f>IF(ISBLANK(CV22),"NO DATA",IF(ISNUMBER(FIND(CODES!$A$12,CV22)),CODES!$A$12,IF(OR(ISNUMBER(FIND(CODES!$A$10,CV22)),ISNUMBER(FIND(CODES!$A$11,CV22))),CODES!$A$13,IF(OR(CV22&lt;CV$63,ISNUMBER(CV22)=FALSE),CV$64,CV22))))</f>
      </c>
      <c r="CW74" s="9" t="str">
        <f>IF(ISBLANK(CW22),"NO DATA",IF(ISNUMBER(FIND(CODES!$A$12,CW22)),CODES!$A$12,IF(OR(ISNUMBER(FIND(CODES!$A$10,CW22)),ISNUMBER(FIND(CODES!$A$11,CW22))),CODES!$A$13,IF(OR(CW22&lt;CW$63,ISNUMBER(CW22)=FALSE),CW$64,CW22))))</f>
      </c>
      <c r="CX74" s="9">
        <f>IF(ISBLANK(CX22),"NO DATA",IF(ISNUMBER(FIND(CODES!$A$12,CX22)),CODES!$A$12,IF(OR(ISNUMBER(FIND(CODES!$A$10,CX22)),ISNUMBER(FIND(CODES!$A$11,CX22))),CODES!$A$13,IF(OR(CX22&lt;CX$63,ISNUMBER(CX22)=FALSE),CX$64,CX22))))</f>
      </c>
      <c r="CY74" s="9">
        <f>IF(ISBLANK(CY22),"NO DATA",IF(ISNUMBER(FIND(CODES!$A$12,CY22)),CODES!$A$12,IF(OR(ISNUMBER(FIND(CODES!$A$10,CY22)),ISNUMBER(FIND(CODES!$A$11,CY22))),CODES!$A$13,IF(OR(CY22&lt;CY$63,ISNUMBER(CY22)=FALSE),CY$64,CY22))))</f>
      </c>
      <c r="CZ74" s="9" t="str">
        <f>IF(ISBLANK(CZ22),"NO DATA",IF(ISNUMBER(FIND(CODES!$A$12,CZ22)),CODES!$A$12,IF(OR(ISNUMBER(FIND(CODES!$A$10,CZ22)),ISNUMBER(FIND(CODES!$A$11,CZ22))),CODES!$A$13,IF(OR(CZ22&lt;CZ$63,ISNUMBER(CZ22)=FALSE),CZ$64,CZ22))))</f>
      </c>
      <c r="DA74" s="9" t="str">
        <f>IF(ISBLANK(DA22),"NO DATA",IF(ISNUMBER(FIND(CODES!$A$12,DA22)),CODES!$A$12,IF(OR(ISNUMBER(FIND(CODES!$A$10,DA22)),ISNUMBER(FIND(CODES!$A$11,DA22))),CODES!$A$13,IF(OR(DA22&lt;DA$63,ISNUMBER(DA22)=FALSE),DA$64,DA22))))</f>
      </c>
      <c r="DB74" s="9" t="str">
        <f>IF(ISBLANK(DB22),"NO DATA",IF(ISNUMBER(FIND(CODES!$A$12,DB22)),CODES!$A$12,IF(OR(ISNUMBER(FIND(CODES!$A$10,DB22)),ISNUMBER(FIND(CODES!$A$11,DB22))),CODES!$A$13,IF(OR(DB22&lt;DB$63,ISNUMBER(DB22)=FALSE),DB$64,DB22))))</f>
      </c>
      <c r="DC74" s="9" t="str">
        <f>IF(ISBLANK(DC22),"NO DATA",IF(ISNUMBER(FIND(CODES!$A$12,DC22)),CODES!$A$12,IF(OR(ISNUMBER(FIND(CODES!$A$10,DC22)),ISNUMBER(FIND(CODES!$A$11,DC22))),CODES!$A$13,IF(OR(DC22&lt;DC$63,ISNUMBER(DC22)=FALSE),DC$64,DC22))))</f>
      </c>
      <c r="DD74" s="9" t="str">
        <f>IF(ISBLANK(DD22),"NO DATA",IF(ISNUMBER(FIND(CODES!$A$12,DD22)),CODES!$A$12,IF(OR(ISNUMBER(FIND(CODES!$A$10,DD22)),ISNUMBER(FIND(CODES!$A$11,DD22))),CODES!$A$13,IF(OR(DD22&lt;DD$63,ISNUMBER(DD22)=FALSE),DD$64,DD22))))</f>
      </c>
      <c r="DE74" s="9" t="str">
        <f>IF(ISBLANK(DE22),"NO DATA",IF(ISNUMBER(FIND(CODES!$A$12,DE22)),CODES!$A$12,IF(OR(ISNUMBER(FIND(CODES!$A$10,DE22)),ISNUMBER(FIND(CODES!$A$11,DE22))),CODES!$A$13,IF(OR(DE22&lt;DE$63,ISNUMBER(DE22)=FALSE),DE$64,DE22))))</f>
      </c>
      <c r="DF74" s="9">
        <f>IF(ISBLANK(DF22),"NO DATA",IF(ISNUMBER(FIND(CODES!$A$12,DF22)),CODES!$A$12,IF(OR(ISNUMBER(FIND(CODES!$A$10,DF22)),ISNUMBER(FIND(CODES!$A$11,DF22))),CODES!$A$13,IF(OR(DF22&lt;DF$63,ISNUMBER(DF22)=FALSE),DF$64,DF22))))</f>
      </c>
      <c r="DG74" s="9">
        <f>IF(ISBLANK(DG22),"NO DATA",IF(ISNUMBER(FIND(CODES!$A$12,DG22)),CODES!$A$12,IF(OR(ISNUMBER(FIND(CODES!$A$10,DG22)),ISNUMBER(FIND(CODES!$A$11,DG22))),CODES!$A$13,IF(OR(DG22&lt;DG$63,ISNUMBER(DG22)=FALSE),DG$64,DG22))))</f>
      </c>
      <c r="DH74" s="9" t="str">
        <f>IF(ISBLANK(DH22),"NO DATA",IF(ISNUMBER(FIND(CODES!$A$12,DH22)),CODES!$A$12,IF(OR(ISNUMBER(FIND(CODES!$A$10,DH22)),ISNUMBER(FIND(CODES!$A$11,DH22))),CODES!$A$13,IF(OR(DH22&lt;DH$63,ISNUMBER(DH22)=FALSE),DH$64,DH22))))</f>
      </c>
      <c r="DI74" s="9" t="str">
        <f>IF(ISBLANK(DI22),"NO DATA",IF(ISNUMBER(FIND(CODES!$A$12,DI22)),CODES!$A$12,IF(OR(ISNUMBER(FIND(CODES!$A$10,DI22)),ISNUMBER(FIND(CODES!$A$11,DI22))),CODES!$A$13,IF(OR(DI22&lt;DI$63,ISNUMBER(DI22)=FALSE),DI$64,DI22))))</f>
      </c>
    </row>
    <row r="75" spans="1:113" x14ac:dyDescent="0.25">
      <c r="A75" s="20" t="str">
        <f t="shared" si="4"/>
      </c>
      <c r="B75" s="20" t="str">
        <f t="shared" si="4"/>
      </c>
      <c r="C75" s="9" t="str">
        <f>IF(ISBLANK(C23),"NO DATA",IF(ISNUMBER(FIND(CODES!$A$12,C23)),CODES!$A$12,IF(OR(ISNUMBER(FIND(CODES!$A$10,C23)),ISNUMBER(FIND(CODES!$A$11,C23))),CODES!$A$13,IF(OR(C23&lt;C$63,ISNUMBER(C23)=FALSE),C$64,C23))))</f>
      </c>
      <c r="D75" s="9" t="str">
        <f>IF(ISBLANK(D23),"NO DATA",IF(ISNUMBER(FIND(CODES!$A$12,D23)),CODES!$A$12,IF(OR(ISNUMBER(FIND(CODES!$A$10,D23)),ISNUMBER(FIND(CODES!$A$11,D23))),CODES!$A$13,IF(OR(D23&lt;D$63,ISNUMBER(D23)=FALSE),D$64,D23))))</f>
      </c>
      <c r="E75" s="9" t="str">
        <f>IF(ISBLANK(E23),"NO DATA",IF(ISNUMBER(FIND(CODES!$A$12,E23)),CODES!$A$12,IF(OR(ISNUMBER(FIND(CODES!$A$10,E23)),ISNUMBER(FIND(CODES!$A$11,E23))),CODES!$A$13,IF(OR(E23&lt;E$63,ISNUMBER(E23)=FALSE),E$64,E23))))</f>
      </c>
      <c r="F75" s="9" t="str">
        <f>IF(ISBLANK(F23),"NO DATA",IF(ISNUMBER(FIND(CODES!$A$12,F23)),CODES!$A$12,IF(OR(ISNUMBER(FIND(CODES!$A$10,F23)),ISNUMBER(FIND(CODES!$A$11,F23))),CODES!$A$13,IF(OR(F23&lt;F$63,ISNUMBER(F23)=FALSE),F$64,F23))))</f>
      </c>
      <c r="G75" s="9" t="str">
        <f>IF(ISBLANK(G23),"NO DATA",IF(ISNUMBER(FIND(CODES!$A$12,G23)),CODES!$A$12,IF(OR(ISNUMBER(FIND(CODES!$A$10,G23)),ISNUMBER(FIND(CODES!$A$11,G23))),CODES!$A$13,IF(OR(G23&lt;G$63,ISNUMBER(G23)=FALSE),G$64,G23))))</f>
      </c>
      <c r="H75" s="9">
        <f>IF(ISBLANK(H23),"NO DATA",IF(ISNUMBER(FIND(CODES!$A$12,H23)),CODES!$A$12,IF(OR(ISNUMBER(FIND(CODES!$A$10,H23)),ISNUMBER(FIND(CODES!$A$11,H23))),CODES!$A$13,IF(OR(H23&lt;H$63,ISNUMBER(H23)=FALSE),H$64,H23))))</f>
      </c>
      <c r="I75" s="9">
        <f>IF(ISBLANK(I23),"NO DATA",IF(ISNUMBER(FIND(CODES!$A$12,I23)),CODES!$A$12,IF(OR(ISNUMBER(FIND(CODES!$A$10,I23)),ISNUMBER(FIND(CODES!$A$11,I23))),CODES!$A$13,IF(OR(I23&lt;I$63,ISNUMBER(I23)=FALSE),I$64,I23))))</f>
      </c>
      <c r="J75" s="9">
        <f>IF(ISBLANK(J23),"NO DATA",IF(ISNUMBER(FIND(CODES!$A$12,J23)),CODES!$A$12,IF(OR(ISNUMBER(FIND(CODES!$A$10,J23)),ISNUMBER(FIND(CODES!$A$11,J23))),CODES!$A$13,IF(OR(J23&lt;J$63,ISNUMBER(J23)=FALSE),J$64,J23))))</f>
      </c>
      <c r="K75" s="9">
        <f>IF(ISBLANK(K23),"NO DATA",IF(ISNUMBER(FIND(CODES!$A$12,K23)),CODES!$A$12,IF(OR(ISNUMBER(FIND(CODES!$A$10,K23)),ISNUMBER(FIND(CODES!$A$11,K23))),CODES!$A$13,IF(OR(K23&lt;K$63,ISNUMBER(K23)=FALSE),K$64,K23))))</f>
      </c>
      <c r="L75" s="9" t="str">
        <f>IF(ISBLANK(L23),"NO DATA",IF(ISNUMBER(FIND(CODES!$A$12,L23)),CODES!$A$12,IF(OR(ISNUMBER(FIND(CODES!$A$10,L23)),ISNUMBER(FIND(CODES!$A$11,L23))),CODES!$A$13,IF(OR(L23&lt;L$63,ISNUMBER(L23)=FALSE),L$64,L23))))</f>
      </c>
      <c r="M75" s="9" t="str">
        <f>IF(ISBLANK(M23),"NO DATA",IF(ISNUMBER(FIND(CODES!$A$12,M23)),CODES!$A$12,IF(OR(ISNUMBER(FIND(CODES!$A$10,M23)),ISNUMBER(FIND(CODES!$A$11,M23))),CODES!$A$13,IF(OR(M23&lt;M$63,ISNUMBER(M23)=FALSE),M$64,M23))))</f>
      </c>
      <c r="N75" s="9" t="str">
        <f>IF(ISBLANK(N23),"NO DATA",IF(ISNUMBER(FIND(CODES!$A$12,N23)),CODES!$A$12,IF(OR(ISNUMBER(FIND(CODES!$A$10,N23)),ISNUMBER(FIND(CODES!$A$11,N23))),CODES!$A$13,IF(OR(N23&lt;N$63,ISNUMBER(N23)=FALSE),N$64,N23))))</f>
      </c>
      <c r="O75" s="9" t="str">
        <f>IF(ISBLANK(O23),"NO DATA",IF(ISNUMBER(FIND(CODES!$A$12,O23)),CODES!$A$12,IF(OR(ISNUMBER(FIND(CODES!$A$10,O23)),ISNUMBER(FIND(CODES!$A$11,O23))),CODES!$A$13,IF(OR(O23&lt;O$63,ISNUMBER(O23)=FALSE),O$64,O23))))</f>
      </c>
      <c r="P75" s="9">
        <f>IF(ISBLANK(P23),"NO DATA",IF(ISNUMBER(FIND(CODES!$A$12,P23)),CODES!$A$12,IF(OR(ISNUMBER(FIND(CODES!$A$10,P23)),ISNUMBER(FIND(CODES!$A$11,P23))),CODES!$A$13,IF(OR(P23&lt;P$63,ISNUMBER(P23)=FALSE),P$64,P23))))</f>
      </c>
      <c r="Q75" s="9">
        <f>IF(ISBLANK(Q23),"NO DATA",IF(ISNUMBER(FIND(CODES!$A$12,Q23)),CODES!$A$12,IF(OR(ISNUMBER(FIND(CODES!$A$10,Q23)),ISNUMBER(FIND(CODES!$A$11,Q23))),CODES!$A$13,IF(OR(Q23&lt;Q$63,ISNUMBER(Q23)=FALSE),Q$64,Q23))))</f>
      </c>
      <c r="R75" s="9" t="str">
        <f>IF(ISBLANK(R23),"NO DATA",IF(ISNUMBER(FIND(CODES!$A$12,R23)),CODES!$A$12,IF(OR(ISNUMBER(FIND(CODES!$A$10,R23)),ISNUMBER(FIND(CODES!$A$11,R23))),CODES!$A$13,IF(OR(R23&lt;R$63,ISNUMBER(R23)=FALSE),R$64,R23))))</f>
      </c>
      <c r="S75" s="9" t="str">
        <f>IF(ISBLANK(S23),"NO DATA",IF(ISNUMBER(FIND(CODES!$A$12,S23)),CODES!$A$12,IF(OR(ISNUMBER(FIND(CODES!$A$10,S23)),ISNUMBER(FIND(CODES!$A$11,S23))),CODES!$A$13,IF(OR(S23&lt;S$63,ISNUMBER(S23)=FALSE),S$64,S23))))</f>
      </c>
      <c r="T75" s="9" t="str">
        <f>IF(ISBLANK(T23),"NO DATA",IF(ISNUMBER(FIND(CODES!$A$12,T23)),CODES!$A$12,IF(OR(ISNUMBER(FIND(CODES!$A$10,T23)),ISNUMBER(FIND(CODES!$A$11,T23))),CODES!$A$13,IF(OR(T23&lt;T$63,ISNUMBER(T23)=FALSE),T$64,T23))))</f>
      </c>
      <c r="U75" s="9" t="str">
        <f>IF(ISBLANK(U23),"NO DATA",IF(ISNUMBER(FIND(CODES!$A$12,U23)),CODES!$A$12,IF(OR(ISNUMBER(FIND(CODES!$A$10,U23)),ISNUMBER(FIND(CODES!$A$11,U23))),CODES!$A$13,IF(OR(U23&lt;U$63,ISNUMBER(U23)=FALSE),U$64,U23))))</f>
      </c>
      <c r="V75" s="9" t="str">
        <f>IF(ISBLANK(V23),"NO DATA",IF(ISNUMBER(FIND(CODES!$A$12,V23)),CODES!$A$12,IF(OR(ISNUMBER(FIND(CODES!$A$10,V23)),ISNUMBER(FIND(CODES!$A$11,V23))),CODES!$A$13,IF(OR(V23&lt;V$63,ISNUMBER(V23)=FALSE),V$64,V23))))</f>
      </c>
      <c r="W75" s="9" t="str">
        <f>IF(ISBLANK(W23),"NO DATA",IF(ISNUMBER(FIND(CODES!$A$12,W23)),CODES!$A$12,IF(OR(ISNUMBER(FIND(CODES!$A$10,W23)),ISNUMBER(FIND(CODES!$A$11,W23))),CODES!$A$13,IF(OR(W23&lt;W$63,ISNUMBER(W23)=FALSE),W$64,W23))))</f>
      </c>
      <c r="X75" s="9" t="str">
        <f>IF(ISBLANK(X23),"NO DATA",IF(ISNUMBER(FIND(CODES!$A$12,X23)),CODES!$A$12,IF(OR(ISNUMBER(FIND(CODES!$A$10,X23)),ISNUMBER(FIND(CODES!$A$11,X23))),CODES!$A$13,IF(OR(X23&lt;X$63,ISNUMBER(X23)=FALSE),X$64,X23))))</f>
      </c>
      <c r="Y75" s="9" t="str">
        <f>IF(ISBLANK(Y23),"NO DATA",IF(ISNUMBER(FIND(CODES!$A$12,Y23)),CODES!$A$12,IF(OR(ISNUMBER(FIND(CODES!$A$10,Y23)),ISNUMBER(FIND(CODES!$A$11,Y23))),CODES!$A$13,IF(OR(Y23&lt;Y$63,ISNUMBER(Y23)=FALSE),Y$64,Y23))))</f>
      </c>
      <c r="Z75" s="9" t="str">
        <f>IF(ISBLANK(Z23),"NO DATA",IF(ISNUMBER(FIND(CODES!$A$12,Z23)),CODES!$A$12,IF(OR(ISNUMBER(FIND(CODES!$A$10,Z23)),ISNUMBER(FIND(CODES!$A$11,Z23))),CODES!$A$13,IF(OR(Z23&lt;Z$63,ISNUMBER(Z23)=FALSE),Z$64,Z23))))</f>
      </c>
      <c r="AA75" s="9" t="str">
        <f>IF(ISBLANK(AA23),"NO DATA",IF(ISNUMBER(FIND(CODES!$A$12,AA23)),CODES!$A$12,IF(OR(ISNUMBER(FIND(CODES!$A$10,AA23)),ISNUMBER(FIND(CODES!$A$11,AA23))),CODES!$A$13,IF(OR(AA23&lt;AA$63,ISNUMBER(AA23)=FALSE),AA$64,AA23))))</f>
      </c>
      <c r="AB75" s="9" t="str">
        <f>IF(ISBLANK(AB23),"NO DATA",IF(ISNUMBER(FIND(CODES!$A$12,AB23)),CODES!$A$12,IF(OR(ISNUMBER(FIND(CODES!$A$10,AB23)),ISNUMBER(FIND(CODES!$A$11,AB23))),CODES!$A$13,IF(OR(AB23&lt;AB$63,ISNUMBER(AB23)=FALSE),AB$64,AB23))))</f>
      </c>
      <c r="AC75" s="9" t="str">
        <f>IF(ISBLANK(AC23),"NO DATA",IF(ISNUMBER(FIND(CODES!$A$12,AC23)),CODES!$A$12,IF(OR(ISNUMBER(FIND(CODES!$A$10,AC23)),ISNUMBER(FIND(CODES!$A$11,AC23))),CODES!$A$13,IF(OR(AC23&lt;AC$63,ISNUMBER(AC23)=FALSE),AC$64,AC23))))</f>
      </c>
      <c r="AD75" s="9" t="str">
        <f>IF(ISBLANK(AD23),"NO DATA",IF(ISNUMBER(FIND(CODES!$A$12,AD23)),CODES!$A$12,IF(OR(ISNUMBER(FIND(CODES!$A$10,AD23)),ISNUMBER(FIND(CODES!$A$11,AD23))),CODES!$A$13,IF(OR(AD23&lt;AD$63,ISNUMBER(AD23)=FALSE),AD$64,AD23))))</f>
      </c>
      <c r="AE75" s="9" t="str">
        <f>IF(ISBLANK(AE23),"NO DATA",IF(ISNUMBER(FIND(CODES!$A$12,AE23)),CODES!$A$12,IF(OR(ISNUMBER(FIND(CODES!$A$10,AE23)),ISNUMBER(FIND(CODES!$A$11,AE23))),CODES!$A$13,IF(OR(AE23&lt;AE$63,ISNUMBER(AE23)=FALSE),AE$64,AE23))))</f>
      </c>
      <c r="AF75" s="9" t="str">
        <f>IF(ISBLANK(AF23),"NO DATA",IF(ISNUMBER(FIND(CODES!$A$12,AF23)),CODES!$A$12,IF(OR(ISNUMBER(FIND(CODES!$A$10,AF23)),ISNUMBER(FIND(CODES!$A$11,AF23))),CODES!$A$13,IF(OR(AF23&lt;AF$63,ISNUMBER(AF23)=FALSE),AF$64,AF23))))</f>
      </c>
      <c r="AG75" s="9">
        <f>IF(ISBLANK(AG23),"NO DATA",IF(ISNUMBER(FIND(CODES!$A$12,AG23)),CODES!$A$12,IF(OR(ISNUMBER(FIND(CODES!$A$10,AG23)),ISNUMBER(FIND(CODES!$A$11,AG23))),CODES!$A$13,IF(OR(AG23&lt;AG$63,ISNUMBER(AG23)=FALSE),AG$64,AG23))))</f>
      </c>
      <c r="AH75" s="9">
        <f>IF(ISBLANK(AH23),"NO DATA",IF(ISNUMBER(FIND(CODES!$A$12,AH23)),CODES!$A$12,IF(OR(ISNUMBER(FIND(CODES!$A$10,AH23)),ISNUMBER(FIND(CODES!$A$11,AH23))),CODES!$A$13,IF(OR(AH23&lt;AH$63,ISNUMBER(AH23)=FALSE),AH$64,AH23))))</f>
      </c>
      <c r="AI75" s="9" t="str">
        <f>IF(ISBLANK(AI23),"NO DATA",IF(ISNUMBER(FIND(CODES!$A$12,AI23)),CODES!$A$12,IF(OR(ISNUMBER(FIND(CODES!$A$10,AI23)),ISNUMBER(FIND(CODES!$A$11,AI23))),CODES!$A$13,IF(OR(AI23&lt;AI$63,ISNUMBER(AI23)=FALSE),AI$64,AI23))))</f>
      </c>
      <c r="AJ75" s="9" t="str">
        <f>IF(ISBLANK(AJ23),"NO DATA",IF(ISNUMBER(FIND(CODES!$A$12,AJ23)),CODES!$A$12,IF(OR(ISNUMBER(FIND(CODES!$A$10,AJ23)),ISNUMBER(FIND(CODES!$A$11,AJ23))),CODES!$A$13,IF(OR(AJ23&lt;AJ$63,ISNUMBER(AJ23)=FALSE),AJ$64,AJ23))))</f>
      </c>
      <c r="AK75" s="9">
        <f>IF(ISBLANK(AK23),"NO DATA",IF(ISNUMBER(FIND(CODES!$A$12,AK23)),CODES!$A$12,IF(OR(ISNUMBER(FIND(CODES!$A$10,AK23)),ISNUMBER(FIND(CODES!$A$11,AK23))),CODES!$A$13,IF(OR(AK23&lt;AK$63,ISNUMBER(AK23)=FALSE),AK$64,AK23))))</f>
      </c>
      <c r="AL75" s="9" t="str">
        <f>IF(ISBLANK(AL23),"NO DATA",IF(ISNUMBER(FIND(CODES!$A$12,AL23)),CODES!$A$12,IF(OR(ISNUMBER(FIND(CODES!$A$10,AL23)),ISNUMBER(FIND(CODES!$A$11,AL23))),CODES!$A$13,IF(OR(AL23&lt;AL$63,ISNUMBER(AL23)=FALSE),AL$64,AL23))))</f>
      </c>
      <c r="AM75" s="9" t="str">
        <f>IF(ISBLANK(AM23),"NO DATA",IF(ISNUMBER(FIND(CODES!$A$12,AM23)),CODES!$A$12,IF(OR(ISNUMBER(FIND(CODES!$A$10,AM23)),ISNUMBER(FIND(CODES!$A$11,AM23))),CODES!$A$13,IF(OR(AM23&lt;AM$63,ISNUMBER(AM23)=FALSE),AM$64,AM23))))</f>
      </c>
      <c r="AN75" s="9" t="str">
        <f>IF(ISBLANK(AN23),"NO DATA",IF(ISNUMBER(FIND(CODES!$A$12,AN23)),CODES!$A$12,IF(OR(ISNUMBER(FIND(CODES!$A$10,AN23)),ISNUMBER(FIND(CODES!$A$11,AN23))),CODES!$A$13,IF(OR(AN23&lt;AN$63,ISNUMBER(AN23)=FALSE),AN$64,AN23))))</f>
      </c>
      <c r="AO75" s="9" t="str">
        <f>IF(ISBLANK(AO23),"NO DATA",IF(ISNUMBER(FIND(CODES!$A$12,AO23)),CODES!$A$12,IF(OR(ISNUMBER(FIND(CODES!$A$10,AO23)),ISNUMBER(FIND(CODES!$A$11,AO23))),CODES!$A$13,IF(OR(AO23&lt;AO$63,ISNUMBER(AO23)=FALSE),AO$64,AO23))))</f>
      </c>
      <c r="AP75" s="9" t="str">
        <f>IF(ISBLANK(AP23),"NO DATA",IF(ISNUMBER(FIND(CODES!$A$12,AP23)),CODES!$A$12,IF(OR(ISNUMBER(FIND(CODES!$A$10,AP23)),ISNUMBER(FIND(CODES!$A$11,AP23))),CODES!$A$13,IF(OR(AP23&lt;AP$63,ISNUMBER(AP23)=FALSE),AP$64,AP23))))</f>
      </c>
      <c r="AQ75" s="9" t="str">
        <f>IF(ISBLANK(AQ23),"NO DATA",IF(ISNUMBER(FIND(CODES!$A$12,AQ23)),CODES!$A$12,IF(OR(ISNUMBER(FIND(CODES!$A$10,AQ23)),ISNUMBER(FIND(CODES!$A$11,AQ23))),CODES!$A$13,IF(OR(AQ23&lt;AQ$63,ISNUMBER(AQ23)=FALSE),AQ$64,AQ23))))</f>
      </c>
      <c r="AR75" s="9" t="str">
        <f>IF(ISBLANK(AR23),"NO DATA",IF(ISNUMBER(FIND(CODES!$A$12,AR23)),CODES!$A$12,IF(OR(ISNUMBER(FIND(CODES!$A$10,AR23)),ISNUMBER(FIND(CODES!$A$11,AR23))),CODES!$A$13,IF(OR(AR23&lt;AR$63,ISNUMBER(AR23)=FALSE),AR$64,AR23))))</f>
      </c>
      <c r="AS75" s="9">
        <f>IF(ISBLANK(AS23),"NO DATA",IF(ISNUMBER(FIND(CODES!$A$12,AS23)),CODES!$A$12,IF(OR(ISNUMBER(FIND(CODES!$A$10,AS23)),ISNUMBER(FIND(CODES!$A$11,AS23))),CODES!$A$13,IF(OR(AS23&lt;AS$63,ISNUMBER(AS23)=FALSE),AS$64,AS23))))</f>
      </c>
      <c r="AT75" s="9">
        <f>IF(ISBLANK(AT23),"NO DATA",IF(ISNUMBER(FIND(CODES!$A$12,AT23)),CODES!$A$12,IF(OR(ISNUMBER(FIND(CODES!$A$10,AT23)),ISNUMBER(FIND(CODES!$A$11,AT23))),CODES!$A$13,IF(OR(AT23&lt;AT$63,ISNUMBER(AT23)=FALSE),AT$64,AT23))))</f>
      </c>
      <c r="AU75" s="9" t="str">
        <f>IF(ISBLANK(AU23),"NO DATA",IF(ISNUMBER(FIND(CODES!$A$12,AU23)),CODES!$A$12,IF(OR(ISNUMBER(FIND(CODES!$A$10,AU23)),ISNUMBER(FIND(CODES!$A$11,AU23))),CODES!$A$13,IF(OR(AU23&lt;AU$63,ISNUMBER(AU23)=FALSE),AU$64,AU23))))</f>
      </c>
      <c r="AV75" s="9" t="str">
        <f>IF(ISBLANK(AV23),"NO DATA",IF(ISNUMBER(FIND(CODES!$A$12,AV23)),CODES!$A$12,IF(OR(ISNUMBER(FIND(CODES!$A$10,AV23)),ISNUMBER(FIND(CODES!$A$11,AV23))),CODES!$A$13,IF(OR(AV23&lt;AV$63,ISNUMBER(AV23)=FALSE),AV$64,AV23))))</f>
      </c>
      <c r="AW75" s="9" t="str">
        <f>IF(ISBLANK(AW23),"NO DATA",IF(ISNUMBER(FIND(CODES!$A$12,AW23)),CODES!$A$12,IF(OR(ISNUMBER(FIND(CODES!$A$10,AW23)),ISNUMBER(FIND(CODES!$A$11,AW23))),CODES!$A$13,IF(OR(AW23&lt;AW$63,ISNUMBER(AW23)=FALSE),AW$64,AW23))))</f>
      </c>
      <c r="AX75" s="9" t="str">
        <f>IF(ISBLANK(AX23),"NO DATA",IF(ISNUMBER(FIND(CODES!$A$12,AX23)),CODES!$A$12,IF(OR(ISNUMBER(FIND(CODES!$A$10,AX23)),ISNUMBER(FIND(CODES!$A$11,AX23))),CODES!$A$13,IF(OR(AX23&lt;AX$63,ISNUMBER(AX23)=FALSE),AX$64,AX23))))</f>
      </c>
      <c r="AY75" s="9" t="str">
        <f>IF(ISBLANK(AY23),"NO DATA",IF(ISNUMBER(FIND(CODES!$A$12,AY23)),CODES!$A$12,IF(OR(ISNUMBER(FIND(CODES!$A$10,AY23)),ISNUMBER(FIND(CODES!$A$11,AY23))),CODES!$A$13,IF(OR(AY23&lt;AY$63,ISNUMBER(AY23)=FALSE),AY$64,AY23))))</f>
      </c>
      <c r="AZ75" s="9">
        <f>IF(ISBLANK(AZ23),"NO DATA",IF(ISNUMBER(FIND(CODES!$A$12,AZ23)),CODES!$A$12,IF(OR(ISNUMBER(FIND(CODES!$A$10,AZ23)),ISNUMBER(FIND(CODES!$A$11,AZ23))),CODES!$A$13,IF(OR(AZ23&lt;AZ$63,ISNUMBER(AZ23)=FALSE),AZ$64,AZ23))))</f>
      </c>
      <c r="BA75" s="9">
        <f>IF(ISBLANK(BA23),"NO DATA",IF(ISNUMBER(FIND(CODES!$A$12,BA23)),CODES!$A$12,IF(OR(ISNUMBER(FIND(CODES!$A$10,BA23)),ISNUMBER(FIND(CODES!$A$11,BA23))),CODES!$A$13,IF(OR(BA23&lt;BA$63,ISNUMBER(BA23)=FALSE),BA$64,BA23))))</f>
      </c>
      <c r="BB75" s="9">
        <f>IF(ISBLANK(BB23),"NO DATA",IF(ISNUMBER(FIND(CODES!$A$12,BB23)),CODES!$A$12,IF(OR(ISNUMBER(FIND(CODES!$A$10,BB23)),ISNUMBER(FIND(CODES!$A$11,BB23))),CODES!$A$13,IF(OR(BB23&lt;BB$63,ISNUMBER(BB23)=FALSE),BB$64,BB23))))</f>
      </c>
      <c r="BC75" s="9">
        <f>IF(ISBLANK(BC23),"NO DATA",IF(ISNUMBER(FIND(CODES!$A$12,BC23)),CODES!$A$12,IF(OR(ISNUMBER(FIND(CODES!$A$10,BC23)),ISNUMBER(FIND(CODES!$A$11,BC23))),CODES!$A$13,IF(OR(BC23&lt;BC$63,ISNUMBER(BC23)=FALSE),BC$64,BC23))))</f>
      </c>
      <c r="BD75" s="9">
        <f>IF(ISBLANK(BD23),"NO DATA",IF(ISNUMBER(FIND(CODES!$A$12,BD23)),CODES!$A$12,IF(OR(ISNUMBER(FIND(CODES!$A$10,BD23)),ISNUMBER(FIND(CODES!$A$11,BD23))),CODES!$A$13,IF(OR(BD23&lt;BD$63,ISNUMBER(BD23)=FALSE),BD$64,BD23))))</f>
      </c>
      <c r="BE75" s="9">
        <f>IF(ISBLANK(BE23),"NO DATA",IF(ISNUMBER(FIND(CODES!$A$12,BE23)),CODES!$A$12,IF(OR(ISNUMBER(FIND(CODES!$A$10,BE23)),ISNUMBER(FIND(CODES!$A$11,BE23))),CODES!$A$13,IF(OR(BE23&lt;BE$63,ISNUMBER(BE23)=FALSE),BE$64,BE23))))</f>
      </c>
      <c r="BF75" s="9">
        <f>IF(ISBLANK(BF23),"NO DATA",IF(ISNUMBER(FIND(CODES!$A$12,BF23)),CODES!$A$12,IF(OR(ISNUMBER(FIND(CODES!$A$10,BF23)),ISNUMBER(FIND(CODES!$A$11,BF23))),CODES!$A$13,IF(OR(BF23&lt;BF$63,ISNUMBER(BF23)=FALSE),BF$64,BF23))))</f>
      </c>
      <c r="BG75" s="9">
        <f>IF(ISBLANK(BG23),"NO DATA",IF(ISNUMBER(FIND(CODES!$A$12,BG23)),CODES!$A$12,IF(OR(ISNUMBER(FIND(CODES!$A$10,BG23)),ISNUMBER(FIND(CODES!$A$11,BG23))),CODES!$A$13,IF(OR(BG23&lt;BG$63,ISNUMBER(BG23)=FALSE),BG$64,BG23))))</f>
      </c>
      <c r="BH75" s="9" t="str">
        <f>IF(ISBLANK(BH23),"NO DATA",IF(ISNUMBER(FIND(CODES!$A$12,BH23)),CODES!$A$12,IF(OR(ISNUMBER(FIND(CODES!$A$10,BH23)),ISNUMBER(FIND(CODES!$A$11,BH23))),CODES!$A$13,IF(OR(BH23&lt;BH$63,ISNUMBER(BH23)=FALSE),BH$64,BH23))))</f>
      </c>
      <c r="BI75" s="9" t="str">
        <f>IF(ISBLANK(BI23),"NO DATA",IF(ISNUMBER(FIND(CODES!$A$12,BI23)),CODES!$A$12,IF(OR(ISNUMBER(FIND(CODES!$A$10,BI23)),ISNUMBER(FIND(CODES!$A$11,BI23))),CODES!$A$13,IF(OR(BI23&lt;BI$63,ISNUMBER(BI23)=FALSE),BI$64,BI23))))</f>
      </c>
      <c r="BJ75" s="9" t="str">
        <f>IF(ISBLANK(BJ23),"NO DATA",IF(ISNUMBER(FIND(CODES!$A$12,BJ23)),CODES!$A$12,IF(OR(ISNUMBER(FIND(CODES!$A$10,BJ23)),ISNUMBER(FIND(CODES!$A$11,BJ23))),CODES!$A$13,IF(OR(BJ23&lt;BJ$63,ISNUMBER(BJ23)=FALSE),BJ$64,BJ23))))</f>
      </c>
      <c r="BK75" s="9" t="str">
        <f>IF(ISBLANK(BK23),"NO DATA",IF(ISNUMBER(FIND(CODES!$A$12,BK23)),CODES!$A$12,IF(OR(ISNUMBER(FIND(CODES!$A$10,BK23)),ISNUMBER(FIND(CODES!$A$11,BK23))),CODES!$A$13,IF(OR(BK23&lt;BK$63,ISNUMBER(BK23)=FALSE),BK$64,BK23))))</f>
      </c>
      <c r="BL75" s="9" t="str">
        <f>IF(ISBLANK(BL23),"NO DATA",IF(ISNUMBER(FIND(CODES!$A$12,BL23)),CODES!$A$12,IF(OR(ISNUMBER(FIND(CODES!$A$10,BL23)),ISNUMBER(FIND(CODES!$A$11,BL23))),CODES!$A$13,IF(OR(BL23&lt;BL$63,ISNUMBER(BL23)=FALSE),BL$64,BL23))))</f>
      </c>
      <c r="BM75" s="9" t="str">
        <f>IF(ISBLANK(BM23),"NO DATA",IF(ISNUMBER(FIND(CODES!$A$12,BM23)),CODES!$A$12,IF(OR(ISNUMBER(FIND(CODES!$A$10,BM23)),ISNUMBER(FIND(CODES!$A$11,BM23))),CODES!$A$13,IF(OR(BM23&lt;BM$63,ISNUMBER(BM23)=FALSE),BM$64,BM23))))</f>
      </c>
      <c r="BN75" s="9" t="str">
        <f>IF(ISBLANK(BN23),"NO DATA",IF(ISNUMBER(FIND(CODES!$A$12,BN23)),CODES!$A$12,IF(OR(ISNUMBER(FIND(CODES!$A$10,BN23)),ISNUMBER(FIND(CODES!$A$11,BN23))),CODES!$A$13,IF(OR(BN23&lt;BN$63,ISNUMBER(BN23)=FALSE),BN$64,BN23))))</f>
      </c>
      <c r="BO75" s="9" t="str">
        <f>IF(ISBLANK(BO23),"NO DATA",IF(ISNUMBER(FIND(CODES!$A$12,BO23)),CODES!$A$12,IF(OR(ISNUMBER(FIND(CODES!$A$10,BO23)),ISNUMBER(FIND(CODES!$A$11,BO23))),CODES!$A$13,IF(OR(BO23&lt;BO$63,ISNUMBER(BO23)=FALSE),BO$64,BO23))))</f>
      </c>
      <c r="BP75" s="9">
        <f>IF(ISBLANK(BP23),"NO DATA",IF(ISNUMBER(FIND(CODES!$A$12,BP23)),CODES!$A$12,IF(OR(ISNUMBER(FIND(CODES!$A$10,BP23)),ISNUMBER(FIND(CODES!$A$11,BP23))),CODES!$A$13,IF(OR(BP23&lt;BP$63,ISNUMBER(BP23)=FALSE),BP$64,BP23))))</f>
      </c>
      <c r="BQ75" s="9" t="str">
        <f>IF(ISBLANK(BQ23),"NO DATA",IF(ISNUMBER(FIND(CODES!$A$12,BQ23)),CODES!$A$12,IF(OR(ISNUMBER(FIND(CODES!$A$10,BQ23)),ISNUMBER(FIND(CODES!$A$11,BQ23))),CODES!$A$13,IF(OR(BQ23&lt;BQ$63,ISNUMBER(BQ23)=FALSE),BQ$64,BQ23))))</f>
      </c>
      <c r="BR75" s="9" t="str">
        <f>IF(ISBLANK(BR23),"NO DATA",IF(ISNUMBER(FIND(CODES!$A$12,BR23)),CODES!$A$12,IF(OR(ISNUMBER(FIND(CODES!$A$10,BR23)),ISNUMBER(FIND(CODES!$A$11,BR23))),CODES!$A$13,IF(OR(BR23&lt;BR$63,ISNUMBER(BR23)=FALSE),BR$64,BR23))))</f>
      </c>
      <c r="BS75" s="9">
        <f>IF(ISBLANK(BS23),"NO DATA",IF(ISNUMBER(FIND(CODES!$A$12,BS23)),CODES!$A$12,IF(OR(ISNUMBER(FIND(CODES!$A$10,BS23)),ISNUMBER(FIND(CODES!$A$11,BS23))),CODES!$A$13,IF(OR(BS23&lt;BS$63,ISNUMBER(BS23)=FALSE),BS$64,BS23))))</f>
      </c>
      <c r="BT75" s="9">
        <f>IF(ISBLANK(BT23),"NO DATA",IF(ISNUMBER(FIND(CODES!$A$12,BT23)),CODES!$A$12,IF(OR(ISNUMBER(FIND(CODES!$A$10,BT23)),ISNUMBER(FIND(CODES!$A$11,BT23))),CODES!$A$13,IF(OR(BT23&lt;BT$63,ISNUMBER(BT23)=FALSE),BT$64,BT23))))</f>
      </c>
      <c r="BU75" s="9" t="str">
        <f>IF(ISBLANK(BU23),"NO DATA",IF(ISNUMBER(FIND(CODES!$A$12,BU23)),CODES!$A$12,IF(OR(ISNUMBER(FIND(CODES!$A$10,BU23)),ISNUMBER(FIND(CODES!$A$11,BU23))),CODES!$A$13,IF(OR(BU23&lt;BU$63,ISNUMBER(BU23)=FALSE),BU$64,BU23))))</f>
      </c>
      <c r="BV75" s="9" t="str">
        <f>IF(ISBLANK(BV23),"NO DATA",IF(ISNUMBER(FIND(CODES!$A$12,BV23)),CODES!$A$12,IF(OR(ISNUMBER(FIND(CODES!$A$10,BV23)),ISNUMBER(FIND(CODES!$A$11,BV23))),CODES!$A$13,IF(OR(BV23&lt;BV$63,ISNUMBER(BV23)=FALSE),BV$64,BV23))))</f>
      </c>
      <c r="BW75" s="9" t="str">
        <f>IF(ISBLANK(BW23),"NO DATA",IF(ISNUMBER(FIND(CODES!$A$12,BW23)),CODES!$A$12,IF(OR(ISNUMBER(FIND(CODES!$A$10,BW23)),ISNUMBER(FIND(CODES!$A$11,BW23))),CODES!$A$13,IF(OR(BW23&lt;BW$63,ISNUMBER(BW23)=FALSE),BW$64,BW23))))</f>
      </c>
      <c r="BX75" s="9" t="str">
        <f>IF(ISBLANK(BX23),"NO DATA",IF(ISNUMBER(FIND(CODES!$A$12,BX23)),CODES!$A$12,IF(OR(ISNUMBER(FIND(CODES!$A$10,BX23)),ISNUMBER(FIND(CODES!$A$11,BX23))),CODES!$A$13,IF(OR(BX23&lt;BX$63,ISNUMBER(BX23)=FALSE),BX$64,BX23))))</f>
      </c>
      <c r="BY75" s="9" t="str">
        <f>IF(ISBLANK(BY23),"NO DATA",IF(ISNUMBER(FIND(CODES!$A$12,BY23)),CODES!$A$12,IF(OR(ISNUMBER(FIND(CODES!$A$10,BY23)),ISNUMBER(FIND(CODES!$A$11,BY23))),CODES!$A$13,IF(OR(BY23&lt;BY$63,ISNUMBER(BY23)=FALSE),BY$64,BY23))))</f>
      </c>
      <c r="BZ75" s="9" t="str">
        <f>IF(ISBLANK(BZ23),"NO DATA",IF(ISNUMBER(FIND(CODES!$A$12,BZ23)),CODES!$A$12,IF(OR(ISNUMBER(FIND(CODES!$A$10,BZ23)),ISNUMBER(FIND(CODES!$A$11,BZ23))),CODES!$A$13,IF(OR(BZ23&lt;BZ$63,ISNUMBER(BZ23)=FALSE),BZ$64,BZ23))))</f>
      </c>
      <c r="CA75" s="9" t="str">
        <f>IF(ISBLANK(CA23),"NO DATA",IF(ISNUMBER(FIND(CODES!$A$12,CA23)),CODES!$A$12,IF(OR(ISNUMBER(FIND(CODES!$A$10,CA23)),ISNUMBER(FIND(CODES!$A$11,CA23))),CODES!$A$13,IF(OR(CA23&lt;CA$63,ISNUMBER(CA23)=FALSE),CA$64,CA23))))</f>
      </c>
      <c r="CB75" s="9" t="str">
        <f>IF(ISBLANK(CB23),"NO DATA",IF(ISNUMBER(FIND(CODES!$A$12,CB23)),CODES!$A$12,IF(OR(ISNUMBER(FIND(CODES!$A$10,CB23)),ISNUMBER(FIND(CODES!$A$11,CB23))),CODES!$A$13,IF(OR(CB23&lt;CB$63,ISNUMBER(CB23)=FALSE),CB$64,CB23))))</f>
      </c>
      <c r="CC75" s="9" t="str">
        <f>IF(ISBLANK(CC23),"NO DATA",IF(ISNUMBER(FIND(CODES!$A$12,CC23)),CODES!$A$12,IF(OR(ISNUMBER(FIND(CODES!$A$10,CC23)),ISNUMBER(FIND(CODES!$A$11,CC23))),CODES!$A$13,IF(OR(CC23&lt;CC$63,ISNUMBER(CC23)=FALSE),CC$64,CC23))))</f>
      </c>
      <c r="CD75" s="9" t="str">
        <f>IF(ISBLANK(CD23),"NO DATA",IF(ISNUMBER(FIND(CODES!$A$12,CD23)),CODES!$A$12,IF(OR(ISNUMBER(FIND(CODES!$A$10,CD23)),ISNUMBER(FIND(CODES!$A$11,CD23))),CODES!$A$13,IF(OR(CD23&lt;CD$63,ISNUMBER(CD23)=FALSE),CD$64,CD23))))</f>
      </c>
      <c r="CE75" s="9" t="str">
        <f>IF(ISBLANK(CE23),"NO DATA",IF(ISNUMBER(FIND(CODES!$A$12,CE23)),CODES!$A$12,IF(OR(ISNUMBER(FIND(CODES!$A$10,CE23)),ISNUMBER(FIND(CODES!$A$11,CE23))),CODES!$A$13,IF(OR(CE23&lt;CE$63,ISNUMBER(CE23)=FALSE),CE$64,CE23))))</f>
      </c>
      <c r="CF75" s="9">
        <f>IF(ISBLANK(CF23),"NO DATA",IF(ISNUMBER(FIND(CODES!$A$12,CF23)),CODES!$A$12,IF(OR(ISNUMBER(FIND(CODES!$A$10,CF23)),ISNUMBER(FIND(CODES!$A$11,CF23))),CODES!$A$13,IF(OR(CF23&lt;CF$63,ISNUMBER(CF23)=FALSE),CF$64,CF23))))</f>
      </c>
      <c r="CG75" s="9">
        <f>IF(ISBLANK(CG23),"NO DATA",IF(ISNUMBER(FIND(CODES!$A$12,CG23)),CODES!$A$12,IF(OR(ISNUMBER(FIND(CODES!$A$10,CG23)),ISNUMBER(FIND(CODES!$A$11,CG23))),CODES!$A$13,IF(OR(CG23&lt;CG$63,ISNUMBER(CG23)=FALSE),CG$64,CG23))))</f>
      </c>
      <c r="CH75" s="9">
        <f>IF(ISBLANK(CH23),"NO DATA",IF(ISNUMBER(FIND(CODES!$A$12,CH23)),CODES!$A$12,IF(OR(ISNUMBER(FIND(CODES!$A$10,CH23)),ISNUMBER(FIND(CODES!$A$11,CH23))),CODES!$A$13,IF(OR(CH23&lt;CH$63,ISNUMBER(CH23)=FALSE),CH$64,CH23))))</f>
      </c>
      <c r="CI75" s="9" t="str">
        <f>IF(ISBLANK(CI23),"NO DATA",IF(ISNUMBER(FIND(CODES!$A$12,CI23)),CODES!$A$12,IF(OR(ISNUMBER(FIND(CODES!$A$10,CI23)),ISNUMBER(FIND(CODES!$A$11,CI23))),CODES!$A$13,IF(OR(CI23&lt;CI$63,ISNUMBER(CI23)=FALSE),CI$64,CI23))))</f>
      </c>
      <c r="CJ75" s="9" t="str">
        <f>IF(ISBLANK(CJ23),"NO DATA",IF(ISNUMBER(FIND(CODES!$A$12,CJ23)),CODES!$A$12,IF(OR(ISNUMBER(FIND(CODES!$A$10,CJ23)),ISNUMBER(FIND(CODES!$A$11,CJ23))),CODES!$A$13,IF(OR(CJ23&lt;CJ$63,ISNUMBER(CJ23)=FALSE),CJ$64,CJ23))))</f>
      </c>
      <c r="CK75" s="9" t="str">
        <f>IF(ISBLANK(CK23),"NO DATA",IF(ISNUMBER(FIND(CODES!$A$12,CK23)),CODES!$A$12,IF(OR(ISNUMBER(FIND(CODES!$A$10,CK23)),ISNUMBER(FIND(CODES!$A$11,CK23))),CODES!$A$13,IF(OR(CK23&lt;CK$63,ISNUMBER(CK23)=FALSE),CK$64,CK23))))</f>
      </c>
      <c r="CL75" s="9" t="str">
        <f>IF(ISBLANK(CL23),"NO DATA",IF(ISNUMBER(FIND(CODES!$A$12,CL23)),CODES!$A$12,IF(OR(ISNUMBER(FIND(CODES!$A$10,CL23)),ISNUMBER(FIND(CODES!$A$11,CL23))),CODES!$A$13,IF(OR(CL23&lt;CL$63,ISNUMBER(CL23)=FALSE),CL$64,CL23))))</f>
      </c>
      <c r="CM75" s="9" t="str">
        <f>IF(ISBLANK(CM23),"NO DATA",IF(ISNUMBER(FIND(CODES!$A$12,CM23)),CODES!$A$12,IF(OR(ISNUMBER(FIND(CODES!$A$10,CM23)),ISNUMBER(FIND(CODES!$A$11,CM23))),CODES!$A$13,IF(OR(CM23&lt;CM$63,ISNUMBER(CM23)=FALSE),CM$64,CM23))))</f>
      </c>
      <c r="CN75" s="9" t="str">
        <f>IF(ISBLANK(CN23),"NO DATA",IF(ISNUMBER(FIND(CODES!$A$12,CN23)),CODES!$A$12,IF(OR(ISNUMBER(FIND(CODES!$A$10,CN23)),ISNUMBER(FIND(CODES!$A$11,CN23))),CODES!$A$13,IF(OR(CN23&lt;CN$63,ISNUMBER(CN23)=FALSE),CN$64,CN23))))</f>
      </c>
      <c r="CO75" s="9" t="str">
        <f>IF(ISBLANK(CO23),"NO DATA",IF(ISNUMBER(FIND(CODES!$A$12,CO23)),CODES!$A$12,IF(OR(ISNUMBER(FIND(CODES!$A$10,CO23)),ISNUMBER(FIND(CODES!$A$11,CO23))),CODES!$A$13,IF(OR(CO23&lt;CO$63,ISNUMBER(CO23)=FALSE),CO$64,CO23))))</f>
      </c>
      <c r="CP75" s="9" t="str">
        <f>IF(ISBLANK(CP23),"NO DATA",IF(ISNUMBER(FIND(CODES!$A$12,CP23)),CODES!$A$12,IF(OR(ISNUMBER(FIND(CODES!$A$10,CP23)),ISNUMBER(FIND(CODES!$A$11,CP23))),CODES!$A$13,IF(OR(CP23&lt;CP$63,ISNUMBER(CP23)=FALSE),CP$64,CP23))))</f>
      </c>
      <c r="CQ75" s="9" t="str">
        <f>IF(ISBLANK(CQ23),"NO DATA",IF(ISNUMBER(FIND(CODES!$A$12,CQ23)),CODES!$A$12,IF(OR(ISNUMBER(FIND(CODES!$A$10,CQ23)),ISNUMBER(FIND(CODES!$A$11,CQ23))),CODES!$A$13,IF(OR(CQ23&lt;CQ$63,ISNUMBER(CQ23)=FALSE),CQ$64,CQ23))))</f>
      </c>
      <c r="CR75" s="9" t="str">
        <f>IF(ISBLANK(CR23),"NO DATA",IF(ISNUMBER(FIND(CODES!$A$12,CR23)),CODES!$A$12,IF(OR(ISNUMBER(FIND(CODES!$A$10,CR23)),ISNUMBER(FIND(CODES!$A$11,CR23))),CODES!$A$13,IF(OR(CR23&lt;CR$63,ISNUMBER(CR23)=FALSE),CR$64,CR23))))</f>
      </c>
      <c r="CS75" s="9" t="str">
        <f>IF(ISBLANK(CS23),"NO DATA",IF(ISNUMBER(FIND(CODES!$A$12,CS23)),CODES!$A$12,IF(OR(ISNUMBER(FIND(CODES!$A$10,CS23)),ISNUMBER(FIND(CODES!$A$11,CS23))),CODES!$A$13,IF(OR(CS23&lt;CS$63,ISNUMBER(CS23)=FALSE),CS$64,CS23))))</f>
      </c>
      <c r="CT75" s="9" t="str">
        <f>IF(ISBLANK(CT23),"NO DATA",IF(ISNUMBER(FIND(CODES!$A$12,CT23)),CODES!$A$12,IF(OR(ISNUMBER(FIND(CODES!$A$10,CT23)),ISNUMBER(FIND(CODES!$A$11,CT23))),CODES!$A$13,IF(OR(CT23&lt;CT$63,ISNUMBER(CT23)=FALSE),CT$64,CT23))))</f>
      </c>
      <c r="CU75" s="9" t="str">
        <f>IF(ISBLANK(CU23),"NO DATA",IF(ISNUMBER(FIND(CODES!$A$12,CU23)),CODES!$A$12,IF(OR(ISNUMBER(FIND(CODES!$A$10,CU23)),ISNUMBER(FIND(CODES!$A$11,CU23))),CODES!$A$13,IF(OR(CU23&lt;CU$63,ISNUMBER(CU23)=FALSE),CU$64,CU23))))</f>
      </c>
      <c r="CV75" s="9">
        <f>IF(ISBLANK(CV23),"NO DATA",IF(ISNUMBER(FIND(CODES!$A$12,CV23)),CODES!$A$12,IF(OR(ISNUMBER(FIND(CODES!$A$10,CV23)),ISNUMBER(FIND(CODES!$A$11,CV23))),CODES!$A$13,IF(OR(CV23&lt;CV$63,ISNUMBER(CV23)=FALSE),CV$64,CV23))))</f>
      </c>
      <c r="CW75" s="9" t="str">
        <f>IF(ISBLANK(CW23),"NO DATA",IF(ISNUMBER(FIND(CODES!$A$12,CW23)),CODES!$A$12,IF(OR(ISNUMBER(FIND(CODES!$A$10,CW23)),ISNUMBER(FIND(CODES!$A$11,CW23))),CODES!$A$13,IF(OR(CW23&lt;CW$63,ISNUMBER(CW23)=FALSE),CW$64,CW23))))</f>
      </c>
      <c r="CX75" s="9">
        <f>IF(ISBLANK(CX23),"NO DATA",IF(ISNUMBER(FIND(CODES!$A$12,CX23)),CODES!$A$12,IF(OR(ISNUMBER(FIND(CODES!$A$10,CX23)),ISNUMBER(FIND(CODES!$A$11,CX23))),CODES!$A$13,IF(OR(CX23&lt;CX$63,ISNUMBER(CX23)=FALSE),CX$64,CX23))))</f>
      </c>
      <c r="CY75" s="9">
        <f>IF(ISBLANK(CY23),"NO DATA",IF(ISNUMBER(FIND(CODES!$A$12,CY23)),CODES!$A$12,IF(OR(ISNUMBER(FIND(CODES!$A$10,CY23)),ISNUMBER(FIND(CODES!$A$11,CY23))),CODES!$A$13,IF(OR(CY23&lt;CY$63,ISNUMBER(CY23)=FALSE),CY$64,CY23))))</f>
      </c>
      <c r="CZ75" s="9" t="str">
        <f>IF(ISBLANK(CZ23),"NO DATA",IF(ISNUMBER(FIND(CODES!$A$12,CZ23)),CODES!$A$12,IF(OR(ISNUMBER(FIND(CODES!$A$10,CZ23)),ISNUMBER(FIND(CODES!$A$11,CZ23))),CODES!$A$13,IF(OR(CZ23&lt;CZ$63,ISNUMBER(CZ23)=FALSE),CZ$64,CZ23))))</f>
      </c>
      <c r="DA75" s="9" t="str">
        <f>IF(ISBLANK(DA23),"NO DATA",IF(ISNUMBER(FIND(CODES!$A$12,DA23)),CODES!$A$12,IF(OR(ISNUMBER(FIND(CODES!$A$10,DA23)),ISNUMBER(FIND(CODES!$A$11,DA23))),CODES!$A$13,IF(OR(DA23&lt;DA$63,ISNUMBER(DA23)=FALSE),DA$64,DA23))))</f>
      </c>
      <c r="DB75" s="9" t="str">
        <f>IF(ISBLANK(DB23),"NO DATA",IF(ISNUMBER(FIND(CODES!$A$12,DB23)),CODES!$A$12,IF(OR(ISNUMBER(FIND(CODES!$A$10,DB23)),ISNUMBER(FIND(CODES!$A$11,DB23))),CODES!$A$13,IF(OR(DB23&lt;DB$63,ISNUMBER(DB23)=FALSE),DB$64,DB23))))</f>
      </c>
      <c r="DC75" s="9" t="str">
        <f>IF(ISBLANK(DC23),"NO DATA",IF(ISNUMBER(FIND(CODES!$A$12,DC23)),CODES!$A$12,IF(OR(ISNUMBER(FIND(CODES!$A$10,DC23)),ISNUMBER(FIND(CODES!$A$11,DC23))),CODES!$A$13,IF(OR(DC23&lt;DC$63,ISNUMBER(DC23)=FALSE),DC$64,DC23))))</f>
      </c>
      <c r="DD75" s="9" t="str">
        <f>IF(ISBLANK(DD23),"NO DATA",IF(ISNUMBER(FIND(CODES!$A$12,DD23)),CODES!$A$12,IF(OR(ISNUMBER(FIND(CODES!$A$10,DD23)),ISNUMBER(FIND(CODES!$A$11,DD23))),CODES!$A$13,IF(OR(DD23&lt;DD$63,ISNUMBER(DD23)=FALSE),DD$64,DD23))))</f>
      </c>
      <c r="DE75" s="9" t="str">
        <f>IF(ISBLANK(DE23),"NO DATA",IF(ISNUMBER(FIND(CODES!$A$12,DE23)),CODES!$A$12,IF(OR(ISNUMBER(FIND(CODES!$A$10,DE23)),ISNUMBER(FIND(CODES!$A$11,DE23))),CODES!$A$13,IF(OR(DE23&lt;DE$63,ISNUMBER(DE23)=FALSE),DE$64,DE23))))</f>
      </c>
      <c r="DF75" s="9">
        <f>IF(ISBLANK(DF23),"NO DATA",IF(ISNUMBER(FIND(CODES!$A$12,DF23)),CODES!$A$12,IF(OR(ISNUMBER(FIND(CODES!$A$10,DF23)),ISNUMBER(FIND(CODES!$A$11,DF23))),CODES!$A$13,IF(OR(DF23&lt;DF$63,ISNUMBER(DF23)=FALSE),DF$64,DF23))))</f>
      </c>
      <c r="DG75" s="9">
        <f>IF(ISBLANK(DG23),"NO DATA",IF(ISNUMBER(FIND(CODES!$A$12,DG23)),CODES!$A$12,IF(OR(ISNUMBER(FIND(CODES!$A$10,DG23)),ISNUMBER(FIND(CODES!$A$11,DG23))),CODES!$A$13,IF(OR(DG23&lt;DG$63,ISNUMBER(DG23)=FALSE),DG$64,DG23))))</f>
      </c>
      <c r="DH75" s="9" t="str">
        <f>IF(ISBLANK(DH23),"NO DATA",IF(ISNUMBER(FIND(CODES!$A$12,DH23)),CODES!$A$12,IF(OR(ISNUMBER(FIND(CODES!$A$10,DH23)),ISNUMBER(FIND(CODES!$A$11,DH23))),CODES!$A$13,IF(OR(DH23&lt;DH$63,ISNUMBER(DH23)=FALSE),DH$64,DH23))))</f>
      </c>
      <c r="DI75" s="9" t="str">
        <f>IF(ISBLANK(DI23),"NO DATA",IF(ISNUMBER(FIND(CODES!$A$12,DI23)),CODES!$A$12,IF(OR(ISNUMBER(FIND(CODES!$A$10,DI23)),ISNUMBER(FIND(CODES!$A$11,DI23))),CODES!$A$13,IF(OR(DI23&lt;DI$63,ISNUMBER(DI23)=FALSE),DI$64,DI23))))</f>
      </c>
    </row>
    <row r="76" spans="1:113" x14ac:dyDescent="0.25">
      <c r="A76" s="20" t="str">
        <f t="shared" si="4"/>
      </c>
      <c r="B76" s="20" t="str">
        <f t="shared" si="4"/>
      </c>
      <c r="C76" s="9" t="str">
        <f>IF(ISBLANK(C24),"NO DATA",IF(ISNUMBER(FIND(CODES!$A$12,C24)),CODES!$A$12,IF(OR(ISNUMBER(FIND(CODES!$A$10,C24)),ISNUMBER(FIND(CODES!$A$11,C24))),CODES!$A$13,IF(OR(C24&lt;C$63,ISNUMBER(C24)=FALSE),C$64,C24))))</f>
      </c>
      <c r="D76" s="9" t="str">
        <f>IF(ISBLANK(D24),"NO DATA",IF(ISNUMBER(FIND(CODES!$A$12,D24)),CODES!$A$12,IF(OR(ISNUMBER(FIND(CODES!$A$10,D24)),ISNUMBER(FIND(CODES!$A$11,D24))),CODES!$A$13,IF(OR(D24&lt;D$63,ISNUMBER(D24)=FALSE),D$64,D24))))</f>
      </c>
      <c r="E76" s="9" t="str">
        <f>IF(ISBLANK(E24),"NO DATA",IF(ISNUMBER(FIND(CODES!$A$12,E24)),CODES!$A$12,IF(OR(ISNUMBER(FIND(CODES!$A$10,E24)),ISNUMBER(FIND(CODES!$A$11,E24))),CODES!$A$13,IF(OR(E24&lt;E$63,ISNUMBER(E24)=FALSE),E$64,E24))))</f>
      </c>
      <c r="F76" s="9" t="str">
        <f>IF(ISBLANK(F24),"NO DATA",IF(ISNUMBER(FIND(CODES!$A$12,F24)),CODES!$A$12,IF(OR(ISNUMBER(FIND(CODES!$A$10,F24)),ISNUMBER(FIND(CODES!$A$11,F24))),CODES!$A$13,IF(OR(F24&lt;F$63,ISNUMBER(F24)=FALSE),F$64,F24))))</f>
      </c>
      <c r="G76" s="9" t="str">
        <f>IF(ISBLANK(G24),"NO DATA",IF(ISNUMBER(FIND(CODES!$A$12,G24)),CODES!$A$12,IF(OR(ISNUMBER(FIND(CODES!$A$10,G24)),ISNUMBER(FIND(CODES!$A$11,G24))),CODES!$A$13,IF(OR(G24&lt;G$63,ISNUMBER(G24)=FALSE),G$64,G24))))</f>
      </c>
      <c r="H76" s="9">
        <f>IF(ISBLANK(H24),"NO DATA",IF(ISNUMBER(FIND(CODES!$A$12,H24)),CODES!$A$12,IF(OR(ISNUMBER(FIND(CODES!$A$10,H24)),ISNUMBER(FIND(CODES!$A$11,H24))),CODES!$A$13,IF(OR(H24&lt;H$63,ISNUMBER(H24)=FALSE),H$64,H24))))</f>
      </c>
      <c r="I76" s="9">
        <f>IF(ISBLANK(I24),"NO DATA",IF(ISNUMBER(FIND(CODES!$A$12,I24)),CODES!$A$12,IF(OR(ISNUMBER(FIND(CODES!$A$10,I24)),ISNUMBER(FIND(CODES!$A$11,I24))),CODES!$A$13,IF(OR(I24&lt;I$63,ISNUMBER(I24)=FALSE),I$64,I24))))</f>
      </c>
      <c r="J76" s="9">
        <f>IF(ISBLANK(J24),"NO DATA",IF(ISNUMBER(FIND(CODES!$A$12,J24)),CODES!$A$12,IF(OR(ISNUMBER(FIND(CODES!$A$10,J24)),ISNUMBER(FIND(CODES!$A$11,J24))),CODES!$A$13,IF(OR(J24&lt;J$63,ISNUMBER(J24)=FALSE),J$64,J24))))</f>
      </c>
      <c r="K76" s="9">
        <f>IF(ISBLANK(K24),"NO DATA",IF(ISNUMBER(FIND(CODES!$A$12,K24)),CODES!$A$12,IF(OR(ISNUMBER(FIND(CODES!$A$10,K24)),ISNUMBER(FIND(CODES!$A$11,K24))),CODES!$A$13,IF(OR(K24&lt;K$63,ISNUMBER(K24)=FALSE),K$64,K24))))</f>
      </c>
      <c r="L76" s="9" t="str">
        <f>IF(ISBLANK(L24),"NO DATA",IF(ISNUMBER(FIND(CODES!$A$12,L24)),CODES!$A$12,IF(OR(ISNUMBER(FIND(CODES!$A$10,L24)),ISNUMBER(FIND(CODES!$A$11,L24))),CODES!$A$13,IF(OR(L24&lt;L$63,ISNUMBER(L24)=FALSE),L$64,L24))))</f>
      </c>
      <c r="M76" s="9" t="str">
        <f>IF(ISBLANK(M24),"NO DATA",IF(ISNUMBER(FIND(CODES!$A$12,M24)),CODES!$A$12,IF(OR(ISNUMBER(FIND(CODES!$A$10,M24)),ISNUMBER(FIND(CODES!$A$11,M24))),CODES!$A$13,IF(OR(M24&lt;M$63,ISNUMBER(M24)=FALSE),M$64,M24))))</f>
      </c>
      <c r="N76" s="9" t="str">
        <f>IF(ISBLANK(N24),"NO DATA",IF(ISNUMBER(FIND(CODES!$A$12,N24)),CODES!$A$12,IF(OR(ISNUMBER(FIND(CODES!$A$10,N24)),ISNUMBER(FIND(CODES!$A$11,N24))),CODES!$A$13,IF(OR(N24&lt;N$63,ISNUMBER(N24)=FALSE),N$64,N24))))</f>
      </c>
      <c r="O76" s="9" t="str">
        <f>IF(ISBLANK(O24),"NO DATA",IF(ISNUMBER(FIND(CODES!$A$12,O24)),CODES!$A$12,IF(OR(ISNUMBER(FIND(CODES!$A$10,O24)),ISNUMBER(FIND(CODES!$A$11,O24))),CODES!$A$13,IF(OR(O24&lt;O$63,ISNUMBER(O24)=FALSE),O$64,O24))))</f>
      </c>
      <c r="P76" s="9">
        <f>IF(ISBLANK(P24),"NO DATA",IF(ISNUMBER(FIND(CODES!$A$12,P24)),CODES!$A$12,IF(OR(ISNUMBER(FIND(CODES!$A$10,P24)),ISNUMBER(FIND(CODES!$A$11,P24))),CODES!$A$13,IF(OR(P24&lt;P$63,ISNUMBER(P24)=FALSE),P$64,P24))))</f>
      </c>
      <c r="Q76" s="9">
        <f>IF(ISBLANK(Q24),"NO DATA",IF(ISNUMBER(FIND(CODES!$A$12,Q24)),CODES!$A$12,IF(OR(ISNUMBER(FIND(CODES!$A$10,Q24)),ISNUMBER(FIND(CODES!$A$11,Q24))),CODES!$A$13,IF(OR(Q24&lt;Q$63,ISNUMBER(Q24)=FALSE),Q$64,Q24))))</f>
      </c>
      <c r="R76" s="9" t="str">
        <f>IF(ISBLANK(R24),"NO DATA",IF(ISNUMBER(FIND(CODES!$A$12,R24)),CODES!$A$12,IF(OR(ISNUMBER(FIND(CODES!$A$10,R24)),ISNUMBER(FIND(CODES!$A$11,R24))),CODES!$A$13,IF(OR(R24&lt;R$63,ISNUMBER(R24)=FALSE),R$64,R24))))</f>
      </c>
      <c r="S76" s="9" t="str">
        <f>IF(ISBLANK(S24),"NO DATA",IF(ISNUMBER(FIND(CODES!$A$12,S24)),CODES!$A$12,IF(OR(ISNUMBER(FIND(CODES!$A$10,S24)),ISNUMBER(FIND(CODES!$A$11,S24))),CODES!$A$13,IF(OR(S24&lt;S$63,ISNUMBER(S24)=FALSE),S$64,S24))))</f>
      </c>
      <c r="T76" s="9" t="str">
        <f>IF(ISBLANK(T24),"NO DATA",IF(ISNUMBER(FIND(CODES!$A$12,T24)),CODES!$A$12,IF(OR(ISNUMBER(FIND(CODES!$A$10,T24)),ISNUMBER(FIND(CODES!$A$11,T24))),CODES!$A$13,IF(OR(T24&lt;T$63,ISNUMBER(T24)=FALSE),T$64,T24))))</f>
      </c>
      <c r="U76" s="9" t="str">
        <f>IF(ISBLANK(U24),"NO DATA",IF(ISNUMBER(FIND(CODES!$A$12,U24)),CODES!$A$12,IF(OR(ISNUMBER(FIND(CODES!$A$10,U24)),ISNUMBER(FIND(CODES!$A$11,U24))),CODES!$A$13,IF(OR(U24&lt;U$63,ISNUMBER(U24)=FALSE),U$64,U24))))</f>
      </c>
      <c r="V76" s="9" t="str">
        <f>IF(ISBLANK(V24),"NO DATA",IF(ISNUMBER(FIND(CODES!$A$12,V24)),CODES!$A$12,IF(OR(ISNUMBER(FIND(CODES!$A$10,V24)),ISNUMBER(FIND(CODES!$A$11,V24))),CODES!$A$13,IF(OR(V24&lt;V$63,ISNUMBER(V24)=FALSE),V$64,V24))))</f>
      </c>
      <c r="W76" s="9" t="str">
        <f>IF(ISBLANK(W24),"NO DATA",IF(ISNUMBER(FIND(CODES!$A$12,W24)),CODES!$A$12,IF(OR(ISNUMBER(FIND(CODES!$A$10,W24)),ISNUMBER(FIND(CODES!$A$11,W24))),CODES!$A$13,IF(OR(W24&lt;W$63,ISNUMBER(W24)=FALSE),W$64,W24))))</f>
      </c>
      <c r="X76" s="9" t="str">
        <f>IF(ISBLANK(X24),"NO DATA",IF(ISNUMBER(FIND(CODES!$A$12,X24)),CODES!$A$12,IF(OR(ISNUMBER(FIND(CODES!$A$10,X24)),ISNUMBER(FIND(CODES!$A$11,X24))),CODES!$A$13,IF(OR(X24&lt;X$63,ISNUMBER(X24)=FALSE),X$64,X24))))</f>
      </c>
      <c r="Y76" s="9" t="str">
        <f>IF(ISBLANK(Y24),"NO DATA",IF(ISNUMBER(FIND(CODES!$A$12,Y24)),CODES!$A$12,IF(OR(ISNUMBER(FIND(CODES!$A$10,Y24)),ISNUMBER(FIND(CODES!$A$11,Y24))),CODES!$A$13,IF(OR(Y24&lt;Y$63,ISNUMBER(Y24)=FALSE),Y$64,Y24))))</f>
      </c>
      <c r="Z76" s="9">
        <f>IF(ISBLANK(Z24),"NO DATA",IF(ISNUMBER(FIND(CODES!$A$12,Z24)),CODES!$A$12,IF(OR(ISNUMBER(FIND(CODES!$A$10,Z24)),ISNUMBER(FIND(CODES!$A$11,Z24))),CODES!$A$13,IF(OR(Z24&lt;Z$63,ISNUMBER(Z24)=FALSE),Z$64,Z24))))</f>
      </c>
      <c r="AA76" s="9" t="str">
        <f>IF(ISBLANK(AA24),"NO DATA",IF(ISNUMBER(FIND(CODES!$A$12,AA24)),CODES!$A$12,IF(OR(ISNUMBER(FIND(CODES!$A$10,AA24)),ISNUMBER(FIND(CODES!$A$11,AA24))),CODES!$A$13,IF(OR(AA24&lt;AA$63,ISNUMBER(AA24)=FALSE),AA$64,AA24))))</f>
      </c>
      <c r="AB76" s="9" t="str">
        <f>IF(ISBLANK(AB24),"NO DATA",IF(ISNUMBER(FIND(CODES!$A$12,AB24)),CODES!$A$12,IF(OR(ISNUMBER(FIND(CODES!$A$10,AB24)),ISNUMBER(FIND(CODES!$A$11,AB24))),CODES!$A$13,IF(OR(AB24&lt;AB$63,ISNUMBER(AB24)=FALSE),AB$64,AB24))))</f>
      </c>
      <c r="AC76" s="9" t="str">
        <f>IF(ISBLANK(AC24),"NO DATA",IF(ISNUMBER(FIND(CODES!$A$12,AC24)),CODES!$A$12,IF(OR(ISNUMBER(FIND(CODES!$A$10,AC24)),ISNUMBER(FIND(CODES!$A$11,AC24))),CODES!$A$13,IF(OR(AC24&lt;AC$63,ISNUMBER(AC24)=FALSE),AC$64,AC24))))</f>
      </c>
      <c r="AD76" s="9" t="str">
        <f>IF(ISBLANK(AD24),"NO DATA",IF(ISNUMBER(FIND(CODES!$A$12,AD24)),CODES!$A$12,IF(OR(ISNUMBER(FIND(CODES!$A$10,AD24)),ISNUMBER(FIND(CODES!$A$11,AD24))),CODES!$A$13,IF(OR(AD24&lt;AD$63,ISNUMBER(AD24)=FALSE),AD$64,AD24))))</f>
      </c>
      <c r="AE76" s="9" t="str">
        <f>IF(ISBLANK(AE24),"NO DATA",IF(ISNUMBER(FIND(CODES!$A$12,AE24)),CODES!$A$12,IF(OR(ISNUMBER(FIND(CODES!$A$10,AE24)),ISNUMBER(FIND(CODES!$A$11,AE24))),CODES!$A$13,IF(OR(AE24&lt;AE$63,ISNUMBER(AE24)=FALSE),AE$64,AE24))))</f>
      </c>
      <c r="AF76" s="9" t="str">
        <f>IF(ISBLANK(AF24),"NO DATA",IF(ISNUMBER(FIND(CODES!$A$12,AF24)),CODES!$A$12,IF(OR(ISNUMBER(FIND(CODES!$A$10,AF24)),ISNUMBER(FIND(CODES!$A$11,AF24))),CODES!$A$13,IF(OR(AF24&lt;AF$63,ISNUMBER(AF24)=FALSE),AF$64,AF24))))</f>
      </c>
      <c r="AG76" s="9">
        <f>IF(ISBLANK(AG24),"NO DATA",IF(ISNUMBER(FIND(CODES!$A$12,AG24)),CODES!$A$12,IF(OR(ISNUMBER(FIND(CODES!$A$10,AG24)),ISNUMBER(FIND(CODES!$A$11,AG24))),CODES!$A$13,IF(OR(AG24&lt;AG$63,ISNUMBER(AG24)=FALSE),AG$64,AG24))))</f>
      </c>
      <c r="AH76" s="9">
        <f>IF(ISBLANK(AH24),"NO DATA",IF(ISNUMBER(FIND(CODES!$A$12,AH24)),CODES!$A$12,IF(OR(ISNUMBER(FIND(CODES!$A$10,AH24)),ISNUMBER(FIND(CODES!$A$11,AH24))),CODES!$A$13,IF(OR(AH24&lt;AH$63,ISNUMBER(AH24)=FALSE),AH$64,AH24))))</f>
      </c>
      <c r="AI76" s="9" t="str">
        <f>IF(ISBLANK(AI24),"NO DATA",IF(ISNUMBER(FIND(CODES!$A$12,AI24)),CODES!$A$12,IF(OR(ISNUMBER(FIND(CODES!$A$10,AI24)),ISNUMBER(FIND(CODES!$A$11,AI24))),CODES!$A$13,IF(OR(AI24&lt;AI$63,ISNUMBER(AI24)=FALSE),AI$64,AI24))))</f>
      </c>
      <c r="AJ76" s="9" t="str">
        <f>IF(ISBLANK(AJ24),"NO DATA",IF(ISNUMBER(FIND(CODES!$A$12,AJ24)),CODES!$A$12,IF(OR(ISNUMBER(FIND(CODES!$A$10,AJ24)),ISNUMBER(FIND(CODES!$A$11,AJ24))),CODES!$A$13,IF(OR(AJ24&lt;AJ$63,ISNUMBER(AJ24)=FALSE),AJ$64,AJ24))))</f>
      </c>
      <c r="AK76" s="9">
        <f>IF(ISBLANK(AK24),"NO DATA",IF(ISNUMBER(FIND(CODES!$A$12,AK24)),CODES!$A$12,IF(OR(ISNUMBER(FIND(CODES!$A$10,AK24)),ISNUMBER(FIND(CODES!$A$11,AK24))),CODES!$A$13,IF(OR(AK24&lt;AK$63,ISNUMBER(AK24)=FALSE),AK$64,AK24))))</f>
      </c>
      <c r="AL76" s="9" t="str">
        <f>IF(ISBLANK(AL24),"NO DATA",IF(ISNUMBER(FIND(CODES!$A$12,AL24)),CODES!$A$12,IF(OR(ISNUMBER(FIND(CODES!$A$10,AL24)),ISNUMBER(FIND(CODES!$A$11,AL24))),CODES!$A$13,IF(OR(AL24&lt;AL$63,ISNUMBER(AL24)=FALSE),AL$64,AL24))))</f>
      </c>
      <c r="AM76" s="9" t="str">
        <f>IF(ISBLANK(AM24),"NO DATA",IF(ISNUMBER(FIND(CODES!$A$12,AM24)),CODES!$A$12,IF(OR(ISNUMBER(FIND(CODES!$A$10,AM24)),ISNUMBER(FIND(CODES!$A$11,AM24))),CODES!$A$13,IF(OR(AM24&lt;AM$63,ISNUMBER(AM24)=FALSE),AM$64,AM24))))</f>
      </c>
      <c r="AN76" s="9" t="str">
        <f>IF(ISBLANK(AN24),"NO DATA",IF(ISNUMBER(FIND(CODES!$A$12,AN24)),CODES!$A$12,IF(OR(ISNUMBER(FIND(CODES!$A$10,AN24)),ISNUMBER(FIND(CODES!$A$11,AN24))),CODES!$A$13,IF(OR(AN24&lt;AN$63,ISNUMBER(AN24)=FALSE),AN$64,AN24))))</f>
      </c>
      <c r="AO76" s="9" t="str">
        <f>IF(ISBLANK(AO24),"NO DATA",IF(ISNUMBER(FIND(CODES!$A$12,AO24)),CODES!$A$12,IF(OR(ISNUMBER(FIND(CODES!$A$10,AO24)),ISNUMBER(FIND(CODES!$A$11,AO24))),CODES!$A$13,IF(OR(AO24&lt;AO$63,ISNUMBER(AO24)=FALSE),AO$64,AO24))))</f>
      </c>
      <c r="AP76" s="9" t="str">
        <f>IF(ISBLANK(AP24),"NO DATA",IF(ISNUMBER(FIND(CODES!$A$12,AP24)),CODES!$A$12,IF(OR(ISNUMBER(FIND(CODES!$A$10,AP24)),ISNUMBER(FIND(CODES!$A$11,AP24))),CODES!$A$13,IF(OR(AP24&lt;AP$63,ISNUMBER(AP24)=FALSE),AP$64,AP24))))</f>
      </c>
      <c r="AQ76" s="9" t="str">
        <f>IF(ISBLANK(AQ24),"NO DATA",IF(ISNUMBER(FIND(CODES!$A$12,AQ24)),CODES!$A$12,IF(OR(ISNUMBER(FIND(CODES!$A$10,AQ24)),ISNUMBER(FIND(CODES!$A$11,AQ24))),CODES!$A$13,IF(OR(AQ24&lt;AQ$63,ISNUMBER(AQ24)=FALSE),AQ$64,AQ24))))</f>
      </c>
      <c r="AR76" s="9" t="str">
        <f>IF(ISBLANK(AR24),"NO DATA",IF(ISNUMBER(FIND(CODES!$A$12,AR24)),CODES!$A$12,IF(OR(ISNUMBER(FIND(CODES!$A$10,AR24)),ISNUMBER(FIND(CODES!$A$11,AR24))),CODES!$A$13,IF(OR(AR24&lt;AR$63,ISNUMBER(AR24)=FALSE),AR$64,AR24))))</f>
      </c>
      <c r="AS76" s="9">
        <f>IF(ISBLANK(AS24),"NO DATA",IF(ISNUMBER(FIND(CODES!$A$12,AS24)),CODES!$A$12,IF(OR(ISNUMBER(FIND(CODES!$A$10,AS24)),ISNUMBER(FIND(CODES!$A$11,AS24))),CODES!$A$13,IF(OR(AS24&lt;AS$63,ISNUMBER(AS24)=FALSE),AS$64,AS24))))</f>
      </c>
      <c r="AT76" s="9">
        <f>IF(ISBLANK(AT24),"NO DATA",IF(ISNUMBER(FIND(CODES!$A$12,AT24)),CODES!$A$12,IF(OR(ISNUMBER(FIND(CODES!$A$10,AT24)),ISNUMBER(FIND(CODES!$A$11,AT24))),CODES!$A$13,IF(OR(AT24&lt;AT$63,ISNUMBER(AT24)=FALSE),AT$64,AT24))))</f>
      </c>
      <c r="AU76" s="9" t="str">
        <f>IF(ISBLANK(AU24),"NO DATA",IF(ISNUMBER(FIND(CODES!$A$12,AU24)),CODES!$A$12,IF(OR(ISNUMBER(FIND(CODES!$A$10,AU24)),ISNUMBER(FIND(CODES!$A$11,AU24))),CODES!$A$13,IF(OR(AU24&lt;AU$63,ISNUMBER(AU24)=FALSE),AU$64,AU24))))</f>
      </c>
      <c r="AV76" s="9" t="str">
        <f>IF(ISBLANK(AV24),"NO DATA",IF(ISNUMBER(FIND(CODES!$A$12,AV24)),CODES!$A$12,IF(OR(ISNUMBER(FIND(CODES!$A$10,AV24)),ISNUMBER(FIND(CODES!$A$11,AV24))),CODES!$A$13,IF(OR(AV24&lt;AV$63,ISNUMBER(AV24)=FALSE),AV$64,AV24))))</f>
      </c>
      <c r="AW76" s="9" t="str">
        <f>IF(ISBLANK(AW24),"NO DATA",IF(ISNUMBER(FIND(CODES!$A$12,AW24)),CODES!$A$12,IF(OR(ISNUMBER(FIND(CODES!$A$10,AW24)),ISNUMBER(FIND(CODES!$A$11,AW24))),CODES!$A$13,IF(OR(AW24&lt;AW$63,ISNUMBER(AW24)=FALSE),AW$64,AW24))))</f>
      </c>
      <c r="AX76" s="9" t="str">
        <f>IF(ISBLANK(AX24),"NO DATA",IF(ISNUMBER(FIND(CODES!$A$12,AX24)),CODES!$A$12,IF(OR(ISNUMBER(FIND(CODES!$A$10,AX24)),ISNUMBER(FIND(CODES!$A$11,AX24))),CODES!$A$13,IF(OR(AX24&lt;AX$63,ISNUMBER(AX24)=FALSE),AX$64,AX24))))</f>
      </c>
      <c r="AY76" s="9" t="str">
        <f>IF(ISBLANK(AY24),"NO DATA",IF(ISNUMBER(FIND(CODES!$A$12,AY24)),CODES!$A$12,IF(OR(ISNUMBER(FIND(CODES!$A$10,AY24)),ISNUMBER(FIND(CODES!$A$11,AY24))),CODES!$A$13,IF(OR(AY24&lt;AY$63,ISNUMBER(AY24)=FALSE),AY$64,AY24))))</f>
      </c>
      <c r="AZ76" s="9">
        <f>IF(ISBLANK(AZ24),"NO DATA",IF(ISNUMBER(FIND(CODES!$A$12,AZ24)),CODES!$A$12,IF(OR(ISNUMBER(FIND(CODES!$A$10,AZ24)),ISNUMBER(FIND(CODES!$A$11,AZ24))),CODES!$A$13,IF(OR(AZ24&lt;AZ$63,ISNUMBER(AZ24)=FALSE),AZ$64,AZ24))))</f>
      </c>
      <c r="BA76" s="9">
        <f>IF(ISBLANK(BA24),"NO DATA",IF(ISNUMBER(FIND(CODES!$A$12,BA24)),CODES!$A$12,IF(OR(ISNUMBER(FIND(CODES!$A$10,BA24)),ISNUMBER(FIND(CODES!$A$11,BA24))),CODES!$A$13,IF(OR(BA24&lt;BA$63,ISNUMBER(BA24)=FALSE),BA$64,BA24))))</f>
      </c>
      <c r="BB76" s="9">
        <f>IF(ISBLANK(BB24),"NO DATA",IF(ISNUMBER(FIND(CODES!$A$12,BB24)),CODES!$A$12,IF(OR(ISNUMBER(FIND(CODES!$A$10,BB24)),ISNUMBER(FIND(CODES!$A$11,BB24))),CODES!$A$13,IF(OR(BB24&lt;BB$63,ISNUMBER(BB24)=FALSE),BB$64,BB24))))</f>
      </c>
      <c r="BC76" s="9">
        <f>IF(ISBLANK(BC24),"NO DATA",IF(ISNUMBER(FIND(CODES!$A$12,BC24)),CODES!$A$12,IF(OR(ISNUMBER(FIND(CODES!$A$10,BC24)),ISNUMBER(FIND(CODES!$A$11,BC24))),CODES!$A$13,IF(OR(BC24&lt;BC$63,ISNUMBER(BC24)=FALSE),BC$64,BC24))))</f>
      </c>
      <c r="BD76" s="9" t="str">
        <f>IF(ISBLANK(BD24),"NO DATA",IF(ISNUMBER(FIND(CODES!$A$12,BD24)),CODES!$A$12,IF(OR(ISNUMBER(FIND(CODES!$A$10,BD24)),ISNUMBER(FIND(CODES!$A$11,BD24))),CODES!$A$13,IF(OR(BD24&lt;BD$63,ISNUMBER(BD24)=FALSE),BD$64,BD24))))</f>
      </c>
      <c r="BE76" s="9" t="str">
        <f>IF(ISBLANK(BE24),"NO DATA",IF(ISNUMBER(FIND(CODES!$A$12,BE24)),CODES!$A$12,IF(OR(ISNUMBER(FIND(CODES!$A$10,BE24)),ISNUMBER(FIND(CODES!$A$11,BE24))),CODES!$A$13,IF(OR(BE24&lt;BE$63,ISNUMBER(BE24)=FALSE),BE$64,BE24))))</f>
      </c>
      <c r="BF76" s="9">
        <f>IF(ISBLANK(BF24),"NO DATA",IF(ISNUMBER(FIND(CODES!$A$12,BF24)),CODES!$A$12,IF(OR(ISNUMBER(FIND(CODES!$A$10,BF24)),ISNUMBER(FIND(CODES!$A$11,BF24))),CODES!$A$13,IF(OR(BF24&lt;BF$63,ISNUMBER(BF24)=FALSE),BF$64,BF24))))</f>
      </c>
      <c r="BG76" s="9">
        <f>IF(ISBLANK(BG24),"NO DATA",IF(ISNUMBER(FIND(CODES!$A$12,BG24)),CODES!$A$12,IF(OR(ISNUMBER(FIND(CODES!$A$10,BG24)),ISNUMBER(FIND(CODES!$A$11,BG24))),CODES!$A$13,IF(OR(BG24&lt;BG$63,ISNUMBER(BG24)=FALSE),BG$64,BG24))))</f>
      </c>
      <c r="BH76" s="9" t="str">
        <f>IF(ISBLANK(BH24),"NO DATA",IF(ISNUMBER(FIND(CODES!$A$12,BH24)),CODES!$A$12,IF(OR(ISNUMBER(FIND(CODES!$A$10,BH24)),ISNUMBER(FIND(CODES!$A$11,BH24))),CODES!$A$13,IF(OR(BH24&lt;BH$63,ISNUMBER(BH24)=FALSE),BH$64,BH24))))</f>
      </c>
      <c r="BI76" s="9" t="str">
        <f>IF(ISBLANK(BI24),"NO DATA",IF(ISNUMBER(FIND(CODES!$A$12,BI24)),CODES!$A$12,IF(OR(ISNUMBER(FIND(CODES!$A$10,BI24)),ISNUMBER(FIND(CODES!$A$11,BI24))),CODES!$A$13,IF(OR(BI24&lt;BI$63,ISNUMBER(BI24)=FALSE),BI$64,BI24))))</f>
      </c>
      <c r="BJ76" s="9" t="str">
        <f>IF(ISBLANK(BJ24),"NO DATA",IF(ISNUMBER(FIND(CODES!$A$12,BJ24)),CODES!$A$12,IF(OR(ISNUMBER(FIND(CODES!$A$10,BJ24)),ISNUMBER(FIND(CODES!$A$11,BJ24))),CODES!$A$13,IF(OR(BJ24&lt;BJ$63,ISNUMBER(BJ24)=FALSE),BJ$64,BJ24))))</f>
      </c>
      <c r="BK76" s="9" t="str">
        <f>IF(ISBLANK(BK24),"NO DATA",IF(ISNUMBER(FIND(CODES!$A$12,BK24)),CODES!$A$12,IF(OR(ISNUMBER(FIND(CODES!$A$10,BK24)),ISNUMBER(FIND(CODES!$A$11,BK24))),CODES!$A$13,IF(OR(BK24&lt;BK$63,ISNUMBER(BK24)=FALSE),BK$64,BK24))))</f>
      </c>
      <c r="BL76" s="9" t="str">
        <f>IF(ISBLANK(BL24),"NO DATA",IF(ISNUMBER(FIND(CODES!$A$12,BL24)),CODES!$A$12,IF(OR(ISNUMBER(FIND(CODES!$A$10,BL24)),ISNUMBER(FIND(CODES!$A$11,BL24))),CODES!$A$13,IF(OR(BL24&lt;BL$63,ISNUMBER(BL24)=FALSE),BL$64,BL24))))</f>
      </c>
      <c r="BM76" s="9" t="str">
        <f>IF(ISBLANK(BM24),"NO DATA",IF(ISNUMBER(FIND(CODES!$A$12,BM24)),CODES!$A$12,IF(OR(ISNUMBER(FIND(CODES!$A$10,BM24)),ISNUMBER(FIND(CODES!$A$11,BM24))),CODES!$A$13,IF(OR(BM24&lt;BM$63,ISNUMBER(BM24)=FALSE),BM$64,BM24))))</f>
      </c>
      <c r="BN76" s="9" t="str">
        <f>IF(ISBLANK(BN24),"NO DATA",IF(ISNUMBER(FIND(CODES!$A$12,BN24)),CODES!$A$12,IF(OR(ISNUMBER(FIND(CODES!$A$10,BN24)),ISNUMBER(FIND(CODES!$A$11,BN24))),CODES!$A$13,IF(OR(BN24&lt;BN$63,ISNUMBER(BN24)=FALSE),BN$64,BN24))))</f>
      </c>
      <c r="BO76" s="9" t="str">
        <f>IF(ISBLANK(BO24),"NO DATA",IF(ISNUMBER(FIND(CODES!$A$12,BO24)),CODES!$A$12,IF(OR(ISNUMBER(FIND(CODES!$A$10,BO24)),ISNUMBER(FIND(CODES!$A$11,BO24))),CODES!$A$13,IF(OR(BO24&lt;BO$63,ISNUMBER(BO24)=FALSE),BO$64,BO24))))</f>
      </c>
      <c r="BP76" s="9">
        <f>IF(ISBLANK(BP24),"NO DATA",IF(ISNUMBER(FIND(CODES!$A$12,BP24)),CODES!$A$12,IF(OR(ISNUMBER(FIND(CODES!$A$10,BP24)),ISNUMBER(FIND(CODES!$A$11,BP24))),CODES!$A$13,IF(OR(BP24&lt;BP$63,ISNUMBER(BP24)=FALSE),BP$64,BP24))))</f>
      </c>
      <c r="BQ76" s="9" t="str">
        <f>IF(ISBLANK(BQ24),"NO DATA",IF(ISNUMBER(FIND(CODES!$A$12,BQ24)),CODES!$A$12,IF(OR(ISNUMBER(FIND(CODES!$A$10,BQ24)),ISNUMBER(FIND(CODES!$A$11,BQ24))),CODES!$A$13,IF(OR(BQ24&lt;BQ$63,ISNUMBER(BQ24)=FALSE),BQ$64,BQ24))))</f>
      </c>
      <c r="BR76" s="9" t="str">
        <f>IF(ISBLANK(BR24),"NO DATA",IF(ISNUMBER(FIND(CODES!$A$12,BR24)),CODES!$A$12,IF(OR(ISNUMBER(FIND(CODES!$A$10,BR24)),ISNUMBER(FIND(CODES!$A$11,BR24))),CODES!$A$13,IF(OR(BR24&lt;BR$63,ISNUMBER(BR24)=FALSE),BR$64,BR24))))</f>
      </c>
      <c r="BS76" s="9">
        <f>IF(ISBLANK(BS24),"NO DATA",IF(ISNUMBER(FIND(CODES!$A$12,BS24)),CODES!$A$12,IF(OR(ISNUMBER(FIND(CODES!$A$10,BS24)),ISNUMBER(FIND(CODES!$A$11,BS24))),CODES!$A$13,IF(OR(BS24&lt;BS$63,ISNUMBER(BS24)=FALSE),BS$64,BS24))))</f>
      </c>
      <c r="BT76" s="9">
        <f>IF(ISBLANK(BT24),"NO DATA",IF(ISNUMBER(FIND(CODES!$A$12,BT24)),CODES!$A$12,IF(OR(ISNUMBER(FIND(CODES!$A$10,BT24)),ISNUMBER(FIND(CODES!$A$11,BT24))),CODES!$A$13,IF(OR(BT24&lt;BT$63,ISNUMBER(BT24)=FALSE),BT$64,BT24))))</f>
      </c>
      <c r="BU76" s="9" t="str">
        <f>IF(ISBLANK(BU24),"NO DATA",IF(ISNUMBER(FIND(CODES!$A$12,BU24)),CODES!$A$12,IF(OR(ISNUMBER(FIND(CODES!$A$10,BU24)),ISNUMBER(FIND(CODES!$A$11,BU24))),CODES!$A$13,IF(OR(BU24&lt;BU$63,ISNUMBER(BU24)=FALSE),BU$64,BU24))))</f>
      </c>
      <c r="BV76" s="9" t="str">
        <f>IF(ISBLANK(BV24),"NO DATA",IF(ISNUMBER(FIND(CODES!$A$12,BV24)),CODES!$A$12,IF(OR(ISNUMBER(FIND(CODES!$A$10,BV24)),ISNUMBER(FIND(CODES!$A$11,BV24))),CODES!$A$13,IF(OR(BV24&lt;BV$63,ISNUMBER(BV24)=FALSE),BV$64,BV24))))</f>
      </c>
      <c r="BW76" s="9" t="str">
        <f>IF(ISBLANK(BW24),"NO DATA",IF(ISNUMBER(FIND(CODES!$A$12,BW24)),CODES!$A$12,IF(OR(ISNUMBER(FIND(CODES!$A$10,BW24)),ISNUMBER(FIND(CODES!$A$11,BW24))),CODES!$A$13,IF(OR(BW24&lt;BW$63,ISNUMBER(BW24)=FALSE),BW$64,BW24))))</f>
      </c>
      <c r="BX76" s="9" t="str">
        <f>IF(ISBLANK(BX24),"NO DATA",IF(ISNUMBER(FIND(CODES!$A$12,BX24)),CODES!$A$12,IF(OR(ISNUMBER(FIND(CODES!$A$10,BX24)),ISNUMBER(FIND(CODES!$A$11,BX24))),CODES!$A$13,IF(OR(BX24&lt;BX$63,ISNUMBER(BX24)=FALSE),BX$64,BX24))))</f>
      </c>
      <c r="BY76" s="9" t="str">
        <f>IF(ISBLANK(BY24),"NO DATA",IF(ISNUMBER(FIND(CODES!$A$12,BY24)),CODES!$A$12,IF(OR(ISNUMBER(FIND(CODES!$A$10,BY24)),ISNUMBER(FIND(CODES!$A$11,BY24))),CODES!$A$13,IF(OR(BY24&lt;BY$63,ISNUMBER(BY24)=FALSE),BY$64,BY24))))</f>
      </c>
      <c r="BZ76" s="9" t="str">
        <f>IF(ISBLANK(BZ24),"NO DATA",IF(ISNUMBER(FIND(CODES!$A$12,BZ24)),CODES!$A$12,IF(OR(ISNUMBER(FIND(CODES!$A$10,BZ24)),ISNUMBER(FIND(CODES!$A$11,BZ24))),CODES!$A$13,IF(OR(BZ24&lt;BZ$63,ISNUMBER(BZ24)=FALSE),BZ$64,BZ24))))</f>
      </c>
      <c r="CA76" s="9" t="str">
        <f>IF(ISBLANK(CA24),"NO DATA",IF(ISNUMBER(FIND(CODES!$A$12,CA24)),CODES!$A$12,IF(OR(ISNUMBER(FIND(CODES!$A$10,CA24)),ISNUMBER(FIND(CODES!$A$11,CA24))),CODES!$A$13,IF(OR(CA24&lt;CA$63,ISNUMBER(CA24)=FALSE),CA$64,CA24))))</f>
      </c>
      <c r="CB76" s="9" t="str">
        <f>IF(ISBLANK(CB24),"NO DATA",IF(ISNUMBER(FIND(CODES!$A$12,CB24)),CODES!$A$12,IF(OR(ISNUMBER(FIND(CODES!$A$10,CB24)),ISNUMBER(FIND(CODES!$A$11,CB24))),CODES!$A$13,IF(OR(CB24&lt;CB$63,ISNUMBER(CB24)=FALSE),CB$64,CB24))))</f>
      </c>
      <c r="CC76" s="9" t="str">
        <f>IF(ISBLANK(CC24),"NO DATA",IF(ISNUMBER(FIND(CODES!$A$12,CC24)),CODES!$A$12,IF(OR(ISNUMBER(FIND(CODES!$A$10,CC24)),ISNUMBER(FIND(CODES!$A$11,CC24))),CODES!$A$13,IF(OR(CC24&lt;CC$63,ISNUMBER(CC24)=FALSE),CC$64,CC24))))</f>
      </c>
      <c r="CD76" s="9" t="str">
        <f>IF(ISBLANK(CD24),"NO DATA",IF(ISNUMBER(FIND(CODES!$A$12,CD24)),CODES!$A$12,IF(OR(ISNUMBER(FIND(CODES!$A$10,CD24)),ISNUMBER(FIND(CODES!$A$11,CD24))),CODES!$A$13,IF(OR(CD24&lt;CD$63,ISNUMBER(CD24)=FALSE),CD$64,CD24))))</f>
      </c>
      <c r="CE76" s="9" t="str">
        <f>IF(ISBLANK(CE24),"NO DATA",IF(ISNUMBER(FIND(CODES!$A$12,CE24)),CODES!$A$12,IF(OR(ISNUMBER(FIND(CODES!$A$10,CE24)),ISNUMBER(FIND(CODES!$A$11,CE24))),CODES!$A$13,IF(OR(CE24&lt;CE$63,ISNUMBER(CE24)=FALSE),CE$64,CE24))))</f>
      </c>
      <c r="CF76" s="9">
        <f>IF(ISBLANK(CF24),"NO DATA",IF(ISNUMBER(FIND(CODES!$A$12,CF24)),CODES!$A$12,IF(OR(ISNUMBER(FIND(CODES!$A$10,CF24)),ISNUMBER(FIND(CODES!$A$11,CF24))),CODES!$A$13,IF(OR(CF24&lt;CF$63,ISNUMBER(CF24)=FALSE),CF$64,CF24))))</f>
      </c>
      <c r="CG76" s="9">
        <f>IF(ISBLANK(CG24),"NO DATA",IF(ISNUMBER(FIND(CODES!$A$12,CG24)),CODES!$A$12,IF(OR(ISNUMBER(FIND(CODES!$A$10,CG24)),ISNUMBER(FIND(CODES!$A$11,CG24))),CODES!$A$13,IF(OR(CG24&lt;CG$63,ISNUMBER(CG24)=FALSE),CG$64,CG24))))</f>
      </c>
      <c r="CH76" s="9">
        <f>IF(ISBLANK(CH24),"NO DATA",IF(ISNUMBER(FIND(CODES!$A$12,CH24)),CODES!$A$12,IF(OR(ISNUMBER(FIND(CODES!$A$10,CH24)),ISNUMBER(FIND(CODES!$A$11,CH24))),CODES!$A$13,IF(OR(CH24&lt;CH$63,ISNUMBER(CH24)=FALSE),CH$64,CH24))))</f>
      </c>
      <c r="CI76" s="9" t="str">
        <f>IF(ISBLANK(CI24),"NO DATA",IF(ISNUMBER(FIND(CODES!$A$12,CI24)),CODES!$A$12,IF(OR(ISNUMBER(FIND(CODES!$A$10,CI24)),ISNUMBER(FIND(CODES!$A$11,CI24))),CODES!$A$13,IF(OR(CI24&lt;CI$63,ISNUMBER(CI24)=FALSE),CI$64,CI24))))</f>
      </c>
      <c r="CJ76" s="9" t="str">
        <f>IF(ISBLANK(CJ24),"NO DATA",IF(ISNUMBER(FIND(CODES!$A$12,CJ24)),CODES!$A$12,IF(OR(ISNUMBER(FIND(CODES!$A$10,CJ24)),ISNUMBER(FIND(CODES!$A$11,CJ24))),CODES!$A$13,IF(OR(CJ24&lt;CJ$63,ISNUMBER(CJ24)=FALSE),CJ$64,CJ24))))</f>
      </c>
      <c r="CK76" s="9" t="str">
        <f>IF(ISBLANK(CK24),"NO DATA",IF(ISNUMBER(FIND(CODES!$A$12,CK24)),CODES!$A$12,IF(OR(ISNUMBER(FIND(CODES!$A$10,CK24)),ISNUMBER(FIND(CODES!$A$11,CK24))),CODES!$A$13,IF(OR(CK24&lt;CK$63,ISNUMBER(CK24)=FALSE),CK$64,CK24))))</f>
      </c>
      <c r="CL76" s="9" t="str">
        <f>IF(ISBLANK(CL24),"NO DATA",IF(ISNUMBER(FIND(CODES!$A$12,CL24)),CODES!$A$12,IF(OR(ISNUMBER(FIND(CODES!$A$10,CL24)),ISNUMBER(FIND(CODES!$A$11,CL24))),CODES!$A$13,IF(OR(CL24&lt;CL$63,ISNUMBER(CL24)=FALSE),CL$64,CL24))))</f>
      </c>
      <c r="CM76" s="9" t="str">
        <f>IF(ISBLANK(CM24),"NO DATA",IF(ISNUMBER(FIND(CODES!$A$12,CM24)),CODES!$A$12,IF(OR(ISNUMBER(FIND(CODES!$A$10,CM24)),ISNUMBER(FIND(CODES!$A$11,CM24))),CODES!$A$13,IF(OR(CM24&lt;CM$63,ISNUMBER(CM24)=FALSE),CM$64,CM24))))</f>
      </c>
      <c r="CN76" s="9" t="str">
        <f>IF(ISBLANK(CN24),"NO DATA",IF(ISNUMBER(FIND(CODES!$A$12,CN24)),CODES!$A$12,IF(OR(ISNUMBER(FIND(CODES!$A$10,CN24)),ISNUMBER(FIND(CODES!$A$11,CN24))),CODES!$A$13,IF(OR(CN24&lt;CN$63,ISNUMBER(CN24)=FALSE),CN$64,CN24))))</f>
      </c>
      <c r="CO76" s="9" t="str">
        <f>IF(ISBLANK(CO24),"NO DATA",IF(ISNUMBER(FIND(CODES!$A$12,CO24)),CODES!$A$12,IF(OR(ISNUMBER(FIND(CODES!$A$10,CO24)),ISNUMBER(FIND(CODES!$A$11,CO24))),CODES!$A$13,IF(OR(CO24&lt;CO$63,ISNUMBER(CO24)=FALSE),CO$64,CO24))))</f>
      </c>
      <c r="CP76" s="9" t="str">
        <f>IF(ISBLANK(CP24),"NO DATA",IF(ISNUMBER(FIND(CODES!$A$12,CP24)),CODES!$A$12,IF(OR(ISNUMBER(FIND(CODES!$A$10,CP24)),ISNUMBER(FIND(CODES!$A$11,CP24))),CODES!$A$13,IF(OR(CP24&lt;CP$63,ISNUMBER(CP24)=FALSE),CP$64,CP24))))</f>
      </c>
      <c r="CQ76" s="9" t="str">
        <f>IF(ISBLANK(CQ24),"NO DATA",IF(ISNUMBER(FIND(CODES!$A$12,CQ24)),CODES!$A$12,IF(OR(ISNUMBER(FIND(CODES!$A$10,CQ24)),ISNUMBER(FIND(CODES!$A$11,CQ24))),CODES!$A$13,IF(OR(CQ24&lt;CQ$63,ISNUMBER(CQ24)=FALSE),CQ$64,CQ24))))</f>
      </c>
      <c r="CR76" s="9" t="str">
        <f>IF(ISBLANK(CR24),"NO DATA",IF(ISNUMBER(FIND(CODES!$A$12,CR24)),CODES!$A$12,IF(OR(ISNUMBER(FIND(CODES!$A$10,CR24)),ISNUMBER(FIND(CODES!$A$11,CR24))),CODES!$A$13,IF(OR(CR24&lt;CR$63,ISNUMBER(CR24)=FALSE),CR$64,CR24))))</f>
      </c>
      <c r="CS76" s="9" t="str">
        <f>IF(ISBLANK(CS24),"NO DATA",IF(ISNUMBER(FIND(CODES!$A$12,CS24)),CODES!$A$12,IF(OR(ISNUMBER(FIND(CODES!$A$10,CS24)),ISNUMBER(FIND(CODES!$A$11,CS24))),CODES!$A$13,IF(OR(CS24&lt;CS$63,ISNUMBER(CS24)=FALSE),CS$64,CS24))))</f>
      </c>
      <c r="CT76" s="9" t="str">
        <f>IF(ISBLANK(CT24),"NO DATA",IF(ISNUMBER(FIND(CODES!$A$12,CT24)),CODES!$A$12,IF(OR(ISNUMBER(FIND(CODES!$A$10,CT24)),ISNUMBER(FIND(CODES!$A$11,CT24))),CODES!$A$13,IF(OR(CT24&lt;CT$63,ISNUMBER(CT24)=FALSE),CT$64,CT24))))</f>
      </c>
      <c r="CU76" s="9" t="str">
        <f>IF(ISBLANK(CU24),"NO DATA",IF(ISNUMBER(FIND(CODES!$A$12,CU24)),CODES!$A$12,IF(OR(ISNUMBER(FIND(CODES!$A$10,CU24)),ISNUMBER(FIND(CODES!$A$11,CU24))),CODES!$A$13,IF(OR(CU24&lt;CU$63,ISNUMBER(CU24)=FALSE),CU$64,CU24))))</f>
      </c>
      <c r="CV76" s="9">
        <f>IF(ISBLANK(CV24),"NO DATA",IF(ISNUMBER(FIND(CODES!$A$12,CV24)),CODES!$A$12,IF(OR(ISNUMBER(FIND(CODES!$A$10,CV24)),ISNUMBER(FIND(CODES!$A$11,CV24))),CODES!$A$13,IF(OR(CV24&lt;CV$63,ISNUMBER(CV24)=FALSE),CV$64,CV24))))</f>
      </c>
      <c r="CW76" s="9" t="str">
        <f>IF(ISBLANK(CW24),"NO DATA",IF(ISNUMBER(FIND(CODES!$A$12,CW24)),CODES!$A$12,IF(OR(ISNUMBER(FIND(CODES!$A$10,CW24)),ISNUMBER(FIND(CODES!$A$11,CW24))),CODES!$A$13,IF(OR(CW24&lt;CW$63,ISNUMBER(CW24)=FALSE),CW$64,CW24))))</f>
      </c>
      <c r="CX76" s="9">
        <f>IF(ISBLANK(CX24),"NO DATA",IF(ISNUMBER(FIND(CODES!$A$12,CX24)),CODES!$A$12,IF(OR(ISNUMBER(FIND(CODES!$A$10,CX24)),ISNUMBER(FIND(CODES!$A$11,CX24))),CODES!$A$13,IF(OR(CX24&lt;CX$63,ISNUMBER(CX24)=FALSE),CX$64,CX24))))</f>
      </c>
      <c r="CY76" s="9">
        <f>IF(ISBLANK(CY24),"NO DATA",IF(ISNUMBER(FIND(CODES!$A$12,CY24)),CODES!$A$12,IF(OR(ISNUMBER(FIND(CODES!$A$10,CY24)),ISNUMBER(FIND(CODES!$A$11,CY24))),CODES!$A$13,IF(OR(CY24&lt;CY$63,ISNUMBER(CY24)=FALSE),CY$64,CY24))))</f>
      </c>
      <c r="CZ76" s="9" t="str">
        <f>IF(ISBLANK(CZ24),"NO DATA",IF(ISNUMBER(FIND(CODES!$A$12,CZ24)),CODES!$A$12,IF(OR(ISNUMBER(FIND(CODES!$A$10,CZ24)),ISNUMBER(FIND(CODES!$A$11,CZ24))),CODES!$A$13,IF(OR(CZ24&lt;CZ$63,ISNUMBER(CZ24)=FALSE),CZ$64,CZ24))))</f>
      </c>
      <c r="DA76" s="9" t="str">
        <f>IF(ISBLANK(DA24),"NO DATA",IF(ISNUMBER(FIND(CODES!$A$12,DA24)),CODES!$A$12,IF(OR(ISNUMBER(FIND(CODES!$A$10,DA24)),ISNUMBER(FIND(CODES!$A$11,DA24))),CODES!$A$13,IF(OR(DA24&lt;DA$63,ISNUMBER(DA24)=FALSE),DA$64,DA24))))</f>
      </c>
      <c r="DB76" s="9" t="str">
        <f>IF(ISBLANK(DB24),"NO DATA",IF(ISNUMBER(FIND(CODES!$A$12,DB24)),CODES!$A$12,IF(OR(ISNUMBER(FIND(CODES!$A$10,DB24)),ISNUMBER(FIND(CODES!$A$11,DB24))),CODES!$A$13,IF(OR(DB24&lt;DB$63,ISNUMBER(DB24)=FALSE),DB$64,DB24))))</f>
      </c>
      <c r="DC76" s="9" t="str">
        <f>IF(ISBLANK(DC24),"NO DATA",IF(ISNUMBER(FIND(CODES!$A$12,DC24)),CODES!$A$12,IF(OR(ISNUMBER(FIND(CODES!$A$10,DC24)),ISNUMBER(FIND(CODES!$A$11,DC24))),CODES!$A$13,IF(OR(DC24&lt;DC$63,ISNUMBER(DC24)=FALSE),DC$64,DC24))))</f>
      </c>
      <c r="DD76" s="9" t="str">
        <f>IF(ISBLANK(DD24),"NO DATA",IF(ISNUMBER(FIND(CODES!$A$12,DD24)),CODES!$A$12,IF(OR(ISNUMBER(FIND(CODES!$A$10,DD24)),ISNUMBER(FIND(CODES!$A$11,DD24))),CODES!$A$13,IF(OR(DD24&lt;DD$63,ISNUMBER(DD24)=FALSE),DD$64,DD24))))</f>
      </c>
      <c r="DE76" s="9" t="str">
        <f>IF(ISBLANK(DE24),"NO DATA",IF(ISNUMBER(FIND(CODES!$A$12,DE24)),CODES!$A$12,IF(OR(ISNUMBER(FIND(CODES!$A$10,DE24)),ISNUMBER(FIND(CODES!$A$11,DE24))),CODES!$A$13,IF(OR(DE24&lt;DE$63,ISNUMBER(DE24)=FALSE),DE$64,DE24))))</f>
      </c>
      <c r="DF76" s="9">
        <f>IF(ISBLANK(DF24),"NO DATA",IF(ISNUMBER(FIND(CODES!$A$12,DF24)),CODES!$A$12,IF(OR(ISNUMBER(FIND(CODES!$A$10,DF24)),ISNUMBER(FIND(CODES!$A$11,DF24))),CODES!$A$13,IF(OR(DF24&lt;DF$63,ISNUMBER(DF24)=FALSE),DF$64,DF24))))</f>
      </c>
      <c r="DG76" s="9">
        <f>IF(ISBLANK(DG24),"NO DATA",IF(ISNUMBER(FIND(CODES!$A$12,DG24)),CODES!$A$12,IF(OR(ISNUMBER(FIND(CODES!$A$10,DG24)),ISNUMBER(FIND(CODES!$A$11,DG24))),CODES!$A$13,IF(OR(DG24&lt;DG$63,ISNUMBER(DG24)=FALSE),DG$64,DG24))))</f>
      </c>
      <c r="DH76" s="9" t="str">
        <f>IF(ISBLANK(DH24),"NO DATA",IF(ISNUMBER(FIND(CODES!$A$12,DH24)),CODES!$A$12,IF(OR(ISNUMBER(FIND(CODES!$A$10,DH24)),ISNUMBER(FIND(CODES!$A$11,DH24))),CODES!$A$13,IF(OR(DH24&lt;DH$63,ISNUMBER(DH24)=FALSE),DH$64,DH24))))</f>
      </c>
      <c r="DI76" s="9" t="str">
        <f>IF(ISBLANK(DI24),"NO DATA",IF(ISNUMBER(FIND(CODES!$A$12,DI24)),CODES!$A$12,IF(OR(ISNUMBER(FIND(CODES!$A$10,DI24)),ISNUMBER(FIND(CODES!$A$11,DI24))),CODES!$A$13,IF(OR(DI24&lt;DI$63,ISNUMBER(DI24)=FALSE),DI$64,DI24))))</f>
      </c>
    </row>
    <row r="77" spans="1:113" x14ac:dyDescent="0.25">
      <c r="A77" s="20" t="str">
        <f t="shared" si="4"/>
      </c>
      <c r="B77" s="20" t="str">
        <f t="shared" si="4"/>
      </c>
      <c r="C77" s="9" t="str">
        <f>IF(ISBLANK(C25),"NO DATA",IF(ISNUMBER(FIND(CODES!$A$12,C25)),CODES!$A$12,IF(OR(ISNUMBER(FIND(CODES!$A$10,C25)),ISNUMBER(FIND(CODES!$A$11,C25))),CODES!$A$13,IF(OR(C25&lt;C$63,ISNUMBER(C25)=FALSE),C$64,C25))))</f>
      </c>
      <c r="D77" s="9" t="str">
        <f>IF(ISBLANK(D25),"NO DATA",IF(ISNUMBER(FIND(CODES!$A$12,D25)),CODES!$A$12,IF(OR(ISNUMBER(FIND(CODES!$A$10,D25)),ISNUMBER(FIND(CODES!$A$11,D25))),CODES!$A$13,IF(OR(D25&lt;D$63,ISNUMBER(D25)=FALSE),D$64,D25))))</f>
      </c>
      <c r="E77" s="9">
        <f>IF(ISBLANK(E25),"NO DATA",IF(ISNUMBER(FIND(CODES!$A$12,E25)),CODES!$A$12,IF(OR(ISNUMBER(FIND(CODES!$A$10,E25)),ISNUMBER(FIND(CODES!$A$11,E25))),CODES!$A$13,IF(OR(E25&lt;E$63,ISNUMBER(E25)=FALSE),E$64,E25))))</f>
      </c>
      <c r="F77" s="9" t="str">
        <f>IF(ISBLANK(F25),"NO DATA",IF(ISNUMBER(FIND(CODES!$A$12,F25)),CODES!$A$12,IF(OR(ISNUMBER(FIND(CODES!$A$10,F25)),ISNUMBER(FIND(CODES!$A$11,F25))),CODES!$A$13,IF(OR(F25&lt;F$63,ISNUMBER(F25)=FALSE),F$64,F25))))</f>
      </c>
      <c r="G77" s="9" t="str">
        <f>IF(ISBLANK(G25),"NO DATA",IF(ISNUMBER(FIND(CODES!$A$12,G25)),CODES!$A$12,IF(OR(ISNUMBER(FIND(CODES!$A$10,G25)),ISNUMBER(FIND(CODES!$A$11,G25))),CODES!$A$13,IF(OR(G25&lt;G$63,ISNUMBER(G25)=FALSE),G$64,G25))))</f>
      </c>
      <c r="H77" s="9">
        <f>IF(ISBLANK(H25),"NO DATA",IF(ISNUMBER(FIND(CODES!$A$12,H25)),CODES!$A$12,IF(OR(ISNUMBER(FIND(CODES!$A$10,H25)),ISNUMBER(FIND(CODES!$A$11,H25))),CODES!$A$13,IF(OR(H25&lt;H$63,ISNUMBER(H25)=FALSE),H$64,H25))))</f>
      </c>
      <c r="I77" s="9">
        <f>IF(ISBLANK(I25),"NO DATA",IF(ISNUMBER(FIND(CODES!$A$12,I25)),CODES!$A$12,IF(OR(ISNUMBER(FIND(CODES!$A$10,I25)),ISNUMBER(FIND(CODES!$A$11,I25))),CODES!$A$13,IF(OR(I25&lt;I$63,ISNUMBER(I25)=FALSE),I$64,I25))))</f>
      </c>
      <c r="J77" s="9">
        <f>IF(ISBLANK(J25),"NO DATA",IF(ISNUMBER(FIND(CODES!$A$12,J25)),CODES!$A$12,IF(OR(ISNUMBER(FIND(CODES!$A$10,J25)),ISNUMBER(FIND(CODES!$A$11,J25))),CODES!$A$13,IF(OR(J25&lt;J$63,ISNUMBER(J25)=FALSE),J$64,J25))))</f>
      </c>
      <c r="K77" s="9">
        <f>IF(ISBLANK(K25),"NO DATA",IF(ISNUMBER(FIND(CODES!$A$12,K25)),CODES!$A$12,IF(OR(ISNUMBER(FIND(CODES!$A$10,K25)),ISNUMBER(FIND(CODES!$A$11,K25))),CODES!$A$13,IF(OR(K25&lt;K$63,ISNUMBER(K25)=FALSE),K$64,K25))))</f>
      </c>
      <c r="L77" s="9" t="str">
        <f>IF(ISBLANK(L25),"NO DATA",IF(ISNUMBER(FIND(CODES!$A$12,L25)),CODES!$A$12,IF(OR(ISNUMBER(FIND(CODES!$A$10,L25)),ISNUMBER(FIND(CODES!$A$11,L25))),CODES!$A$13,IF(OR(L25&lt;L$63,ISNUMBER(L25)=FALSE),L$64,L25))))</f>
      </c>
      <c r="M77" s="9" t="str">
        <f>IF(ISBLANK(M25),"NO DATA",IF(ISNUMBER(FIND(CODES!$A$12,M25)),CODES!$A$12,IF(OR(ISNUMBER(FIND(CODES!$A$10,M25)),ISNUMBER(FIND(CODES!$A$11,M25))),CODES!$A$13,IF(OR(M25&lt;M$63,ISNUMBER(M25)=FALSE),M$64,M25))))</f>
      </c>
      <c r="N77" s="9" t="str">
        <f>IF(ISBLANK(N25),"NO DATA",IF(ISNUMBER(FIND(CODES!$A$12,N25)),CODES!$A$12,IF(OR(ISNUMBER(FIND(CODES!$A$10,N25)),ISNUMBER(FIND(CODES!$A$11,N25))),CODES!$A$13,IF(OR(N25&lt;N$63,ISNUMBER(N25)=FALSE),N$64,N25))))</f>
      </c>
      <c r="O77" s="9" t="str">
        <f>IF(ISBLANK(O25),"NO DATA",IF(ISNUMBER(FIND(CODES!$A$12,O25)),CODES!$A$12,IF(OR(ISNUMBER(FIND(CODES!$A$10,O25)),ISNUMBER(FIND(CODES!$A$11,O25))),CODES!$A$13,IF(OR(O25&lt;O$63,ISNUMBER(O25)=FALSE),O$64,O25))))</f>
      </c>
      <c r="P77" s="9">
        <f>IF(ISBLANK(P25),"NO DATA",IF(ISNUMBER(FIND(CODES!$A$12,P25)),CODES!$A$12,IF(OR(ISNUMBER(FIND(CODES!$A$10,P25)),ISNUMBER(FIND(CODES!$A$11,P25))),CODES!$A$13,IF(OR(P25&lt;P$63,ISNUMBER(P25)=FALSE),P$64,P25))))</f>
      </c>
      <c r="Q77" s="9">
        <f>IF(ISBLANK(Q25),"NO DATA",IF(ISNUMBER(FIND(CODES!$A$12,Q25)),CODES!$A$12,IF(OR(ISNUMBER(FIND(CODES!$A$10,Q25)),ISNUMBER(FIND(CODES!$A$11,Q25))),CODES!$A$13,IF(OR(Q25&lt;Q$63,ISNUMBER(Q25)=FALSE),Q$64,Q25))))</f>
      </c>
      <c r="R77" s="9" t="str">
        <f>IF(ISBLANK(R25),"NO DATA",IF(ISNUMBER(FIND(CODES!$A$12,R25)),CODES!$A$12,IF(OR(ISNUMBER(FIND(CODES!$A$10,R25)),ISNUMBER(FIND(CODES!$A$11,R25))),CODES!$A$13,IF(OR(R25&lt;R$63,ISNUMBER(R25)=FALSE),R$64,R25))))</f>
      </c>
      <c r="S77" s="9" t="str">
        <f>IF(ISBLANK(S25),"NO DATA",IF(ISNUMBER(FIND(CODES!$A$12,S25)),CODES!$A$12,IF(OR(ISNUMBER(FIND(CODES!$A$10,S25)),ISNUMBER(FIND(CODES!$A$11,S25))),CODES!$A$13,IF(OR(S25&lt;S$63,ISNUMBER(S25)=FALSE),S$64,S25))))</f>
      </c>
      <c r="T77" s="9" t="str">
        <f>IF(ISBLANK(T25),"NO DATA",IF(ISNUMBER(FIND(CODES!$A$12,T25)),CODES!$A$12,IF(OR(ISNUMBER(FIND(CODES!$A$10,T25)),ISNUMBER(FIND(CODES!$A$11,T25))),CODES!$A$13,IF(OR(T25&lt;T$63,ISNUMBER(T25)=FALSE),T$64,T25))))</f>
      </c>
      <c r="U77" s="9" t="str">
        <f>IF(ISBLANK(U25),"NO DATA",IF(ISNUMBER(FIND(CODES!$A$12,U25)),CODES!$A$12,IF(OR(ISNUMBER(FIND(CODES!$A$10,U25)),ISNUMBER(FIND(CODES!$A$11,U25))),CODES!$A$13,IF(OR(U25&lt;U$63,ISNUMBER(U25)=FALSE),U$64,U25))))</f>
      </c>
      <c r="V77" s="9" t="str">
        <f>IF(ISBLANK(V25),"NO DATA",IF(ISNUMBER(FIND(CODES!$A$12,V25)),CODES!$A$12,IF(OR(ISNUMBER(FIND(CODES!$A$10,V25)),ISNUMBER(FIND(CODES!$A$11,V25))),CODES!$A$13,IF(OR(V25&lt;V$63,ISNUMBER(V25)=FALSE),V$64,V25))))</f>
      </c>
      <c r="W77" s="9" t="str">
        <f>IF(ISBLANK(W25),"NO DATA",IF(ISNUMBER(FIND(CODES!$A$12,W25)),CODES!$A$12,IF(OR(ISNUMBER(FIND(CODES!$A$10,W25)),ISNUMBER(FIND(CODES!$A$11,W25))),CODES!$A$13,IF(OR(W25&lt;W$63,ISNUMBER(W25)=FALSE),W$64,W25))))</f>
      </c>
      <c r="X77" s="9" t="str">
        <f>IF(ISBLANK(X25),"NO DATA",IF(ISNUMBER(FIND(CODES!$A$12,X25)),CODES!$A$12,IF(OR(ISNUMBER(FIND(CODES!$A$10,X25)),ISNUMBER(FIND(CODES!$A$11,X25))),CODES!$A$13,IF(OR(X25&lt;X$63,ISNUMBER(X25)=FALSE),X$64,X25))))</f>
      </c>
      <c r="Y77" s="9">
        <f>IF(ISBLANK(Y25),"NO DATA",IF(ISNUMBER(FIND(CODES!$A$12,Y25)),CODES!$A$12,IF(OR(ISNUMBER(FIND(CODES!$A$10,Y25)),ISNUMBER(FIND(CODES!$A$11,Y25))),CODES!$A$13,IF(OR(Y25&lt;Y$63,ISNUMBER(Y25)=FALSE),Y$64,Y25))))</f>
      </c>
      <c r="Z77" s="9">
        <f>IF(ISBLANK(Z25),"NO DATA",IF(ISNUMBER(FIND(CODES!$A$12,Z25)),CODES!$A$12,IF(OR(ISNUMBER(FIND(CODES!$A$10,Z25)),ISNUMBER(FIND(CODES!$A$11,Z25))),CODES!$A$13,IF(OR(Z25&lt;Z$63,ISNUMBER(Z25)=FALSE),Z$64,Z25))))</f>
      </c>
      <c r="AA77" s="9" t="str">
        <f>IF(ISBLANK(AA25),"NO DATA",IF(ISNUMBER(FIND(CODES!$A$12,AA25)),CODES!$A$12,IF(OR(ISNUMBER(FIND(CODES!$A$10,AA25)),ISNUMBER(FIND(CODES!$A$11,AA25))),CODES!$A$13,IF(OR(AA25&lt;AA$63,ISNUMBER(AA25)=FALSE),AA$64,AA25))))</f>
      </c>
      <c r="AB77" s="9" t="str">
        <f>IF(ISBLANK(AB25),"NO DATA",IF(ISNUMBER(FIND(CODES!$A$12,AB25)),CODES!$A$12,IF(OR(ISNUMBER(FIND(CODES!$A$10,AB25)),ISNUMBER(FIND(CODES!$A$11,AB25))),CODES!$A$13,IF(OR(AB25&lt;AB$63,ISNUMBER(AB25)=FALSE),AB$64,AB25))))</f>
      </c>
      <c r="AC77" s="9">
        <f>IF(ISBLANK(AC25),"NO DATA",IF(ISNUMBER(FIND(CODES!$A$12,AC25)),CODES!$A$12,IF(OR(ISNUMBER(FIND(CODES!$A$10,AC25)),ISNUMBER(FIND(CODES!$A$11,AC25))),CODES!$A$13,IF(OR(AC25&lt;AC$63,ISNUMBER(AC25)=FALSE),AC$64,AC25))))</f>
      </c>
      <c r="AD77" s="9" t="str">
        <f>IF(ISBLANK(AD25),"NO DATA",IF(ISNUMBER(FIND(CODES!$A$12,AD25)),CODES!$A$12,IF(OR(ISNUMBER(FIND(CODES!$A$10,AD25)),ISNUMBER(FIND(CODES!$A$11,AD25))),CODES!$A$13,IF(OR(AD25&lt;AD$63,ISNUMBER(AD25)=FALSE),AD$64,AD25))))</f>
      </c>
      <c r="AE77" s="9" t="str">
        <f>IF(ISBLANK(AE25),"NO DATA",IF(ISNUMBER(FIND(CODES!$A$12,AE25)),CODES!$A$12,IF(OR(ISNUMBER(FIND(CODES!$A$10,AE25)),ISNUMBER(FIND(CODES!$A$11,AE25))),CODES!$A$13,IF(OR(AE25&lt;AE$63,ISNUMBER(AE25)=FALSE),AE$64,AE25))))</f>
      </c>
      <c r="AF77" s="9" t="str">
        <f>IF(ISBLANK(AF25),"NO DATA",IF(ISNUMBER(FIND(CODES!$A$12,AF25)),CODES!$A$12,IF(OR(ISNUMBER(FIND(CODES!$A$10,AF25)),ISNUMBER(FIND(CODES!$A$11,AF25))),CODES!$A$13,IF(OR(AF25&lt;AF$63,ISNUMBER(AF25)=FALSE),AF$64,AF25))))</f>
      </c>
      <c r="AG77" s="9">
        <f>IF(ISBLANK(AG25),"NO DATA",IF(ISNUMBER(FIND(CODES!$A$12,AG25)),CODES!$A$12,IF(OR(ISNUMBER(FIND(CODES!$A$10,AG25)),ISNUMBER(FIND(CODES!$A$11,AG25))),CODES!$A$13,IF(OR(AG25&lt;AG$63,ISNUMBER(AG25)=FALSE),AG$64,AG25))))</f>
      </c>
      <c r="AH77" s="9">
        <f>IF(ISBLANK(AH25),"NO DATA",IF(ISNUMBER(FIND(CODES!$A$12,AH25)),CODES!$A$12,IF(OR(ISNUMBER(FIND(CODES!$A$10,AH25)),ISNUMBER(FIND(CODES!$A$11,AH25))),CODES!$A$13,IF(OR(AH25&lt;AH$63,ISNUMBER(AH25)=FALSE),AH$64,AH25))))</f>
      </c>
      <c r="AI77" s="9" t="str">
        <f>IF(ISBLANK(AI25),"NO DATA",IF(ISNUMBER(FIND(CODES!$A$12,AI25)),CODES!$A$12,IF(OR(ISNUMBER(FIND(CODES!$A$10,AI25)),ISNUMBER(FIND(CODES!$A$11,AI25))),CODES!$A$13,IF(OR(AI25&lt;AI$63,ISNUMBER(AI25)=FALSE),AI$64,AI25))))</f>
      </c>
      <c r="AJ77" s="9" t="str">
        <f>IF(ISBLANK(AJ25),"NO DATA",IF(ISNUMBER(FIND(CODES!$A$12,AJ25)),CODES!$A$12,IF(OR(ISNUMBER(FIND(CODES!$A$10,AJ25)),ISNUMBER(FIND(CODES!$A$11,AJ25))),CODES!$A$13,IF(OR(AJ25&lt;AJ$63,ISNUMBER(AJ25)=FALSE),AJ$64,AJ25))))</f>
      </c>
      <c r="AK77" s="9" t="str">
        <f>IF(ISBLANK(AK25),"NO DATA",IF(ISNUMBER(FIND(CODES!$A$12,AK25)),CODES!$A$12,IF(OR(ISNUMBER(FIND(CODES!$A$10,AK25)),ISNUMBER(FIND(CODES!$A$11,AK25))),CODES!$A$13,IF(OR(AK25&lt;AK$63,ISNUMBER(AK25)=FALSE),AK$64,AK25))))</f>
      </c>
      <c r="AL77" s="9" t="str">
        <f>IF(ISBLANK(AL25),"NO DATA",IF(ISNUMBER(FIND(CODES!$A$12,AL25)),CODES!$A$12,IF(OR(ISNUMBER(FIND(CODES!$A$10,AL25)),ISNUMBER(FIND(CODES!$A$11,AL25))),CODES!$A$13,IF(OR(AL25&lt;AL$63,ISNUMBER(AL25)=FALSE),AL$64,AL25))))</f>
      </c>
      <c r="AM77" s="9" t="str">
        <f>IF(ISBLANK(AM25),"NO DATA",IF(ISNUMBER(FIND(CODES!$A$12,AM25)),CODES!$A$12,IF(OR(ISNUMBER(FIND(CODES!$A$10,AM25)),ISNUMBER(FIND(CODES!$A$11,AM25))),CODES!$A$13,IF(OR(AM25&lt;AM$63,ISNUMBER(AM25)=FALSE),AM$64,AM25))))</f>
      </c>
      <c r="AN77" s="9" t="str">
        <f>IF(ISBLANK(AN25),"NO DATA",IF(ISNUMBER(FIND(CODES!$A$12,AN25)),CODES!$A$12,IF(OR(ISNUMBER(FIND(CODES!$A$10,AN25)),ISNUMBER(FIND(CODES!$A$11,AN25))),CODES!$A$13,IF(OR(AN25&lt;AN$63,ISNUMBER(AN25)=FALSE),AN$64,AN25))))</f>
      </c>
      <c r="AO77" s="9" t="str">
        <f>IF(ISBLANK(AO25),"NO DATA",IF(ISNUMBER(FIND(CODES!$A$12,AO25)),CODES!$A$12,IF(OR(ISNUMBER(FIND(CODES!$A$10,AO25)),ISNUMBER(FIND(CODES!$A$11,AO25))),CODES!$A$13,IF(OR(AO25&lt;AO$63,ISNUMBER(AO25)=FALSE),AO$64,AO25))))</f>
      </c>
      <c r="AP77" s="9" t="str">
        <f>IF(ISBLANK(AP25),"NO DATA",IF(ISNUMBER(FIND(CODES!$A$12,AP25)),CODES!$A$12,IF(OR(ISNUMBER(FIND(CODES!$A$10,AP25)),ISNUMBER(FIND(CODES!$A$11,AP25))),CODES!$A$13,IF(OR(AP25&lt;AP$63,ISNUMBER(AP25)=FALSE),AP$64,AP25))))</f>
      </c>
      <c r="AQ77" s="9" t="str">
        <f>IF(ISBLANK(AQ25),"NO DATA",IF(ISNUMBER(FIND(CODES!$A$12,AQ25)),CODES!$A$12,IF(OR(ISNUMBER(FIND(CODES!$A$10,AQ25)),ISNUMBER(FIND(CODES!$A$11,AQ25))),CODES!$A$13,IF(OR(AQ25&lt;AQ$63,ISNUMBER(AQ25)=FALSE),AQ$64,AQ25))))</f>
      </c>
      <c r="AR77" s="9" t="str">
        <f>IF(ISBLANK(AR25),"NO DATA",IF(ISNUMBER(FIND(CODES!$A$12,AR25)),CODES!$A$12,IF(OR(ISNUMBER(FIND(CODES!$A$10,AR25)),ISNUMBER(FIND(CODES!$A$11,AR25))),CODES!$A$13,IF(OR(AR25&lt;AR$63,ISNUMBER(AR25)=FALSE),AR$64,AR25))))</f>
      </c>
      <c r="AS77" s="9">
        <f>IF(ISBLANK(AS25),"NO DATA",IF(ISNUMBER(FIND(CODES!$A$12,AS25)),CODES!$A$12,IF(OR(ISNUMBER(FIND(CODES!$A$10,AS25)),ISNUMBER(FIND(CODES!$A$11,AS25))),CODES!$A$13,IF(OR(AS25&lt;AS$63,ISNUMBER(AS25)=FALSE),AS$64,AS25))))</f>
      </c>
      <c r="AT77" s="9">
        <f>IF(ISBLANK(AT25),"NO DATA",IF(ISNUMBER(FIND(CODES!$A$12,AT25)),CODES!$A$12,IF(OR(ISNUMBER(FIND(CODES!$A$10,AT25)),ISNUMBER(FIND(CODES!$A$11,AT25))),CODES!$A$13,IF(OR(AT25&lt;AT$63,ISNUMBER(AT25)=FALSE),AT$64,AT25))))</f>
      </c>
      <c r="AU77" s="9">
        <f>IF(ISBLANK(AU25),"NO DATA",IF(ISNUMBER(FIND(CODES!$A$12,AU25)),CODES!$A$12,IF(OR(ISNUMBER(FIND(CODES!$A$10,AU25)),ISNUMBER(FIND(CODES!$A$11,AU25))),CODES!$A$13,IF(OR(AU25&lt;AU$63,ISNUMBER(AU25)=FALSE),AU$64,AU25))))</f>
      </c>
      <c r="AV77" s="9" t="str">
        <f>IF(ISBLANK(AV25),"NO DATA",IF(ISNUMBER(FIND(CODES!$A$12,AV25)),CODES!$A$12,IF(OR(ISNUMBER(FIND(CODES!$A$10,AV25)),ISNUMBER(FIND(CODES!$A$11,AV25))),CODES!$A$13,IF(OR(AV25&lt;AV$63,ISNUMBER(AV25)=FALSE),AV$64,AV25))))</f>
      </c>
      <c r="AW77" s="9" t="str">
        <f>IF(ISBLANK(AW25),"NO DATA",IF(ISNUMBER(FIND(CODES!$A$12,AW25)),CODES!$A$12,IF(OR(ISNUMBER(FIND(CODES!$A$10,AW25)),ISNUMBER(FIND(CODES!$A$11,AW25))),CODES!$A$13,IF(OR(AW25&lt;AW$63,ISNUMBER(AW25)=FALSE),AW$64,AW25))))</f>
      </c>
      <c r="AX77" s="9" t="str">
        <f>IF(ISBLANK(AX25),"NO DATA",IF(ISNUMBER(FIND(CODES!$A$12,AX25)),CODES!$A$12,IF(OR(ISNUMBER(FIND(CODES!$A$10,AX25)),ISNUMBER(FIND(CODES!$A$11,AX25))),CODES!$A$13,IF(OR(AX25&lt;AX$63,ISNUMBER(AX25)=FALSE),AX$64,AX25))))</f>
      </c>
      <c r="AY77" s="9" t="str">
        <f>IF(ISBLANK(AY25),"NO DATA",IF(ISNUMBER(FIND(CODES!$A$12,AY25)),CODES!$A$12,IF(OR(ISNUMBER(FIND(CODES!$A$10,AY25)),ISNUMBER(FIND(CODES!$A$11,AY25))),CODES!$A$13,IF(OR(AY25&lt;AY$63,ISNUMBER(AY25)=FALSE),AY$64,AY25))))</f>
      </c>
      <c r="AZ77" s="9">
        <f>IF(ISBLANK(AZ25),"NO DATA",IF(ISNUMBER(FIND(CODES!$A$12,AZ25)),CODES!$A$12,IF(OR(ISNUMBER(FIND(CODES!$A$10,AZ25)),ISNUMBER(FIND(CODES!$A$11,AZ25))),CODES!$A$13,IF(OR(AZ25&lt;AZ$63,ISNUMBER(AZ25)=FALSE),AZ$64,AZ25))))</f>
      </c>
      <c r="BA77" s="9">
        <f>IF(ISBLANK(BA25),"NO DATA",IF(ISNUMBER(FIND(CODES!$A$12,BA25)),CODES!$A$12,IF(OR(ISNUMBER(FIND(CODES!$A$10,BA25)),ISNUMBER(FIND(CODES!$A$11,BA25))),CODES!$A$13,IF(OR(BA25&lt;BA$63,ISNUMBER(BA25)=FALSE),BA$64,BA25))))</f>
      </c>
      <c r="BB77" s="9">
        <f>IF(ISBLANK(BB25),"NO DATA",IF(ISNUMBER(FIND(CODES!$A$12,BB25)),CODES!$A$12,IF(OR(ISNUMBER(FIND(CODES!$A$10,BB25)),ISNUMBER(FIND(CODES!$A$11,BB25))),CODES!$A$13,IF(OR(BB25&lt;BB$63,ISNUMBER(BB25)=FALSE),BB$64,BB25))))</f>
      </c>
      <c r="BC77" s="9">
        <f>IF(ISBLANK(BC25),"NO DATA",IF(ISNUMBER(FIND(CODES!$A$12,BC25)),CODES!$A$12,IF(OR(ISNUMBER(FIND(CODES!$A$10,BC25)),ISNUMBER(FIND(CODES!$A$11,BC25))),CODES!$A$13,IF(OR(BC25&lt;BC$63,ISNUMBER(BC25)=FALSE),BC$64,BC25))))</f>
      </c>
      <c r="BD77" s="9">
        <f>IF(ISBLANK(BD25),"NO DATA",IF(ISNUMBER(FIND(CODES!$A$12,BD25)),CODES!$A$12,IF(OR(ISNUMBER(FIND(CODES!$A$10,BD25)),ISNUMBER(FIND(CODES!$A$11,BD25))),CODES!$A$13,IF(OR(BD25&lt;BD$63,ISNUMBER(BD25)=FALSE),BD$64,BD25))))</f>
      </c>
      <c r="BE77" s="9">
        <f>IF(ISBLANK(BE25),"NO DATA",IF(ISNUMBER(FIND(CODES!$A$12,BE25)),CODES!$A$12,IF(OR(ISNUMBER(FIND(CODES!$A$10,BE25)),ISNUMBER(FIND(CODES!$A$11,BE25))),CODES!$A$13,IF(OR(BE25&lt;BE$63,ISNUMBER(BE25)=FALSE),BE$64,BE25))))</f>
      </c>
      <c r="BF77" s="9">
        <f>IF(ISBLANK(BF25),"NO DATA",IF(ISNUMBER(FIND(CODES!$A$12,BF25)),CODES!$A$12,IF(OR(ISNUMBER(FIND(CODES!$A$10,BF25)),ISNUMBER(FIND(CODES!$A$11,BF25))),CODES!$A$13,IF(OR(BF25&lt;BF$63,ISNUMBER(BF25)=FALSE),BF$64,BF25))))</f>
      </c>
      <c r="BG77" s="9">
        <f>IF(ISBLANK(BG25),"NO DATA",IF(ISNUMBER(FIND(CODES!$A$12,BG25)),CODES!$A$12,IF(OR(ISNUMBER(FIND(CODES!$A$10,BG25)),ISNUMBER(FIND(CODES!$A$11,BG25))),CODES!$A$13,IF(OR(BG25&lt;BG$63,ISNUMBER(BG25)=FALSE),BG$64,BG25))))</f>
      </c>
      <c r="BH77" s="9" t="str">
        <f>IF(ISBLANK(BH25),"NO DATA",IF(ISNUMBER(FIND(CODES!$A$12,BH25)),CODES!$A$12,IF(OR(ISNUMBER(FIND(CODES!$A$10,BH25)),ISNUMBER(FIND(CODES!$A$11,BH25))),CODES!$A$13,IF(OR(BH25&lt;BH$63,ISNUMBER(BH25)=FALSE),BH$64,BH25))))</f>
      </c>
      <c r="BI77" s="9" t="str">
        <f>IF(ISBLANK(BI25),"NO DATA",IF(ISNUMBER(FIND(CODES!$A$12,BI25)),CODES!$A$12,IF(OR(ISNUMBER(FIND(CODES!$A$10,BI25)),ISNUMBER(FIND(CODES!$A$11,BI25))),CODES!$A$13,IF(OR(BI25&lt;BI$63,ISNUMBER(BI25)=FALSE),BI$64,BI25))))</f>
      </c>
      <c r="BJ77" s="9" t="str">
        <f>IF(ISBLANK(BJ25),"NO DATA",IF(ISNUMBER(FIND(CODES!$A$12,BJ25)),CODES!$A$12,IF(OR(ISNUMBER(FIND(CODES!$A$10,BJ25)),ISNUMBER(FIND(CODES!$A$11,BJ25))),CODES!$A$13,IF(OR(BJ25&lt;BJ$63,ISNUMBER(BJ25)=FALSE),BJ$64,BJ25))))</f>
      </c>
      <c r="BK77" s="9" t="str">
        <f>IF(ISBLANK(BK25),"NO DATA",IF(ISNUMBER(FIND(CODES!$A$12,BK25)),CODES!$A$12,IF(OR(ISNUMBER(FIND(CODES!$A$10,BK25)),ISNUMBER(FIND(CODES!$A$11,BK25))),CODES!$A$13,IF(OR(BK25&lt;BK$63,ISNUMBER(BK25)=FALSE),BK$64,BK25))))</f>
      </c>
      <c r="BL77" s="9">
        <f>IF(ISBLANK(BL25),"NO DATA",IF(ISNUMBER(FIND(CODES!$A$12,BL25)),CODES!$A$12,IF(OR(ISNUMBER(FIND(CODES!$A$10,BL25)),ISNUMBER(FIND(CODES!$A$11,BL25))),CODES!$A$13,IF(OR(BL25&lt;BL$63,ISNUMBER(BL25)=FALSE),BL$64,BL25))))</f>
      </c>
      <c r="BM77" s="9">
        <f>IF(ISBLANK(BM25),"NO DATA",IF(ISNUMBER(FIND(CODES!$A$12,BM25)),CODES!$A$12,IF(OR(ISNUMBER(FIND(CODES!$A$10,BM25)),ISNUMBER(FIND(CODES!$A$11,BM25))),CODES!$A$13,IF(OR(BM25&lt;BM$63,ISNUMBER(BM25)=FALSE),BM$64,BM25))))</f>
      </c>
      <c r="BN77" s="9" t="str">
        <f>IF(ISBLANK(BN25),"NO DATA",IF(ISNUMBER(FIND(CODES!$A$12,BN25)),CODES!$A$12,IF(OR(ISNUMBER(FIND(CODES!$A$10,BN25)),ISNUMBER(FIND(CODES!$A$11,BN25))),CODES!$A$13,IF(OR(BN25&lt;BN$63,ISNUMBER(BN25)=FALSE),BN$64,BN25))))</f>
      </c>
      <c r="BO77" s="9" t="str">
        <f>IF(ISBLANK(BO25),"NO DATA",IF(ISNUMBER(FIND(CODES!$A$12,BO25)),CODES!$A$12,IF(OR(ISNUMBER(FIND(CODES!$A$10,BO25)),ISNUMBER(FIND(CODES!$A$11,BO25))),CODES!$A$13,IF(OR(BO25&lt;BO$63,ISNUMBER(BO25)=FALSE),BO$64,BO25))))</f>
      </c>
      <c r="BP77" s="9">
        <f>IF(ISBLANK(BP25),"NO DATA",IF(ISNUMBER(FIND(CODES!$A$12,BP25)),CODES!$A$12,IF(OR(ISNUMBER(FIND(CODES!$A$10,BP25)),ISNUMBER(FIND(CODES!$A$11,BP25))),CODES!$A$13,IF(OR(BP25&lt;BP$63,ISNUMBER(BP25)=FALSE),BP$64,BP25))))</f>
      </c>
      <c r="BQ77" s="9" t="str">
        <f>IF(ISBLANK(BQ25),"NO DATA",IF(ISNUMBER(FIND(CODES!$A$12,BQ25)),CODES!$A$12,IF(OR(ISNUMBER(FIND(CODES!$A$10,BQ25)),ISNUMBER(FIND(CODES!$A$11,BQ25))),CODES!$A$13,IF(OR(BQ25&lt;BQ$63,ISNUMBER(BQ25)=FALSE),BQ$64,BQ25))))</f>
      </c>
      <c r="BR77" s="9" t="str">
        <f>IF(ISBLANK(BR25),"NO DATA",IF(ISNUMBER(FIND(CODES!$A$12,BR25)),CODES!$A$12,IF(OR(ISNUMBER(FIND(CODES!$A$10,BR25)),ISNUMBER(FIND(CODES!$A$11,BR25))),CODES!$A$13,IF(OR(BR25&lt;BR$63,ISNUMBER(BR25)=FALSE),BR$64,BR25))))</f>
      </c>
      <c r="BS77" s="9">
        <f>IF(ISBLANK(BS25),"NO DATA",IF(ISNUMBER(FIND(CODES!$A$12,BS25)),CODES!$A$12,IF(OR(ISNUMBER(FIND(CODES!$A$10,BS25)),ISNUMBER(FIND(CODES!$A$11,BS25))),CODES!$A$13,IF(OR(BS25&lt;BS$63,ISNUMBER(BS25)=FALSE),BS$64,BS25))))</f>
      </c>
      <c r="BT77" s="9">
        <f>IF(ISBLANK(BT25),"NO DATA",IF(ISNUMBER(FIND(CODES!$A$12,BT25)),CODES!$A$12,IF(OR(ISNUMBER(FIND(CODES!$A$10,BT25)),ISNUMBER(FIND(CODES!$A$11,BT25))),CODES!$A$13,IF(OR(BT25&lt;BT$63,ISNUMBER(BT25)=FALSE),BT$64,BT25))))</f>
      </c>
      <c r="BU77" s="9" t="str">
        <f>IF(ISBLANK(BU25),"NO DATA",IF(ISNUMBER(FIND(CODES!$A$12,BU25)),CODES!$A$12,IF(OR(ISNUMBER(FIND(CODES!$A$10,BU25)),ISNUMBER(FIND(CODES!$A$11,BU25))),CODES!$A$13,IF(OR(BU25&lt;BU$63,ISNUMBER(BU25)=FALSE),BU$64,BU25))))</f>
      </c>
      <c r="BV77" s="9" t="str">
        <f>IF(ISBLANK(BV25),"NO DATA",IF(ISNUMBER(FIND(CODES!$A$12,BV25)),CODES!$A$12,IF(OR(ISNUMBER(FIND(CODES!$A$10,BV25)),ISNUMBER(FIND(CODES!$A$11,BV25))),CODES!$A$13,IF(OR(BV25&lt;BV$63,ISNUMBER(BV25)=FALSE),BV$64,BV25))))</f>
      </c>
      <c r="BW77" s="9" t="str">
        <f>IF(ISBLANK(BW25),"NO DATA",IF(ISNUMBER(FIND(CODES!$A$12,BW25)),CODES!$A$12,IF(OR(ISNUMBER(FIND(CODES!$A$10,BW25)),ISNUMBER(FIND(CODES!$A$11,BW25))),CODES!$A$13,IF(OR(BW25&lt;BW$63,ISNUMBER(BW25)=FALSE),BW$64,BW25))))</f>
      </c>
      <c r="BX77" s="9" t="str">
        <f>IF(ISBLANK(BX25),"NO DATA",IF(ISNUMBER(FIND(CODES!$A$12,BX25)),CODES!$A$12,IF(OR(ISNUMBER(FIND(CODES!$A$10,BX25)),ISNUMBER(FIND(CODES!$A$11,BX25))),CODES!$A$13,IF(OR(BX25&lt;BX$63,ISNUMBER(BX25)=FALSE),BX$64,BX25))))</f>
      </c>
      <c r="BY77" s="9" t="str">
        <f>IF(ISBLANK(BY25),"NO DATA",IF(ISNUMBER(FIND(CODES!$A$12,BY25)),CODES!$A$12,IF(OR(ISNUMBER(FIND(CODES!$A$10,BY25)),ISNUMBER(FIND(CODES!$A$11,BY25))),CODES!$A$13,IF(OR(BY25&lt;BY$63,ISNUMBER(BY25)=FALSE),BY$64,BY25))))</f>
      </c>
      <c r="BZ77" s="9" t="str">
        <f>IF(ISBLANK(BZ25),"NO DATA",IF(ISNUMBER(FIND(CODES!$A$12,BZ25)),CODES!$A$12,IF(OR(ISNUMBER(FIND(CODES!$A$10,BZ25)),ISNUMBER(FIND(CODES!$A$11,BZ25))),CODES!$A$13,IF(OR(BZ25&lt;BZ$63,ISNUMBER(BZ25)=FALSE),BZ$64,BZ25))))</f>
      </c>
      <c r="CA77" s="9" t="str">
        <f>IF(ISBLANK(CA25),"NO DATA",IF(ISNUMBER(FIND(CODES!$A$12,CA25)),CODES!$A$12,IF(OR(ISNUMBER(FIND(CODES!$A$10,CA25)),ISNUMBER(FIND(CODES!$A$11,CA25))),CODES!$A$13,IF(OR(CA25&lt;CA$63,ISNUMBER(CA25)=FALSE),CA$64,CA25))))</f>
      </c>
      <c r="CB77" s="9" t="str">
        <f>IF(ISBLANK(CB25),"NO DATA",IF(ISNUMBER(FIND(CODES!$A$12,CB25)),CODES!$A$12,IF(OR(ISNUMBER(FIND(CODES!$A$10,CB25)),ISNUMBER(FIND(CODES!$A$11,CB25))),CODES!$A$13,IF(OR(CB25&lt;CB$63,ISNUMBER(CB25)=FALSE),CB$64,CB25))))</f>
      </c>
      <c r="CC77" s="9" t="str">
        <f>IF(ISBLANK(CC25),"NO DATA",IF(ISNUMBER(FIND(CODES!$A$12,CC25)),CODES!$A$12,IF(OR(ISNUMBER(FIND(CODES!$A$10,CC25)),ISNUMBER(FIND(CODES!$A$11,CC25))),CODES!$A$13,IF(OR(CC25&lt;CC$63,ISNUMBER(CC25)=FALSE),CC$64,CC25))))</f>
      </c>
      <c r="CD77" s="9" t="str">
        <f>IF(ISBLANK(CD25),"NO DATA",IF(ISNUMBER(FIND(CODES!$A$12,CD25)),CODES!$A$12,IF(OR(ISNUMBER(FIND(CODES!$A$10,CD25)),ISNUMBER(FIND(CODES!$A$11,CD25))),CODES!$A$13,IF(OR(CD25&lt;CD$63,ISNUMBER(CD25)=FALSE),CD$64,CD25))))</f>
      </c>
      <c r="CE77" s="9" t="str">
        <f>IF(ISBLANK(CE25),"NO DATA",IF(ISNUMBER(FIND(CODES!$A$12,CE25)),CODES!$A$12,IF(OR(ISNUMBER(FIND(CODES!$A$10,CE25)),ISNUMBER(FIND(CODES!$A$11,CE25))),CODES!$A$13,IF(OR(CE25&lt;CE$63,ISNUMBER(CE25)=FALSE),CE$64,CE25))))</f>
      </c>
      <c r="CF77" s="9" t="str">
        <f>IF(ISBLANK(CF25),"NO DATA",IF(ISNUMBER(FIND(CODES!$A$12,CF25)),CODES!$A$12,IF(OR(ISNUMBER(FIND(CODES!$A$10,CF25)),ISNUMBER(FIND(CODES!$A$11,CF25))),CODES!$A$13,IF(OR(CF25&lt;CF$63,ISNUMBER(CF25)=FALSE),CF$64,CF25))))</f>
      </c>
      <c r="CG77" s="9">
        <f>IF(ISBLANK(CG25),"NO DATA",IF(ISNUMBER(FIND(CODES!$A$12,CG25)),CODES!$A$12,IF(OR(ISNUMBER(FIND(CODES!$A$10,CG25)),ISNUMBER(FIND(CODES!$A$11,CG25))),CODES!$A$13,IF(OR(CG25&lt;CG$63,ISNUMBER(CG25)=FALSE),CG$64,CG25))))</f>
      </c>
      <c r="CH77" s="9">
        <f>IF(ISBLANK(CH25),"NO DATA",IF(ISNUMBER(FIND(CODES!$A$12,CH25)),CODES!$A$12,IF(OR(ISNUMBER(FIND(CODES!$A$10,CH25)),ISNUMBER(FIND(CODES!$A$11,CH25))),CODES!$A$13,IF(OR(CH25&lt;CH$63,ISNUMBER(CH25)=FALSE),CH$64,CH25))))</f>
      </c>
      <c r="CI77" s="9" t="str">
        <f>IF(ISBLANK(CI25),"NO DATA",IF(ISNUMBER(FIND(CODES!$A$12,CI25)),CODES!$A$12,IF(OR(ISNUMBER(FIND(CODES!$A$10,CI25)),ISNUMBER(FIND(CODES!$A$11,CI25))),CODES!$A$13,IF(OR(CI25&lt;CI$63,ISNUMBER(CI25)=FALSE),CI$64,CI25))))</f>
      </c>
      <c r="CJ77" s="9" t="str">
        <f>IF(ISBLANK(CJ25),"NO DATA",IF(ISNUMBER(FIND(CODES!$A$12,CJ25)),CODES!$A$12,IF(OR(ISNUMBER(FIND(CODES!$A$10,CJ25)),ISNUMBER(FIND(CODES!$A$11,CJ25))),CODES!$A$13,IF(OR(CJ25&lt;CJ$63,ISNUMBER(CJ25)=FALSE),CJ$64,CJ25))))</f>
      </c>
      <c r="CK77" s="9" t="str">
        <f>IF(ISBLANK(CK25),"NO DATA",IF(ISNUMBER(FIND(CODES!$A$12,CK25)),CODES!$A$12,IF(OR(ISNUMBER(FIND(CODES!$A$10,CK25)),ISNUMBER(FIND(CODES!$A$11,CK25))),CODES!$A$13,IF(OR(CK25&lt;CK$63,ISNUMBER(CK25)=FALSE),CK$64,CK25))))</f>
      </c>
      <c r="CL77" s="9" t="str">
        <f>IF(ISBLANK(CL25),"NO DATA",IF(ISNUMBER(FIND(CODES!$A$12,CL25)),CODES!$A$12,IF(OR(ISNUMBER(FIND(CODES!$A$10,CL25)),ISNUMBER(FIND(CODES!$A$11,CL25))),CODES!$A$13,IF(OR(CL25&lt;CL$63,ISNUMBER(CL25)=FALSE),CL$64,CL25))))</f>
      </c>
      <c r="CM77" s="9" t="str">
        <f>IF(ISBLANK(CM25),"NO DATA",IF(ISNUMBER(FIND(CODES!$A$12,CM25)),CODES!$A$12,IF(OR(ISNUMBER(FIND(CODES!$A$10,CM25)),ISNUMBER(FIND(CODES!$A$11,CM25))),CODES!$A$13,IF(OR(CM25&lt;CM$63,ISNUMBER(CM25)=FALSE),CM$64,CM25))))</f>
      </c>
      <c r="CN77" s="9" t="str">
        <f>IF(ISBLANK(CN25),"NO DATA",IF(ISNUMBER(FIND(CODES!$A$12,CN25)),CODES!$A$12,IF(OR(ISNUMBER(FIND(CODES!$A$10,CN25)),ISNUMBER(FIND(CODES!$A$11,CN25))),CODES!$A$13,IF(OR(CN25&lt;CN$63,ISNUMBER(CN25)=FALSE),CN$64,CN25))))</f>
      </c>
      <c r="CO77" s="9">
        <f>IF(ISBLANK(CO25),"NO DATA",IF(ISNUMBER(FIND(CODES!$A$12,CO25)),CODES!$A$12,IF(OR(ISNUMBER(FIND(CODES!$A$10,CO25)),ISNUMBER(FIND(CODES!$A$11,CO25))),CODES!$A$13,IF(OR(CO25&lt;CO$63,ISNUMBER(CO25)=FALSE),CO$64,CO25))))</f>
      </c>
      <c r="CP77" s="9">
        <f>IF(ISBLANK(CP25),"NO DATA",IF(ISNUMBER(FIND(CODES!$A$12,CP25)),CODES!$A$12,IF(OR(ISNUMBER(FIND(CODES!$A$10,CP25)),ISNUMBER(FIND(CODES!$A$11,CP25))),CODES!$A$13,IF(OR(CP25&lt;CP$63,ISNUMBER(CP25)=FALSE),CP$64,CP25))))</f>
      </c>
      <c r="CQ77" s="9" t="str">
        <f>IF(ISBLANK(CQ25),"NO DATA",IF(ISNUMBER(FIND(CODES!$A$12,CQ25)),CODES!$A$12,IF(OR(ISNUMBER(FIND(CODES!$A$10,CQ25)),ISNUMBER(FIND(CODES!$A$11,CQ25))),CODES!$A$13,IF(OR(CQ25&lt;CQ$63,ISNUMBER(CQ25)=FALSE),CQ$64,CQ25))))</f>
      </c>
      <c r="CR77" s="9" t="str">
        <f>IF(ISBLANK(CR25),"NO DATA",IF(ISNUMBER(FIND(CODES!$A$12,CR25)),CODES!$A$12,IF(OR(ISNUMBER(FIND(CODES!$A$10,CR25)),ISNUMBER(FIND(CODES!$A$11,CR25))),CODES!$A$13,IF(OR(CR25&lt;CR$63,ISNUMBER(CR25)=FALSE),CR$64,CR25))))</f>
      </c>
      <c r="CS77" s="9" t="str">
        <f>IF(ISBLANK(CS25),"NO DATA",IF(ISNUMBER(FIND(CODES!$A$12,CS25)),CODES!$A$12,IF(OR(ISNUMBER(FIND(CODES!$A$10,CS25)),ISNUMBER(FIND(CODES!$A$11,CS25))),CODES!$A$13,IF(OR(CS25&lt;CS$63,ISNUMBER(CS25)=FALSE),CS$64,CS25))))</f>
      </c>
      <c r="CT77" s="9" t="str">
        <f>IF(ISBLANK(CT25),"NO DATA",IF(ISNUMBER(FIND(CODES!$A$12,CT25)),CODES!$A$12,IF(OR(ISNUMBER(FIND(CODES!$A$10,CT25)),ISNUMBER(FIND(CODES!$A$11,CT25))),CODES!$A$13,IF(OR(CT25&lt;CT$63,ISNUMBER(CT25)=FALSE),CT$64,CT25))))</f>
      </c>
      <c r="CU77" s="9" t="str">
        <f>IF(ISBLANK(CU25),"NO DATA",IF(ISNUMBER(FIND(CODES!$A$12,CU25)),CODES!$A$12,IF(OR(ISNUMBER(FIND(CODES!$A$10,CU25)),ISNUMBER(FIND(CODES!$A$11,CU25))),CODES!$A$13,IF(OR(CU25&lt;CU$63,ISNUMBER(CU25)=FALSE),CU$64,CU25))))</f>
      </c>
      <c r="CV77" s="9">
        <f>IF(ISBLANK(CV25),"NO DATA",IF(ISNUMBER(FIND(CODES!$A$12,CV25)),CODES!$A$12,IF(OR(ISNUMBER(FIND(CODES!$A$10,CV25)),ISNUMBER(FIND(CODES!$A$11,CV25))),CODES!$A$13,IF(OR(CV25&lt;CV$63,ISNUMBER(CV25)=FALSE),CV$64,CV25))))</f>
      </c>
      <c r="CW77" s="9" t="str">
        <f>IF(ISBLANK(CW25),"NO DATA",IF(ISNUMBER(FIND(CODES!$A$12,CW25)),CODES!$A$12,IF(OR(ISNUMBER(FIND(CODES!$A$10,CW25)),ISNUMBER(FIND(CODES!$A$11,CW25))),CODES!$A$13,IF(OR(CW25&lt;CW$63,ISNUMBER(CW25)=FALSE),CW$64,CW25))))</f>
      </c>
      <c r="CX77" s="9">
        <f>IF(ISBLANK(CX25),"NO DATA",IF(ISNUMBER(FIND(CODES!$A$12,CX25)),CODES!$A$12,IF(OR(ISNUMBER(FIND(CODES!$A$10,CX25)),ISNUMBER(FIND(CODES!$A$11,CX25))),CODES!$A$13,IF(OR(CX25&lt;CX$63,ISNUMBER(CX25)=FALSE),CX$64,CX25))))</f>
      </c>
      <c r="CY77" s="9" t="str">
        <f>IF(ISBLANK(CY25),"NO DATA",IF(ISNUMBER(FIND(CODES!$A$12,CY25)),CODES!$A$12,IF(OR(ISNUMBER(FIND(CODES!$A$10,CY25)),ISNUMBER(FIND(CODES!$A$11,CY25))),CODES!$A$13,IF(OR(CY25&lt;CY$63,ISNUMBER(CY25)=FALSE),CY$64,CY25))))</f>
      </c>
      <c r="CZ77" s="9" t="str">
        <f>IF(ISBLANK(CZ25),"NO DATA",IF(ISNUMBER(FIND(CODES!$A$12,CZ25)),CODES!$A$12,IF(OR(ISNUMBER(FIND(CODES!$A$10,CZ25)),ISNUMBER(FIND(CODES!$A$11,CZ25))),CODES!$A$13,IF(OR(CZ25&lt;CZ$63,ISNUMBER(CZ25)=FALSE),CZ$64,CZ25))))</f>
      </c>
      <c r="DA77" s="9" t="str">
        <f>IF(ISBLANK(DA25),"NO DATA",IF(ISNUMBER(FIND(CODES!$A$12,DA25)),CODES!$A$12,IF(OR(ISNUMBER(FIND(CODES!$A$10,DA25)),ISNUMBER(FIND(CODES!$A$11,DA25))),CODES!$A$13,IF(OR(DA25&lt;DA$63,ISNUMBER(DA25)=FALSE),DA$64,DA25))))</f>
      </c>
      <c r="DB77" s="9" t="str">
        <f>IF(ISBLANK(DB25),"NO DATA",IF(ISNUMBER(FIND(CODES!$A$12,DB25)),CODES!$A$12,IF(OR(ISNUMBER(FIND(CODES!$A$10,DB25)),ISNUMBER(FIND(CODES!$A$11,DB25))),CODES!$A$13,IF(OR(DB25&lt;DB$63,ISNUMBER(DB25)=FALSE),DB$64,DB25))))</f>
      </c>
      <c r="DC77" s="9" t="str">
        <f>IF(ISBLANK(DC25),"NO DATA",IF(ISNUMBER(FIND(CODES!$A$12,DC25)),CODES!$A$12,IF(OR(ISNUMBER(FIND(CODES!$A$10,DC25)),ISNUMBER(FIND(CODES!$A$11,DC25))),CODES!$A$13,IF(OR(DC25&lt;DC$63,ISNUMBER(DC25)=FALSE),DC$64,DC25))))</f>
      </c>
      <c r="DD77" s="9" t="str">
        <f>IF(ISBLANK(DD25),"NO DATA",IF(ISNUMBER(FIND(CODES!$A$12,DD25)),CODES!$A$12,IF(OR(ISNUMBER(FIND(CODES!$A$10,DD25)),ISNUMBER(FIND(CODES!$A$11,DD25))),CODES!$A$13,IF(OR(DD25&lt;DD$63,ISNUMBER(DD25)=FALSE),DD$64,DD25))))</f>
      </c>
      <c r="DE77" s="9" t="str">
        <f>IF(ISBLANK(DE25),"NO DATA",IF(ISNUMBER(FIND(CODES!$A$12,DE25)),CODES!$A$12,IF(OR(ISNUMBER(FIND(CODES!$A$10,DE25)),ISNUMBER(FIND(CODES!$A$11,DE25))),CODES!$A$13,IF(OR(DE25&lt;DE$63,ISNUMBER(DE25)=FALSE),DE$64,DE25))))</f>
      </c>
      <c r="DF77" s="9">
        <f>IF(ISBLANK(DF25),"NO DATA",IF(ISNUMBER(FIND(CODES!$A$12,DF25)),CODES!$A$12,IF(OR(ISNUMBER(FIND(CODES!$A$10,DF25)),ISNUMBER(FIND(CODES!$A$11,DF25))),CODES!$A$13,IF(OR(DF25&lt;DF$63,ISNUMBER(DF25)=FALSE),DF$64,DF25))))</f>
      </c>
      <c r="DG77" s="9">
        <f>IF(ISBLANK(DG25),"NO DATA",IF(ISNUMBER(FIND(CODES!$A$12,DG25)),CODES!$A$12,IF(OR(ISNUMBER(FIND(CODES!$A$10,DG25)),ISNUMBER(FIND(CODES!$A$11,DG25))),CODES!$A$13,IF(OR(DG25&lt;DG$63,ISNUMBER(DG25)=FALSE),DG$64,DG25))))</f>
      </c>
      <c r="DH77" s="9">
        <f>IF(ISBLANK(DH25),"NO DATA",IF(ISNUMBER(FIND(CODES!$A$12,DH25)),CODES!$A$12,IF(OR(ISNUMBER(FIND(CODES!$A$10,DH25)),ISNUMBER(FIND(CODES!$A$11,DH25))),CODES!$A$13,IF(OR(DH25&lt;DH$63,ISNUMBER(DH25)=FALSE),DH$64,DH25))))</f>
      </c>
      <c r="DI77" s="9">
        <f>IF(ISBLANK(DI25),"NO DATA",IF(ISNUMBER(FIND(CODES!$A$12,DI25)),CODES!$A$12,IF(OR(ISNUMBER(FIND(CODES!$A$10,DI25)),ISNUMBER(FIND(CODES!$A$11,DI25))),CODES!$A$13,IF(OR(DI25&lt;DI$63,ISNUMBER(DI25)=FALSE),DI$64,DI25))))</f>
      </c>
    </row>
    <row r="78" spans="1:113" x14ac:dyDescent="0.25">
      <c r="A78" s="20" t="str">
        <f t="shared" si="4"/>
      </c>
      <c r="B78" s="20" t="str">
        <f t="shared" si="4"/>
      </c>
      <c r="C78" s="9" t="str">
        <f>IF(ISBLANK(C26),"NO DATA",IF(ISNUMBER(FIND(CODES!$A$12,C26)),CODES!$A$12,IF(OR(ISNUMBER(FIND(CODES!$A$10,C26)),ISNUMBER(FIND(CODES!$A$11,C26))),CODES!$A$13,IF(OR(C26&lt;C$63,ISNUMBER(C26)=FALSE),C$64,C26))))</f>
      </c>
      <c r="D78" s="9" t="str">
        <f>IF(ISBLANK(D26),"NO DATA",IF(ISNUMBER(FIND(CODES!$A$12,D26)),CODES!$A$12,IF(OR(ISNUMBER(FIND(CODES!$A$10,D26)),ISNUMBER(FIND(CODES!$A$11,D26))),CODES!$A$13,IF(OR(D26&lt;D$63,ISNUMBER(D26)=FALSE),D$64,D26))))</f>
      </c>
      <c r="E78" s="9" t="str">
        <f>IF(ISBLANK(E26),"NO DATA",IF(ISNUMBER(FIND(CODES!$A$12,E26)),CODES!$A$12,IF(OR(ISNUMBER(FIND(CODES!$A$10,E26)),ISNUMBER(FIND(CODES!$A$11,E26))),CODES!$A$13,IF(OR(E26&lt;E$63,ISNUMBER(E26)=FALSE),E$64,E26))))</f>
      </c>
      <c r="F78" s="9" t="str">
        <f>IF(ISBLANK(F26),"NO DATA",IF(ISNUMBER(FIND(CODES!$A$12,F26)),CODES!$A$12,IF(OR(ISNUMBER(FIND(CODES!$A$10,F26)),ISNUMBER(FIND(CODES!$A$11,F26))),CODES!$A$13,IF(OR(F26&lt;F$63,ISNUMBER(F26)=FALSE),F$64,F26))))</f>
      </c>
      <c r="G78" s="9" t="str">
        <f>IF(ISBLANK(G26),"NO DATA",IF(ISNUMBER(FIND(CODES!$A$12,G26)),CODES!$A$12,IF(OR(ISNUMBER(FIND(CODES!$A$10,G26)),ISNUMBER(FIND(CODES!$A$11,G26))),CODES!$A$13,IF(OR(G26&lt;G$63,ISNUMBER(G26)=FALSE),G$64,G26))))</f>
      </c>
      <c r="H78" s="9" t="str">
        <f>IF(ISBLANK(H26),"NO DATA",IF(ISNUMBER(FIND(CODES!$A$12,H26)),CODES!$A$12,IF(OR(ISNUMBER(FIND(CODES!$A$10,H26)),ISNUMBER(FIND(CODES!$A$11,H26))),CODES!$A$13,IF(OR(H26&lt;H$63,ISNUMBER(H26)=FALSE),H$64,H26))))</f>
      </c>
      <c r="I78" s="9" t="str">
        <f>IF(ISBLANK(I26),"NO DATA",IF(ISNUMBER(FIND(CODES!$A$12,I26)),CODES!$A$12,IF(OR(ISNUMBER(FIND(CODES!$A$10,I26)),ISNUMBER(FIND(CODES!$A$11,I26))),CODES!$A$13,IF(OR(I26&lt;I$63,ISNUMBER(I26)=FALSE),I$64,I26))))</f>
      </c>
      <c r="J78" s="9" t="str">
        <f>IF(ISBLANK(J26),"NO DATA",IF(ISNUMBER(FIND(CODES!$A$12,J26)),CODES!$A$12,IF(OR(ISNUMBER(FIND(CODES!$A$10,J26)),ISNUMBER(FIND(CODES!$A$11,J26))),CODES!$A$13,IF(OR(J26&lt;J$63,ISNUMBER(J26)=FALSE),J$64,J26))))</f>
      </c>
      <c r="K78" s="9" t="str">
        <f>IF(ISBLANK(K26),"NO DATA",IF(ISNUMBER(FIND(CODES!$A$12,K26)),CODES!$A$12,IF(OR(ISNUMBER(FIND(CODES!$A$10,K26)),ISNUMBER(FIND(CODES!$A$11,K26))),CODES!$A$13,IF(OR(K26&lt;K$63,ISNUMBER(K26)=FALSE),K$64,K26))))</f>
      </c>
      <c r="L78" s="9" t="str">
        <f>IF(ISBLANK(L26),"NO DATA",IF(ISNUMBER(FIND(CODES!$A$12,L26)),CODES!$A$12,IF(OR(ISNUMBER(FIND(CODES!$A$10,L26)),ISNUMBER(FIND(CODES!$A$11,L26))),CODES!$A$13,IF(OR(L26&lt;L$63,ISNUMBER(L26)=FALSE),L$64,L26))))</f>
      </c>
      <c r="M78" s="9" t="str">
        <f>IF(ISBLANK(M26),"NO DATA",IF(ISNUMBER(FIND(CODES!$A$12,M26)),CODES!$A$12,IF(OR(ISNUMBER(FIND(CODES!$A$10,M26)),ISNUMBER(FIND(CODES!$A$11,M26))),CODES!$A$13,IF(OR(M26&lt;M$63,ISNUMBER(M26)=FALSE),M$64,M26))))</f>
      </c>
      <c r="N78" s="9" t="str">
        <f>IF(ISBLANK(N26),"NO DATA",IF(ISNUMBER(FIND(CODES!$A$12,N26)),CODES!$A$12,IF(OR(ISNUMBER(FIND(CODES!$A$10,N26)),ISNUMBER(FIND(CODES!$A$11,N26))),CODES!$A$13,IF(OR(N26&lt;N$63,ISNUMBER(N26)=FALSE),N$64,N26))))</f>
      </c>
      <c r="O78" s="9" t="str">
        <f>IF(ISBLANK(O26),"NO DATA",IF(ISNUMBER(FIND(CODES!$A$12,O26)),CODES!$A$12,IF(OR(ISNUMBER(FIND(CODES!$A$10,O26)),ISNUMBER(FIND(CODES!$A$11,O26))),CODES!$A$13,IF(OR(O26&lt;O$63,ISNUMBER(O26)=FALSE),O$64,O26))))</f>
      </c>
      <c r="P78" s="9" t="str">
        <f>IF(ISBLANK(P26),"NO DATA",IF(ISNUMBER(FIND(CODES!$A$12,P26)),CODES!$A$12,IF(OR(ISNUMBER(FIND(CODES!$A$10,P26)),ISNUMBER(FIND(CODES!$A$11,P26))),CODES!$A$13,IF(OR(P26&lt;P$63,ISNUMBER(P26)=FALSE),P$64,P26))))</f>
      </c>
      <c r="Q78" s="9" t="str">
        <f>IF(ISBLANK(Q26),"NO DATA",IF(ISNUMBER(FIND(CODES!$A$12,Q26)),CODES!$A$12,IF(OR(ISNUMBER(FIND(CODES!$A$10,Q26)),ISNUMBER(FIND(CODES!$A$11,Q26))),CODES!$A$13,IF(OR(Q26&lt;Q$63,ISNUMBER(Q26)=FALSE),Q$64,Q26))))</f>
      </c>
      <c r="R78" s="9" t="str">
        <f>IF(ISBLANK(R26),"NO DATA",IF(ISNUMBER(FIND(CODES!$A$12,R26)),CODES!$A$12,IF(OR(ISNUMBER(FIND(CODES!$A$10,R26)),ISNUMBER(FIND(CODES!$A$11,R26))),CODES!$A$13,IF(OR(R26&lt;R$63,ISNUMBER(R26)=FALSE),R$64,R26))))</f>
      </c>
      <c r="S78" s="9" t="str">
        <f>IF(ISBLANK(S26),"NO DATA",IF(ISNUMBER(FIND(CODES!$A$12,S26)),CODES!$A$12,IF(OR(ISNUMBER(FIND(CODES!$A$10,S26)),ISNUMBER(FIND(CODES!$A$11,S26))),CODES!$A$13,IF(OR(S26&lt;S$63,ISNUMBER(S26)=FALSE),S$64,S26))))</f>
      </c>
      <c r="T78" s="9" t="str">
        <f>IF(ISBLANK(T26),"NO DATA",IF(ISNUMBER(FIND(CODES!$A$12,T26)),CODES!$A$12,IF(OR(ISNUMBER(FIND(CODES!$A$10,T26)),ISNUMBER(FIND(CODES!$A$11,T26))),CODES!$A$13,IF(OR(T26&lt;T$63,ISNUMBER(T26)=FALSE),T$64,T26))))</f>
      </c>
      <c r="U78" s="9" t="str">
        <f>IF(ISBLANK(U26),"NO DATA",IF(ISNUMBER(FIND(CODES!$A$12,U26)),CODES!$A$12,IF(OR(ISNUMBER(FIND(CODES!$A$10,U26)),ISNUMBER(FIND(CODES!$A$11,U26))),CODES!$A$13,IF(OR(U26&lt;U$63,ISNUMBER(U26)=FALSE),U$64,U26))))</f>
      </c>
      <c r="V78" s="9" t="str">
        <f>IF(ISBLANK(V26),"NO DATA",IF(ISNUMBER(FIND(CODES!$A$12,V26)),CODES!$A$12,IF(OR(ISNUMBER(FIND(CODES!$A$10,V26)),ISNUMBER(FIND(CODES!$A$11,V26))),CODES!$A$13,IF(OR(V26&lt;V$63,ISNUMBER(V26)=FALSE),V$64,V26))))</f>
      </c>
      <c r="W78" s="9" t="str">
        <f>IF(ISBLANK(W26),"NO DATA",IF(ISNUMBER(FIND(CODES!$A$12,W26)),CODES!$A$12,IF(OR(ISNUMBER(FIND(CODES!$A$10,W26)),ISNUMBER(FIND(CODES!$A$11,W26))),CODES!$A$13,IF(OR(W26&lt;W$63,ISNUMBER(W26)=FALSE),W$64,W26))))</f>
      </c>
      <c r="X78" s="9" t="str">
        <f>IF(ISBLANK(X26),"NO DATA",IF(ISNUMBER(FIND(CODES!$A$12,X26)),CODES!$A$12,IF(OR(ISNUMBER(FIND(CODES!$A$10,X26)),ISNUMBER(FIND(CODES!$A$11,X26))),CODES!$A$13,IF(OR(X26&lt;X$63,ISNUMBER(X26)=FALSE),X$64,X26))))</f>
      </c>
      <c r="Y78" s="9" t="str">
        <f>IF(ISBLANK(Y26),"NO DATA",IF(ISNUMBER(FIND(CODES!$A$12,Y26)),CODES!$A$12,IF(OR(ISNUMBER(FIND(CODES!$A$10,Y26)),ISNUMBER(FIND(CODES!$A$11,Y26))),CODES!$A$13,IF(OR(Y26&lt;Y$63,ISNUMBER(Y26)=FALSE),Y$64,Y26))))</f>
      </c>
      <c r="Z78" s="9" t="str">
        <f>IF(ISBLANK(Z26),"NO DATA",IF(ISNUMBER(FIND(CODES!$A$12,Z26)),CODES!$A$12,IF(OR(ISNUMBER(FIND(CODES!$A$10,Z26)),ISNUMBER(FIND(CODES!$A$11,Z26))),CODES!$A$13,IF(OR(Z26&lt;Z$63,ISNUMBER(Z26)=FALSE),Z$64,Z26))))</f>
      </c>
      <c r="AA78" s="9" t="str">
        <f>IF(ISBLANK(AA26),"NO DATA",IF(ISNUMBER(FIND(CODES!$A$12,AA26)),CODES!$A$12,IF(OR(ISNUMBER(FIND(CODES!$A$10,AA26)),ISNUMBER(FIND(CODES!$A$11,AA26))),CODES!$A$13,IF(OR(AA26&lt;AA$63,ISNUMBER(AA26)=FALSE),AA$64,AA26))))</f>
      </c>
      <c r="AB78" s="9" t="str">
        <f>IF(ISBLANK(AB26),"NO DATA",IF(ISNUMBER(FIND(CODES!$A$12,AB26)),CODES!$A$12,IF(OR(ISNUMBER(FIND(CODES!$A$10,AB26)),ISNUMBER(FIND(CODES!$A$11,AB26))),CODES!$A$13,IF(OR(AB26&lt;AB$63,ISNUMBER(AB26)=FALSE),AB$64,AB26))))</f>
      </c>
      <c r="AC78" s="9" t="str">
        <f>IF(ISBLANK(AC26),"NO DATA",IF(ISNUMBER(FIND(CODES!$A$12,AC26)),CODES!$A$12,IF(OR(ISNUMBER(FIND(CODES!$A$10,AC26)),ISNUMBER(FIND(CODES!$A$11,AC26))),CODES!$A$13,IF(OR(AC26&lt;AC$63,ISNUMBER(AC26)=FALSE),AC$64,AC26))))</f>
      </c>
      <c r="AD78" s="9" t="str">
        <f>IF(ISBLANK(AD26),"NO DATA",IF(ISNUMBER(FIND(CODES!$A$12,AD26)),CODES!$A$12,IF(OR(ISNUMBER(FIND(CODES!$A$10,AD26)),ISNUMBER(FIND(CODES!$A$11,AD26))),CODES!$A$13,IF(OR(AD26&lt;AD$63,ISNUMBER(AD26)=FALSE),AD$64,AD26))))</f>
      </c>
      <c r="AE78" s="9" t="str">
        <f>IF(ISBLANK(AE26),"NO DATA",IF(ISNUMBER(FIND(CODES!$A$12,AE26)),CODES!$A$12,IF(OR(ISNUMBER(FIND(CODES!$A$10,AE26)),ISNUMBER(FIND(CODES!$A$11,AE26))),CODES!$A$13,IF(OR(AE26&lt;AE$63,ISNUMBER(AE26)=FALSE),AE$64,AE26))))</f>
      </c>
      <c r="AF78" s="9" t="str">
        <f>IF(ISBLANK(AF26),"NO DATA",IF(ISNUMBER(FIND(CODES!$A$12,AF26)),CODES!$A$12,IF(OR(ISNUMBER(FIND(CODES!$A$10,AF26)),ISNUMBER(FIND(CODES!$A$11,AF26))),CODES!$A$13,IF(OR(AF26&lt;AF$63,ISNUMBER(AF26)=FALSE),AF$64,AF26))))</f>
      </c>
      <c r="AG78" s="9" t="str">
        <f>IF(ISBLANK(AG26),"NO DATA",IF(ISNUMBER(FIND(CODES!$A$12,AG26)),CODES!$A$12,IF(OR(ISNUMBER(FIND(CODES!$A$10,AG26)),ISNUMBER(FIND(CODES!$A$11,AG26))),CODES!$A$13,IF(OR(AG26&lt;AG$63,ISNUMBER(AG26)=FALSE),AG$64,AG26))))</f>
      </c>
      <c r="AH78" s="9" t="str">
        <f>IF(ISBLANK(AH26),"NO DATA",IF(ISNUMBER(FIND(CODES!$A$12,AH26)),CODES!$A$12,IF(OR(ISNUMBER(FIND(CODES!$A$10,AH26)),ISNUMBER(FIND(CODES!$A$11,AH26))),CODES!$A$13,IF(OR(AH26&lt;AH$63,ISNUMBER(AH26)=FALSE),AH$64,AH26))))</f>
      </c>
      <c r="AI78" s="9" t="str">
        <f>IF(ISBLANK(AI26),"NO DATA",IF(ISNUMBER(FIND(CODES!$A$12,AI26)),CODES!$A$12,IF(OR(ISNUMBER(FIND(CODES!$A$10,AI26)),ISNUMBER(FIND(CODES!$A$11,AI26))),CODES!$A$13,IF(OR(AI26&lt;AI$63,ISNUMBER(AI26)=FALSE),AI$64,AI26))))</f>
      </c>
      <c r="AJ78" s="9" t="str">
        <f>IF(ISBLANK(AJ26),"NO DATA",IF(ISNUMBER(FIND(CODES!$A$12,AJ26)),CODES!$A$12,IF(OR(ISNUMBER(FIND(CODES!$A$10,AJ26)),ISNUMBER(FIND(CODES!$A$11,AJ26))),CODES!$A$13,IF(OR(AJ26&lt;AJ$63,ISNUMBER(AJ26)=FALSE),AJ$64,AJ26))))</f>
      </c>
      <c r="AK78" s="9" t="str">
        <f>IF(ISBLANK(AK26),"NO DATA",IF(ISNUMBER(FIND(CODES!$A$12,AK26)),CODES!$A$12,IF(OR(ISNUMBER(FIND(CODES!$A$10,AK26)),ISNUMBER(FIND(CODES!$A$11,AK26))),CODES!$A$13,IF(OR(AK26&lt;AK$63,ISNUMBER(AK26)=FALSE),AK$64,AK26))))</f>
      </c>
      <c r="AL78" s="9" t="str">
        <f>IF(ISBLANK(AL26),"NO DATA",IF(ISNUMBER(FIND(CODES!$A$12,AL26)),CODES!$A$12,IF(OR(ISNUMBER(FIND(CODES!$A$10,AL26)),ISNUMBER(FIND(CODES!$A$11,AL26))),CODES!$A$13,IF(OR(AL26&lt;AL$63,ISNUMBER(AL26)=FALSE),AL$64,AL26))))</f>
      </c>
      <c r="AM78" s="9" t="str">
        <f>IF(ISBLANK(AM26),"NO DATA",IF(ISNUMBER(FIND(CODES!$A$12,AM26)),CODES!$A$12,IF(OR(ISNUMBER(FIND(CODES!$A$10,AM26)),ISNUMBER(FIND(CODES!$A$11,AM26))),CODES!$A$13,IF(OR(AM26&lt;AM$63,ISNUMBER(AM26)=FALSE),AM$64,AM26))))</f>
      </c>
      <c r="AN78" s="9" t="str">
        <f>IF(ISBLANK(AN26),"NO DATA",IF(ISNUMBER(FIND(CODES!$A$12,AN26)),CODES!$A$12,IF(OR(ISNUMBER(FIND(CODES!$A$10,AN26)),ISNUMBER(FIND(CODES!$A$11,AN26))),CODES!$A$13,IF(OR(AN26&lt;AN$63,ISNUMBER(AN26)=FALSE),AN$64,AN26))))</f>
      </c>
      <c r="AO78" s="9" t="str">
        <f>IF(ISBLANK(AO26),"NO DATA",IF(ISNUMBER(FIND(CODES!$A$12,AO26)),CODES!$A$12,IF(OR(ISNUMBER(FIND(CODES!$A$10,AO26)),ISNUMBER(FIND(CODES!$A$11,AO26))),CODES!$A$13,IF(OR(AO26&lt;AO$63,ISNUMBER(AO26)=FALSE),AO$64,AO26))))</f>
      </c>
      <c r="AP78" s="9" t="str">
        <f>IF(ISBLANK(AP26),"NO DATA",IF(ISNUMBER(FIND(CODES!$A$12,AP26)),CODES!$A$12,IF(OR(ISNUMBER(FIND(CODES!$A$10,AP26)),ISNUMBER(FIND(CODES!$A$11,AP26))),CODES!$A$13,IF(OR(AP26&lt;AP$63,ISNUMBER(AP26)=FALSE),AP$64,AP26))))</f>
      </c>
      <c r="AQ78" s="9" t="str">
        <f>IF(ISBLANK(AQ26),"NO DATA",IF(ISNUMBER(FIND(CODES!$A$12,AQ26)),CODES!$A$12,IF(OR(ISNUMBER(FIND(CODES!$A$10,AQ26)),ISNUMBER(FIND(CODES!$A$11,AQ26))),CODES!$A$13,IF(OR(AQ26&lt;AQ$63,ISNUMBER(AQ26)=FALSE),AQ$64,AQ26))))</f>
      </c>
      <c r="AR78" s="9" t="str">
        <f>IF(ISBLANK(AR26),"NO DATA",IF(ISNUMBER(FIND(CODES!$A$12,AR26)),CODES!$A$12,IF(OR(ISNUMBER(FIND(CODES!$A$10,AR26)),ISNUMBER(FIND(CODES!$A$11,AR26))),CODES!$A$13,IF(OR(AR26&lt;AR$63,ISNUMBER(AR26)=FALSE),AR$64,AR26))))</f>
      </c>
      <c r="AS78" s="9" t="str">
        <f>IF(ISBLANK(AS26),"NO DATA",IF(ISNUMBER(FIND(CODES!$A$12,AS26)),CODES!$A$12,IF(OR(ISNUMBER(FIND(CODES!$A$10,AS26)),ISNUMBER(FIND(CODES!$A$11,AS26))),CODES!$A$13,IF(OR(AS26&lt;AS$63,ISNUMBER(AS26)=FALSE),AS$64,AS26))))</f>
      </c>
      <c r="AT78" s="9" t="str">
        <f>IF(ISBLANK(AT26),"NO DATA",IF(ISNUMBER(FIND(CODES!$A$12,AT26)),CODES!$A$12,IF(OR(ISNUMBER(FIND(CODES!$A$10,AT26)),ISNUMBER(FIND(CODES!$A$11,AT26))),CODES!$A$13,IF(OR(AT26&lt;AT$63,ISNUMBER(AT26)=FALSE),AT$64,AT26))))</f>
      </c>
      <c r="AU78" s="9" t="str">
        <f>IF(ISBLANK(AU26),"NO DATA",IF(ISNUMBER(FIND(CODES!$A$12,AU26)),CODES!$A$12,IF(OR(ISNUMBER(FIND(CODES!$A$10,AU26)),ISNUMBER(FIND(CODES!$A$11,AU26))),CODES!$A$13,IF(OR(AU26&lt;AU$63,ISNUMBER(AU26)=FALSE),AU$64,AU26))))</f>
      </c>
      <c r="AV78" s="9" t="str">
        <f>IF(ISBLANK(AV26),"NO DATA",IF(ISNUMBER(FIND(CODES!$A$12,AV26)),CODES!$A$12,IF(OR(ISNUMBER(FIND(CODES!$A$10,AV26)),ISNUMBER(FIND(CODES!$A$11,AV26))),CODES!$A$13,IF(OR(AV26&lt;AV$63,ISNUMBER(AV26)=FALSE),AV$64,AV26))))</f>
      </c>
      <c r="AW78" s="9" t="str">
        <f>IF(ISBLANK(AW26),"NO DATA",IF(ISNUMBER(FIND(CODES!$A$12,AW26)),CODES!$A$12,IF(OR(ISNUMBER(FIND(CODES!$A$10,AW26)),ISNUMBER(FIND(CODES!$A$11,AW26))),CODES!$A$13,IF(OR(AW26&lt;AW$63,ISNUMBER(AW26)=FALSE),AW$64,AW26))))</f>
      </c>
      <c r="AX78" s="9" t="str">
        <f>IF(ISBLANK(AX26),"NO DATA",IF(ISNUMBER(FIND(CODES!$A$12,AX26)),CODES!$A$12,IF(OR(ISNUMBER(FIND(CODES!$A$10,AX26)),ISNUMBER(FIND(CODES!$A$11,AX26))),CODES!$A$13,IF(OR(AX26&lt;AX$63,ISNUMBER(AX26)=FALSE),AX$64,AX26))))</f>
      </c>
      <c r="AY78" s="9" t="str">
        <f>IF(ISBLANK(AY26),"NO DATA",IF(ISNUMBER(FIND(CODES!$A$12,AY26)),CODES!$A$12,IF(OR(ISNUMBER(FIND(CODES!$A$10,AY26)),ISNUMBER(FIND(CODES!$A$11,AY26))),CODES!$A$13,IF(OR(AY26&lt;AY$63,ISNUMBER(AY26)=FALSE),AY$64,AY26))))</f>
      </c>
      <c r="AZ78" s="9" t="str">
        <f>IF(ISBLANK(AZ26),"NO DATA",IF(ISNUMBER(FIND(CODES!$A$12,AZ26)),CODES!$A$12,IF(OR(ISNUMBER(FIND(CODES!$A$10,AZ26)),ISNUMBER(FIND(CODES!$A$11,AZ26))),CODES!$A$13,IF(OR(AZ26&lt;AZ$63,ISNUMBER(AZ26)=FALSE),AZ$64,AZ26))))</f>
      </c>
      <c r="BA78" s="9" t="str">
        <f>IF(ISBLANK(BA26),"NO DATA",IF(ISNUMBER(FIND(CODES!$A$12,BA26)),CODES!$A$12,IF(OR(ISNUMBER(FIND(CODES!$A$10,BA26)),ISNUMBER(FIND(CODES!$A$11,BA26))),CODES!$A$13,IF(OR(BA26&lt;BA$63,ISNUMBER(BA26)=FALSE),BA$64,BA26))))</f>
      </c>
      <c r="BB78" s="9" t="str">
        <f>IF(ISBLANK(BB26),"NO DATA",IF(ISNUMBER(FIND(CODES!$A$12,BB26)),CODES!$A$12,IF(OR(ISNUMBER(FIND(CODES!$A$10,BB26)),ISNUMBER(FIND(CODES!$A$11,BB26))),CODES!$A$13,IF(OR(BB26&lt;BB$63,ISNUMBER(BB26)=FALSE),BB$64,BB26))))</f>
      </c>
      <c r="BC78" s="9" t="str">
        <f>IF(ISBLANK(BC26),"NO DATA",IF(ISNUMBER(FIND(CODES!$A$12,BC26)),CODES!$A$12,IF(OR(ISNUMBER(FIND(CODES!$A$10,BC26)),ISNUMBER(FIND(CODES!$A$11,BC26))),CODES!$A$13,IF(OR(BC26&lt;BC$63,ISNUMBER(BC26)=FALSE),BC$64,BC26))))</f>
      </c>
      <c r="BD78" s="9" t="str">
        <f>IF(ISBLANK(BD26),"NO DATA",IF(ISNUMBER(FIND(CODES!$A$12,BD26)),CODES!$A$12,IF(OR(ISNUMBER(FIND(CODES!$A$10,BD26)),ISNUMBER(FIND(CODES!$A$11,BD26))),CODES!$A$13,IF(OR(BD26&lt;BD$63,ISNUMBER(BD26)=FALSE),BD$64,BD26))))</f>
      </c>
      <c r="BE78" s="9" t="str">
        <f>IF(ISBLANK(BE26),"NO DATA",IF(ISNUMBER(FIND(CODES!$A$12,BE26)),CODES!$A$12,IF(OR(ISNUMBER(FIND(CODES!$A$10,BE26)),ISNUMBER(FIND(CODES!$A$11,BE26))),CODES!$A$13,IF(OR(BE26&lt;BE$63,ISNUMBER(BE26)=FALSE),BE$64,BE26))))</f>
      </c>
      <c r="BF78" s="9" t="str">
        <f>IF(ISBLANK(BF26),"NO DATA",IF(ISNUMBER(FIND(CODES!$A$12,BF26)),CODES!$A$12,IF(OR(ISNUMBER(FIND(CODES!$A$10,BF26)),ISNUMBER(FIND(CODES!$A$11,BF26))),CODES!$A$13,IF(OR(BF26&lt;BF$63,ISNUMBER(BF26)=FALSE),BF$64,BF26))))</f>
      </c>
      <c r="BG78" s="9" t="str">
        <f>IF(ISBLANK(BG26),"NO DATA",IF(ISNUMBER(FIND(CODES!$A$12,BG26)),CODES!$A$12,IF(OR(ISNUMBER(FIND(CODES!$A$10,BG26)),ISNUMBER(FIND(CODES!$A$11,BG26))),CODES!$A$13,IF(OR(BG26&lt;BG$63,ISNUMBER(BG26)=FALSE),BG$64,BG26))))</f>
      </c>
      <c r="BH78" s="9" t="str">
        <f>IF(ISBLANK(BH26),"NO DATA",IF(ISNUMBER(FIND(CODES!$A$12,BH26)),CODES!$A$12,IF(OR(ISNUMBER(FIND(CODES!$A$10,BH26)),ISNUMBER(FIND(CODES!$A$11,BH26))),CODES!$A$13,IF(OR(BH26&lt;BH$63,ISNUMBER(BH26)=FALSE),BH$64,BH26))))</f>
      </c>
      <c r="BI78" s="9" t="str">
        <f>IF(ISBLANK(BI26),"NO DATA",IF(ISNUMBER(FIND(CODES!$A$12,BI26)),CODES!$A$12,IF(OR(ISNUMBER(FIND(CODES!$A$10,BI26)),ISNUMBER(FIND(CODES!$A$11,BI26))),CODES!$A$13,IF(OR(BI26&lt;BI$63,ISNUMBER(BI26)=FALSE),BI$64,BI26))))</f>
      </c>
      <c r="BJ78" s="9" t="str">
        <f>IF(ISBLANK(BJ26),"NO DATA",IF(ISNUMBER(FIND(CODES!$A$12,BJ26)),CODES!$A$12,IF(OR(ISNUMBER(FIND(CODES!$A$10,BJ26)),ISNUMBER(FIND(CODES!$A$11,BJ26))),CODES!$A$13,IF(OR(BJ26&lt;BJ$63,ISNUMBER(BJ26)=FALSE),BJ$64,BJ26))))</f>
      </c>
      <c r="BK78" s="9" t="str">
        <f>IF(ISBLANK(BK26),"NO DATA",IF(ISNUMBER(FIND(CODES!$A$12,BK26)),CODES!$A$12,IF(OR(ISNUMBER(FIND(CODES!$A$10,BK26)),ISNUMBER(FIND(CODES!$A$11,BK26))),CODES!$A$13,IF(OR(BK26&lt;BK$63,ISNUMBER(BK26)=FALSE),BK$64,BK26))))</f>
      </c>
      <c r="BL78" s="9" t="str">
        <f>IF(ISBLANK(BL26),"NO DATA",IF(ISNUMBER(FIND(CODES!$A$12,BL26)),CODES!$A$12,IF(OR(ISNUMBER(FIND(CODES!$A$10,BL26)),ISNUMBER(FIND(CODES!$A$11,BL26))),CODES!$A$13,IF(OR(BL26&lt;BL$63,ISNUMBER(BL26)=FALSE),BL$64,BL26))))</f>
      </c>
      <c r="BM78" s="9" t="str">
        <f>IF(ISBLANK(BM26),"NO DATA",IF(ISNUMBER(FIND(CODES!$A$12,BM26)),CODES!$A$12,IF(OR(ISNUMBER(FIND(CODES!$A$10,BM26)),ISNUMBER(FIND(CODES!$A$11,BM26))),CODES!$A$13,IF(OR(BM26&lt;BM$63,ISNUMBER(BM26)=FALSE),BM$64,BM26))))</f>
      </c>
      <c r="BN78" s="9" t="str">
        <f>IF(ISBLANK(BN26),"NO DATA",IF(ISNUMBER(FIND(CODES!$A$12,BN26)),CODES!$A$12,IF(OR(ISNUMBER(FIND(CODES!$A$10,BN26)),ISNUMBER(FIND(CODES!$A$11,BN26))),CODES!$A$13,IF(OR(BN26&lt;BN$63,ISNUMBER(BN26)=FALSE),BN$64,BN26))))</f>
      </c>
      <c r="BO78" s="9" t="str">
        <f>IF(ISBLANK(BO26),"NO DATA",IF(ISNUMBER(FIND(CODES!$A$12,BO26)),CODES!$A$12,IF(OR(ISNUMBER(FIND(CODES!$A$10,BO26)),ISNUMBER(FIND(CODES!$A$11,BO26))),CODES!$A$13,IF(OR(BO26&lt;BO$63,ISNUMBER(BO26)=FALSE),BO$64,BO26))))</f>
      </c>
      <c r="BP78" s="9" t="str">
        <f>IF(ISBLANK(BP26),"NO DATA",IF(ISNUMBER(FIND(CODES!$A$12,BP26)),CODES!$A$12,IF(OR(ISNUMBER(FIND(CODES!$A$10,BP26)),ISNUMBER(FIND(CODES!$A$11,BP26))),CODES!$A$13,IF(OR(BP26&lt;BP$63,ISNUMBER(BP26)=FALSE),BP$64,BP26))))</f>
      </c>
      <c r="BQ78" s="9" t="str">
        <f>IF(ISBLANK(BQ26),"NO DATA",IF(ISNUMBER(FIND(CODES!$A$12,BQ26)),CODES!$A$12,IF(OR(ISNUMBER(FIND(CODES!$A$10,BQ26)),ISNUMBER(FIND(CODES!$A$11,BQ26))),CODES!$A$13,IF(OR(BQ26&lt;BQ$63,ISNUMBER(BQ26)=FALSE),BQ$64,BQ26))))</f>
      </c>
      <c r="BR78" s="9" t="str">
        <f>IF(ISBLANK(BR26),"NO DATA",IF(ISNUMBER(FIND(CODES!$A$12,BR26)),CODES!$A$12,IF(OR(ISNUMBER(FIND(CODES!$A$10,BR26)),ISNUMBER(FIND(CODES!$A$11,BR26))),CODES!$A$13,IF(OR(BR26&lt;BR$63,ISNUMBER(BR26)=FALSE),BR$64,BR26))))</f>
      </c>
      <c r="BS78" s="9" t="str">
        <f>IF(ISBLANK(BS26),"NO DATA",IF(ISNUMBER(FIND(CODES!$A$12,BS26)),CODES!$A$12,IF(OR(ISNUMBER(FIND(CODES!$A$10,BS26)),ISNUMBER(FIND(CODES!$A$11,BS26))),CODES!$A$13,IF(OR(BS26&lt;BS$63,ISNUMBER(BS26)=FALSE),BS$64,BS26))))</f>
      </c>
      <c r="BT78" s="9" t="str">
        <f>IF(ISBLANK(BT26),"NO DATA",IF(ISNUMBER(FIND(CODES!$A$12,BT26)),CODES!$A$12,IF(OR(ISNUMBER(FIND(CODES!$A$10,BT26)),ISNUMBER(FIND(CODES!$A$11,BT26))),CODES!$A$13,IF(OR(BT26&lt;BT$63,ISNUMBER(BT26)=FALSE),BT$64,BT26))))</f>
      </c>
      <c r="BU78" s="9" t="str">
        <f>IF(ISBLANK(BU26),"NO DATA",IF(ISNUMBER(FIND(CODES!$A$12,BU26)),CODES!$A$12,IF(OR(ISNUMBER(FIND(CODES!$A$10,BU26)),ISNUMBER(FIND(CODES!$A$11,BU26))),CODES!$A$13,IF(OR(BU26&lt;BU$63,ISNUMBER(BU26)=FALSE),BU$64,BU26))))</f>
      </c>
      <c r="BV78" s="9" t="str">
        <f>IF(ISBLANK(BV26),"NO DATA",IF(ISNUMBER(FIND(CODES!$A$12,BV26)),CODES!$A$12,IF(OR(ISNUMBER(FIND(CODES!$A$10,BV26)),ISNUMBER(FIND(CODES!$A$11,BV26))),CODES!$A$13,IF(OR(BV26&lt;BV$63,ISNUMBER(BV26)=FALSE),BV$64,BV26))))</f>
      </c>
      <c r="BW78" s="9" t="str">
        <f>IF(ISBLANK(BW26),"NO DATA",IF(ISNUMBER(FIND(CODES!$A$12,BW26)),CODES!$A$12,IF(OR(ISNUMBER(FIND(CODES!$A$10,BW26)),ISNUMBER(FIND(CODES!$A$11,BW26))),CODES!$A$13,IF(OR(BW26&lt;BW$63,ISNUMBER(BW26)=FALSE),BW$64,BW26))))</f>
      </c>
      <c r="BX78" s="9" t="str">
        <f>IF(ISBLANK(BX26),"NO DATA",IF(ISNUMBER(FIND(CODES!$A$12,BX26)),CODES!$A$12,IF(OR(ISNUMBER(FIND(CODES!$A$10,BX26)),ISNUMBER(FIND(CODES!$A$11,BX26))),CODES!$A$13,IF(OR(BX26&lt;BX$63,ISNUMBER(BX26)=FALSE),BX$64,BX26))))</f>
      </c>
      <c r="BY78" s="9" t="str">
        <f>IF(ISBLANK(BY26),"NO DATA",IF(ISNUMBER(FIND(CODES!$A$12,BY26)),CODES!$A$12,IF(OR(ISNUMBER(FIND(CODES!$A$10,BY26)),ISNUMBER(FIND(CODES!$A$11,BY26))),CODES!$A$13,IF(OR(BY26&lt;BY$63,ISNUMBER(BY26)=FALSE),BY$64,BY26))))</f>
      </c>
      <c r="BZ78" s="9" t="str">
        <f>IF(ISBLANK(BZ26),"NO DATA",IF(ISNUMBER(FIND(CODES!$A$12,BZ26)),CODES!$A$12,IF(OR(ISNUMBER(FIND(CODES!$A$10,BZ26)),ISNUMBER(FIND(CODES!$A$11,BZ26))),CODES!$A$13,IF(OR(BZ26&lt;BZ$63,ISNUMBER(BZ26)=FALSE),BZ$64,BZ26))))</f>
      </c>
      <c r="CA78" s="9" t="str">
        <f>IF(ISBLANK(CA26),"NO DATA",IF(ISNUMBER(FIND(CODES!$A$12,CA26)),CODES!$A$12,IF(OR(ISNUMBER(FIND(CODES!$A$10,CA26)),ISNUMBER(FIND(CODES!$A$11,CA26))),CODES!$A$13,IF(OR(CA26&lt;CA$63,ISNUMBER(CA26)=FALSE),CA$64,CA26))))</f>
      </c>
      <c r="CB78" s="9" t="str">
        <f>IF(ISBLANK(CB26),"NO DATA",IF(ISNUMBER(FIND(CODES!$A$12,CB26)),CODES!$A$12,IF(OR(ISNUMBER(FIND(CODES!$A$10,CB26)),ISNUMBER(FIND(CODES!$A$11,CB26))),CODES!$A$13,IF(OR(CB26&lt;CB$63,ISNUMBER(CB26)=FALSE),CB$64,CB26))))</f>
      </c>
      <c r="CC78" s="9" t="str">
        <f>IF(ISBLANK(CC26),"NO DATA",IF(ISNUMBER(FIND(CODES!$A$12,CC26)),CODES!$A$12,IF(OR(ISNUMBER(FIND(CODES!$A$10,CC26)),ISNUMBER(FIND(CODES!$A$11,CC26))),CODES!$A$13,IF(OR(CC26&lt;CC$63,ISNUMBER(CC26)=FALSE),CC$64,CC26))))</f>
      </c>
      <c r="CD78" s="9" t="str">
        <f>IF(ISBLANK(CD26),"NO DATA",IF(ISNUMBER(FIND(CODES!$A$12,CD26)),CODES!$A$12,IF(OR(ISNUMBER(FIND(CODES!$A$10,CD26)),ISNUMBER(FIND(CODES!$A$11,CD26))),CODES!$A$13,IF(OR(CD26&lt;CD$63,ISNUMBER(CD26)=FALSE),CD$64,CD26))))</f>
      </c>
      <c r="CE78" s="9" t="str">
        <f>IF(ISBLANK(CE26),"NO DATA",IF(ISNUMBER(FIND(CODES!$A$12,CE26)),CODES!$A$12,IF(OR(ISNUMBER(FIND(CODES!$A$10,CE26)),ISNUMBER(FIND(CODES!$A$11,CE26))),CODES!$A$13,IF(OR(CE26&lt;CE$63,ISNUMBER(CE26)=FALSE),CE$64,CE26))))</f>
      </c>
      <c r="CF78" s="9" t="str">
        <f>IF(ISBLANK(CF26),"NO DATA",IF(ISNUMBER(FIND(CODES!$A$12,CF26)),CODES!$A$12,IF(OR(ISNUMBER(FIND(CODES!$A$10,CF26)),ISNUMBER(FIND(CODES!$A$11,CF26))),CODES!$A$13,IF(OR(CF26&lt;CF$63,ISNUMBER(CF26)=FALSE),CF$64,CF26))))</f>
      </c>
      <c r="CG78" s="9" t="str">
        <f>IF(ISBLANK(CG26),"NO DATA",IF(ISNUMBER(FIND(CODES!$A$12,CG26)),CODES!$A$12,IF(OR(ISNUMBER(FIND(CODES!$A$10,CG26)),ISNUMBER(FIND(CODES!$A$11,CG26))),CODES!$A$13,IF(OR(CG26&lt;CG$63,ISNUMBER(CG26)=FALSE),CG$64,CG26))))</f>
      </c>
      <c r="CH78" s="9" t="str">
        <f>IF(ISBLANK(CH26),"NO DATA",IF(ISNUMBER(FIND(CODES!$A$12,CH26)),CODES!$A$12,IF(OR(ISNUMBER(FIND(CODES!$A$10,CH26)),ISNUMBER(FIND(CODES!$A$11,CH26))),CODES!$A$13,IF(OR(CH26&lt;CH$63,ISNUMBER(CH26)=FALSE),CH$64,CH26))))</f>
      </c>
      <c r="CI78" s="9" t="str">
        <f>IF(ISBLANK(CI26),"NO DATA",IF(ISNUMBER(FIND(CODES!$A$12,CI26)),CODES!$A$12,IF(OR(ISNUMBER(FIND(CODES!$A$10,CI26)),ISNUMBER(FIND(CODES!$A$11,CI26))),CODES!$A$13,IF(OR(CI26&lt;CI$63,ISNUMBER(CI26)=FALSE),CI$64,CI26))))</f>
      </c>
      <c r="CJ78" s="9" t="str">
        <f>IF(ISBLANK(CJ26),"NO DATA",IF(ISNUMBER(FIND(CODES!$A$12,CJ26)),CODES!$A$12,IF(OR(ISNUMBER(FIND(CODES!$A$10,CJ26)),ISNUMBER(FIND(CODES!$A$11,CJ26))),CODES!$A$13,IF(OR(CJ26&lt;CJ$63,ISNUMBER(CJ26)=FALSE),CJ$64,CJ26))))</f>
      </c>
      <c r="CK78" s="9" t="str">
        <f>IF(ISBLANK(CK26),"NO DATA",IF(ISNUMBER(FIND(CODES!$A$12,CK26)),CODES!$A$12,IF(OR(ISNUMBER(FIND(CODES!$A$10,CK26)),ISNUMBER(FIND(CODES!$A$11,CK26))),CODES!$A$13,IF(OR(CK26&lt;CK$63,ISNUMBER(CK26)=FALSE),CK$64,CK26))))</f>
      </c>
      <c r="CL78" s="9" t="str">
        <f>IF(ISBLANK(CL26),"NO DATA",IF(ISNUMBER(FIND(CODES!$A$12,CL26)),CODES!$A$12,IF(OR(ISNUMBER(FIND(CODES!$A$10,CL26)),ISNUMBER(FIND(CODES!$A$11,CL26))),CODES!$A$13,IF(OR(CL26&lt;CL$63,ISNUMBER(CL26)=FALSE),CL$64,CL26))))</f>
      </c>
      <c r="CM78" s="9" t="str">
        <f>IF(ISBLANK(CM26),"NO DATA",IF(ISNUMBER(FIND(CODES!$A$12,CM26)),CODES!$A$12,IF(OR(ISNUMBER(FIND(CODES!$A$10,CM26)),ISNUMBER(FIND(CODES!$A$11,CM26))),CODES!$A$13,IF(OR(CM26&lt;CM$63,ISNUMBER(CM26)=FALSE),CM$64,CM26))))</f>
      </c>
      <c r="CN78" s="9" t="str">
        <f>IF(ISBLANK(CN26),"NO DATA",IF(ISNUMBER(FIND(CODES!$A$12,CN26)),CODES!$A$12,IF(OR(ISNUMBER(FIND(CODES!$A$10,CN26)),ISNUMBER(FIND(CODES!$A$11,CN26))),CODES!$A$13,IF(OR(CN26&lt;CN$63,ISNUMBER(CN26)=FALSE),CN$64,CN26))))</f>
      </c>
      <c r="CO78" s="9" t="str">
        <f>IF(ISBLANK(CO26),"NO DATA",IF(ISNUMBER(FIND(CODES!$A$12,CO26)),CODES!$A$12,IF(OR(ISNUMBER(FIND(CODES!$A$10,CO26)),ISNUMBER(FIND(CODES!$A$11,CO26))),CODES!$A$13,IF(OR(CO26&lt;CO$63,ISNUMBER(CO26)=FALSE),CO$64,CO26))))</f>
      </c>
      <c r="CP78" s="9" t="str">
        <f>IF(ISBLANK(CP26),"NO DATA",IF(ISNUMBER(FIND(CODES!$A$12,CP26)),CODES!$A$12,IF(OR(ISNUMBER(FIND(CODES!$A$10,CP26)),ISNUMBER(FIND(CODES!$A$11,CP26))),CODES!$A$13,IF(OR(CP26&lt;CP$63,ISNUMBER(CP26)=FALSE),CP$64,CP26))))</f>
      </c>
      <c r="CQ78" s="9" t="str">
        <f>IF(ISBLANK(CQ26),"NO DATA",IF(ISNUMBER(FIND(CODES!$A$12,CQ26)),CODES!$A$12,IF(OR(ISNUMBER(FIND(CODES!$A$10,CQ26)),ISNUMBER(FIND(CODES!$A$11,CQ26))),CODES!$A$13,IF(OR(CQ26&lt;CQ$63,ISNUMBER(CQ26)=FALSE),CQ$64,CQ26))))</f>
      </c>
      <c r="CR78" s="9" t="str">
        <f>IF(ISBLANK(CR26),"NO DATA",IF(ISNUMBER(FIND(CODES!$A$12,CR26)),CODES!$A$12,IF(OR(ISNUMBER(FIND(CODES!$A$10,CR26)),ISNUMBER(FIND(CODES!$A$11,CR26))),CODES!$A$13,IF(OR(CR26&lt;CR$63,ISNUMBER(CR26)=FALSE),CR$64,CR26))))</f>
      </c>
      <c r="CS78" s="9" t="str">
        <f>IF(ISBLANK(CS26),"NO DATA",IF(ISNUMBER(FIND(CODES!$A$12,CS26)),CODES!$A$12,IF(OR(ISNUMBER(FIND(CODES!$A$10,CS26)),ISNUMBER(FIND(CODES!$A$11,CS26))),CODES!$A$13,IF(OR(CS26&lt;CS$63,ISNUMBER(CS26)=FALSE),CS$64,CS26))))</f>
      </c>
      <c r="CT78" s="9" t="str">
        <f>IF(ISBLANK(CT26),"NO DATA",IF(ISNUMBER(FIND(CODES!$A$12,CT26)),CODES!$A$12,IF(OR(ISNUMBER(FIND(CODES!$A$10,CT26)),ISNUMBER(FIND(CODES!$A$11,CT26))),CODES!$A$13,IF(OR(CT26&lt;CT$63,ISNUMBER(CT26)=FALSE),CT$64,CT26))))</f>
      </c>
      <c r="CU78" s="9" t="str">
        <f>IF(ISBLANK(CU26),"NO DATA",IF(ISNUMBER(FIND(CODES!$A$12,CU26)),CODES!$A$12,IF(OR(ISNUMBER(FIND(CODES!$A$10,CU26)),ISNUMBER(FIND(CODES!$A$11,CU26))),CODES!$A$13,IF(OR(CU26&lt;CU$63,ISNUMBER(CU26)=FALSE),CU$64,CU26))))</f>
      </c>
      <c r="CV78" s="9" t="str">
        <f>IF(ISBLANK(CV26),"NO DATA",IF(ISNUMBER(FIND(CODES!$A$12,CV26)),CODES!$A$12,IF(OR(ISNUMBER(FIND(CODES!$A$10,CV26)),ISNUMBER(FIND(CODES!$A$11,CV26))),CODES!$A$13,IF(OR(CV26&lt;CV$63,ISNUMBER(CV26)=FALSE),CV$64,CV26))))</f>
      </c>
      <c r="CW78" s="9" t="str">
        <f>IF(ISBLANK(CW26),"NO DATA",IF(ISNUMBER(FIND(CODES!$A$12,CW26)),CODES!$A$12,IF(OR(ISNUMBER(FIND(CODES!$A$10,CW26)),ISNUMBER(FIND(CODES!$A$11,CW26))),CODES!$A$13,IF(OR(CW26&lt;CW$63,ISNUMBER(CW26)=FALSE),CW$64,CW26))))</f>
      </c>
      <c r="CX78" s="9" t="str">
        <f>IF(ISBLANK(CX26),"NO DATA",IF(ISNUMBER(FIND(CODES!$A$12,CX26)),CODES!$A$12,IF(OR(ISNUMBER(FIND(CODES!$A$10,CX26)),ISNUMBER(FIND(CODES!$A$11,CX26))),CODES!$A$13,IF(OR(CX26&lt;CX$63,ISNUMBER(CX26)=FALSE),CX$64,CX26))))</f>
      </c>
      <c r="CY78" s="9" t="str">
        <f>IF(ISBLANK(CY26),"NO DATA",IF(ISNUMBER(FIND(CODES!$A$12,CY26)),CODES!$A$12,IF(OR(ISNUMBER(FIND(CODES!$A$10,CY26)),ISNUMBER(FIND(CODES!$A$11,CY26))),CODES!$A$13,IF(OR(CY26&lt;CY$63,ISNUMBER(CY26)=FALSE),CY$64,CY26))))</f>
      </c>
      <c r="CZ78" s="9" t="str">
        <f>IF(ISBLANK(CZ26),"NO DATA",IF(ISNUMBER(FIND(CODES!$A$12,CZ26)),CODES!$A$12,IF(OR(ISNUMBER(FIND(CODES!$A$10,CZ26)),ISNUMBER(FIND(CODES!$A$11,CZ26))),CODES!$A$13,IF(OR(CZ26&lt;CZ$63,ISNUMBER(CZ26)=FALSE),CZ$64,CZ26))))</f>
      </c>
      <c r="DA78" s="9" t="str">
        <f>IF(ISBLANK(DA26),"NO DATA",IF(ISNUMBER(FIND(CODES!$A$12,DA26)),CODES!$A$12,IF(OR(ISNUMBER(FIND(CODES!$A$10,DA26)),ISNUMBER(FIND(CODES!$A$11,DA26))),CODES!$A$13,IF(OR(DA26&lt;DA$63,ISNUMBER(DA26)=FALSE),DA$64,DA26))))</f>
      </c>
      <c r="DB78" s="9" t="str">
        <f>IF(ISBLANK(DB26),"NO DATA",IF(ISNUMBER(FIND(CODES!$A$12,DB26)),CODES!$A$12,IF(OR(ISNUMBER(FIND(CODES!$A$10,DB26)),ISNUMBER(FIND(CODES!$A$11,DB26))),CODES!$A$13,IF(OR(DB26&lt;DB$63,ISNUMBER(DB26)=FALSE),DB$64,DB26))))</f>
      </c>
      <c r="DC78" s="9" t="str">
        <f>IF(ISBLANK(DC26),"NO DATA",IF(ISNUMBER(FIND(CODES!$A$12,DC26)),CODES!$A$12,IF(OR(ISNUMBER(FIND(CODES!$A$10,DC26)),ISNUMBER(FIND(CODES!$A$11,DC26))),CODES!$A$13,IF(OR(DC26&lt;DC$63,ISNUMBER(DC26)=FALSE),DC$64,DC26))))</f>
      </c>
      <c r="DD78" s="9" t="str">
        <f>IF(ISBLANK(DD26),"NO DATA",IF(ISNUMBER(FIND(CODES!$A$12,DD26)),CODES!$A$12,IF(OR(ISNUMBER(FIND(CODES!$A$10,DD26)),ISNUMBER(FIND(CODES!$A$11,DD26))),CODES!$A$13,IF(OR(DD26&lt;DD$63,ISNUMBER(DD26)=FALSE),DD$64,DD26))))</f>
      </c>
      <c r="DE78" s="9" t="str">
        <f>IF(ISBLANK(DE26),"NO DATA",IF(ISNUMBER(FIND(CODES!$A$12,DE26)),CODES!$A$12,IF(OR(ISNUMBER(FIND(CODES!$A$10,DE26)),ISNUMBER(FIND(CODES!$A$11,DE26))),CODES!$A$13,IF(OR(DE26&lt;DE$63,ISNUMBER(DE26)=FALSE),DE$64,DE26))))</f>
      </c>
      <c r="DF78" s="9" t="str">
        <f>IF(ISBLANK(DF26),"NO DATA",IF(ISNUMBER(FIND(CODES!$A$12,DF26)),CODES!$A$12,IF(OR(ISNUMBER(FIND(CODES!$A$10,DF26)),ISNUMBER(FIND(CODES!$A$11,DF26))),CODES!$A$13,IF(OR(DF26&lt;DF$63,ISNUMBER(DF26)=FALSE),DF$64,DF26))))</f>
      </c>
      <c r="DG78" s="9" t="str">
        <f>IF(ISBLANK(DG26),"NO DATA",IF(ISNUMBER(FIND(CODES!$A$12,DG26)),CODES!$A$12,IF(OR(ISNUMBER(FIND(CODES!$A$10,DG26)),ISNUMBER(FIND(CODES!$A$11,DG26))),CODES!$A$13,IF(OR(DG26&lt;DG$63,ISNUMBER(DG26)=FALSE),DG$64,DG26))))</f>
      </c>
      <c r="DH78" s="9" t="str">
        <f>IF(ISBLANK(DH26),"NO DATA",IF(ISNUMBER(FIND(CODES!$A$12,DH26)),CODES!$A$12,IF(OR(ISNUMBER(FIND(CODES!$A$10,DH26)),ISNUMBER(FIND(CODES!$A$11,DH26))),CODES!$A$13,IF(OR(DH26&lt;DH$63,ISNUMBER(DH26)=FALSE),DH$64,DH26))))</f>
      </c>
      <c r="DI78" s="9" t="str">
        <f>IF(ISBLANK(DI26),"NO DATA",IF(ISNUMBER(FIND(CODES!$A$12,DI26)),CODES!$A$12,IF(OR(ISNUMBER(FIND(CODES!$A$10,DI26)),ISNUMBER(FIND(CODES!$A$11,DI26))),CODES!$A$13,IF(OR(DI26&lt;DI$63,ISNUMBER(DI26)=FALSE),DI$64,DI26))))</f>
      </c>
    </row>
    <row r="79" spans="1:113" x14ac:dyDescent="0.25">
      <c r="A79" s="20" t="str">
        <f t="shared" si="4"/>
      </c>
      <c r="B79" s="20">
        <f t="shared" si="4"/>
      </c>
      <c r="C79" s="9" t="str">
        <f>IF(ISBLANK(C27),"NO DATA",IF(ISNUMBER(FIND(CODES!$A$12,C27)),CODES!$A$12,IF(OR(ISNUMBER(FIND(CODES!$A$10,C27)),ISNUMBER(FIND(CODES!$A$11,C27))),CODES!$A$13,IF(OR(C27&lt;C$63,ISNUMBER(C27)=FALSE),C$64,C27))))</f>
      </c>
      <c r="D79" s="9" t="str">
        <f>IF(ISBLANK(D27),"NO DATA",IF(ISNUMBER(FIND(CODES!$A$12,D27)),CODES!$A$12,IF(OR(ISNUMBER(FIND(CODES!$A$10,D27)),ISNUMBER(FIND(CODES!$A$11,D27))),CODES!$A$13,IF(OR(D27&lt;D$63,ISNUMBER(D27)=FALSE),D$64,D27))))</f>
      </c>
      <c r="E79" s="9" t="str">
        <f>IF(ISBLANK(E27),"NO DATA",IF(ISNUMBER(FIND(CODES!$A$12,E27)),CODES!$A$12,IF(OR(ISNUMBER(FIND(CODES!$A$10,E27)),ISNUMBER(FIND(CODES!$A$11,E27))),CODES!$A$13,IF(OR(E27&lt;E$63,ISNUMBER(E27)=FALSE),E$64,E27))))</f>
      </c>
      <c r="F79" s="9" t="str">
        <f>IF(ISBLANK(F27),"NO DATA",IF(ISNUMBER(FIND(CODES!$A$12,F27)),CODES!$A$12,IF(OR(ISNUMBER(FIND(CODES!$A$10,F27)),ISNUMBER(FIND(CODES!$A$11,F27))),CODES!$A$13,IF(OR(F27&lt;F$63,ISNUMBER(F27)=FALSE),F$64,F27))))</f>
      </c>
      <c r="G79" s="9" t="str">
        <f>IF(ISBLANK(G27),"NO DATA",IF(ISNUMBER(FIND(CODES!$A$12,G27)),CODES!$A$12,IF(OR(ISNUMBER(FIND(CODES!$A$10,G27)),ISNUMBER(FIND(CODES!$A$11,G27))),CODES!$A$13,IF(OR(G27&lt;G$63,ISNUMBER(G27)=FALSE),G$64,G27))))</f>
      </c>
      <c r="H79" s="9" t="str">
        <f>IF(ISBLANK(H27),"NO DATA",IF(ISNUMBER(FIND(CODES!$A$12,H27)),CODES!$A$12,IF(OR(ISNUMBER(FIND(CODES!$A$10,H27)),ISNUMBER(FIND(CODES!$A$11,H27))),CODES!$A$13,IF(OR(H27&lt;H$63,ISNUMBER(H27)=FALSE),H$64,H27))))</f>
      </c>
      <c r="I79" s="9" t="str">
        <f>IF(ISBLANK(I27),"NO DATA",IF(ISNUMBER(FIND(CODES!$A$12,I27)),CODES!$A$12,IF(OR(ISNUMBER(FIND(CODES!$A$10,I27)),ISNUMBER(FIND(CODES!$A$11,I27))),CODES!$A$13,IF(OR(I27&lt;I$63,ISNUMBER(I27)=FALSE),I$64,I27))))</f>
      </c>
      <c r="J79" s="9" t="str">
        <f>IF(ISBLANK(J27),"NO DATA",IF(ISNUMBER(FIND(CODES!$A$12,J27)),CODES!$A$12,IF(OR(ISNUMBER(FIND(CODES!$A$10,J27)),ISNUMBER(FIND(CODES!$A$11,J27))),CODES!$A$13,IF(OR(J27&lt;J$63,ISNUMBER(J27)=FALSE),J$64,J27))))</f>
      </c>
      <c r="K79" s="9" t="str">
        <f>IF(ISBLANK(K27),"NO DATA",IF(ISNUMBER(FIND(CODES!$A$12,K27)),CODES!$A$12,IF(OR(ISNUMBER(FIND(CODES!$A$10,K27)),ISNUMBER(FIND(CODES!$A$11,K27))),CODES!$A$13,IF(OR(K27&lt;K$63,ISNUMBER(K27)=FALSE),K$64,K27))))</f>
      </c>
      <c r="L79" s="9" t="str">
        <f>IF(ISBLANK(L27),"NO DATA",IF(ISNUMBER(FIND(CODES!$A$12,L27)),CODES!$A$12,IF(OR(ISNUMBER(FIND(CODES!$A$10,L27)),ISNUMBER(FIND(CODES!$A$11,L27))),CODES!$A$13,IF(OR(L27&lt;L$63,ISNUMBER(L27)=FALSE),L$64,L27))))</f>
      </c>
      <c r="M79" s="9" t="str">
        <f>IF(ISBLANK(M27),"NO DATA",IF(ISNUMBER(FIND(CODES!$A$12,M27)),CODES!$A$12,IF(OR(ISNUMBER(FIND(CODES!$A$10,M27)),ISNUMBER(FIND(CODES!$A$11,M27))),CODES!$A$13,IF(OR(M27&lt;M$63,ISNUMBER(M27)=FALSE),M$64,M27))))</f>
      </c>
      <c r="N79" s="9" t="str">
        <f>IF(ISBLANK(N27),"NO DATA",IF(ISNUMBER(FIND(CODES!$A$12,N27)),CODES!$A$12,IF(OR(ISNUMBER(FIND(CODES!$A$10,N27)),ISNUMBER(FIND(CODES!$A$11,N27))),CODES!$A$13,IF(OR(N27&lt;N$63,ISNUMBER(N27)=FALSE),N$64,N27))))</f>
      </c>
      <c r="O79" s="9" t="str">
        <f>IF(ISBLANK(O27),"NO DATA",IF(ISNUMBER(FIND(CODES!$A$12,O27)),CODES!$A$12,IF(OR(ISNUMBER(FIND(CODES!$A$10,O27)),ISNUMBER(FIND(CODES!$A$11,O27))),CODES!$A$13,IF(OR(O27&lt;O$63,ISNUMBER(O27)=FALSE),O$64,O27))))</f>
      </c>
      <c r="P79" s="9" t="str">
        <f>IF(ISBLANK(P27),"NO DATA",IF(ISNUMBER(FIND(CODES!$A$12,P27)),CODES!$A$12,IF(OR(ISNUMBER(FIND(CODES!$A$10,P27)),ISNUMBER(FIND(CODES!$A$11,P27))),CODES!$A$13,IF(OR(P27&lt;P$63,ISNUMBER(P27)=FALSE),P$64,P27))))</f>
      </c>
      <c r="Q79" s="9" t="str">
        <f>IF(ISBLANK(Q27),"NO DATA",IF(ISNUMBER(FIND(CODES!$A$12,Q27)),CODES!$A$12,IF(OR(ISNUMBER(FIND(CODES!$A$10,Q27)),ISNUMBER(FIND(CODES!$A$11,Q27))),CODES!$A$13,IF(OR(Q27&lt;Q$63,ISNUMBER(Q27)=FALSE),Q$64,Q27))))</f>
      </c>
      <c r="R79" s="9" t="str">
        <f>IF(ISBLANK(R27),"NO DATA",IF(ISNUMBER(FIND(CODES!$A$12,R27)),CODES!$A$12,IF(OR(ISNUMBER(FIND(CODES!$A$10,R27)),ISNUMBER(FIND(CODES!$A$11,R27))),CODES!$A$13,IF(OR(R27&lt;R$63,ISNUMBER(R27)=FALSE),R$64,R27))))</f>
      </c>
      <c r="S79" s="9" t="str">
        <f>IF(ISBLANK(S27),"NO DATA",IF(ISNUMBER(FIND(CODES!$A$12,S27)),CODES!$A$12,IF(OR(ISNUMBER(FIND(CODES!$A$10,S27)),ISNUMBER(FIND(CODES!$A$11,S27))),CODES!$A$13,IF(OR(S27&lt;S$63,ISNUMBER(S27)=FALSE),S$64,S27))))</f>
      </c>
      <c r="T79" s="9" t="str">
        <f>IF(ISBLANK(T27),"NO DATA",IF(ISNUMBER(FIND(CODES!$A$12,T27)),CODES!$A$12,IF(OR(ISNUMBER(FIND(CODES!$A$10,T27)),ISNUMBER(FIND(CODES!$A$11,T27))),CODES!$A$13,IF(OR(T27&lt;T$63,ISNUMBER(T27)=FALSE),T$64,T27))))</f>
      </c>
      <c r="U79" s="9" t="str">
        <f>IF(ISBLANK(U27),"NO DATA",IF(ISNUMBER(FIND(CODES!$A$12,U27)),CODES!$A$12,IF(OR(ISNUMBER(FIND(CODES!$A$10,U27)),ISNUMBER(FIND(CODES!$A$11,U27))),CODES!$A$13,IF(OR(U27&lt;U$63,ISNUMBER(U27)=FALSE),U$64,U27))))</f>
      </c>
      <c r="V79" s="9" t="str">
        <f>IF(ISBLANK(V27),"NO DATA",IF(ISNUMBER(FIND(CODES!$A$12,V27)),CODES!$A$12,IF(OR(ISNUMBER(FIND(CODES!$A$10,V27)),ISNUMBER(FIND(CODES!$A$11,V27))),CODES!$A$13,IF(OR(V27&lt;V$63,ISNUMBER(V27)=FALSE),V$64,V27))))</f>
      </c>
      <c r="W79" s="9" t="str">
        <f>IF(ISBLANK(W27),"NO DATA",IF(ISNUMBER(FIND(CODES!$A$12,W27)),CODES!$A$12,IF(OR(ISNUMBER(FIND(CODES!$A$10,W27)),ISNUMBER(FIND(CODES!$A$11,W27))),CODES!$A$13,IF(OR(W27&lt;W$63,ISNUMBER(W27)=FALSE),W$64,W27))))</f>
      </c>
      <c r="X79" s="9" t="str">
        <f>IF(ISBLANK(X27),"NO DATA",IF(ISNUMBER(FIND(CODES!$A$12,X27)),CODES!$A$12,IF(OR(ISNUMBER(FIND(CODES!$A$10,X27)),ISNUMBER(FIND(CODES!$A$11,X27))),CODES!$A$13,IF(OR(X27&lt;X$63,ISNUMBER(X27)=FALSE),X$64,X27))))</f>
      </c>
      <c r="Y79" s="9" t="str">
        <f>IF(ISBLANK(Y27),"NO DATA",IF(ISNUMBER(FIND(CODES!$A$12,Y27)),CODES!$A$12,IF(OR(ISNUMBER(FIND(CODES!$A$10,Y27)),ISNUMBER(FIND(CODES!$A$11,Y27))),CODES!$A$13,IF(OR(Y27&lt;Y$63,ISNUMBER(Y27)=FALSE),Y$64,Y27))))</f>
      </c>
      <c r="Z79" s="9" t="str">
        <f>IF(ISBLANK(Z27),"NO DATA",IF(ISNUMBER(FIND(CODES!$A$12,Z27)),CODES!$A$12,IF(OR(ISNUMBER(FIND(CODES!$A$10,Z27)),ISNUMBER(FIND(CODES!$A$11,Z27))),CODES!$A$13,IF(OR(Z27&lt;Z$63,ISNUMBER(Z27)=FALSE),Z$64,Z27))))</f>
      </c>
      <c r="AA79" s="9" t="str">
        <f>IF(ISBLANK(AA27),"NO DATA",IF(ISNUMBER(FIND(CODES!$A$12,AA27)),CODES!$A$12,IF(OR(ISNUMBER(FIND(CODES!$A$10,AA27)),ISNUMBER(FIND(CODES!$A$11,AA27))),CODES!$A$13,IF(OR(AA27&lt;AA$63,ISNUMBER(AA27)=FALSE),AA$64,AA27))))</f>
      </c>
      <c r="AB79" s="9" t="str">
        <f>IF(ISBLANK(AB27),"NO DATA",IF(ISNUMBER(FIND(CODES!$A$12,AB27)),CODES!$A$12,IF(OR(ISNUMBER(FIND(CODES!$A$10,AB27)),ISNUMBER(FIND(CODES!$A$11,AB27))),CODES!$A$13,IF(OR(AB27&lt;AB$63,ISNUMBER(AB27)=FALSE),AB$64,AB27))))</f>
      </c>
      <c r="AC79" s="9" t="str">
        <f>IF(ISBLANK(AC27),"NO DATA",IF(ISNUMBER(FIND(CODES!$A$12,AC27)),CODES!$A$12,IF(OR(ISNUMBER(FIND(CODES!$A$10,AC27)),ISNUMBER(FIND(CODES!$A$11,AC27))),CODES!$A$13,IF(OR(AC27&lt;AC$63,ISNUMBER(AC27)=FALSE),AC$64,AC27))))</f>
      </c>
      <c r="AD79" s="9" t="str">
        <f>IF(ISBLANK(AD27),"NO DATA",IF(ISNUMBER(FIND(CODES!$A$12,AD27)),CODES!$A$12,IF(OR(ISNUMBER(FIND(CODES!$A$10,AD27)),ISNUMBER(FIND(CODES!$A$11,AD27))),CODES!$A$13,IF(OR(AD27&lt;AD$63,ISNUMBER(AD27)=FALSE),AD$64,AD27))))</f>
      </c>
      <c r="AE79" s="9" t="str">
        <f>IF(ISBLANK(AE27),"NO DATA",IF(ISNUMBER(FIND(CODES!$A$12,AE27)),CODES!$A$12,IF(OR(ISNUMBER(FIND(CODES!$A$10,AE27)),ISNUMBER(FIND(CODES!$A$11,AE27))),CODES!$A$13,IF(OR(AE27&lt;AE$63,ISNUMBER(AE27)=FALSE),AE$64,AE27))))</f>
      </c>
      <c r="AF79" s="9" t="str">
        <f>IF(ISBLANK(AF27),"NO DATA",IF(ISNUMBER(FIND(CODES!$A$12,AF27)),CODES!$A$12,IF(OR(ISNUMBER(FIND(CODES!$A$10,AF27)),ISNUMBER(FIND(CODES!$A$11,AF27))),CODES!$A$13,IF(OR(AF27&lt;AF$63,ISNUMBER(AF27)=FALSE),AF$64,AF27))))</f>
      </c>
      <c r="AG79" s="9" t="str">
        <f>IF(ISBLANK(AG27),"NO DATA",IF(ISNUMBER(FIND(CODES!$A$12,AG27)),CODES!$A$12,IF(OR(ISNUMBER(FIND(CODES!$A$10,AG27)),ISNUMBER(FIND(CODES!$A$11,AG27))),CODES!$A$13,IF(OR(AG27&lt;AG$63,ISNUMBER(AG27)=FALSE),AG$64,AG27))))</f>
      </c>
      <c r="AH79" s="9" t="str">
        <f>IF(ISBLANK(AH27),"NO DATA",IF(ISNUMBER(FIND(CODES!$A$12,AH27)),CODES!$A$12,IF(OR(ISNUMBER(FIND(CODES!$A$10,AH27)),ISNUMBER(FIND(CODES!$A$11,AH27))),CODES!$A$13,IF(OR(AH27&lt;AH$63,ISNUMBER(AH27)=FALSE),AH$64,AH27))))</f>
      </c>
      <c r="AI79" s="9" t="str">
        <f>IF(ISBLANK(AI27),"NO DATA",IF(ISNUMBER(FIND(CODES!$A$12,AI27)),CODES!$A$12,IF(OR(ISNUMBER(FIND(CODES!$A$10,AI27)),ISNUMBER(FIND(CODES!$A$11,AI27))),CODES!$A$13,IF(OR(AI27&lt;AI$63,ISNUMBER(AI27)=FALSE),AI$64,AI27))))</f>
      </c>
      <c r="AJ79" s="9" t="str">
        <f>IF(ISBLANK(AJ27),"NO DATA",IF(ISNUMBER(FIND(CODES!$A$12,AJ27)),CODES!$A$12,IF(OR(ISNUMBER(FIND(CODES!$A$10,AJ27)),ISNUMBER(FIND(CODES!$A$11,AJ27))),CODES!$A$13,IF(OR(AJ27&lt;AJ$63,ISNUMBER(AJ27)=FALSE),AJ$64,AJ27))))</f>
      </c>
      <c r="AK79" s="9" t="str">
        <f>IF(ISBLANK(AK27),"NO DATA",IF(ISNUMBER(FIND(CODES!$A$12,AK27)),CODES!$A$12,IF(OR(ISNUMBER(FIND(CODES!$A$10,AK27)),ISNUMBER(FIND(CODES!$A$11,AK27))),CODES!$A$13,IF(OR(AK27&lt;AK$63,ISNUMBER(AK27)=FALSE),AK$64,AK27))))</f>
      </c>
      <c r="AL79" s="9" t="str">
        <f>IF(ISBLANK(AL27),"NO DATA",IF(ISNUMBER(FIND(CODES!$A$12,AL27)),CODES!$A$12,IF(OR(ISNUMBER(FIND(CODES!$A$10,AL27)),ISNUMBER(FIND(CODES!$A$11,AL27))),CODES!$A$13,IF(OR(AL27&lt;AL$63,ISNUMBER(AL27)=FALSE),AL$64,AL27))))</f>
      </c>
      <c r="AM79" s="9" t="str">
        <f>IF(ISBLANK(AM27),"NO DATA",IF(ISNUMBER(FIND(CODES!$A$12,AM27)),CODES!$A$12,IF(OR(ISNUMBER(FIND(CODES!$A$10,AM27)),ISNUMBER(FIND(CODES!$A$11,AM27))),CODES!$A$13,IF(OR(AM27&lt;AM$63,ISNUMBER(AM27)=FALSE),AM$64,AM27))))</f>
      </c>
      <c r="AN79" s="9" t="str">
        <f>IF(ISBLANK(AN27),"NO DATA",IF(ISNUMBER(FIND(CODES!$A$12,AN27)),CODES!$A$12,IF(OR(ISNUMBER(FIND(CODES!$A$10,AN27)),ISNUMBER(FIND(CODES!$A$11,AN27))),CODES!$A$13,IF(OR(AN27&lt;AN$63,ISNUMBER(AN27)=FALSE),AN$64,AN27))))</f>
      </c>
      <c r="AO79" s="9" t="str">
        <f>IF(ISBLANK(AO27),"NO DATA",IF(ISNUMBER(FIND(CODES!$A$12,AO27)),CODES!$A$12,IF(OR(ISNUMBER(FIND(CODES!$A$10,AO27)),ISNUMBER(FIND(CODES!$A$11,AO27))),CODES!$A$13,IF(OR(AO27&lt;AO$63,ISNUMBER(AO27)=FALSE),AO$64,AO27))))</f>
      </c>
      <c r="AP79" s="9" t="str">
        <f>IF(ISBLANK(AP27),"NO DATA",IF(ISNUMBER(FIND(CODES!$A$12,AP27)),CODES!$A$12,IF(OR(ISNUMBER(FIND(CODES!$A$10,AP27)),ISNUMBER(FIND(CODES!$A$11,AP27))),CODES!$A$13,IF(OR(AP27&lt;AP$63,ISNUMBER(AP27)=FALSE),AP$64,AP27))))</f>
      </c>
      <c r="AQ79" s="9" t="str">
        <f>IF(ISBLANK(AQ27),"NO DATA",IF(ISNUMBER(FIND(CODES!$A$12,AQ27)),CODES!$A$12,IF(OR(ISNUMBER(FIND(CODES!$A$10,AQ27)),ISNUMBER(FIND(CODES!$A$11,AQ27))),CODES!$A$13,IF(OR(AQ27&lt;AQ$63,ISNUMBER(AQ27)=FALSE),AQ$64,AQ27))))</f>
      </c>
      <c r="AR79" s="9" t="str">
        <f>IF(ISBLANK(AR27),"NO DATA",IF(ISNUMBER(FIND(CODES!$A$12,AR27)),CODES!$A$12,IF(OR(ISNUMBER(FIND(CODES!$A$10,AR27)),ISNUMBER(FIND(CODES!$A$11,AR27))),CODES!$A$13,IF(OR(AR27&lt;AR$63,ISNUMBER(AR27)=FALSE),AR$64,AR27))))</f>
      </c>
      <c r="AS79" s="9" t="str">
        <f>IF(ISBLANK(AS27),"NO DATA",IF(ISNUMBER(FIND(CODES!$A$12,AS27)),CODES!$A$12,IF(OR(ISNUMBER(FIND(CODES!$A$10,AS27)),ISNUMBER(FIND(CODES!$A$11,AS27))),CODES!$A$13,IF(OR(AS27&lt;AS$63,ISNUMBER(AS27)=FALSE),AS$64,AS27))))</f>
      </c>
      <c r="AT79" s="9" t="str">
        <f>IF(ISBLANK(AT27),"NO DATA",IF(ISNUMBER(FIND(CODES!$A$12,AT27)),CODES!$A$12,IF(OR(ISNUMBER(FIND(CODES!$A$10,AT27)),ISNUMBER(FIND(CODES!$A$11,AT27))),CODES!$A$13,IF(OR(AT27&lt;AT$63,ISNUMBER(AT27)=FALSE),AT$64,AT27))))</f>
      </c>
      <c r="AU79" s="9" t="str">
        <f>IF(ISBLANK(AU27),"NO DATA",IF(ISNUMBER(FIND(CODES!$A$12,AU27)),CODES!$A$12,IF(OR(ISNUMBER(FIND(CODES!$A$10,AU27)),ISNUMBER(FIND(CODES!$A$11,AU27))),CODES!$A$13,IF(OR(AU27&lt;AU$63,ISNUMBER(AU27)=FALSE),AU$64,AU27))))</f>
      </c>
      <c r="AV79" s="9" t="str">
        <f>IF(ISBLANK(AV27),"NO DATA",IF(ISNUMBER(FIND(CODES!$A$12,AV27)),CODES!$A$12,IF(OR(ISNUMBER(FIND(CODES!$A$10,AV27)),ISNUMBER(FIND(CODES!$A$11,AV27))),CODES!$A$13,IF(OR(AV27&lt;AV$63,ISNUMBER(AV27)=FALSE),AV$64,AV27))))</f>
      </c>
      <c r="AW79" s="9" t="str">
        <f>IF(ISBLANK(AW27),"NO DATA",IF(ISNUMBER(FIND(CODES!$A$12,AW27)),CODES!$A$12,IF(OR(ISNUMBER(FIND(CODES!$A$10,AW27)),ISNUMBER(FIND(CODES!$A$11,AW27))),CODES!$A$13,IF(OR(AW27&lt;AW$63,ISNUMBER(AW27)=FALSE),AW$64,AW27))))</f>
      </c>
      <c r="AX79" s="9" t="str">
        <f>IF(ISBLANK(AX27),"NO DATA",IF(ISNUMBER(FIND(CODES!$A$12,AX27)),CODES!$A$12,IF(OR(ISNUMBER(FIND(CODES!$A$10,AX27)),ISNUMBER(FIND(CODES!$A$11,AX27))),CODES!$A$13,IF(OR(AX27&lt;AX$63,ISNUMBER(AX27)=FALSE),AX$64,AX27))))</f>
      </c>
      <c r="AY79" s="9" t="str">
        <f>IF(ISBLANK(AY27),"NO DATA",IF(ISNUMBER(FIND(CODES!$A$12,AY27)),CODES!$A$12,IF(OR(ISNUMBER(FIND(CODES!$A$10,AY27)),ISNUMBER(FIND(CODES!$A$11,AY27))),CODES!$A$13,IF(OR(AY27&lt;AY$63,ISNUMBER(AY27)=FALSE),AY$64,AY27))))</f>
      </c>
      <c r="AZ79" s="9" t="str">
        <f>IF(ISBLANK(AZ27),"NO DATA",IF(ISNUMBER(FIND(CODES!$A$12,AZ27)),CODES!$A$12,IF(OR(ISNUMBER(FIND(CODES!$A$10,AZ27)),ISNUMBER(FIND(CODES!$A$11,AZ27))),CODES!$A$13,IF(OR(AZ27&lt;AZ$63,ISNUMBER(AZ27)=FALSE),AZ$64,AZ27))))</f>
      </c>
      <c r="BA79" s="9" t="str">
        <f>IF(ISBLANK(BA27),"NO DATA",IF(ISNUMBER(FIND(CODES!$A$12,BA27)),CODES!$A$12,IF(OR(ISNUMBER(FIND(CODES!$A$10,BA27)),ISNUMBER(FIND(CODES!$A$11,BA27))),CODES!$A$13,IF(OR(BA27&lt;BA$63,ISNUMBER(BA27)=FALSE),BA$64,BA27))))</f>
      </c>
      <c r="BB79" s="9" t="str">
        <f>IF(ISBLANK(BB27),"NO DATA",IF(ISNUMBER(FIND(CODES!$A$12,BB27)),CODES!$A$12,IF(OR(ISNUMBER(FIND(CODES!$A$10,BB27)),ISNUMBER(FIND(CODES!$A$11,BB27))),CODES!$A$13,IF(OR(BB27&lt;BB$63,ISNUMBER(BB27)=FALSE),BB$64,BB27))))</f>
      </c>
      <c r="BC79" s="9" t="str">
        <f>IF(ISBLANK(BC27),"NO DATA",IF(ISNUMBER(FIND(CODES!$A$12,BC27)),CODES!$A$12,IF(OR(ISNUMBER(FIND(CODES!$A$10,BC27)),ISNUMBER(FIND(CODES!$A$11,BC27))),CODES!$A$13,IF(OR(BC27&lt;BC$63,ISNUMBER(BC27)=FALSE),BC$64,BC27))))</f>
      </c>
      <c r="BD79" s="9" t="str">
        <f>IF(ISBLANK(BD27),"NO DATA",IF(ISNUMBER(FIND(CODES!$A$12,BD27)),CODES!$A$12,IF(OR(ISNUMBER(FIND(CODES!$A$10,BD27)),ISNUMBER(FIND(CODES!$A$11,BD27))),CODES!$A$13,IF(OR(BD27&lt;BD$63,ISNUMBER(BD27)=FALSE),BD$64,BD27))))</f>
      </c>
      <c r="BE79" s="9" t="str">
        <f>IF(ISBLANK(BE27),"NO DATA",IF(ISNUMBER(FIND(CODES!$A$12,BE27)),CODES!$A$12,IF(OR(ISNUMBER(FIND(CODES!$A$10,BE27)),ISNUMBER(FIND(CODES!$A$11,BE27))),CODES!$A$13,IF(OR(BE27&lt;BE$63,ISNUMBER(BE27)=FALSE),BE$64,BE27))))</f>
      </c>
      <c r="BF79" s="9" t="str">
        <f>IF(ISBLANK(BF27),"NO DATA",IF(ISNUMBER(FIND(CODES!$A$12,BF27)),CODES!$A$12,IF(OR(ISNUMBER(FIND(CODES!$A$10,BF27)),ISNUMBER(FIND(CODES!$A$11,BF27))),CODES!$A$13,IF(OR(BF27&lt;BF$63,ISNUMBER(BF27)=FALSE),BF$64,BF27))))</f>
      </c>
      <c r="BG79" s="9" t="str">
        <f>IF(ISBLANK(BG27),"NO DATA",IF(ISNUMBER(FIND(CODES!$A$12,BG27)),CODES!$A$12,IF(OR(ISNUMBER(FIND(CODES!$A$10,BG27)),ISNUMBER(FIND(CODES!$A$11,BG27))),CODES!$A$13,IF(OR(BG27&lt;BG$63,ISNUMBER(BG27)=FALSE),BG$64,BG27))))</f>
      </c>
      <c r="BH79" s="9" t="str">
        <f>IF(ISBLANK(BH27),"NO DATA",IF(ISNUMBER(FIND(CODES!$A$12,BH27)),CODES!$A$12,IF(OR(ISNUMBER(FIND(CODES!$A$10,BH27)),ISNUMBER(FIND(CODES!$A$11,BH27))),CODES!$A$13,IF(OR(BH27&lt;BH$63,ISNUMBER(BH27)=FALSE),BH$64,BH27))))</f>
      </c>
      <c r="BI79" s="9" t="str">
        <f>IF(ISBLANK(BI27),"NO DATA",IF(ISNUMBER(FIND(CODES!$A$12,BI27)),CODES!$A$12,IF(OR(ISNUMBER(FIND(CODES!$A$10,BI27)),ISNUMBER(FIND(CODES!$A$11,BI27))),CODES!$A$13,IF(OR(BI27&lt;BI$63,ISNUMBER(BI27)=FALSE),BI$64,BI27))))</f>
      </c>
      <c r="BJ79" s="9" t="str">
        <f>IF(ISBLANK(BJ27),"NO DATA",IF(ISNUMBER(FIND(CODES!$A$12,BJ27)),CODES!$A$12,IF(OR(ISNUMBER(FIND(CODES!$A$10,BJ27)),ISNUMBER(FIND(CODES!$A$11,BJ27))),CODES!$A$13,IF(OR(BJ27&lt;BJ$63,ISNUMBER(BJ27)=FALSE),BJ$64,BJ27))))</f>
      </c>
      <c r="BK79" s="9" t="str">
        <f>IF(ISBLANK(BK27),"NO DATA",IF(ISNUMBER(FIND(CODES!$A$12,BK27)),CODES!$A$12,IF(OR(ISNUMBER(FIND(CODES!$A$10,BK27)),ISNUMBER(FIND(CODES!$A$11,BK27))),CODES!$A$13,IF(OR(BK27&lt;BK$63,ISNUMBER(BK27)=FALSE),BK$64,BK27))))</f>
      </c>
      <c r="BL79" s="9" t="str">
        <f>IF(ISBLANK(BL27),"NO DATA",IF(ISNUMBER(FIND(CODES!$A$12,BL27)),CODES!$A$12,IF(OR(ISNUMBER(FIND(CODES!$A$10,BL27)),ISNUMBER(FIND(CODES!$A$11,BL27))),CODES!$A$13,IF(OR(BL27&lt;BL$63,ISNUMBER(BL27)=FALSE),BL$64,BL27))))</f>
      </c>
      <c r="BM79" s="9" t="str">
        <f>IF(ISBLANK(BM27),"NO DATA",IF(ISNUMBER(FIND(CODES!$A$12,BM27)),CODES!$A$12,IF(OR(ISNUMBER(FIND(CODES!$A$10,BM27)),ISNUMBER(FIND(CODES!$A$11,BM27))),CODES!$A$13,IF(OR(BM27&lt;BM$63,ISNUMBER(BM27)=FALSE),BM$64,BM27))))</f>
      </c>
      <c r="BN79" s="9" t="str">
        <f>IF(ISBLANK(BN27),"NO DATA",IF(ISNUMBER(FIND(CODES!$A$12,BN27)),CODES!$A$12,IF(OR(ISNUMBER(FIND(CODES!$A$10,BN27)),ISNUMBER(FIND(CODES!$A$11,BN27))),CODES!$A$13,IF(OR(BN27&lt;BN$63,ISNUMBER(BN27)=FALSE),BN$64,BN27))))</f>
      </c>
      <c r="BO79" s="9" t="str">
        <f>IF(ISBLANK(BO27),"NO DATA",IF(ISNUMBER(FIND(CODES!$A$12,BO27)),CODES!$A$12,IF(OR(ISNUMBER(FIND(CODES!$A$10,BO27)),ISNUMBER(FIND(CODES!$A$11,BO27))),CODES!$A$13,IF(OR(BO27&lt;BO$63,ISNUMBER(BO27)=FALSE),BO$64,BO27))))</f>
      </c>
      <c r="BP79" s="9" t="str">
        <f>IF(ISBLANK(BP27),"NO DATA",IF(ISNUMBER(FIND(CODES!$A$12,BP27)),CODES!$A$12,IF(OR(ISNUMBER(FIND(CODES!$A$10,BP27)),ISNUMBER(FIND(CODES!$A$11,BP27))),CODES!$A$13,IF(OR(BP27&lt;BP$63,ISNUMBER(BP27)=FALSE),BP$64,BP27))))</f>
      </c>
      <c r="BQ79" s="9" t="str">
        <f>IF(ISBLANK(BQ27),"NO DATA",IF(ISNUMBER(FIND(CODES!$A$12,BQ27)),CODES!$A$12,IF(OR(ISNUMBER(FIND(CODES!$A$10,BQ27)),ISNUMBER(FIND(CODES!$A$11,BQ27))),CODES!$A$13,IF(OR(BQ27&lt;BQ$63,ISNUMBER(BQ27)=FALSE),BQ$64,BQ27))))</f>
      </c>
      <c r="BR79" s="9" t="str">
        <f>IF(ISBLANK(BR27),"NO DATA",IF(ISNUMBER(FIND(CODES!$A$12,BR27)),CODES!$A$12,IF(OR(ISNUMBER(FIND(CODES!$A$10,BR27)),ISNUMBER(FIND(CODES!$A$11,BR27))),CODES!$A$13,IF(OR(BR27&lt;BR$63,ISNUMBER(BR27)=FALSE),BR$64,BR27))))</f>
      </c>
      <c r="BS79" s="9" t="str">
        <f>IF(ISBLANK(BS27),"NO DATA",IF(ISNUMBER(FIND(CODES!$A$12,BS27)),CODES!$A$12,IF(OR(ISNUMBER(FIND(CODES!$A$10,BS27)),ISNUMBER(FIND(CODES!$A$11,BS27))),CODES!$A$13,IF(OR(BS27&lt;BS$63,ISNUMBER(BS27)=FALSE),BS$64,BS27))))</f>
      </c>
      <c r="BT79" s="9" t="str">
        <f>IF(ISBLANK(BT27),"NO DATA",IF(ISNUMBER(FIND(CODES!$A$12,BT27)),CODES!$A$12,IF(OR(ISNUMBER(FIND(CODES!$A$10,BT27)),ISNUMBER(FIND(CODES!$A$11,BT27))),CODES!$A$13,IF(OR(BT27&lt;BT$63,ISNUMBER(BT27)=FALSE),BT$64,BT27))))</f>
      </c>
      <c r="BU79" s="9" t="str">
        <f>IF(ISBLANK(BU27),"NO DATA",IF(ISNUMBER(FIND(CODES!$A$12,BU27)),CODES!$A$12,IF(OR(ISNUMBER(FIND(CODES!$A$10,BU27)),ISNUMBER(FIND(CODES!$A$11,BU27))),CODES!$A$13,IF(OR(BU27&lt;BU$63,ISNUMBER(BU27)=FALSE),BU$64,BU27))))</f>
      </c>
      <c r="BV79" s="9" t="str">
        <f>IF(ISBLANK(BV27),"NO DATA",IF(ISNUMBER(FIND(CODES!$A$12,BV27)),CODES!$A$12,IF(OR(ISNUMBER(FIND(CODES!$A$10,BV27)),ISNUMBER(FIND(CODES!$A$11,BV27))),CODES!$A$13,IF(OR(BV27&lt;BV$63,ISNUMBER(BV27)=FALSE),BV$64,BV27))))</f>
      </c>
      <c r="BW79" s="9" t="str">
        <f>IF(ISBLANK(BW27),"NO DATA",IF(ISNUMBER(FIND(CODES!$A$12,BW27)),CODES!$A$12,IF(OR(ISNUMBER(FIND(CODES!$A$10,BW27)),ISNUMBER(FIND(CODES!$A$11,BW27))),CODES!$A$13,IF(OR(BW27&lt;BW$63,ISNUMBER(BW27)=FALSE),BW$64,BW27))))</f>
      </c>
      <c r="BX79" s="9" t="str">
        <f>IF(ISBLANK(BX27),"NO DATA",IF(ISNUMBER(FIND(CODES!$A$12,BX27)),CODES!$A$12,IF(OR(ISNUMBER(FIND(CODES!$A$10,BX27)),ISNUMBER(FIND(CODES!$A$11,BX27))),CODES!$A$13,IF(OR(BX27&lt;BX$63,ISNUMBER(BX27)=FALSE),BX$64,BX27))))</f>
      </c>
      <c r="BY79" s="9" t="str">
        <f>IF(ISBLANK(BY27),"NO DATA",IF(ISNUMBER(FIND(CODES!$A$12,BY27)),CODES!$A$12,IF(OR(ISNUMBER(FIND(CODES!$A$10,BY27)),ISNUMBER(FIND(CODES!$A$11,BY27))),CODES!$A$13,IF(OR(BY27&lt;BY$63,ISNUMBER(BY27)=FALSE),BY$64,BY27))))</f>
      </c>
      <c r="BZ79" s="9" t="str">
        <f>IF(ISBLANK(BZ27),"NO DATA",IF(ISNUMBER(FIND(CODES!$A$12,BZ27)),CODES!$A$12,IF(OR(ISNUMBER(FIND(CODES!$A$10,BZ27)),ISNUMBER(FIND(CODES!$A$11,BZ27))),CODES!$A$13,IF(OR(BZ27&lt;BZ$63,ISNUMBER(BZ27)=FALSE),BZ$64,BZ27))))</f>
      </c>
      <c r="CA79" s="9" t="str">
        <f>IF(ISBLANK(CA27),"NO DATA",IF(ISNUMBER(FIND(CODES!$A$12,CA27)),CODES!$A$12,IF(OR(ISNUMBER(FIND(CODES!$A$10,CA27)),ISNUMBER(FIND(CODES!$A$11,CA27))),CODES!$A$13,IF(OR(CA27&lt;CA$63,ISNUMBER(CA27)=FALSE),CA$64,CA27))))</f>
      </c>
      <c r="CB79" s="9" t="str">
        <f>IF(ISBLANK(CB27),"NO DATA",IF(ISNUMBER(FIND(CODES!$A$12,CB27)),CODES!$A$12,IF(OR(ISNUMBER(FIND(CODES!$A$10,CB27)),ISNUMBER(FIND(CODES!$A$11,CB27))),CODES!$A$13,IF(OR(CB27&lt;CB$63,ISNUMBER(CB27)=FALSE),CB$64,CB27))))</f>
      </c>
      <c r="CC79" s="9" t="str">
        <f>IF(ISBLANK(CC27),"NO DATA",IF(ISNUMBER(FIND(CODES!$A$12,CC27)),CODES!$A$12,IF(OR(ISNUMBER(FIND(CODES!$A$10,CC27)),ISNUMBER(FIND(CODES!$A$11,CC27))),CODES!$A$13,IF(OR(CC27&lt;CC$63,ISNUMBER(CC27)=FALSE),CC$64,CC27))))</f>
      </c>
      <c r="CD79" s="9" t="str">
        <f>IF(ISBLANK(CD27),"NO DATA",IF(ISNUMBER(FIND(CODES!$A$12,CD27)),CODES!$A$12,IF(OR(ISNUMBER(FIND(CODES!$A$10,CD27)),ISNUMBER(FIND(CODES!$A$11,CD27))),CODES!$A$13,IF(OR(CD27&lt;CD$63,ISNUMBER(CD27)=FALSE),CD$64,CD27))))</f>
      </c>
      <c r="CE79" s="9" t="str">
        <f>IF(ISBLANK(CE27),"NO DATA",IF(ISNUMBER(FIND(CODES!$A$12,CE27)),CODES!$A$12,IF(OR(ISNUMBER(FIND(CODES!$A$10,CE27)),ISNUMBER(FIND(CODES!$A$11,CE27))),CODES!$A$13,IF(OR(CE27&lt;CE$63,ISNUMBER(CE27)=FALSE),CE$64,CE27))))</f>
      </c>
      <c r="CF79" s="9" t="str">
        <f>IF(ISBLANK(CF27),"NO DATA",IF(ISNUMBER(FIND(CODES!$A$12,CF27)),CODES!$A$12,IF(OR(ISNUMBER(FIND(CODES!$A$10,CF27)),ISNUMBER(FIND(CODES!$A$11,CF27))),CODES!$A$13,IF(OR(CF27&lt;CF$63,ISNUMBER(CF27)=FALSE),CF$64,CF27))))</f>
      </c>
      <c r="CG79" s="9" t="str">
        <f>IF(ISBLANK(CG27),"NO DATA",IF(ISNUMBER(FIND(CODES!$A$12,CG27)),CODES!$A$12,IF(OR(ISNUMBER(FIND(CODES!$A$10,CG27)),ISNUMBER(FIND(CODES!$A$11,CG27))),CODES!$A$13,IF(OR(CG27&lt;CG$63,ISNUMBER(CG27)=FALSE),CG$64,CG27))))</f>
      </c>
      <c r="CH79" s="9" t="str">
        <f>IF(ISBLANK(CH27),"NO DATA",IF(ISNUMBER(FIND(CODES!$A$12,CH27)),CODES!$A$12,IF(OR(ISNUMBER(FIND(CODES!$A$10,CH27)),ISNUMBER(FIND(CODES!$A$11,CH27))),CODES!$A$13,IF(OR(CH27&lt;CH$63,ISNUMBER(CH27)=FALSE),CH$64,CH27))))</f>
      </c>
      <c r="CI79" s="9" t="str">
        <f>IF(ISBLANK(CI27),"NO DATA",IF(ISNUMBER(FIND(CODES!$A$12,CI27)),CODES!$A$12,IF(OR(ISNUMBER(FIND(CODES!$A$10,CI27)),ISNUMBER(FIND(CODES!$A$11,CI27))),CODES!$A$13,IF(OR(CI27&lt;CI$63,ISNUMBER(CI27)=FALSE),CI$64,CI27))))</f>
      </c>
      <c r="CJ79" s="9" t="str">
        <f>IF(ISBLANK(CJ27),"NO DATA",IF(ISNUMBER(FIND(CODES!$A$12,CJ27)),CODES!$A$12,IF(OR(ISNUMBER(FIND(CODES!$A$10,CJ27)),ISNUMBER(FIND(CODES!$A$11,CJ27))),CODES!$A$13,IF(OR(CJ27&lt;CJ$63,ISNUMBER(CJ27)=FALSE),CJ$64,CJ27))))</f>
      </c>
      <c r="CK79" s="9" t="str">
        <f>IF(ISBLANK(CK27),"NO DATA",IF(ISNUMBER(FIND(CODES!$A$12,CK27)),CODES!$A$12,IF(OR(ISNUMBER(FIND(CODES!$A$10,CK27)),ISNUMBER(FIND(CODES!$A$11,CK27))),CODES!$A$13,IF(OR(CK27&lt;CK$63,ISNUMBER(CK27)=FALSE),CK$64,CK27))))</f>
      </c>
      <c r="CL79" s="9" t="str">
        <f>IF(ISBLANK(CL27),"NO DATA",IF(ISNUMBER(FIND(CODES!$A$12,CL27)),CODES!$A$12,IF(OR(ISNUMBER(FIND(CODES!$A$10,CL27)),ISNUMBER(FIND(CODES!$A$11,CL27))),CODES!$A$13,IF(OR(CL27&lt;CL$63,ISNUMBER(CL27)=FALSE),CL$64,CL27))))</f>
      </c>
      <c r="CM79" s="9" t="str">
        <f>IF(ISBLANK(CM27),"NO DATA",IF(ISNUMBER(FIND(CODES!$A$12,CM27)),CODES!$A$12,IF(OR(ISNUMBER(FIND(CODES!$A$10,CM27)),ISNUMBER(FIND(CODES!$A$11,CM27))),CODES!$A$13,IF(OR(CM27&lt;CM$63,ISNUMBER(CM27)=FALSE),CM$64,CM27))))</f>
      </c>
      <c r="CN79" s="9" t="str">
        <f>IF(ISBLANK(CN27),"NO DATA",IF(ISNUMBER(FIND(CODES!$A$12,CN27)),CODES!$A$12,IF(OR(ISNUMBER(FIND(CODES!$A$10,CN27)),ISNUMBER(FIND(CODES!$A$11,CN27))),CODES!$A$13,IF(OR(CN27&lt;CN$63,ISNUMBER(CN27)=FALSE),CN$64,CN27))))</f>
      </c>
      <c r="CO79" s="9" t="str">
        <f>IF(ISBLANK(CO27),"NO DATA",IF(ISNUMBER(FIND(CODES!$A$12,CO27)),CODES!$A$12,IF(OR(ISNUMBER(FIND(CODES!$A$10,CO27)),ISNUMBER(FIND(CODES!$A$11,CO27))),CODES!$A$13,IF(OR(CO27&lt;CO$63,ISNUMBER(CO27)=FALSE),CO$64,CO27))))</f>
      </c>
      <c r="CP79" s="9" t="str">
        <f>IF(ISBLANK(CP27),"NO DATA",IF(ISNUMBER(FIND(CODES!$A$12,CP27)),CODES!$A$12,IF(OR(ISNUMBER(FIND(CODES!$A$10,CP27)),ISNUMBER(FIND(CODES!$A$11,CP27))),CODES!$A$13,IF(OR(CP27&lt;CP$63,ISNUMBER(CP27)=FALSE),CP$64,CP27))))</f>
      </c>
      <c r="CQ79" s="9" t="str">
        <f>IF(ISBLANK(CQ27),"NO DATA",IF(ISNUMBER(FIND(CODES!$A$12,CQ27)),CODES!$A$12,IF(OR(ISNUMBER(FIND(CODES!$A$10,CQ27)),ISNUMBER(FIND(CODES!$A$11,CQ27))),CODES!$A$13,IF(OR(CQ27&lt;CQ$63,ISNUMBER(CQ27)=FALSE),CQ$64,CQ27))))</f>
      </c>
      <c r="CR79" s="9" t="str">
        <f>IF(ISBLANK(CR27),"NO DATA",IF(ISNUMBER(FIND(CODES!$A$12,CR27)),CODES!$A$12,IF(OR(ISNUMBER(FIND(CODES!$A$10,CR27)),ISNUMBER(FIND(CODES!$A$11,CR27))),CODES!$A$13,IF(OR(CR27&lt;CR$63,ISNUMBER(CR27)=FALSE),CR$64,CR27))))</f>
      </c>
      <c r="CS79" s="9" t="str">
        <f>IF(ISBLANK(CS27),"NO DATA",IF(ISNUMBER(FIND(CODES!$A$12,CS27)),CODES!$A$12,IF(OR(ISNUMBER(FIND(CODES!$A$10,CS27)),ISNUMBER(FIND(CODES!$A$11,CS27))),CODES!$A$13,IF(OR(CS27&lt;CS$63,ISNUMBER(CS27)=FALSE),CS$64,CS27))))</f>
      </c>
      <c r="CT79" s="9" t="str">
        <f>IF(ISBLANK(CT27),"NO DATA",IF(ISNUMBER(FIND(CODES!$A$12,CT27)),CODES!$A$12,IF(OR(ISNUMBER(FIND(CODES!$A$10,CT27)),ISNUMBER(FIND(CODES!$A$11,CT27))),CODES!$A$13,IF(OR(CT27&lt;CT$63,ISNUMBER(CT27)=FALSE),CT$64,CT27))))</f>
      </c>
      <c r="CU79" s="9" t="str">
        <f>IF(ISBLANK(CU27),"NO DATA",IF(ISNUMBER(FIND(CODES!$A$12,CU27)),CODES!$A$12,IF(OR(ISNUMBER(FIND(CODES!$A$10,CU27)),ISNUMBER(FIND(CODES!$A$11,CU27))),CODES!$A$13,IF(OR(CU27&lt;CU$63,ISNUMBER(CU27)=FALSE),CU$64,CU27))))</f>
      </c>
      <c r="CV79" s="9" t="str">
        <f>IF(ISBLANK(CV27),"NO DATA",IF(ISNUMBER(FIND(CODES!$A$12,CV27)),CODES!$A$12,IF(OR(ISNUMBER(FIND(CODES!$A$10,CV27)),ISNUMBER(FIND(CODES!$A$11,CV27))),CODES!$A$13,IF(OR(CV27&lt;CV$63,ISNUMBER(CV27)=FALSE),CV$64,CV27))))</f>
      </c>
      <c r="CW79" s="9" t="str">
        <f>IF(ISBLANK(CW27),"NO DATA",IF(ISNUMBER(FIND(CODES!$A$12,CW27)),CODES!$A$12,IF(OR(ISNUMBER(FIND(CODES!$A$10,CW27)),ISNUMBER(FIND(CODES!$A$11,CW27))),CODES!$A$13,IF(OR(CW27&lt;CW$63,ISNUMBER(CW27)=FALSE),CW$64,CW27))))</f>
      </c>
      <c r="CX79" s="9" t="str">
        <f>IF(ISBLANK(CX27),"NO DATA",IF(ISNUMBER(FIND(CODES!$A$12,CX27)),CODES!$A$12,IF(OR(ISNUMBER(FIND(CODES!$A$10,CX27)),ISNUMBER(FIND(CODES!$A$11,CX27))),CODES!$A$13,IF(OR(CX27&lt;CX$63,ISNUMBER(CX27)=FALSE),CX$64,CX27))))</f>
      </c>
      <c r="CY79" s="9" t="str">
        <f>IF(ISBLANK(CY27),"NO DATA",IF(ISNUMBER(FIND(CODES!$A$12,CY27)),CODES!$A$12,IF(OR(ISNUMBER(FIND(CODES!$A$10,CY27)),ISNUMBER(FIND(CODES!$A$11,CY27))),CODES!$A$13,IF(OR(CY27&lt;CY$63,ISNUMBER(CY27)=FALSE),CY$64,CY27))))</f>
      </c>
      <c r="CZ79" s="9" t="str">
        <f>IF(ISBLANK(CZ27),"NO DATA",IF(ISNUMBER(FIND(CODES!$A$12,CZ27)),CODES!$A$12,IF(OR(ISNUMBER(FIND(CODES!$A$10,CZ27)),ISNUMBER(FIND(CODES!$A$11,CZ27))),CODES!$A$13,IF(OR(CZ27&lt;CZ$63,ISNUMBER(CZ27)=FALSE),CZ$64,CZ27))))</f>
      </c>
      <c r="DA79" s="9" t="str">
        <f>IF(ISBLANK(DA27),"NO DATA",IF(ISNUMBER(FIND(CODES!$A$12,DA27)),CODES!$A$12,IF(OR(ISNUMBER(FIND(CODES!$A$10,DA27)),ISNUMBER(FIND(CODES!$A$11,DA27))),CODES!$A$13,IF(OR(DA27&lt;DA$63,ISNUMBER(DA27)=FALSE),DA$64,DA27))))</f>
      </c>
      <c r="DB79" s="9" t="str">
        <f>IF(ISBLANK(DB27),"NO DATA",IF(ISNUMBER(FIND(CODES!$A$12,DB27)),CODES!$A$12,IF(OR(ISNUMBER(FIND(CODES!$A$10,DB27)),ISNUMBER(FIND(CODES!$A$11,DB27))),CODES!$A$13,IF(OR(DB27&lt;DB$63,ISNUMBER(DB27)=FALSE),DB$64,DB27))))</f>
      </c>
      <c r="DC79" s="9" t="str">
        <f>IF(ISBLANK(DC27),"NO DATA",IF(ISNUMBER(FIND(CODES!$A$12,DC27)),CODES!$A$12,IF(OR(ISNUMBER(FIND(CODES!$A$10,DC27)),ISNUMBER(FIND(CODES!$A$11,DC27))),CODES!$A$13,IF(OR(DC27&lt;DC$63,ISNUMBER(DC27)=FALSE),DC$64,DC27))))</f>
      </c>
      <c r="DD79" s="9" t="str">
        <f>IF(ISBLANK(DD27),"NO DATA",IF(ISNUMBER(FIND(CODES!$A$12,DD27)),CODES!$A$12,IF(OR(ISNUMBER(FIND(CODES!$A$10,DD27)),ISNUMBER(FIND(CODES!$A$11,DD27))),CODES!$A$13,IF(OR(DD27&lt;DD$63,ISNUMBER(DD27)=FALSE),DD$64,DD27))))</f>
      </c>
      <c r="DE79" s="9" t="str">
        <f>IF(ISBLANK(DE27),"NO DATA",IF(ISNUMBER(FIND(CODES!$A$12,DE27)),CODES!$A$12,IF(OR(ISNUMBER(FIND(CODES!$A$10,DE27)),ISNUMBER(FIND(CODES!$A$11,DE27))),CODES!$A$13,IF(OR(DE27&lt;DE$63,ISNUMBER(DE27)=FALSE),DE$64,DE27))))</f>
      </c>
      <c r="DF79" s="9" t="str">
        <f>IF(ISBLANK(DF27),"NO DATA",IF(ISNUMBER(FIND(CODES!$A$12,DF27)),CODES!$A$12,IF(OR(ISNUMBER(FIND(CODES!$A$10,DF27)),ISNUMBER(FIND(CODES!$A$11,DF27))),CODES!$A$13,IF(OR(DF27&lt;DF$63,ISNUMBER(DF27)=FALSE),DF$64,DF27))))</f>
      </c>
      <c r="DG79" s="9" t="str">
        <f>IF(ISBLANK(DG27),"NO DATA",IF(ISNUMBER(FIND(CODES!$A$12,DG27)),CODES!$A$12,IF(OR(ISNUMBER(FIND(CODES!$A$10,DG27)),ISNUMBER(FIND(CODES!$A$11,DG27))),CODES!$A$13,IF(OR(DG27&lt;DG$63,ISNUMBER(DG27)=FALSE),DG$64,DG27))))</f>
      </c>
      <c r="DH79" s="9" t="str">
        <f>IF(ISBLANK(DH27),"NO DATA",IF(ISNUMBER(FIND(CODES!$A$12,DH27)),CODES!$A$12,IF(OR(ISNUMBER(FIND(CODES!$A$10,DH27)),ISNUMBER(FIND(CODES!$A$11,DH27))),CODES!$A$13,IF(OR(DH27&lt;DH$63,ISNUMBER(DH27)=FALSE),DH$64,DH27))))</f>
      </c>
      <c r="DI79" s="9" t="str">
        <f>IF(ISBLANK(DI27),"NO DATA",IF(ISNUMBER(FIND(CODES!$A$12,DI27)),CODES!$A$12,IF(OR(ISNUMBER(FIND(CODES!$A$10,DI27)),ISNUMBER(FIND(CODES!$A$11,DI27))),CODES!$A$13,IF(OR(DI27&lt;DI$63,ISNUMBER(DI27)=FALSE),DI$64,DI27))))</f>
      </c>
    </row>
    <row r="80" spans="1:113" x14ac:dyDescent="0.25">
      <c r="A80" s="20" t="str">
        <f t="shared" si="4"/>
      </c>
      <c r="B80" s="20">
        <f t="shared" si="4"/>
      </c>
      <c r="C80" s="9" t="str">
        <f>IF(ISBLANK(C28),"NO DATA",IF(ISNUMBER(FIND(CODES!$A$12,C28)),CODES!$A$12,IF(OR(ISNUMBER(FIND(CODES!$A$10,C28)),ISNUMBER(FIND(CODES!$A$11,C28))),CODES!$A$13,IF(OR(C28&lt;C$63,ISNUMBER(C28)=FALSE),C$64,C28))))</f>
      </c>
      <c r="D80" s="9" t="str">
        <f>IF(ISBLANK(D28),"NO DATA",IF(ISNUMBER(FIND(CODES!$A$12,D28)),CODES!$A$12,IF(OR(ISNUMBER(FIND(CODES!$A$10,D28)),ISNUMBER(FIND(CODES!$A$11,D28))),CODES!$A$13,IF(OR(D28&lt;D$63,ISNUMBER(D28)=FALSE),D$64,D28))))</f>
      </c>
      <c r="E80" s="9" t="str">
        <f>IF(ISBLANK(E28),"NO DATA",IF(ISNUMBER(FIND(CODES!$A$12,E28)),CODES!$A$12,IF(OR(ISNUMBER(FIND(CODES!$A$10,E28)),ISNUMBER(FIND(CODES!$A$11,E28))),CODES!$A$13,IF(OR(E28&lt;E$63,ISNUMBER(E28)=FALSE),E$64,E28))))</f>
      </c>
      <c r="F80" s="9" t="str">
        <f>IF(ISBLANK(F28),"NO DATA",IF(ISNUMBER(FIND(CODES!$A$12,F28)),CODES!$A$12,IF(OR(ISNUMBER(FIND(CODES!$A$10,F28)),ISNUMBER(FIND(CODES!$A$11,F28))),CODES!$A$13,IF(OR(F28&lt;F$63,ISNUMBER(F28)=FALSE),F$64,F28))))</f>
      </c>
      <c r="G80" s="9" t="str">
        <f>IF(ISBLANK(G28),"NO DATA",IF(ISNUMBER(FIND(CODES!$A$12,G28)),CODES!$A$12,IF(OR(ISNUMBER(FIND(CODES!$A$10,G28)),ISNUMBER(FIND(CODES!$A$11,G28))),CODES!$A$13,IF(OR(G28&lt;G$63,ISNUMBER(G28)=FALSE),G$64,G28))))</f>
      </c>
      <c r="H80" s="9" t="str">
        <f>IF(ISBLANK(H28),"NO DATA",IF(ISNUMBER(FIND(CODES!$A$12,H28)),CODES!$A$12,IF(OR(ISNUMBER(FIND(CODES!$A$10,H28)),ISNUMBER(FIND(CODES!$A$11,H28))),CODES!$A$13,IF(OR(H28&lt;H$63,ISNUMBER(H28)=FALSE),H$64,H28))))</f>
      </c>
      <c r="I80" s="9" t="str">
        <f>IF(ISBLANK(I28),"NO DATA",IF(ISNUMBER(FIND(CODES!$A$12,I28)),CODES!$A$12,IF(OR(ISNUMBER(FIND(CODES!$A$10,I28)),ISNUMBER(FIND(CODES!$A$11,I28))),CODES!$A$13,IF(OR(I28&lt;I$63,ISNUMBER(I28)=FALSE),I$64,I28))))</f>
      </c>
      <c r="J80" s="9" t="str">
        <f>IF(ISBLANK(J28),"NO DATA",IF(ISNUMBER(FIND(CODES!$A$12,J28)),CODES!$A$12,IF(OR(ISNUMBER(FIND(CODES!$A$10,J28)),ISNUMBER(FIND(CODES!$A$11,J28))),CODES!$A$13,IF(OR(J28&lt;J$63,ISNUMBER(J28)=FALSE),J$64,J28))))</f>
      </c>
      <c r="K80" s="9" t="str">
        <f>IF(ISBLANK(K28),"NO DATA",IF(ISNUMBER(FIND(CODES!$A$12,K28)),CODES!$A$12,IF(OR(ISNUMBER(FIND(CODES!$A$10,K28)),ISNUMBER(FIND(CODES!$A$11,K28))),CODES!$A$13,IF(OR(K28&lt;K$63,ISNUMBER(K28)=FALSE),K$64,K28))))</f>
      </c>
      <c r="L80" s="9" t="str">
        <f>IF(ISBLANK(L28),"NO DATA",IF(ISNUMBER(FIND(CODES!$A$12,L28)),CODES!$A$12,IF(OR(ISNUMBER(FIND(CODES!$A$10,L28)),ISNUMBER(FIND(CODES!$A$11,L28))),CODES!$A$13,IF(OR(L28&lt;L$63,ISNUMBER(L28)=FALSE),L$64,L28))))</f>
      </c>
      <c r="M80" s="9" t="str">
        <f>IF(ISBLANK(M28),"NO DATA",IF(ISNUMBER(FIND(CODES!$A$12,M28)),CODES!$A$12,IF(OR(ISNUMBER(FIND(CODES!$A$10,M28)),ISNUMBER(FIND(CODES!$A$11,M28))),CODES!$A$13,IF(OR(M28&lt;M$63,ISNUMBER(M28)=FALSE),M$64,M28))))</f>
      </c>
      <c r="N80" s="9" t="str">
        <f>IF(ISBLANK(N28),"NO DATA",IF(ISNUMBER(FIND(CODES!$A$12,N28)),CODES!$A$12,IF(OR(ISNUMBER(FIND(CODES!$A$10,N28)),ISNUMBER(FIND(CODES!$A$11,N28))),CODES!$A$13,IF(OR(N28&lt;N$63,ISNUMBER(N28)=FALSE),N$64,N28))))</f>
      </c>
      <c r="O80" s="9" t="str">
        <f>IF(ISBLANK(O28),"NO DATA",IF(ISNUMBER(FIND(CODES!$A$12,O28)),CODES!$A$12,IF(OR(ISNUMBER(FIND(CODES!$A$10,O28)),ISNUMBER(FIND(CODES!$A$11,O28))),CODES!$A$13,IF(OR(O28&lt;O$63,ISNUMBER(O28)=FALSE),O$64,O28))))</f>
      </c>
      <c r="P80" s="9" t="str">
        <f>IF(ISBLANK(P28),"NO DATA",IF(ISNUMBER(FIND(CODES!$A$12,P28)),CODES!$A$12,IF(OR(ISNUMBER(FIND(CODES!$A$10,P28)),ISNUMBER(FIND(CODES!$A$11,P28))),CODES!$A$13,IF(OR(P28&lt;P$63,ISNUMBER(P28)=FALSE),P$64,P28))))</f>
      </c>
      <c r="Q80" s="9" t="str">
        <f>IF(ISBLANK(Q28),"NO DATA",IF(ISNUMBER(FIND(CODES!$A$12,Q28)),CODES!$A$12,IF(OR(ISNUMBER(FIND(CODES!$A$10,Q28)),ISNUMBER(FIND(CODES!$A$11,Q28))),CODES!$A$13,IF(OR(Q28&lt;Q$63,ISNUMBER(Q28)=FALSE),Q$64,Q28))))</f>
      </c>
      <c r="R80" s="9" t="str">
        <f>IF(ISBLANK(R28),"NO DATA",IF(ISNUMBER(FIND(CODES!$A$12,R28)),CODES!$A$12,IF(OR(ISNUMBER(FIND(CODES!$A$10,R28)),ISNUMBER(FIND(CODES!$A$11,R28))),CODES!$A$13,IF(OR(R28&lt;R$63,ISNUMBER(R28)=FALSE),R$64,R28))))</f>
      </c>
      <c r="S80" s="9" t="str">
        <f>IF(ISBLANK(S28),"NO DATA",IF(ISNUMBER(FIND(CODES!$A$12,S28)),CODES!$A$12,IF(OR(ISNUMBER(FIND(CODES!$A$10,S28)),ISNUMBER(FIND(CODES!$A$11,S28))),CODES!$A$13,IF(OR(S28&lt;S$63,ISNUMBER(S28)=FALSE),S$64,S28))))</f>
      </c>
      <c r="T80" s="9" t="str">
        <f>IF(ISBLANK(T28),"NO DATA",IF(ISNUMBER(FIND(CODES!$A$12,T28)),CODES!$A$12,IF(OR(ISNUMBER(FIND(CODES!$A$10,T28)),ISNUMBER(FIND(CODES!$A$11,T28))),CODES!$A$13,IF(OR(T28&lt;T$63,ISNUMBER(T28)=FALSE),T$64,T28))))</f>
      </c>
      <c r="U80" s="9" t="str">
        <f>IF(ISBLANK(U28),"NO DATA",IF(ISNUMBER(FIND(CODES!$A$12,U28)),CODES!$A$12,IF(OR(ISNUMBER(FIND(CODES!$A$10,U28)),ISNUMBER(FIND(CODES!$A$11,U28))),CODES!$A$13,IF(OR(U28&lt;U$63,ISNUMBER(U28)=FALSE),U$64,U28))))</f>
      </c>
      <c r="V80" s="9" t="str">
        <f>IF(ISBLANK(V28),"NO DATA",IF(ISNUMBER(FIND(CODES!$A$12,V28)),CODES!$A$12,IF(OR(ISNUMBER(FIND(CODES!$A$10,V28)),ISNUMBER(FIND(CODES!$A$11,V28))),CODES!$A$13,IF(OR(V28&lt;V$63,ISNUMBER(V28)=FALSE),V$64,V28))))</f>
      </c>
      <c r="W80" s="9" t="str">
        <f>IF(ISBLANK(W28),"NO DATA",IF(ISNUMBER(FIND(CODES!$A$12,W28)),CODES!$A$12,IF(OR(ISNUMBER(FIND(CODES!$A$10,W28)),ISNUMBER(FIND(CODES!$A$11,W28))),CODES!$A$13,IF(OR(W28&lt;W$63,ISNUMBER(W28)=FALSE),W$64,W28))))</f>
      </c>
      <c r="X80" s="9" t="str">
        <f>IF(ISBLANK(X28),"NO DATA",IF(ISNUMBER(FIND(CODES!$A$12,X28)),CODES!$A$12,IF(OR(ISNUMBER(FIND(CODES!$A$10,X28)),ISNUMBER(FIND(CODES!$A$11,X28))),CODES!$A$13,IF(OR(X28&lt;X$63,ISNUMBER(X28)=FALSE),X$64,X28))))</f>
      </c>
      <c r="Y80" s="9" t="str">
        <f>IF(ISBLANK(Y28),"NO DATA",IF(ISNUMBER(FIND(CODES!$A$12,Y28)),CODES!$A$12,IF(OR(ISNUMBER(FIND(CODES!$A$10,Y28)),ISNUMBER(FIND(CODES!$A$11,Y28))),CODES!$A$13,IF(OR(Y28&lt;Y$63,ISNUMBER(Y28)=FALSE),Y$64,Y28))))</f>
      </c>
      <c r="Z80" s="9" t="str">
        <f>IF(ISBLANK(Z28),"NO DATA",IF(ISNUMBER(FIND(CODES!$A$12,Z28)),CODES!$A$12,IF(OR(ISNUMBER(FIND(CODES!$A$10,Z28)),ISNUMBER(FIND(CODES!$A$11,Z28))),CODES!$A$13,IF(OR(Z28&lt;Z$63,ISNUMBER(Z28)=FALSE),Z$64,Z28))))</f>
      </c>
      <c r="AA80" s="9" t="str">
        <f>IF(ISBLANK(AA28),"NO DATA",IF(ISNUMBER(FIND(CODES!$A$12,AA28)),CODES!$A$12,IF(OR(ISNUMBER(FIND(CODES!$A$10,AA28)),ISNUMBER(FIND(CODES!$A$11,AA28))),CODES!$A$13,IF(OR(AA28&lt;AA$63,ISNUMBER(AA28)=FALSE),AA$64,AA28))))</f>
      </c>
      <c r="AB80" s="9" t="str">
        <f>IF(ISBLANK(AB28),"NO DATA",IF(ISNUMBER(FIND(CODES!$A$12,AB28)),CODES!$A$12,IF(OR(ISNUMBER(FIND(CODES!$A$10,AB28)),ISNUMBER(FIND(CODES!$A$11,AB28))),CODES!$A$13,IF(OR(AB28&lt;AB$63,ISNUMBER(AB28)=FALSE),AB$64,AB28))))</f>
      </c>
      <c r="AC80" s="9" t="str">
        <f>IF(ISBLANK(AC28),"NO DATA",IF(ISNUMBER(FIND(CODES!$A$12,AC28)),CODES!$A$12,IF(OR(ISNUMBER(FIND(CODES!$A$10,AC28)),ISNUMBER(FIND(CODES!$A$11,AC28))),CODES!$A$13,IF(OR(AC28&lt;AC$63,ISNUMBER(AC28)=FALSE),AC$64,AC28))))</f>
      </c>
      <c r="AD80" s="9" t="str">
        <f>IF(ISBLANK(AD28),"NO DATA",IF(ISNUMBER(FIND(CODES!$A$12,AD28)),CODES!$A$12,IF(OR(ISNUMBER(FIND(CODES!$A$10,AD28)),ISNUMBER(FIND(CODES!$A$11,AD28))),CODES!$A$13,IF(OR(AD28&lt;AD$63,ISNUMBER(AD28)=FALSE),AD$64,AD28))))</f>
      </c>
      <c r="AE80" s="9" t="str">
        <f>IF(ISBLANK(AE28),"NO DATA",IF(ISNUMBER(FIND(CODES!$A$12,AE28)),CODES!$A$12,IF(OR(ISNUMBER(FIND(CODES!$A$10,AE28)),ISNUMBER(FIND(CODES!$A$11,AE28))),CODES!$A$13,IF(OR(AE28&lt;AE$63,ISNUMBER(AE28)=FALSE),AE$64,AE28))))</f>
      </c>
      <c r="AF80" s="9" t="str">
        <f>IF(ISBLANK(AF28),"NO DATA",IF(ISNUMBER(FIND(CODES!$A$12,AF28)),CODES!$A$12,IF(OR(ISNUMBER(FIND(CODES!$A$10,AF28)),ISNUMBER(FIND(CODES!$A$11,AF28))),CODES!$A$13,IF(OR(AF28&lt;AF$63,ISNUMBER(AF28)=FALSE),AF$64,AF28))))</f>
      </c>
      <c r="AG80" s="9" t="str">
        <f>IF(ISBLANK(AG28),"NO DATA",IF(ISNUMBER(FIND(CODES!$A$12,AG28)),CODES!$A$12,IF(OR(ISNUMBER(FIND(CODES!$A$10,AG28)),ISNUMBER(FIND(CODES!$A$11,AG28))),CODES!$A$13,IF(OR(AG28&lt;AG$63,ISNUMBER(AG28)=FALSE),AG$64,AG28))))</f>
      </c>
      <c r="AH80" s="9" t="str">
        <f>IF(ISBLANK(AH28),"NO DATA",IF(ISNUMBER(FIND(CODES!$A$12,AH28)),CODES!$A$12,IF(OR(ISNUMBER(FIND(CODES!$A$10,AH28)),ISNUMBER(FIND(CODES!$A$11,AH28))),CODES!$A$13,IF(OR(AH28&lt;AH$63,ISNUMBER(AH28)=FALSE),AH$64,AH28))))</f>
      </c>
      <c r="AI80" s="9" t="str">
        <f>IF(ISBLANK(AI28),"NO DATA",IF(ISNUMBER(FIND(CODES!$A$12,AI28)),CODES!$A$12,IF(OR(ISNUMBER(FIND(CODES!$A$10,AI28)),ISNUMBER(FIND(CODES!$A$11,AI28))),CODES!$A$13,IF(OR(AI28&lt;AI$63,ISNUMBER(AI28)=FALSE),AI$64,AI28))))</f>
      </c>
      <c r="AJ80" s="9" t="str">
        <f>IF(ISBLANK(AJ28),"NO DATA",IF(ISNUMBER(FIND(CODES!$A$12,AJ28)),CODES!$A$12,IF(OR(ISNUMBER(FIND(CODES!$A$10,AJ28)),ISNUMBER(FIND(CODES!$A$11,AJ28))),CODES!$A$13,IF(OR(AJ28&lt;AJ$63,ISNUMBER(AJ28)=FALSE),AJ$64,AJ28))))</f>
      </c>
      <c r="AK80" s="9" t="str">
        <f>IF(ISBLANK(AK28),"NO DATA",IF(ISNUMBER(FIND(CODES!$A$12,AK28)),CODES!$A$12,IF(OR(ISNUMBER(FIND(CODES!$A$10,AK28)),ISNUMBER(FIND(CODES!$A$11,AK28))),CODES!$A$13,IF(OR(AK28&lt;AK$63,ISNUMBER(AK28)=FALSE),AK$64,AK28))))</f>
      </c>
      <c r="AL80" s="9" t="str">
        <f>IF(ISBLANK(AL28),"NO DATA",IF(ISNUMBER(FIND(CODES!$A$12,AL28)),CODES!$A$12,IF(OR(ISNUMBER(FIND(CODES!$A$10,AL28)),ISNUMBER(FIND(CODES!$A$11,AL28))),CODES!$A$13,IF(OR(AL28&lt;AL$63,ISNUMBER(AL28)=FALSE),AL$64,AL28))))</f>
      </c>
      <c r="AM80" s="9" t="str">
        <f>IF(ISBLANK(AM28),"NO DATA",IF(ISNUMBER(FIND(CODES!$A$12,AM28)),CODES!$A$12,IF(OR(ISNUMBER(FIND(CODES!$A$10,AM28)),ISNUMBER(FIND(CODES!$A$11,AM28))),CODES!$A$13,IF(OR(AM28&lt;AM$63,ISNUMBER(AM28)=FALSE),AM$64,AM28))))</f>
      </c>
      <c r="AN80" s="9" t="str">
        <f>IF(ISBLANK(AN28),"NO DATA",IF(ISNUMBER(FIND(CODES!$A$12,AN28)),CODES!$A$12,IF(OR(ISNUMBER(FIND(CODES!$A$10,AN28)),ISNUMBER(FIND(CODES!$A$11,AN28))),CODES!$A$13,IF(OR(AN28&lt;AN$63,ISNUMBER(AN28)=FALSE),AN$64,AN28))))</f>
      </c>
      <c r="AO80" s="9" t="str">
        <f>IF(ISBLANK(AO28),"NO DATA",IF(ISNUMBER(FIND(CODES!$A$12,AO28)),CODES!$A$12,IF(OR(ISNUMBER(FIND(CODES!$A$10,AO28)),ISNUMBER(FIND(CODES!$A$11,AO28))),CODES!$A$13,IF(OR(AO28&lt;AO$63,ISNUMBER(AO28)=FALSE),AO$64,AO28))))</f>
      </c>
      <c r="AP80" s="9" t="str">
        <f>IF(ISBLANK(AP28),"NO DATA",IF(ISNUMBER(FIND(CODES!$A$12,AP28)),CODES!$A$12,IF(OR(ISNUMBER(FIND(CODES!$A$10,AP28)),ISNUMBER(FIND(CODES!$A$11,AP28))),CODES!$A$13,IF(OR(AP28&lt;AP$63,ISNUMBER(AP28)=FALSE),AP$64,AP28))))</f>
      </c>
      <c r="AQ80" s="9" t="str">
        <f>IF(ISBLANK(AQ28),"NO DATA",IF(ISNUMBER(FIND(CODES!$A$12,AQ28)),CODES!$A$12,IF(OR(ISNUMBER(FIND(CODES!$A$10,AQ28)),ISNUMBER(FIND(CODES!$A$11,AQ28))),CODES!$A$13,IF(OR(AQ28&lt;AQ$63,ISNUMBER(AQ28)=FALSE),AQ$64,AQ28))))</f>
      </c>
      <c r="AR80" s="9" t="str">
        <f>IF(ISBLANK(AR28),"NO DATA",IF(ISNUMBER(FIND(CODES!$A$12,AR28)),CODES!$A$12,IF(OR(ISNUMBER(FIND(CODES!$A$10,AR28)),ISNUMBER(FIND(CODES!$A$11,AR28))),CODES!$A$13,IF(OR(AR28&lt;AR$63,ISNUMBER(AR28)=FALSE),AR$64,AR28))))</f>
      </c>
      <c r="AS80" s="9" t="str">
        <f>IF(ISBLANK(AS28),"NO DATA",IF(ISNUMBER(FIND(CODES!$A$12,AS28)),CODES!$A$12,IF(OR(ISNUMBER(FIND(CODES!$A$10,AS28)),ISNUMBER(FIND(CODES!$A$11,AS28))),CODES!$A$13,IF(OR(AS28&lt;AS$63,ISNUMBER(AS28)=FALSE),AS$64,AS28))))</f>
      </c>
      <c r="AT80" s="9" t="str">
        <f>IF(ISBLANK(AT28),"NO DATA",IF(ISNUMBER(FIND(CODES!$A$12,AT28)),CODES!$A$12,IF(OR(ISNUMBER(FIND(CODES!$A$10,AT28)),ISNUMBER(FIND(CODES!$A$11,AT28))),CODES!$A$13,IF(OR(AT28&lt;AT$63,ISNUMBER(AT28)=FALSE),AT$64,AT28))))</f>
      </c>
      <c r="AU80" s="9" t="str">
        <f>IF(ISBLANK(AU28),"NO DATA",IF(ISNUMBER(FIND(CODES!$A$12,AU28)),CODES!$A$12,IF(OR(ISNUMBER(FIND(CODES!$A$10,AU28)),ISNUMBER(FIND(CODES!$A$11,AU28))),CODES!$A$13,IF(OR(AU28&lt;AU$63,ISNUMBER(AU28)=FALSE),AU$64,AU28))))</f>
      </c>
      <c r="AV80" s="9" t="str">
        <f>IF(ISBLANK(AV28),"NO DATA",IF(ISNUMBER(FIND(CODES!$A$12,AV28)),CODES!$A$12,IF(OR(ISNUMBER(FIND(CODES!$A$10,AV28)),ISNUMBER(FIND(CODES!$A$11,AV28))),CODES!$A$13,IF(OR(AV28&lt;AV$63,ISNUMBER(AV28)=FALSE),AV$64,AV28))))</f>
      </c>
      <c r="AW80" s="9" t="str">
        <f>IF(ISBLANK(AW28),"NO DATA",IF(ISNUMBER(FIND(CODES!$A$12,AW28)),CODES!$A$12,IF(OR(ISNUMBER(FIND(CODES!$A$10,AW28)),ISNUMBER(FIND(CODES!$A$11,AW28))),CODES!$A$13,IF(OR(AW28&lt;AW$63,ISNUMBER(AW28)=FALSE),AW$64,AW28))))</f>
      </c>
      <c r="AX80" s="9" t="str">
        <f>IF(ISBLANK(AX28),"NO DATA",IF(ISNUMBER(FIND(CODES!$A$12,AX28)),CODES!$A$12,IF(OR(ISNUMBER(FIND(CODES!$A$10,AX28)),ISNUMBER(FIND(CODES!$A$11,AX28))),CODES!$A$13,IF(OR(AX28&lt;AX$63,ISNUMBER(AX28)=FALSE),AX$64,AX28))))</f>
      </c>
      <c r="AY80" s="9" t="str">
        <f>IF(ISBLANK(AY28),"NO DATA",IF(ISNUMBER(FIND(CODES!$A$12,AY28)),CODES!$A$12,IF(OR(ISNUMBER(FIND(CODES!$A$10,AY28)),ISNUMBER(FIND(CODES!$A$11,AY28))),CODES!$A$13,IF(OR(AY28&lt;AY$63,ISNUMBER(AY28)=FALSE),AY$64,AY28))))</f>
      </c>
      <c r="AZ80" s="9" t="str">
        <f>IF(ISBLANK(AZ28),"NO DATA",IF(ISNUMBER(FIND(CODES!$A$12,AZ28)),CODES!$A$12,IF(OR(ISNUMBER(FIND(CODES!$A$10,AZ28)),ISNUMBER(FIND(CODES!$A$11,AZ28))),CODES!$A$13,IF(OR(AZ28&lt;AZ$63,ISNUMBER(AZ28)=FALSE),AZ$64,AZ28))))</f>
      </c>
      <c r="BA80" s="9" t="str">
        <f>IF(ISBLANK(BA28),"NO DATA",IF(ISNUMBER(FIND(CODES!$A$12,BA28)),CODES!$A$12,IF(OR(ISNUMBER(FIND(CODES!$A$10,BA28)),ISNUMBER(FIND(CODES!$A$11,BA28))),CODES!$A$13,IF(OR(BA28&lt;BA$63,ISNUMBER(BA28)=FALSE),BA$64,BA28))))</f>
      </c>
      <c r="BB80" s="9" t="str">
        <f>IF(ISBLANK(BB28),"NO DATA",IF(ISNUMBER(FIND(CODES!$A$12,BB28)),CODES!$A$12,IF(OR(ISNUMBER(FIND(CODES!$A$10,BB28)),ISNUMBER(FIND(CODES!$A$11,BB28))),CODES!$A$13,IF(OR(BB28&lt;BB$63,ISNUMBER(BB28)=FALSE),BB$64,BB28))))</f>
      </c>
      <c r="BC80" s="9" t="str">
        <f>IF(ISBLANK(BC28),"NO DATA",IF(ISNUMBER(FIND(CODES!$A$12,BC28)),CODES!$A$12,IF(OR(ISNUMBER(FIND(CODES!$A$10,BC28)),ISNUMBER(FIND(CODES!$A$11,BC28))),CODES!$A$13,IF(OR(BC28&lt;BC$63,ISNUMBER(BC28)=FALSE),BC$64,BC28))))</f>
      </c>
      <c r="BD80" s="9" t="str">
        <f>IF(ISBLANK(BD28),"NO DATA",IF(ISNUMBER(FIND(CODES!$A$12,BD28)),CODES!$A$12,IF(OR(ISNUMBER(FIND(CODES!$A$10,BD28)),ISNUMBER(FIND(CODES!$A$11,BD28))),CODES!$A$13,IF(OR(BD28&lt;BD$63,ISNUMBER(BD28)=FALSE),BD$64,BD28))))</f>
      </c>
      <c r="BE80" s="9" t="str">
        <f>IF(ISBLANK(BE28),"NO DATA",IF(ISNUMBER(FIND(CODES!$A$12,BE28)),CODES!$A$12,IF(OR(ISNUMBER(FIND(CODES!$A$10,BE28)),ISNUMBER(FIND(CODES!$A$11,BE28))),CODES!$A$13,IF(OR(BE28&lt;BE$63,ISNUMBER(BE28)=FALSE),BE$64,BE28))))</f>
      </c>
      <c r="BF80" s="9" t="str">
        <f>IF(ISBLANK(BF28),"NO DATA",IF(ISNUMBER(FIND(CODES!$A$12,BF28)),CODES!$A$12,IF(OR(ISNUMBER(FIND(CODES!$A$10,BF28)),ISNUMBER(FIND(CODES!$A$11,BF28))),CODES!$A$13,IF(OR(BF28&lt;BF$63,ISNUMBER(BF28)=FALSE),BF$64,BF28))))</f>
      </c>
      <c r="BG80" s="9" t="str">
        <f>IF(ISBLANK(BG28),"NO DATA",IF(ISNUMBER(FIND(CODES!$A$12,BG28)),CODES!$A$12,IF(OR(ISNUMBER(FIND(CODES!$A$10,BG28)),ISNUMBER(FIND(CODES!$A$11,BG28))),CODES!$A$13,IF(OR(BG28&lt;BG$63,ISNUMBER(BG28)=FALSE),BG$64,BG28))))</f>
      </c>
      <c r="BH80" s="9" t="str">
        <f>IF(ISBLANK(BH28),"NO DATA",IF(ISNUMBER(FIND(CODES!$A$12,BH28)),CODES!$A$12,IF(OR(ISNUMBER(FIND(CODES!$A$10,BH28)),ISNUMBER(FIND(CODES!$A$11,BH28))),CODES!$A$13,IF(OR(BH28&lt;BH$63,ISNUMBER(BH28)=FALSE),BH$64,BH28))))</f>
      </c>
      <c r="BI80" s="9" t="str">
        <f>IF(ISBLANK(BI28),"NO DATA",IF(ISNUMBER(FIND(CODES!$A$12,BI28)),CODES!$A$12,IF(OR(ISNUMBER(FIND(CODES!$A$10,BI28)),ISNUMBER(FIND(CODES!$A$11,BI28))),CODES!$A$13,IF(OR(BI28&lt;BI$63,ISNUMBER(BI28)=FALSE),BI$64,BI28))))</f>
      </c>
      <c r="BJ80" s="9" t="str">
        <f>IF(ISBLANK(BJ28),"NO DATA",IF(ISNUMBER(FIND(CODES!$A$12,BJ28)),CODES!$A$12,IF(OR(ISNUMBER(FIND(CODES!$A$10,BJ28)),ISNUMBER(FIND(CODES!$A$11,BJ28))),CODES!$A$13,IF(OR(BJ28&lt;BJ$63,ISNUMBER(BJ28)=FALSE),BJ$64,BJ28))))</f>
      </c>
      <c r="BK80" s="9" t="str">
        <f>IF(ISBLANK(BK28),"NO DATA",IF(ISNUMBER(FIND(CODES!$A$12,BK28)),CODES!$A$12,IF(OR(ISNUMBER(FIND(CODES!$A$10,BK28)),ISNUMBER(FIND(CODES!$A$11,BK28))),CODES!$A$13,IF(OR(BK28&lt;BK$63,ISNUMBER(BK28)=FALSE),BK$64,BK28))))</f>
      </c>
      <c r="BL80" s="9" t="str">
        <f>IF(ISBLANK(BL28),"NO DATA",IF(ISNUMBER(FIND(CODES!$A$12,BL28)),CODES!$A$12,IF(OR(ISNUMBER(FIND(CODES!$A$10,BL28)),ISNUMBER(FIND(CODES!$A$11,BL28))),CODES!$A$13,IF(OR(BL28&lt;BL$63,ISNUMBER(BL28)=FALSE),BL$64,BL28))))</f>
      </c>
      <c r="BM80" s="9" t="str">
        <f>IF(ISBLANK(BM28),"NO DATA",IF(ISNUMBER(FIND(CODES!$A$12,BM28)),CODES!$A$12,IF(OR(ISNUMBER(FIND(CODES!$A$10,BM28)),ISNUMBER(FIND(CODES!$A$11,BM28))),CODES!$A$13,IF(OR(BM28&lt;BM$63,ISNUMBER(BM28)=FALSE),BM$64,BM28))))</f>
      </c>
      <c r="BN80" s="9" t="str">
        <f>IF(ISBLANK(BN28),"NO DATA",IF(ISNUMBER(FIND(CODES!$A$12,BN28)),CODES!$A$12,IF(OR(ISNUMBER(FIND(CODES!$A$10,BN28)),ISNUMBER(FIND(CODES!$A$11,BN28))),CODES!$A$13,IF(OR(BN28&lt;BN$63,ISNUMBER(BN28)=FALSE),BN$64,BN28))))</f>
      </c>
      <c r="BO80" s="9" t="str">
        <f>IF(ISBLANK(BO28),"NO DATA",IF(ISNUMBER(FIND(CODES!$A$12,BO28)),CODES!$A$12,IF(OR(ISNUMBER(FIND(CODES!$A$10,BO28)),ISNUMBER(FIND(CODES!$A$11,BO28))),CODES!$A$13,IF(OR(BO28&lt;BO$63,ISNUMBER(BO28)=FALSE),BO$64,BO28))))</f>
      </c>
      <c r="BP80" s="9" t="str">
        <f>IF(ISBLANK(BP28),"NO DATA",IF(ISNUMBER(FIND(CODES!$A$12,BP28)),CODES!$A$12,IF(OR(ISNUMBER(FIND(CODES!$A$10,BP28)),ISNUMBER(FIND(CODES!$A$11,BP28))),CODES!$A$13,IF(OR(BP28&lt;BP$63,ISNUMBER(BP28)=FALSE),BP$64,BP28))))</f>
      </c>
      <c r="BQ80" s="9" t="str">
        <f>IF(ISBLANK(BQ28),"NO DATA",IF(ISNUMBER(FIND(CODES!$A$12,BQ28)),CODES!$A$12,IF(OR(ISNUMBER(FIND(CODES!$A$10,BQ28)),ISNUMBER(FIND(CODES!$A$11,BQ28))),CODES!$A$13,IF(OR(BQ28&lt;BQ$63,ISNUMBER(BQ28)=FALSE),BQ$64,BQ28))))</f>
      </c>
      <c r="BR80" s="9" t="str">
        <f>IF(ISBLANK(BR28),"NO DATA",IF(ISNUMBER(FIND(CODES!$A$12,BR28)),CODES!$A$12,IF(OR(ISNUMBER(FIND(CODES!$A$10,BR28)),ISNUMBER(FIND(CODES!$A$11,BR28))),CODES!$A$13,IF(OR(BR28&lt;BR$63,ISNUMBER(BR28)=FALSE),BR$64,BR28))))</f>
      </c>
      <c r="BS80" s="9" t="str">
        <f>IF(ISBLANK(BS28),"NO DATA",IF(ISNUMBER(FIND(CODES!$A$12,BS28)),CODES!$A$12,IF(OR(ISNUMBER(FIND(CODES!$A$10,BS28)),ISNUMBER(FIND(CODES!$A$11,BS28))),CODES!$A$13,IF(OR(BS28&lt;BS$63,ISNUMBER(BS28)=FALSE),BS$64,BS28))))</f>
      </c>
      <c r="BT80" s="9" t="str">
        <f>IF(ISBLANK(BT28),"NO DATA",IF(ISNUMBER(FIND(CODES!$A$12,BT28)),CODES!$A$12,IF(OR(ISNUMBER(FIND(CODES!$A$10,BT28)),ISNUMBER(FIND(CODES!$A$11,BT28))),CODES!$A$13,IF(OR(BT28&lt;BT$63,ISNUMBER(BT28)=FALSE),BT$64,BT28))))</f>
      </c>
      <c r="BU80" s="9" t="str">
        <f>IF(ISBLANK(BU28),"NO DATA",IF(ISNUMBER(FIND(CODES!$A$12,BU28)),CODES!$A$12,IF(OR(ISNUMBER(FIND(CODES!$A$10,BU28)),ISNUMBER(FIND(CODES!$A$11,BU28))),CODES!$A$13,IF(OR(BU28&lt;BU$63,ISNUMBER(BU28)=FALSE),BU$64,BU28))))</f>
      </c>
      <c r="BV80" s="9" t="str">
        <f>IF(ISBLANK(BV28),"NO DATA",IF(ISNUMBER(FIND(CODES!$A$12,BV28)),CODES!$A$12,IF(OR(ISNUMBER(FIND(CODES!$A$10,BV28)),ISNUMBER(FIND(CODES!$A$11,BV28))),CODES!$A$13,IF(OR(BV28&lt;BV$63,ISNUMBER(BV28)=FALSE),BV$64,BV28))))</f>
      </c>
      <c r="BW80" s="9" t="str">
        <f>IF(ISBLANK(BW28),"NO DATA",IF(ISNUMBER(FIND(CODES!$A$12,BW28)),CODES!$A$12,IF(OR(ISNUMBER(FIND(CODES!$A$10,BW28)),ISNUMBER(FIND(CODES!$A$11,BW28))),CODES!$A$13,IF(OR(BW28&lt;BW$63,ISNUMBER(BW28)=FALSE),BW$64,BW28))))</f>
      </c>
      <c r="BX80" s="9" t="str">
        <f>IF(ISBLANK(BX28),"NO DATA",IF(ISNUMBER(FIND(CODES!$A$12,BX28)),CODES!$A$12,IF(OR(ISNUMBER(FIND(CODES!$A$10,BX28)),ISNUMBER(FIND(CODES!$A$11,BX28))),CODES!$A$13,IF(OR(BX28&lt;BX$63,ISNUMBER(BX28)=FALSE),BX$64,BX28))))</f>
      </c>
      <c r="BY80" s="9" t="str">
        <f>IF(ISBLANK(BY28),"NO DATA",IF(ISNUMBER(FIND(CODES!$A$12,BY28)),CODES!$A$12,IF(OR(ISNUMBER(FIND(CODES!$A$10,BY28)),ISNUMBER(FIND(CODES!$A$11,BY28))),CODES!$A$13,IF(OR(BY28&lt;BY$63,ISNUMBER(BY28)=FALSE),BY$64,BY28))))</f>
      </c>
      <c r="BZ80" s="9" t="str">
        <f>IF(ISBLANK(BZ28),"NO DATA",IF(ISNUMBER(FIND(CODES!$A$12,BZ28)),CODES!$A$12,IF(OR(ISNUMBER(FIND(CODES!$A$10,BZ28)),ISNUMBER(FIND(CODES!$A$11,BZ28))),CODES!$A$13,IF(OR(BZ28&lt;BZ$63,ISNUMBER(BZ28)=FALSE),BZ$64,BZ28))))</f>
      </c>
      <c r="CA80" s="9" t="str">
        <f>IF(ISBLANK(CA28),"NO DATA",IF(ISNUMBER(FIND(CODES!$A$12,CA28)),CODES!$A$12,IF(OR(ISNUMBER(FIND(CODES!$A$10,CA28)),ISNUMBER(FIND(CODES!$A$11,CA28))),CODES!$A$13,IF(OR(CA28&lt;CA$63,ISNUMBER(CA28)=FALSE),CA$64,CA28))))</f>
      </c>
      <c r="CB80" s="9" t="str">
        <f>IF(ISBLANK(CB28),"NO DATA",IF(ISNUMBER(FIND(CODES!$A$12,CB28)),CODES!$A$12,IF(OR(ISNUMBER(FIND(CODES!$A$10,CB28)),ISNUMBER(FIND(CODES!$A$11,CB28))),CODES!$A$13,IF(OR(CB28&lt;CB$63,ISNUMBER(CB28)=FALSE),CB$64,CB28))))</f>
      </c>
      <c r="CC80" s="9" t="str">
        <f>IF(ISBLANK(CC28),"NO DATA",IF(ISNUMBER(FIND(CODES!$A$12,CC28)),CODES!$A$12,IF(OR(ISNUMBER(FIND(CODES!$A$10,CC28)),ISNUMBER(FIND(CODES!$A$11,CC28))),CODES!$A$13,IF(OR(CC28&lt;CC$63,ISNUMBER(CC28)=FALSE),CC$64,CC28))))</f>
      </c>
      <c r="CD80" s="9" t="str">
        <f>IF(ISBLANK(CD28),"NO DATA",IF(ISNUMBER(FIND(CODES!$A$12,CD28)),CODES!$A$12,IF(OR(ISNUMBER(FIND(CODES!$A$10,CD28)),ISNUMBER(FIND(CODES!$A$11,CD28))),CODES!$A$13,IF(OR(CD28&lt;CD$63,ISNUMBER(CD28)=FALSE),CD$64,CD28))))</f>
      </c>
      <c r="CE80" s="9" t="str">
        <f>IF(ISBLANK(CE28),"NO DATA",IF(ISNUMBER(FIND(CODES!$A$12,CE28)),CODES!$A$12,IF(OR(ISNUMBER(FIND(CODES!$A$10,CE28)),ISNUMBER(FIND(CODES!$A$11,CE28))),CODES!$A$13,IF(OR(CE28&lt;CE$63,ISNUMBER(CE28)=FALSE),CE$64,CE28))))</f>
      </c>
      <c r="CF80" s="9" t="str">
        <f>IF(ISBLANK(CF28),"NO DATA",IF(ISNUMBER(FIND(CODES!$A$12,CF28)),CODES!$A$12,IF(OR(ISNUMBER(FIND(CODES!$A$10,CF28)),ISNUMBER(FIND(CODES!$A$11,CF28))),CODES!$A$13,IF(OR(CF28&lt;CF$63,ISNUMBER(CF28)=FALSE),CF$64,CF28))))</f>
      </c>
      <c r="CG80" s="9" t="str">
        <f>IF(ISBLANK(CG28),"NO DATA",IF(ISNUMBER(FIND(CODES!$A$12,CG28)),CODES!$A$12,IF(OR(ISNUMBER(FIND(CODES!$A$10,CG28)),ISNUMBER(FIND(CODES!$A$11,CG28))),CODES!$A$13,IF(OR(CG28&lt;CG$63,ISNUMBER(CG28)=FALSE),CG$64,CG28))))</f>
      </c>
      <c r="CH80" s="9" t="str">
        <f>IF(ISBLANK(CH28),"NO DATA",IF(ISNUMBER(FIND(CODES!$A$12,CH28)),CODES!$A$12,IF(OR(ISNUMBER(FIND(CODES!$A$10,CH28)),ISNUMBER(FIND(CODES!$A$11,CH28))),CODES!$A$13,IF(OR(CH28&lt;CH$63,ISNUMBER(CH28)=FALSE),CH$64,CH28))))</f>
      </c>
      <c r="CI80" s="9" t="str">
        <f>IF(ISBLANK(CI28),"NO DATA",IF(ISNUMBER(FIND(CODES!$A$12,CI28)),CODES!$A$12,IF(OR(ISNUMBER(FIND(CODES!$A$10,CI28)),ISNUMBER(FIND(CODES!$A$11,CI28))),CODES!$A$13,IF(OR(CI28&lt;CI$63,ISNUMBER(CI28)=FALSE),CI$64,CI28))))</f>
      </c>
      <c r="CJ80" s="9" t="str">
        <f>IF(ISBLANK(CJ28),"NO DATA",IF(ISNUMBER(FIND(CODES!$A$12,CJ28)),CODES!$A$12,IF(OR(ISNUMBER(FIND(CODES!$A$10,CJ28)),ISNUMBER(FIND(CODES!$A$11,CJ28))),CODES!$A$13,IF(OR(CJ28&lt;CJ$63,ISNUMBER(CJ28)=FALSE),CJ$64,CJ28))))</f>
      </c>
      <c r="CK80" s="9" t="str">
        <f>IF(ISBLANK(CK28),"NO DATA",IF(ISNUMBER(FIND(CODES!$A$12,CK28)),CODES!$A$12,IF(OR(ISNUMBER(FIND(CODES!$A$10,CK28)),ISNUMBER(FIND(CODES!$A$11,CK28))),CODES!$A$13,IF(OR(CK28&lt;CK$63,ISNUMBER(CK28)=FALSE),CK$64,CK28))))</f>
      </c>
      <c r="CL80" s="9" t="str">
        <f>IF(ISBLANK(CL28),"NO DATA",IF(ISNUMBER(FIND(CODES!$A$12,CL28)),CODES!$A$12,IF(OR(ISNUMBER(FIND(CODES!$A$10,CL28)),ISNUMBER(FIND(CODES!$A$11,CL28))),CODES!$A$13,IF(OR(CL28&lt;CL$63,ISNUMBER(CL28)=FALSE),CL$64,CL28))))</f>
      </c>
      <c r="CM80" s="9" t="str">
        <f>IF(ISBLANK(CM28),"NO DATA",IF(ISNUMBER(FIND(CODES!$A$12,CM28)),CODES!$A$12,IF(OR(ISNUMBER(FIND(CODES!$A$10,CM28)),ISNUMBER(FIND(CODES!$A$11,CM28))),CODES!$A$13,IF(OR(CM28&lt;CM$63,ISNUMBER(CM28)=FALSE),CM$64,CM28))))</f>
      </c>
      <c r="CN80" s="9" t="str">
        <f>IF(ISBLANK(CN28),"NO DATA",IF(ISNUMBER(FIND(CODES!$A$12,CN28)),CODES!$A$12,IF(OR(ISNUMBER(FIND(CODES!$A$10,CN28)),ISNUMBER(FIND(CODES!$A$11,CN28))),CODES!$A$13,IF(OR(CN28&lt;CN$63,ISNUMBER(CN28)=FALSE),CN$64,CN28))))</f>
      </c>
      <c r="CO80" s="9" t="str">
        <f>IF(ISBLANK(CO28),"NO DATA",IF(ISNUMBER(FIND(CODES!$A$12,CO28)),CODES!$A$12,IF(OR(ISNUMBER(FIND(CODES!$A$10,CO28)),ISNUMBER(FIND(CODES!$A$11,CO28))),CODES!$A$13,IF(OR(CO28&lt;CO$63,ISNUMBER(CO28)=FALSE),CO$64,CO28))))</f>
      </c>
      <c r="CP80" s="9" t="str">
        <f>IF(ISBLANK(CP28),"NO DATA",IF(ISNUMBER(FIND(CODES!$A$12,CP28)),CODES!$A$12,IF(OR(ISNUMBER(FIND(CODES!$A$10,CP28)),ISNUMBER(FIND(CODES!$A$11,CP28))),CODES!$A$13,IF(OR(CP28&lt;CP$63,ISNUMBER(CP28)=FALSE),CP$64,CP28))))</f>
      </c>
      <c r="CQ80" s="9" t="str">
        <f>IF(ISBLANK(CQ28),"NO DATA",IF(ISNUMBER(FIND(CODES!$A$12,CQ28)),CODES!$A$12,IF(OR(ISNUMBER(FIND(CODES!$A$10,CQ28)),ISNUMBER(FIND(CODES!$A$11,CQ28))),CODES!$A$13,IF(OR(CQ28&lt;CQ$63,ISNUMBER(CQ28)=FALSE),CQ$64,CQ28))))</f>
      </c>
      <c r="CR80" s="9" t="str">
        <f>IF(ISBLANK(CR28),"NO DATA",IF(ISNUMBER(FIND(CODES!$A$12,CR28)),CODES!$A$12,IF(OR(ISNUMBER(FIND(CODES!$A$10,CR28)),ISNUMBER(FIND(CODES!$A$11,CR28))),CODES!$A$13,IF(OR(CR28&lt;CR$63,ISNUMBER(CR28)=FALSE),CR$64,CR28))))</f>
      </c>
      <c r="CS80" s="9" t="str">
        <f>IF(ISBLANK(CS28),"NO DATA",IF(ISNUMBER(FIND(CODES!$A$12,CS28)),CODES!$A$12,IF(OR(ISNUMBER(FIND(CODES!$A$10,CS28)),ISNUMBER(FIND(CODES!$A$11,CS28))),CODES!$A$13,IF(OR(CS28&lt;CS$63,ISNUMBER(CS28)=FALSE),CS$64,CS28))))</f>
      </c>
      <c r="CT80" s="9" t="str">
        <f>IF(ISBLANK(CT28),"NO DATA",IF(ISNUMBER(FIND(CODES!$A$12,CT28)),CODES!$A$12,IF(OR(ISNUMBER(FIND(CODES!$A$10,CT28)),ISNUMBER(FIND(CODES!$A$11,CT28))),CODES!$A$13,IF(OR(CT28&lt;CT$63,ISNUMBER(CT28)=FALSE),CT$64,CT28))))</f>
      </c>
      <c r="CU80" s="9" t="str">
        <f>IF(ISBLANK(CU28),"NO DATA",IF(ISNUMBER(FIND(CODES!$A$12,CU28)),CODES!$A$12,IF(OR(ISNUMBER(FIND(CODES!$A$10,CU28)),ISNUMBER(FIND(CODES!$A$11,CU28))),CODES!$A$13,IF(OR(CU28&lt;CU$63,ISNUMBER(CU28)=FALSE),CU$64,CU28))))</f>
      </c>
      <c r="CV80" s="9" t="str">
        <f>IF(ISBLANK(CV28),"NO DATA",IF(ISNUMBER(FIND(CODES!$A$12,CV28)),CODES!$A$12,IF(OR(ISNUMBER(FIND(CODES!$A$10,CV28)),ISNUMBER(FIND(CODES!$A$11,CV28))),CODES!$A$13,IF(OR(CV28&lt;CV$63,ISNUMBER(CV28)=FALSE),CV$64,CV28))))</f>
      </c>
      <c r="CW80" s="9" t="str">
        <f>IF(ISBLANK(CW28),"NO DATA",IF(ISNUMBER(FIND(CODES!$A$12,CW28)),CODES!$A$12,IF(OR(ISNUMBER(FIND(CODES!$A$10,CW28)),ISNUMBER(FIND(CODES!$A$11,CW28))),CODES!$A$13,IF(OR(CW28&lt;CW$63,ISNUMBER(CW28)=FALSE),CW$64,CW28))))</f>
      </c>
      <c r="CX80" s="9" t="str">
        <f>IF(ISBLANK(CX28),"NO DATA",IF(ISNUMBER(FIND(CODES!$A$12,CX28)),CODES!$A$12,IF(OR(ISNUMBER(FIND(CODES!$A$10,CX28)),ISNUMBER(FIND(CODES!$A$11,CX28))),CODES!$A$13,IF(OR(CX28&lt;CX$63,ISNUMBER(CX28)=FALSE),CX$64,CX28))))</f>
      </c>
      <c r="CY80" s="9" t="str">
        <f>IF(ISBLANK(CY28),"NO DATA",IF(ISNUMBER(FIND(CODES!$A$12,CY28)),CODES!$A$12,IF(OR(ISNUMBER(FIND(CODES!$A$10,CY28)),ISNUMBER(FIND(CODES!$A$11,CY28))),CODES!$A$13,IF(OR(CY28&lt;CY$63,ISNUMBER(CY28)=FALSE),CY$64,CY28))))</f>
      </c>
      <c r="CZ80" s="9" t="str">
        <f>IF(ISBLANK(CZ28),"NO DATA",IF(ISNUMBER(FIND(CODES!$A$12,CZ28)),CODES!$A$12,IF(OR(ISNUMBER(FIND(CODES!$A$10,CZ28)),ISNUMBER(FIND(CODES!$A$11,CZ28))),CODES!$A$13,IF(OR(CZ28&lt;CZ$63,ISNUMBER(CZ28)=FALSE),CZ$64,CZ28))))</f>
      </c>
      <c r="DA80" s="9" t="str">
        <f>IF(ISBLANK(DA28),"NO DATA",IF(ISNUMBER(FIND(CODES!$A$12,DA28)),CODES!$A$12,IF(OR(ISNUMBER(FIND(CODES!$A$10,DA28)),ISNUMBER(FIND(CODES!$A$11,DA28))),CODES!$A$13,IF(OR(DA28&lt;DA$63,ISNUMBER(DA28)=FALSE),DA$64,DA28))))</f>
      </c>
      <c r="DB80" s="9" t="str">
        <f>IF(ISBLANK(DB28),"NO DATA",IF(ISNUMBER(FIND(CODES!$A$12,DB28)),CODES!$A$12,IF(OR(ISNUMBER(FIND(CODES!$A$10,DB28)),ISNUMBER(FIND(CODES!$A$11,DB28))),CODES!$A$13,IF(OR(DB28&lt;DB$63,ISNUMBER(DB28)=FALSE),DB$64,DB28))))</f>
      </c>
      <c r="DC80" s="9" t="str">
        <f>IF(ISBLANK(DC28),"NO DATA",IF(ISNUMBER(FIND(CODES!$A$12,DC28)),CODES!$A$12,IF(OR(ISNUMBER(FIND(CODES!$A$10,DC28)),ISNUMBER(FIND(CODES!$A$11,DC28))),CODES!$A$13,IF(OR(DC28&lt;DC$63,ISNUMBER(DC28)=FALSE),DC$64,DC28))))</f>
      </c>
      <c r="DD80" s="9" t="str">
        <f>IF(ISBLANK(DD28),"NO DATA",IF(ISNUMBER(FIND(CODES!$A$12,DD28)),CODES!$A$12,IF(OR(ISNUMBER(FIND(CODES!$A$10,DD28)),ISNUMBER(FIND(CODES!$A$11,DD28))),CODES!$A$13,IF(OR(DD28&lt;DD$63,ISNUMBER(DD28)=FALSE),DD$64,DD28))))</f>
      </c>
      <c r="DE80" s="9" t="str">
        <f>IF(ISBLANK(DE28),"NO DATA",IF(ISNUMBER(FIND(CODES!$A$12,DE28)),CODES!$A$12,IF(OR(ISNUMBER(FIND(CODES!$A$10,DE28)),ISNUMBER(FIND(CODES!$A$11,DE28))),CODES!$A$13,IF(OR(DE28&lt;DE$63,ISNUMBER(DE28)=FALSE),DE$64,DE28))))</f>
      </c>
      <c r="DF80" s="9" t="str">
        <f>IF(ISBLANK(DF28),"NO DATA",IF(ISNUMBER(FIND(CODES!$A$12,DF28)),CODES!$A$12,IF(OR(ISNUMBER(FIND(CODES!$A$10,DF28)),ISNUMBER(FIND(CODES!$A$11,DF28))),CODES!$A$13,IF(OR(DF28&lt;DF$63,ISNUMBER(DF28)=FALSE),DF$64,DF28))))</f>
      </c>
      <c r="DG80" s="9" t="str">
        <f>IF(ISBLANK(DG28),"NO DATA",IF(ISNUMBER(FIND(CODES!$A$12,DG28)),CODES!$A$12,IF(OR(ISNUMBER(FIND(CODES!$A$10,DG28)),ISNUMBER(FIND(CODES!$A$11,DG28))),CODES!$A$13,IF(OR(DG28&lt;DG$63,ISNUMBER(DG28)=FALSE),DG$64,DG28))))</f>
      </c>
      <c r="DH80" s="9" t="str">
        <f>IF(ISBLANK(DH28),"NO DATA",IF(ISNUMBER(FIND(CODES!$A$12,DH28)),CODES!$A$12,IF(OR(ISNUMBER(FIND(CODES!$A$10,DH28)),ISNUMBER(FIND(CODES!$A$11,DH28))),CODES!$A$13,IF(OR(DH28&lt;DH$63,ISNUMBER(DH28)=FALSE),DH$64,DH28))))</f>
      </c>
      <c r="DI80" s="9" t="str">
        <f>IF(ISBLANK(DI28),"NO DATA",IF(ISNUMBER(FIND(CODES!$A$12,DI28)),CODES!$A$12,IF(OR(ISNUMBER(FIND(CODES!$A$10,DI28)),ISNUMBER(FIND(CODES!$A$11,DI28))),CODES!$A$13,IF(OR(DI28&lt;DI$63,ISNUMBER(DI28)=FALSE),DI$64,DI28))))</f>
      </c>
    </row>
    <row r="81" spans="1:113" x14ac:dyDescent="0.25">
      <c r="A81" s="20" t="str">
        <f t="shared" si="4"/>
      </c>
      <c r="B81" s="20">
        <f t="shared" si="4"/>
      </c>
      <c r="C81" s="9" t="str">
        <f>IF(ISBLANK(C29),"NO DATA",IF(ISNUMBER(FIND(CODES!$A$12,C29)),CODES!$A$12,IF(OR(ISNUMBER(FIND(CODES!$A$10,C29)),ISNUMBER(FIND(CODES!$A$11,C29))),CODES!$A$13,IF(OR(C29&lt;C$63,ISNUMBER(C29)=FALSE),C$64,C29))))</f>
      </c>
      <c r="D81" s="9" t="str">
        <f>IF(ISBLANK(D29),"NO DATA",IF(ISNUMBER(FIND(CODES!$A$12,D29)),CODES!$A$12,IF(OR(ISNUMBER(FIND(CODES!$A$10,D29)),ISNUMBER(FIND(CODES!$A$11,D29))),CODES!$A$13,IF(OR(D29&lt;D$63,ISNUMBER(D29)=FALSE),D$64,D29))))</f>
      </c>
      <c r="E81" s="9" t="str">
        <f>IF(ISBLANK(E29),"NO DATA",IF(ISNUMBER(FIND(CODES!$A$12,E29)),CODES!$A$12,IF(OR(ISNUMBER(FIND(CODES!$A$10,E29)),ISNUMBER(FIND(CODES!$A$11,E29))),CODES!$A$13,IF(OR(E29&lt;E$63,ISNUMBER(E29)=FALSE),E$64,E29))))</f>
      </c>
      <c r="F81" s="9" t="str">
        <f>IF(ISBLANK(F29),"NO DATA",IF(ISNUMBER(FIND(CODES!$A$12,F29)),CODES!$A$12,IF(OR(ISNUMBER(FIND(CODES!$A$10,F29)),ISNUMBER(FIND(CODES!$A$11,F29))),CODES!$A$13,IF(OR(F29&lt;F$63,ISNUMBER(F29)=FALSE),F$64,F29))))</f>
      </c>
      <c r="G81" s="9" t="str">
        <f>IF(ISBLANK(G29),"NO DATA",IF(ISNUMBER(FIND(CODES!$A$12,G29)),CODES!$A$12,IF(OR(ISNUMBER(FIND(CODES!$A$10,G29)),ISNUMBER(FIND(CODES!$A$11,G29))),CODES!$A$13,IF(OR(G29&lt;G$63,ISNUMBER(G29)=FALSE),G$64,G29))))</f>
      </c>
      <c r="H81" s="9" t="str">
        <f>IF(ISBLANK(H29),"NO DATA",IF(ISNUMBER(FIND(CODES!$A$12,H29)),CODES!$A$12,IF(OR(ISNUMBER(FIND(CODES!$A$10,H29)),ISNUMBER(FIND(CODES!$A$11,H29))),CODES!$A$13,IF(OR(H29&lt;H$63,ISNUMBER(H29)=FALSE),H$64,H29))))</f>
      </c>
      <c r="I81" s="9" t="str">
        <f>IF(ISBLANK(I29),"NO DATA",IF(ISNUMBER(FIND(CODES!$A$12,I29)),CODES!$A$12,IF(OR(ISNUMBER(FIND(CODES!$A$10,I29)),ISNUMBER(FIND(CODES!$A$11,I29))),CODES!$A$13,IF(OR(I29&lt;I$63,ISNUMBER(I29)=FALSE),I$64,I29))))</f>
      </c>
      <c r="J81" s="9" t="str">
        <f>IF(ISBLANK(J29),"NO DATA",IF(ISNUMBER(FIND(CODES!$A$12,J29)),CODES!$A$12,IF(OR(ISNUMBER(FIND(CODES!$A$10,J29)),ISNUMBER(FIND(CODES!$A$11,J29))),CODES!$A$13,IF(OR(J29&lt;J$63,ISNUMBER(J29)=FALSE),J$64,J29))))</f>
      </c>
      <c r="K81" s="9" t="str">
        <f>IF(ISBLANK(K29),"NO DATA",IF(ISNUMBER(FIND(CODES!$A$12,K29)),CODES!$A$12,IF(OR(ISNUMBER(FIND(CODES!$A$10,K29)),ISNUMBER(FIND(CODES!$A$11,K29))),CODES!$A$13,IF(OR(K29&lt;K$63,ISNUMBER(K29)=FALSE),K$64,K29))))</f>
      </c>
      <c r="L81" s="9" t="str">
        <f>IF(ISBLANK(L29),"NO DATA",IF(ISNUMBER(FIND(CODES!$A$12,L29)),CODES!$A$12,IF(OR(ISNUMBER(FIND(CODES!$A$10,L29)),ISNUMBER(FIND(CODES!$A$11,L29))),CODES!$A$13,IF(OR(L29&lt;L$63,ISNUMBER(L29)=FALSE),L$64,L29))))</f>
      </c>
      <c r="M81" s="9" t="str">
        <f>IF(ISBLANK(M29),"NO DATA",IF(ISNUMBER(FIND(CODES!$A$12,M29)),CODES!$A$12,IF(OR(ISNUMBER(FIND(CODES!$A$10,M29)),ISNUMBER(FIND(CODES!$A$11,M29))),CODES!$A$13,IF(OR(M29&lt;M$63,ISNUMBER(M29)=FALSE),M$64,M29))))</f>
      </c>
      <c r="N81" s="9" t="str">
        <f>IF(ISBLANK(N29),"NO DATA",IF(ISNUMBER(FIND(CODES!$A$12,N29)),CODES!$A$12,IF(OR(ISNUMBER(FIND(CODES!$A$10,N29)),ISNUMBER(FIND(CODES!$A$11,N29))),CODES!$A$13,IF(OR(N29&lt;N$63,ISNUMBER(N29)=FALSE),N$64,N29))))</f>
      </c>
      <c r="O81" s="9" t="str">
        <f>IF(ISBLANK(O29),"NO DATA",IF(ISNUMBER(FIND(CODES!$A$12,O29)),CODES!$A$12,IF(OR(ISNUMBER(FIND(CODES!$A$10,O29)),ISNUMBER(FIND(CODES!$A$11,O29))),CODES!$A$13,IF(OR(O29&lt;O$63,ISNUMBER(O29)=FALSE),O$64,O29))))</f>
      </c>
      <c r="P81" s="9" t="str">
        <f>IF(ISBLANK(P29),"NO DATA",IF(ISNUMBER(FIND(CODES!$A$12,P29)),CODES!$A$12,IF(OR(ISNUMBER(FIND(CODES!$A$10,P29)),ISNUMBER(FIND(CODES!$A$11,P29))),CODES!$A$13,IF(OR(P29&lt;P$63,ISNUMBER(P29)=FALSE),P$64,P29))))</f>
      </c>
      <c r="Q81" s="9" t="str">
        <f>IF(ISBLANK(Q29),"NO DATA",IF(ISNUMBER(FIND(CODES!$A$12,Q29)),CODES!$A$12,IF(OR(ISNUMBER(FIND(CODES!$A$10,Q29)),ISNUMBER(FIND(CODES!$A$11,Q29))),CODES!$A$13,IF(OR(Q29&lt;Q$63,ISNUMBER(Q29)=FALSE),Q$64,Q29))))</f>
      </c>
      <c r="R81" s="9" t="str">
        <f>IF(ISBLANK(R29),"NO DATA",IF(ISNUMBER(FIND(CODES!$A$12,R29)),CODES!$A$12,IF(OR(ISNUMBER(FIND(CODES!$A$10,R29)),ISNUMBER(FIND(CODES!$A$11,R29))),CODES!$A$13,IF(OR(R29&lt;R$63,ISNUMBER(R29)=FALSE),R$64,R29))))</f>
      </c>
      <c r="S81" s="9" t="str">
        <f>IF(ISBLANK(S29),"NO DATA",IF(ISNUMBER(FIND(CODES!$A$12,S29)),CODES!$A$12,IF(OR(ISNUMBER(FIND(CODES!$A$10,S29)),ISNUMBER(FIND(CODES!$A$11,S29))),CODES!$A$13,IF(OR(S29&lt;S$63,ISNUMBER(S29)=FALSE),S$64,S29))))</f>
      </c>
      <c r="T81" s="9" t="str">
        <f>IF(ISBLANK(T29),"NO DATA",IF(ISNUMBER(FIND(CODES!$A$12,T29)),CODES!$A$12,IF(OR(ISNUMBER(FIND(CODES!$A$10,T29)),ISNUMBER(FIND(CODES!$A$11,T29))),CODES!$A$13,IF(OR(T29&lt;T$63,ISNUMBER(T29)=FALSE),T$64,T29))))</f>
      </c>
      <c r="U81" s="9" t="str">
        <f>IF(ISBLANK(U29),"NO DATA",IF(ISNUMBER(FIND(CODES!$A$12,U29)),CODES!$A$12,IF(OR(ISNUMBER(FIND(CODES!$A$10,U29)),ISNUMBER(FIND(CODES!$A$11,U29))),CODES!$A$13,IF(OR(U29&lt;U$63,ISNUMBER(U29)=FALSE),U$64,U29))))</f>
      </c>
      <c r="V81" s="9" t="str">
        <f>IF(ISBLANK(V29),"NO DATA",IF(ISNUMBER(FIND(CODES!$A$12,V29)),CODES!$A$12,IF(OR(ISNUMBER(FIND(CODES!$A$10,V29)),ISNUMBER(FIND(CODES!$A$11,V29))),CODES!$A$13,IF(OR(V29&lt;V$63,ISNUMBER(V29)=FALSE),V$64,V29))))</f>
      </c>
      <c r="W81" s="9" t="str">
        <f>IF(ISBLANK(W29),"NO DATA",IF(ISNUMBER(FIND(CODES!$A$12,W29)),CODES!$A$12,IF(OR(ISNUMBER(FIND(CODES!$A$10,W29)),ISNUMBER(FIND(CODES!$A$11,W29))),CODES!$A$13,IF(OR(W29&lt;W$63,ISNUMBER(W29)=FALSE),W$64,W29))))</f>
      </c>
      <c r="X81" s="9" t="str">
        <f>IF(ISBLANK(X29),"NO DATA",IF(ISNUMBER(FIND(CODES!$A$12,X29)),CODES!$A$12,IF(OR(ISNUMBER(FIND(CODES!$A$10,X29)),ISNUMBER(FIND(CODES!$A$11,X29))),CODES!$A$13,IF(OR(X29&lt;X$63,ISNUMBER(X29)=FALSE),X$64,X29))))</f>
      </c>
      <c r="Y81" s="9" t="str">
        <f>IF(ISBLANK(Y29),"NO DATA",IF(ISNUMBER(FIND(CODES!$A$12,Y29)),CODES!$A$12,IF(OR(ISNUMBER(FIND(CODES!$A$10,Y29)),ISNUMBER(FIND(CODES!$A$11,Y29))),CODES!$A$13,IF(OR(Y29&lt;Y$63,ISNUMBER(Y29)=FALSE),Y$64,Y29))))</f>
      </c>
      <c r="Z81" s="9" t="str">
        <f>IF(ISBLANK(Z29),"NO DATA",IF(ISNUMBER(FIND(CODES!$A$12,Z29)),CODES!$A$12,IF(OR(ISNUMBER(FIND(CODES!$A$10,Z29)),ISNUMBER(FIND(CODES!$A$11,Z29))),CODES!$A$13,IF(OR(Z29&lt;Z$63,ISNUMBER(Z29)=FALSE),Z$64,Z29))))</f>
      </c>
      <c r="AA81" s="9" t="str">
        <f>IF(ISBLANK(AA29),"NO DATA",IF(ISNUMBER(FIND(CODES!$A$12,AA29)),CODES!$A$12,IF(OR(ISNUMBER(FIND(CODES!$A$10,AA29)),ISNUMBER(FIND(CODES!$A$11,AA29))),CODES!$A$13,IF(OR(AA29&lt;AA$63,ISNUMBER(AA29)=FALSE),AA$64,AA29))))</f>
      </c>
      <c r="AB81" s="9" t="str">
        <f>IF(ISBLANK(AB29),"NO DATA",IF(ISNUMBER(FIND(CODES!$A$12,AB29)),CODES!$A$12,IF(OR(ISNUMBER(FIND(CODES!$A$10,AB29)),ISNUMBER(FIND(CODES!$A$11,AB29))),CODES!$A$13,IF(OR(AB29&lt;AB$63,ISNUMBER(AB29)=FALSE),AB$64,AB29))))</f>
      </c>
      <c r="AC81" s="9" t="str">
        <f>IF(ISBLANK(AC29),"NO DATA",IF(ISNUMBER(FIND(CODES!$A$12,AC29)),CODES!$A$12,IF(OR(ISNUMBER(FIND(CODES!$A$10,AC29)),ISNUMBER(FIND(CODES!$A$11,AC29))),CODES!$A$13,IF(OR(AC29&lt;AC$63,ISNUMBER(AC29)=FALSE),AC$64,AC29))))</f>
      </c>
      <c r="AD81" s="9" t="str">
        <f>IF(ISBLANK(AD29),"NO DATA",IF(ISNUMBER(FIND(CODES!$A$12,AD29)),CODES!$A$12,IF(OR(ISNUMBER(FIND(CODES!$A$10,AD29)),ISNUMBER(FIND(CODES!$A$11,AD29))),CODES!$A$13,IF(OR(AD29&lt;AD$63,ISNUMBER(AD29)=FALSE),AD$64,AD29))))</f>
      </c>
      <c r="AE81" s="9" t="str">
        <f>IF(ISBLANK(AE29),"NO DATA",IF(ISNUMBER(FIND(CODES!$A$12,AE29)),CODES!$A$12,IF(OR(ISNUMBER(FIND(CODES!$A$10,AE29)),ISNUMBER(FIND(CODES!$A$11,AE29))),CODES!$A$13,IF(OR(AE29&lt;AE$63,ISNUMBER(AE29)=FALSE),AE$64,AE29))))</f>
      </c>
      <c r="AF81" s="9" t="str">
        <f>IF(ISBLANK(AF29),"NO DATA",IF(ISNUMBER(FIND(CODES!$A$12,AF29)),CODES!$A$12,IF(OR(ISNUMBER(FIND(CODES!$A$10,AF29)),ISNUMBER(FIND(CODES!$A$11,AF29))),CODES!$A$13,IF(OR(AF29&lt;AF$63,ISNUMBER(AF29)=FALSE),AF$64,AF29))))</f>
      </c>
      <c r="AG81" s="9" t="str">
        <f>IF(ISBLANK(AG29),"NO DATA",IF(ISNUMBER(FIND(CODES!$A$12,AG29)),CODES!$A$12,IF(OR(ISNUMBER(FIND(CODES!$A$10,AG29)),ISNUMBER(FIND(CODES!$A$11,AG29))),CODES!$A$13,IF(OR(AG29&lt;AG$63,ISNUMBER(AG29)=FALSE),AG$64,AG29))))</f>
      </c>
      <c r="AH81" s="9" t="str">
        <f>IF(ISBLANK(AH29),"NO DATA",IF(ISNUMBER(FIND(CODES!$A$12,AH29)),CODES!$A$12,IF(OR(ISNUMBER(FIND(CODES!$A$10,AH29)),ISNUMBER(FIND(CODES!$A$11,AH29))),CODES!$A$13,IF(OR(AH29&lt;AH$63,ISNUMBER(AH29)=FALSE),AH$64,AH29))))</f>
      </c>
      <c r="AI81" s="9" t="str">
        <f>IF(ISBLANK(AI29),"NO DATA",IF(ISNUMBER(FIND(CODES!$A$12,AI29)),CODES!$A$12,IF(OR(ISNUMBER(FIND(CODES!$A$10,AI29)),ISNUMBER(FIND(CODES!$A$11,AI29))),CODES!$A$13,IF(OR(AI29&lt;AI$63,ISNUMBER(AI29)=FALSE),AI$64,AI29))))</f>
      </c>
      <c r="AJ81" s="9" t="str">
        <f>IF(ISBLANK(AJ29),"NO DATA",IF(ISNUMBER(FIND(CODES!$A$12,AJ29)),CODES!$A$12,IF(OR(ISNUMBER(FIND(CODES!$A$10,AJ29)),ISNUMBER(FIND(CODES!$A$11,AJ29))),CODES!$A$13,IF(OR(AJ29&lt;AJ$63,ISNUMBER(AJ29)=FALSE),AJ$64,AJ29))))</f>
      </c>
      <c r="AK81" s="9" t="str">
        <f>IF(ISBLANK(AK29),"NO DATA",IF(ISNUMBER(FIND(CODES!$A$12,AK29)),CODES!$A$12,IF(OR(ISNUMBER(FIND(CODES!$A$10,AK29)),ISNUMBER(FIND(CODES!$A$11,AK29))),CODES!$A$13,IF(OR(AK29&lt;AK$63,ISNUMBER(AK29)=FALSE),AK$64,AK29))))</f>
      </c>
      <c r="AL81" s="9" t="str">
        <f>IF(ISBLANK(AL29),"NO DATA",IF(ISNUMBER(FIND(CODES!$A$12,AL29)),CODES!$A$12,IF(OR(ISNUMBER(FIND(CODES!$A$10,AL29)),ISNUMBER(FIND(CODES!$A$11,AL29))),CODES!$A$13,IF(OR(AL29&lt;AL$63,ISNUMBER(AL29)=FALSE),AL$64,AL29))))</f>
      </c>
      <c r="AM81" s="9" t="str">
        <f>IF(ISBLANK(AM29),"NO DATA",IF(ISNUMBER(FIND(CODES!$A$12,AM29)),CODES!$A$12,IF(OR(ISNUMBER(FIND(CODES!$A$10,AM29)),ISNUMBER(FIND(CODES!$A$11,AM29))),CODES!$A$13,IF(OR(AM29&lt;AM$63,ISNUMBER(AM29)=FALSE),AM$64,AM29))))</f>
      </c>
      <c r="AN81" s="9" t="str">
        <f>IF(ISBLANK(AN29),"NO DATA",IF(ISNUMBER(FIND(CODES!$A$12,AN29)),CODES!$A$12,IF(OR(ISNUMBER(FIND(CODES!$A$10,AN29)),ISNUMBER(FIND(CODES!$A$11,AN29))),CODES!$A$13,IF(OR(AN29&lt;AN$63,ISNUMBER(AN29)=FALSE),AN$64,AN29))))</f>
      </c>
      <c r="AO81" s="9" t="str">
        <f>IF(ISBLANK(AO29),"NO DATA",IF(ISNUMBER(FIND(CODES!$A$12,AO29)),CODES!$A$12,IF(OR(ISNUMBER(FIND(CODES!$A$10,AO29)),ISNUMBER(FIND(CODES!$A$11,AO29))),CODES!$A$13,IF(OR(AO29&lt;AO$63,ISNUMBER(AO29)=FALSE),AO$64,AO29))))</f>
      </c>
      <c r="AP81" s="9" t="str">
        <f>IF(ISBLANK(AP29),"NO DATA",IF(ISNUMBER(FIND(CODES!$A$12,AP29)),CODES!$A$12,IF(OR(ISNUMBER(FIND(CODES!$A$10,AP29)),ISNUMBER(FIND(CODES!$A$11,AP29))),CODES!$A$13,IF(OR(AP29&lt;AP$63,ISNUMBER(AP29)=FALSE),AP$64,AP29))))</f>
      </c>
      <c r="AQ81" s="9" t="str">
        <f>IF(ISBLANK(AQ29),"NO DATA",IF(ISNUMBER(FIND(CODES!$A$12,AQ29)),CODES!$A$12,IF(OR(ISNUMBER(FIND(CODES!$A$10,AQ29)),ISNUMBER(FIND(CODES!$A$11,AQ29))),CODES!$A$13,IF(OR(AQ29&lt;AQ$63,ISNUMBER(AQ29)=FALSE),AQ$64,AQ29))))</f>
      </c>
      <c r="AR81" s="9" t="str">
        <f>IF(ISBLANK(AR29),"NO DATA",IF(ISNUMBER(FIND(CODES!$A$12,AR29)),CODES!$A$12,IF(OR(ISNUMBER(FIND(CODES!$A$10,AR29)),ISNUMBER(FIND(CODES!$A$11,AR29))),CODES!$A$13,IF(OR(AR29&lt;AR$63,ISNUMBER(AR29)=FALSE),AR$64,AR29))))</f>
      </c>
      <c r="AS81" s="9" t="str">
        <f>IF(ISBLANK(AS29),"NO DATA",IF(ISNUMBER(FIND(CODES!$A$12,AS29)),CODES!$A$12,IF(OR(ISNUMBER(FIND(CODES!$A$10,AS29)),ISNUMBER(FIND(CODES!$A$11,AS29))),CODES!$A$13,IF(OR(AS29&lt;AS$63,ISNUMBER(AS29)=FALSE),AS$64,AS29))))</f>
      </c>
      <c r="AT81" s="9" t="str">
        <f>IF(ISBLANK(AT29),"NO DATA",IF(ISNUMBER(FIND(CODES!$A$12,AT29)),CODES!$A$12,IF(OR(ISNUMBER(FIND(CODES!$A$10,AT29)),ISNUMBER(FIND(CODES!$A$11,AT29))),CODES!$A$13,IF(OR(AT29&lt;AT$63,ISNUMBER(AT29)=FALSE),AT$64,AT29))))</f>
      </c>
      <c r="AU81" s="9" t="str">
        <f>IF(ISBLANK(AU29),"NO DATA",IF(ISNUMBER(FIND(CODES!$A$12,AU29)),CODES!$A$12,IF(OR(ISNUMBER(FIND(CODES!$A$10,AU29)),ISNUMBER(FIND(CODES!$A$11,AU29))),CODES!$A$13,IF(OR(AU29&lt;AU$63,ISNUMBER(AU29)=FALSE),AU$64,AU29))))</f>
      </c>
      <c r="AV81" s="9" t="str">
        <f>IF(ISBLANK(AV29),"NO DATA",IF(ISNUMBER(FIND(CODES!$A$12,AV29)),CODES!$A$12,IF(OR(ISNUMBER(FIND(CODES!$A$10,AV29)),ISNUMBER(FIND(CODES!$A$11,AV29))),CODES!$A$13,IF(OR(AV29&lt;AV$63,ISNUMBER(AV29)=FALSE),AV$64,AV29))))</f>
      </c>
      <c r="AW81" s="9" t="str">
        <f>IF(ISBLANK(AW29),"NO DATA",IF(ISNUMBER(FIND(CODES!$A$12,AW29)),CODES!$A$12,IF(OR(ISNUMBER(FIND(CODES!$A$10,AW29)),ISNUMBER(FIND(CODES!$A$11,AW29))),CODES!$A$13,IF(OR(AW29&lt;AW$63,ISNUMBER(AW29)=FALSE),AW$64,AW29))))</f>
      </c>
      <c r="AX81" s="9" t="str">
        <f>IF(ISBLANK(AX29),"NO DATA",IF(ISNUMBER(FIND(CODES!$A$12,AX29)),CODES!$A$12,IF(OR(ISNUMBER(FIND(CODES!$A$10,AX29)),ISNUMBER(FIND(CODES!$A$11,AX29))),CODES!$A$13,IF(OR(AX29&lt;AX$63,ISNUMBER(AX29)=FALSE),AX$64,AX29))))</f>
      </c>
      <c r="AY81" s="9" t="str">
        <f>IF(ISBLANK(AY29),"NO DATA",IF(ISNUMBER(FIND(CODES!$A$12,AY29)),CODES!$A$12,IF(OR(ISNUMBER(FIND(CODES!$A$10,AY29)),ISNUMBER(FIND(CODES!$A$11,AY29))),CODES!$A$13,IF(OR(AY29&lt;AY$63,ISNUMBER(AY29)=FALSE),AY$64,AY29))))</f>
      </c>
      <c r="AZ81" s="9" t="str">
        <f>IF(ISBLANK(AZ29),"NO DATA",IF(ISNUMBER(FIND(CODES!$A$12,AZ29)),CODES!$A$12,IF(OR(ISNUMBER(FIND(CODES!$A$10,AZ29)),ISNUMBER(FIND(CODES!$A$11,AZ29))),CODES!$A$13,IF(OR(AZ29&lt;AZ$63,ISNUMBER(AZ29)=FALSE),AZ$64,AZ29))))</f>
      </c>
      <c r="BA81" s="9" t="str">
        <f>IF(ISBLANK(BA29),"NO DATA",IF(ISNUMBER(FIND(CODES!$A$12,BA29)),CODES!$A$12,IF(OR(ISNUMBER(FIND(CODES!$A$10,BA29)),ISNUMBER(FIND(CODES!$A$11,BA29))),CODES!$A$13,IF(OR(BA29&lt;BA$63,ISNUMBER(BA29)=FALSE),BA$64,BA29))))</f>
      </c>
      <c r="BB81" s="9" t="str">
        <f>IF(ISBLANK(BB29),"NO DATA",IF(ISNUMBER(FIND(CODES!$A$12,BB29)),CODES!$A$12,IF(OR(ISNUMBER(FIND(CODES!$A$10,BB29)),ISNUMBER(FIND(CODES!$A$11,BB29))),CODES!$A$13,IF(OR(BB29&lt;BB$63,ISNUMBER(BB29)=FALSE),BB$64,BB29))))</f>
      </c>
      <c r="BC81" s="9" t="str">
        <f>IF(ISBLANK(BC29),"NO DATA",IF(ISNUMBER(FIND(CODES!$A$12,BC29)),CODES!$A$12,IF(OR(ISNUMBER(FIND(CODES!$A$10,BC29)),ISNUMBER(FIND(CODES!$A$11,BC29))),CODES!$A$13,IF(OR(BC29&lt;BC$63,ISNUMBER(BC29)=FALSE),BC$64,BC29))))</f>
      </c>
      <c r="BD81" s="9" t="str">
        <f>IF(ISBLANK(BD29),"NO DATA",IF(ISNUMBER(FIND(CODES!$A$12,BD29)),CODES!$A$12,IF(OR(ISNUMBER(FIND(CODES!$A$10,BD29)),ISNUMBER(FIND(CODES!$A$11,BD29))),CODES!$A$13,IF(OR(BD29&lt;BD$63,ISNUMBER(BD29)=FALSE),BD$64,BD29))))</f>
      </c>
      <c r="BE81" s="9" t="str">
        <f>IF(ISBLANK(BE29),"NO DATA",IF(ISNUMBER(FIND(CODES!$A$12,BE29)),CODES!$A$12,IF(OR(ISNUMBER(FIND(CODES!$A$10,BE29)),ISNUMBER(FIND(CODES!$A$11,BE29))),CODES!$A$13,IF(OR(BE29&lt;BE$63,ISNUMBER(BE29)=FALSE),BE$64,BE29))))</f>
      </c>
      <c r="BF81" s="9" t="str">
        <f>IF(ISBLANK(BF29),"NO DATA",IF(ISNUMBER(FIND(CODES!$A$12,BF29)),CODES!$A$12,IF(OR(ISNUMBER(FIND(CODES!$A$10,BF29)),ISNUMBER(FIND(CODES!$A$11,BF29))),CODES!$A$13,IF(OR(BF29&lt;BF$63,ISNUMBER(BF29)=FALSE),BF$64,BF29))))</f>
      </c>
      <c r="BG81" s="9" t="str">
        <f>IF(ISBLANK(BG29),"NO DATA",IF(ISNUMBER(FIND(CODES!$A$12,BG29)),CODES!$A$12,IF(OR(ISNUMBER(FIND(CODES!$A$10,BG29)),ISNUMBER(FIND(CODES!$A$11,BG29))),CODES!$A$13,IF(OR(BG29&lt;BG$63,ISNUMBER(BG29)=FALSE),BG$64,BG29))))</f>
      </c>
      <c r="BH81" s="9" t="str">
        <f>IF(ISBLANK(BH29),"NO DATA",IF(ISNUMBER(FIND(CODES!$A$12,BH29)),CODES!$A$12,IF(OR(ISNUMBER(FIND(CODES!$A$10,BH29)),ISNUMBER(FIND(CODES!$A$11,BH29))),CODES!$A$13,IF(OR(BH29&lt;BH$63,ISNUMBER(BH29)=FALSE),BH$64,BH29))))</f>
      </c>
      <c r="BI81" s="9" t="str">
        <f>IF(ISBLANK(BI29),"NO DATA",IF(ISNUMBER(FIND(CODES!$A$12,BI29)),CODES!$A$12,IF(OR(ISNUMBER(FIND(CODES!$A$10,BI29)),ISNUMBER(FIND(CODES!$A$11,BI29))),CODES!$A$13,IF(OR(BI29&lt;BI$63,ISNUMBER(BI29)=FALSE),BI$64,BI29))))</f>
      </c>
      <c r="BJ81" s="9" t="str">
        <f>IF(ISBLANK(BJ29),"NO DATA",IF(ISNUMBER(FIND(CODES!$A$12,BJ29)),CODES!$A$12,IF(OR(ISNUMBER(FIND(CODES!$A$10,BJ29)),ISNUMBER(FIND(CODES!$A$11,BJ29))),CODES!$A$13,IF(OR(BJ29&lt;BJ$63,ISNUMBER(BJ29)=FALSE),BJ$64,BJ29))))</f>
      </c>
      <c r="BK81" s="9" t="str">
        <f>IF(ISBLANK(BK29),"NO DATA",IF(ISNUMBER(FIND(CODES!$A$12,BK29)),CODES!$A$12,IF(OR(ISNUMBER(FIND(CODES!$A$10,BK29)),ISNUMBER(FIND(CODES!$A$11,BK29))),CODES!$A$13,IF(OR(BK29&lt;BK$63,ISNUMBER(BK29)=FALSE),BK$64,BK29))))</f>
      </c>
      <c r="BL81" s="9" t="str">
        <f>IF(ISBLANK(BL29),"NO DATA",IF(ISNUMBER(FIND(CODES!$A$12,BL29)),CODES!$A$12,IF(OR(ISNUMBER(FIND(CODES!$A$10,BL29)),ISNUMBER(FIND(CODES!$A$11,BL29))),CODES!$A$13,IF(OR(BL29&lt;BL$63,ISNUMBER(BL29)=FALSE),BL$64,BL29))))</f>
      </c>
      <c r="BM81" s="9" t="str">
        <f>IF(ISBLANK(BM29),"NO DATA",IF(ISNUMBER(FIND(CODES!$A$12,BM29)),CODES!$A$12,IF(OR(ISNUMBER(FIND(CODES!$A$10,BM29)),ISNUMBER(FIND(CODES!$A$11,BM29))),CODES!$A$13,IF(OR(BM29&lt;BM$63,ISNUMBER(BM29)=FALSE),BM$64,BM29))))</f>
      </c>
      <c r="BN81" s="9" t="str">
        <f>IF(ISBLANK(BN29),"NO DATA",IF(ISNUMBER(FIND(CODES!$A$12,BN29)),CODES!$A$12,IF(OR(ISNUMBER(FIND(CODES!$A$10,BN29)),ISNUMBER(FIND(CODES!$A$11,BN29))),CODES!$A$13,IF(OR(BN29&lt;BN$63,ISNUMBER(BN29)=FALSE),BN$64,BN29))))</f>
      </c>
      <c r="BO81" s="9" t="str">
        <f>IF(ISBLANK(BO29),"NO DATA",IF(ISNUMBER(FIND(CODES!$A$12,BO29)),CODES!$A$12,IF(OR(ISNUMBER(FIND(CODES!$A$10,BO29)),ISNUMBER(FIND(CODES!$A$11,BO29))),CODES!$A$13,IF(OR(BO29&lt;BO$63,ISNUMBER(BO29)=FALSE),BO$64,BO29))))</f>
      </c>
      <c r="BP81" s="9" t="str">
        <f>IF(ISBLANK(BP29),"NO DATA",IF(ISNUMBER(FIND(CODES!$A$12,BP29)),CODES!$A$12,IF(OR(ISNUMBER(FIND(CODES!$A$10,BP29)),ISNUMBER(FIND(CODES!$A$11,BP29))),CODES!$A$13,IF(OR(BP29&lt;BP$63,ISNUMBER(BP29)=FALSE),BP$64,BP29))))</f>
      </c>
      <c r="BQ81" s="9" t="str">
        <f>IF(ISBLANK(BQ29),"NO DATA",IF(ISNUMBER(FIND(CODES!$A$12,BQ29)),CODES!$A$12,IF(OR(ISNUMBER(FIND(CODES!$A$10,BQ29)),ISNUMBER(FIND(CODES!$A$11,BQ29))),CODES!$A$13,IF(OR(BQ29&lt;BQ$63,ISNUMBER(BQ29)=FALSE),BQ$64,BQ29))))</f>
      </c>
      <c r="BR81" s="9" t="str">
        <f>IF(ISBLANK(BR29),"NO DATA",IF(ISNUMBER(FIND(CODES!$A$12,BR29)),CODES!$A$12,IF(OR(ISNUMBER(FIND(CODES!$A$10,BR29)),ISNUMBER(FIND(CODES!$A$11,BR29))),CODES!$A$13,IF(OR(BR29&lt;BR$63,ISNUMBER(BR29)=FALSE),BR$64,BR29))))</f>
      </c>
      <c r="BS81" s="9" t="str">
        <f>IF(ISBLANK(BS29),"NO DATA",IF(ISNUMBER(FIND(CODES!$A$12,BS29)),CODES!$A$12,IF(OR(ISNUMBER(FIND(CODES!$A$10,BS29)),ISNUMBER(FIND(CODES!$A$11,BS29))),CODES!$A$13,IF(OR(BS29&lt;BS$63,ISNUMBER(BS29)=FALSE),BS$64,BS29))))</f>
      </c>
      <c r="BT81" s="9" t="str">
        <f>IF(ISBLANK(BT29),"NO DATA",IF(ISNUMBER(FIND(CODES!$A$12,BT29)),CODES!$A$12,IF(OR(ISNUMBER(FIND(CODES!$A$10,BT29)),ISNUMBER(FIND(CODES!$A$11,BT29))),CODES!$A$13,IF(OR(BT29&lt;BT$63,ISNUMBER(BT29)=FALSE),BT$64,BT29))))</f>
      </c>
      <c r="BU81" s="9" t="str">
        <f>IF(ISBLANK(BU29),"NO DATA",IF(ISNUMBER(FIND(CODES!$A$12,BU29)),CODES!$A$12,IF(OR(ISNUMBER(FIND(CODES!$A$10,BU29)),ISNUMBER(FIND(CODES!$A$11,BU29))),CODES!$A$13,IF(OR(BU29&lt;BU$63,ISNUMBER(BU29)=FALSE),BU$64,BU29))))</f>
      </c>
      <c r="BV81" s="9" t="str">
        <f>IF(ISBLANK(BV29),"NO DATA",IF(ISNUMBER(FIND(CODES!$A$12,BV29)),CODES!$A$12,IF(OR(ISNUMBER(FIND(CODES!$A$10,BV29)),ISNUMBER(FIND(CODES!$A$11,BV29))),CODES!$A$13,IF(OR(BV29&lt;BV$63,ISNUMBER(BV29)=FALSE),BV$64,BV29))))</f>
      </c>
      <c r="BW81" s="9" t="str">
        <f>IF(ISBLANK(BW29),"NO DATA",IF(ISNUMBER(FIND(CODES!$A$12,BW29)),CODES!$A$12,IF(OR(ISNUMBER(FIND(CODES!$A$10,BW29)),ISNUMBER(FIND(CODES!$A$11,BW29))),CODES!$A$13,IF(OR(BW29&lt;BW$63,ISNUMBER(BW29)=FALSE),BW$64,BW29))))</f>
      </c>
      <c r="BX81" s="9" t="str">
        <f>IF(ISBLANK(BX29),"NO DATA",IF(ISNUMBER(FIND(CODES!$A$12,BX29)),CODES!$A$12,IF(OR(ISNUMBER(FIND(CODES!$A$10,BX29)),ISNUMBER(FIND(CODES!$A$11,BX29))),CODES!$A$13,IF(OR(BX29&lt;BX$63,ISNUMBER(BX29)=FALSE),BX$64,BX29))))</f>
      </c>
      <c r="BY81" s="9" t="str">
        <f>IF(ISBLANK(BY29),"NO DATA",IF(ISNUMBER(FIND(CODES!$A$12,BY29)),CODES!$A$12,IF(OR(ISNUMBER(FIND(CODES!$A$10,BY29)),ISNUMBER(FIND(CODES!$A$11,BY29))),CODES!$A$13,IF(OR(BY29&lt;BY$63,ISNUMBER(BY29)=FALSE),BY$64,BY29))))</f>
      </c>
      <c r="BZ81" s="9" t="str">
        <f>IF(ISBLANK(BZ29),"NO DATA",IF(ISNUMBER(FIND(CODES!$A$12,BZ29)),CODES!$A$12,IF(OR(ISNUMBER(FIND(CODES!$A$10,BZ29)),ISNUMBER(FIND(CODES!$A$11,BZ29))),CODES!$A$13,IF(OR(BZ29&lt;BZ$63,ISNUMBER(BZ29)=FALSE),BZ$64,BZ29))))</f>
      </c>
      <c r="CA81" s="9" t="str">
        <f>IF(ISBLANK(CA29),"NO DATA",IF(ISNUMBER(FIND(CODES!$A$12,CA29)),CODES!$A$12,IF(OR(ISNUMBER(FIND(CODES!$A$10,CA29)),ISNUMBER(FIND(CODES!$A$11,CA29))),CODES!$A$13,IF(OR(CA29&lt;CA$63,ISNUMBER(CA29)=FALSE),CA$64,CA29))))</f>
      </c>
      <c r="CB81" s="9" t="str">
        <f>IF(ISBLANK(CB29),"NO DATA",IF(ISNUMBER(FIND(CODES!$A$12,CB29)),CODES!$A$12,IF(OR(ISNUMBER(FIND(CODES!$A$10,CB29)),ISNUMBER(FIND(CODES!$A$11,CB29))),CODES!$A$13,IF(OR(CB29&lt;CB$63,ISNUMBER(CB29)=FALSE),CB$64,CB29))))</f>
      </c>
      <c r="CC81" s="9" t="str">
        <f>IF(ISBLANK(CC29),"NO DATA",IF(ISNUMBER(FIND(CODES!$A$12,CC29)),CODES!$A$12,IF(OR(ISNUMBER(FIND(CODES!$A$10,CC29)),ISNUMBER(FIND(CODES!$A$11,CC29))),CODES!$A$13,IF(OR(CC29&lt;CC$63,ISNUMBER(CC29)=FALSE),CC$64,CC29))))</f>
      </c>
      <c r="CD81" s="9" t="str">
        <f>IF(ISBLANK(CD29),"NO DATA",IF(ISNUMBER(FIND(CODES!$A$12,CD29)),CODES!$A$12,IF(OR(ISNUMBER(FIND(CODES!$A$10,CD29)),ISNUMBER(FIND(CODES!$A$11,CD29))),CODES!$A$13,IF(OR(CD29&lt;CD$63,ISNUMBER(CD29)=FALSE),CD$64,CD29))))</f>
      </c>
      <c r="CE81" s="9" t="str">
        <f>IF(ISBLANK(CE29),"NO DATA",IF(ISNUMBER(FIND(CODES!$A$12,CE29)),CODES!$A$12,IF(OR(ISNUMBER(FIND(CODES!$A$10,CE29)),ISNUMBER(FIND(CODES!$A$11,CE29))),CODES!$A$13,IF(OR(CE29&lt;CE$63,ISNUMBER(CE29)=FALSE),CE$64,CE29))))</f>
      </c>
      <c r="CF81" s="9" t="str">
        <f>IF(ISBLANK(CF29),"NO DATA",IF(ISNUMBER(FIND(CODES!$A$12,CF29)),CODES!$A$12,IF(OR(ISNUMBER(FIND(CODES!$A$10,CF29)),ISNUMBER(FIND(CODES!$A$11,CF29))),CODES!$A$13,IF(OR(CF29&lt;CF$63,ISNUMBER(CF29)=FALSE),CF$64,CF29))))</f>
      </c>
      <c r="CG81" s="9" t="str">
        <f>IF(ISBLANK(CG29),"NO DATA",IF(ISNUMBER(FIND(CODES!$A$12,CG29)),CODES!$A$12,IF(OR(ISNUMBER(FIND(CODES!$A$10,CG29)),ISNUMBER(FIND(CODES!$A$11,CG29))),CODES!$A$13,IF(OR(CG29&lt;CG$63,ISNUMBER(CG29)=FALSE),CG$64,CG29))))</f>
      </c>
      <c r="CH81" s="9" t="str">
        <f>IF(ISBLANK(CH29),"NO DATA",IF(ISNUMBER(FIND(CODES!$A$12,CH29)),CODES!$A$12,IF(OR(ISNUMBER(FIND(CODES!$A$10,CH29)),ISNUMBER(FIND(CODES!$A$11,CH29))),CODES!$A$13,IF(OR(CH29&lt;CH$63,ISNUMBER(CH29)=FALSE),CH$64,CH29))))</f>
      </c>
      <c r="CI81" s="9" t="str">
        <f>IF(ISBLANK(CI29),"NO DATA",IF(ISNUMBER(FIND(CODES!$A$12,CI29)),CODES!$A$12,IF(OR(ISNUMBER(FIND(CODES!$A$10,CI29)),ISNUMBER(FIND(CODES!$A$11,CI29))),CODES!$A$13,IF(OR(CI29&lt;CI$63,ISNUMBER(CI29)=FALSE),CI$64,CI29))))</f>
      </c>
      <c r="CJ81" s="9" t="str">
        <f>IF(ISBLANK(CJ29),"NO DATA",IF(ISNUMBER(FIND(CODES!$A$12,CJ29)),CODES!$A$12,IF(OR(ISNUMBER(FIND(CODES!$A$10,CJ29)),ISNUMBER(FIND(CODES!$A$11,CJ29))),CODES!$A$13,IF(OR(CJ29&lt;CJ$63,ISNUMBER(CJ29)=FALSE),CJ$64,CJ29))))</f>
      </c>
      <c r="CK81" s="9" t="str">
        <f>IF(ISBLANK(CK29),"NO DATA",IF(ISNUMBER(FIND(CODES!$A$12,CK29)),CODES!$A$12,IF(OR(ISNUMBER(FIND(CODES!$A$10,CK29)),ISNUMBER(FIND(CODES!$A$11,CK29))),CODES!$A$13,IF(OR(CK29&lt;CK$63,ISNUMBER(CK29)=FALSE),CK$64,CK29))))</f>
      </c>
      <c r="CL81" s="9" t="str">
        <f>IF(ISBLANK(CL29),"NO DATA",IF(ISNUMBER(FIND(CODES!$A$12,CL29)),CODES!$A$12,IF(OR(ISNUMBER(FIND(CODES!$A$10,CL29)),ISNUMBER(FIND(CODES!$A$11,CL29))),CODES!$A$13,IF(OR(CL29&lt;CL$63,ISNUMBER(CL29)=FALSE),CL$64,CL29))))</f>
      </c>
      <c r="CM81" s="9" t="str">
        <f>IF(ISBLANK(CM29),"NO DATA",IF(ISNUMBER(FIND(CODES!$A$12,CM29)),CODES!$A$12,IF(OR(ISNUMBER(FIND(CODES!$A$10,CM29)),ISNUMBER(FIND(CODES!$A$11,CM29))),CODES!$A$13,IF(OR(CM29&lt;CM$63,ISNUMBER(CM29)=FALSE),CM$64,CM29))))</f>
      </c>
      <c r="CN81" s="9" t="str">
        <f>IF(ISBLANK(CN29),"NO DATA",IF(ISNUMBER(FIND(CODES!$A$12,CN29)),CODES!$A$12,IF(OR(ISNUMBER(FIND(CODES!$A$10,CN29)),ISNUMBER(FIND(CODES!$A$11,CN29))),CODES!$A$13,IF(OR(CN29&lt;CN$63,ISNUMBER(CN29)=FALSE),CN$64,CN29))))</f>
      </c>
      <c r="CO81" s="9" t="str">
        <f>IF(ISBLANK(CO29),"NO DATA",IF(ISNUMBER(FIND(CODES!$A$12,CO29)),CODES!$A$12,IF(OR(ISNUMBER(FIND(CODES!$A$10,CO29)),ISNUMBER(FIND(CODES!$A$11,CO29))),CODES!$A$13,IF(OR(CO29&lt;CO$63,ISNUMBER(CO29)=FALSE),CO$64,CO29))))</f>
      </c>
      <c r="CP81" s="9" t="str">
        <f>IF(ISBLANK(CP29),"NO DATA",IF(ISNUMBER(FIND(CODES!$A$12,CP29)),CODES!$A$12,IF(OR(ISNUMBER(FIND(CODES!$A$10,CP29)),ISNUMBER(FIND(CODES!$A$11,CP29))),CODES!$A$13,IF(OR(CP29&lt;CP$63,ISNUMBER(CP29)=FALSE),CP$64,CP29))))</f>
      </c>
      <c r="CQ81" s="9" t="str">
        <f>IF(ISBLANK(CQ29),"NO DATA",IF(ISNUMBER(FIND(CODES!$A$12,CQ29)),CODES!$A$12,IF(OR(ISNUMBER(FIND(CODES!$A$10,CQ29)),ISNUMBER(FIND(CODES!$A$11,CQ29))),CODES!$A$13,IF(OR(CQ29&lt;CQ$63,ISNUMBER(CQ29)=FALSE),CQ$64,CQ29))))</f>
      </c>
      <c r="CR81" s="9" t="str">
        <f>IF(ISBLANK(CR29),"NO DATA",IF(ISNUMBER(FIND(CODES!$A$12,CR29)),CODES!$A$12,IF(OR(ISNUMBER(FIND(CODES!$A$10,CR29)),ISNUMBER(FIND(CODES!$A$11,CR29))),CODES!$A$13,IF(OR(CR29&lt;CR$63,ISNUMBER(CR29)=FALSE),CR$64,CR29))))</f>
      </c>
      <c r="CS81" s="9" t="str">
        <f>IF(ISBLANK(CS29),"NO DATA",IF(ISNUMBER(FIND(CODES!$A$12,CS29)),CODES!$A$12,IF(OR(ISNUMBER(FIND(CODES!$A$10,CS29)),ISNUMBER(FIND(CODES!$A$11,CS29))),CODES!$A$13,IF(OR(CS29&lt;CS$63,ISNUMBER(CS29)=FALSE),CS$64,CS29))))</f>
      </c>
      <c r="CT81" s="9" t="str">
        <f>IF(ISBLANK(CT29),"NO DATA",IF(ISNUMBER(FIND(CODES!$A$12,CT29)),CODES!$A$12,IF(OR(ISNUMBER(FIND(CODES!$A$10,CT29)),ISNUMBER(FIND(CODES!$A$11,CT29))),CODES!$A$13,IF(OR(CT29&lt;CT$63,ISNUMBER(CT29)=FALSE),CT$64,CT29))))</f>
      </c>
      <c r="CU81" s="9" t="str">
        <f>IF(ISBLANK(CU29),"NO DATA",IF(ISNUMBER(FIND(CODES!$A$12,CU29)),CODES!$A$12,IF(OR(ISNUMBER(FIND(CODES!$A$10,CU29)),ISNUMBER(FIND(CODES!$A$11,CU29))),CODES!$A$13,IF(OR(CU29&lt;CU$63,ISNUMBER(CU29)=FALSE),CU$64,CU29))))</f>
      </c>
      <c r="CV81" s="9" t="str">
        <f>IF(ISBLANK(CV29),"NO DATA",IF(ISNUMBER(FIND(CODES!$A$12,CV29)),CODES!$A$12,IF(OR(ISNUMBER(FIND(CODES!$A$10,CV29)),ISNUMBER(FIND(CODES!$A$11,CV29))),CODES!$A$13,IF(OR(CV29&lt;CV$63,ISNUMBER(CV29)=FALSE),CV$64,CV29))))</f>
      </c>
      <c r="CW81" s="9" t="str">
        <f>IF(ISBLANK(CW29),"NO DATA",IF(ISNUMBER(FIND(CODES!$A$12,CW29)),CODES!$A$12,IF(OR(ISNUMBER(FIND(CODES!$A$10,CW29)),ISNUMBER(FIND(CODES!$A$11,CW29))),CODES!$A$13,IF(OR(CW29&lt;CW$63,ISNUMBER(CW29)=FALSE),CW$64,CW29))))</f>
      </c>
      <c r="CX81" s="9" t="str">
        <f>IF(ISBLANK(CX29),"NO DATA",IF(ISNUMBER(FIND(CODES!$A$12,CX29)),CODES!$A$12,IF(OR(ISNUMBER(FIND(CODES!$A$10,CX29)),ISNUMBER(FIND(CODES!$A$11,CX29))),CODES!$A$13,IF(OR(CX29&lt;CX$63,ISNUMBER(CX29)=FALSE),CX$64,CX29))))</f>
      </c>
      <c r="CY81" s="9" t="str">
        <f>IF(ISBLANK(CY29),"NO DATA",IF(ISNUMBER(FIND(CODES!$A$12,CY29)),CODES!$A$12,IF(OR(ISNUMBER(FIND(CODES!$A$10,CY29)),ISNUMBER(FIND(CODES!$A$11,CY29))),CODES!$A$13,IF(OR(CY29&lt;CY$63,ISNUMBER(CY29)=FALSE),CY$64,CY29))))</f>
      </c>
      <c r="CZ81" s="9" t="str">
        <f>IF(ISBLANK(CZ29),"NO DATA",IF(ISNUMBER(FIND(CODES!$A$12,CZ29)),CODES!$A$12,IF(OR(ISNUMBER(FIND(CODES!$A$10,CZ29)),ISNUMBER(FIND(CODES!$A$11,CZ29))),CODES!$A$13,IF(OR(CZ29&lt;CZ$63,ISNUMBER(CZ29)=FALSE),CZ$64,CZ29))))</f>
      </c>
      <c r="DA81" s="9" t="str">
        <f>IF(ISBLANK(DA29),"NO DATA",IF(ISNUMBER(FIND(CODES!$A$12,DA29)),CODES!$A$12,IF(OR(ISNUMBER(FIND(CODES!$A$10,DA29)),ISNUMBER(FIND(CODES!$A$11,DA29))),CODES!$A$13,IF(OR(DA29&lt;DA$63,ISNUMBER(DA29)=FALSE),DA$64,DA29))))</f>
      </c>
      <c r="DB81" s="9" t="str">
        <f>IF(ISBLANK(DB29),"NO DATA",IF(ISNUMBER(FIND(CODES!$A$12,DB29)),CODES!$A$12,IF(OR(ISNUMBER(FIND(CODES!$A$10,DB29)),ISNUMBER(FIND(CODES!$A$11,DB29))),CODES!$A$13,IF(OR(DB29&lt;DB$63,ISNUMBER(DB29)=FALSE),DB$64,DB29))))</f>
      </c>
      <c r="DC81" s="9" t="str">
        <f>IF(ISBLANK(DC29),"NO DATA",IF(ISNUMBER(FIND(CODES!$A$12,DC29)),CODES!$A$12,IF(OR(ISNUMBER(FIND(CODES!$A$10,DC29)),ISNUMBER(FIND(CODES!$A$11,DC29))),CODES!$A$13,IF(OR(DC29&lt;DC$63,ISNUMBER(DC29)=FALSE),DC$64,DC29))))</f>
      </c>
      <c r="DD81" s="9" t="str">
        <f>IF(ISBLANK(DD29),"NO DATA",IF(ISNUMBER(FIND(CODES!$A$12,DD29)),CODES!$A$12,IF(OR(ISNUMBER(FIND(CODES!$A$10,DD29)),ISNUMBER(FIND(CODES!$A$11,DD29))),CODES!$A$13,IF(OR(DD29&lt;DD$63,ISNUMBER(DD29)=FALSE),DD$64,DD29))))</f>
      </c>
      <c r="DE81" s="9" t="str">
        <f>IF(ISBLANK(DE29),"NO DATA",IF(ISNUMBER(FIND(CODES!$A$12,DE29)),CODES!$A$12,IF(OR(ISNUMBER(FIND(CODES!$A$10,DE29)),ISNUMBER(FIND(CODES!$A$11,DE29))),CODES!$A$13,IF(OR(DE29&lt;DE$63,ISNUMBER(DE29)=FALSE),DE$64,DE29))))</f>
      </c>
      <c r="DF81" s="9" t="str">
        <f>IF(ISBLANK(DF29),"NO DATA",IF(ISNUMBER(FIND(CODES!$A$12,DF29)),CODES!$A$12,IF(OR(ISNUMBER(FIND(CODES!$A$10,DF29)),ISNUMBER(FIND(CODES!$A$11,DF29))),CODES!$A$13,IF(OR(DF29&lt;DF$63,ISNUMBER(DF29)=FALSE),DF$64,DF29))))</f>
      </c>
      <c r="DG81" s="9" t="str">
        <f>IF(ISBLANK(DG29),"NO DATA",IF(ISNUMBER(FIND(CODES!$A$12,DG29)),CODES!$A$12,IF(OR(ISNUMBER(FIND(CODES!$A$10,DG29)),ISNUMBER(FIND(CODES!$A$11,DG29))),CODES!$A$13,IF(OR(DG29&lt;DG$63,ISNUMBER(DG29)=FALSE),DG$64,DG29))))</f>
      </c>
      <c r="DH81" s="9" t="str">
        <f>IF(ISBLANK(DH29),"NO DATA",IF(ISNUMBER(FIND(CODES!$A$12,DH29)),CODES!$A$12,IF(OR(ISNUMBER(FIND(CODES!$A$10,DH29)),ISNUMBER(FIND(CODES!$A$11,DH29))),CODES!$A$13,IF(OR(DH29&lt;DH$63,ISNUMBER(DH29)=FALSE),DH$64,DH29))))</f>
      </c>
      <c r="DI81" s="9" t="str">
        <f>IF(ISBLANK(DI29),"NO DATA",IF(ISNUMBER(FIND(CODES!$A$12,DI29)),CODES!$A$12,IF(OR(ISNUMBER(FIND(CODES!$A$10,DI29)),ISNUMBER(FIND(CODES!$A$11,DI29))),CODES!$A$13,IF(OR(DI29&lt;DI$63,ISNUMBER(DI29)=FALSE),DI$64,DI29))))</f>
      </c>
    </row>
    <row r="82" spans="1:113" x14ac:dyDescent="0.25">
      <c r="A82" s="20" t="str">
        <f t="shared" si="4"/>
      </c>
      <c r="B82" s="20">
        <f t="shared" si="4"/>
      </c>
      <c r="C82" s="9" t="str">
        <f>IF(ISBLANK(C30),"NO DATA",IF(ISNUMBER(FIND(CODES!$A$12,C30)),CODES!$A$12,IF(OR(ISNUMBER(FIND(CODES!$A$10,C30)),ISNUMBER(FIND(CODES!$A$11,C30))),CODES!$A$13,IF(OR(C30&lt;C$63,ISNUMBER(C30)=FALSE),C$64,C30))))</f>
      </c>
      <c r="D82" s="9" t="str">
        <f>IF(ISBLANK(D30),"NO DATA",IF(ISNUMBER(FIND(CODES!$A$12,D30)),CODES!$A$12,IF(OR(ISNUMBER(FIND(CODES!$A$10,D30)),ISNUMBER(FIND(CODES!$A$11,D30))),CODES!$A$13,IF(OR(D30&lt;D$63,ISNUMBER(D30)=FALSE),D$64,D30))))</f>
      </c>
      <c r="E82" s="9" t="str">
        <f>IF(ISBLANK(E30),"NO DATA",IF(ISNUMBER(FIND(CODES!$A$12,E30)),CODES!$A$12,IF(OR(ISNUMBER(FIND(CODES!$A$10,E30)),ISNUMBER(FIND(CODES!$A$11,E30))),CODES!$A$13,IF(OR(E30&lt;E$63,ISNUMBER(E30)=FALSE),E$64,E30))))</f>
      </c>
      <c r="F82" s="9" t="str">
        <f>IF(ISBLANK(F30),"NO DATA",IF(ISNUMBER(FIND(CODES!$A$12,F30)),CODES!$A$12,IF(OR(ISNUMBER(FIND(CODES!$A$10,F30)),ISNUMBER(FIND(CODES!$A$11,F30))),CODES!$A$13,IF(OR(F30&lt;F$63,ISNUMBER(F30)=FALSE),F$64,F30))))</f>
      </c>
      <c r="G82" s="9" t="str">
        <f>IF(ISBLANK(G30),"NO DATA",IF(ISNUMBER(FIND(CODES!$A$12,G30)),CODES!$A$12,IF(OR(ISNUMBER(FIND(CODES!$A$10,G30)),ISNUMBER(FIND(CODES!$A$11,G30))),CODES!$A$13,IF(OR(G30&lt;G$63,ISNUMBER(G30)=FALSE),G$64,G30))))</f>
      </c>
      <c r="H82" s="9" t="str">
        <f>IF(ISBLANK(H30),"NO DATA",IF(ISNUMBER(FIND(CODES!$A$12,H30)),CODES!$A$12,IF(OR(ISNUMBER(FIND(CODES!$A$10,H30)),ISNUMBER(FIND(CODES!$A$11,H30))),CODES!$A$13,IF(OR(H30&lt;H$63,ISNUMBER(H30)=FALSE),H$64,H30))))</f>
      </c>
      <c r="I82" s="9" t="str">
        <f>IF(ISBLANK(I30),"NO DATA",IF(ISNUMBER(FIND(CODES!$A$12,I30)),CODES!$A$12,IF(OR(ISNUMBER(FIND(CODES!$A$10,I30)),ISNUMBER(FIND(CODES!$A$11,I30))),CODES!$A$13,IF(OR(I30&lt;I$63,ISNUMBER(I30)=FALSE),I$64,I30))))</f>
      </c>
      <c r="J82" s="9" t="str">
        <f>IF(ISBLANK(J30),"NO DATA",IF(ISNUMBER(FIND(CODES!$A$12,J30)),CODES!$A$12,IF(OR(ISNUMBER(FIND(CODES!$A$10,J30)),ISNUMBER(FIND(CODES!$A$11,J30))),CODES!$A$13,IF(OR(J30&lt;J$63,ISNUMBER(J30)=FALSE),J$64,J30))))</f>
      </c>
      <c r="K82" s="9" t="str">
        <f>IF(ISBLANK(K30),"NO DATA",IF(ISNUMBER(FIND(CODES!$A$12,K30)),CODES!$A$12,IF(OR(ISNUMBER(FIND(CODES!$A$10,K30)),ISNUMBER(FIND(CODES!$A$11,K30))),CODES!$A$13,IF(OR(K30&lt;K$63,ISNUMBER(K30)=FALSE),K$64,K30))))</f>
      </c>
      <c r="L82" s="9" t="str">
        <f>IF(ISBLANK(L30),"NO DATA",IF(ISNUMBER(FIND(CODES!$A$12,L30)),CODES!$A$12,IF(OR(ISNUMBER(FIND(CODES!$A$10,L30)),ISNUMBER(FIND(CODES!$A$11,L30))),CODES!$A$13,IF(OR(L30&lt;L$63,ISNUMBER(L30)=FALSE),L$64,L30))))</f>
      </c>
      <c r="M82" s="9" t="str">
        <f>IF(ISBLANK(M30),"NO DATA",IF(ISNUMBER(FIND(CODES!$A$12,M30)),CODES!$A$12,IF(OR(ISNUMBER(FIND(CODES!$A$10,M30)),ISNUMBER(FIND(CODES!$A$11,M30))),CODES!$A$13,IF(OR(M30&lt;M$63,ISNUMBER(M30)=FALSE),M$64,M30))))</f>
      </c>
      <c r="N82" s="9" t="str">
        <f>IF(ISBLANK(N30),"NO DATA",IF(ISNUMBER(FIND(CODES!$A$12,N30)),CODES!$A$12,IF(OR(ISNUMBER(FIND(CODES!$A$10,N30)),ISNUMBER(FIND(CODES!$A$11,N30))),CODES!$A$13,IF(OR(N30&lt;N$63,ISNUMBER(N30)=FALSE),N$64,N30))))</f>
      </c>
      <c r="O82" s="9" t="str">
        <f>IF(ISBLANK(O30),"NO DATA",IF(ISNUMBER(FIND(CODES!$A$12,O30)),CODES!$A$12,IF(OR(ISNUMBER(FIND(CODES!$A$10,O30)),ISNUMBER(FIND(CODES!$A$11,O30))),CODES!$A$13,IF(OR(O30&lt;O$63,ISNUMBER(O30)=FALSE),O$64,O30))))</f>
      </c>
      <c r="P82" s="9" t="str">
        <f>IF(ISBLANK(P30),"NO DATA",IF(ISNUMBER(FIND(CODES!$A$12,P30)),CODES!$A$12,IF(OR(ISNUMBER(FIND(CODES!$A$10,P30)),ISNUMBER(FIND(CODES!$A$11,P30))),CODES!$A$13,IF(OR(P30&lt;P$63,ISNUMBER(P30)=FALSE),P$64,P30))))</f>
      </c>
      <c r="Q82" s="9" t="str">
        <f>IF(ISBLANK(Q30),"NO DATA",IF(ISNUMBER(FIND(CODES!$A$12,Q30)),CODES!$A$12,IF(OR(ISNUMBER(FIND(CODES!$A$10,Q30)),ISNUMBER(FIND(CODES!$A$11,Q30))),CODES!$A$13,IF(OR(Q30&lt;Q$63,ISNUMBER(Q30)=FALSE),Q$64,Q30))))</f>
      </c>
      <c r="R82" s="9" t="str">
        <f>IF(ISBLANK(R30),"NO DATA",IF(ISNUMBER(FIND(CODES!$A$12,R30)),CODES!$A$12,IF(OR(ISNUMBER(FIND(CODES!$A$10,R30)),ISNUMBER(FIND(CODES!$A$11,R30))),CODES!$A$13,IF(OR(R30&lt;R$63,ISNUMBER(R30)=FALSE),R$64,R30))))</f>
      </c>
      <c r="S82" s="9" t="str">
        <f>IF(ISBLANK(S30),"NO DATA",IF(ISNUMBER(FIND(CODES!$A$12,S30)),CODES!$A$12,IF(OR(ISNUMBER(FIND(CODES!$A$10,S30)),ISNUMBER(FIND(CODES!$A$11,S30))),CODES!$A$13,IF(OR(S30&lt;S$63,ISNUMBER(S30)=FALSE),S$64,S30))))</f>
      </c>
      <c r="T82" s="9" t="str">
        <f>IF(ISBLANK(T30),"NO DATA",IF(ISNUMBER(FIND(CODES!$A$12,T30)),CODES!$A$12,IF(OR(ISNUMBER(FIND(CODES!$A$10,T30)),ISNUMBER(FIND(CODES!$A$11,T30))),CODES!$A$13,IF(OR(T30&lt;T$63,ISNUMBER(T30)=FALSE),T$64,T30))))</f>
      </c>
      <c r="U82" s="9" t="str">
        <f>IF(ISBLANK(U30),"NO DATA",IF(ISNUMBER(FIND(CODES!$A$12,U30)),CODES!$A$12,IF(OR(ISNUMBER(FIND(CODES!$A$10,U30)),ISNUMBER(FIND(CODES!$A$11,U30))),CODES!$A$13,IF(OR(U30&lt;U$63,ISNUMBER(U30)=FALSE),U$64,U30))))</f>
      </c>
      <c r="V82" s="9" t="str">
        <f>IF(ISBLANK(V30),"NO DATA",IF(ISNUMBER(FIND(CODES!$A$12,V30)),CODES!$A$12,IF(OR(ISNUMBER(FIND(CODES!$A$10,V30)),ISNUMBER(FIND(CODES!$A$11,V30))),CODES!$A$13,IF(OR(V30&lt;V$63,ISNUMBER(V30)=FALSE),V$64,V30))))</f>
      </c>
      <c r="W82" s="9" t="str">
        <f>IF(ISBLANK(W30),"NO DATA",IF(ISNUMBER(FIND(CODES!$A$12,W30)),CODES!$A$12,IF(OR(ISNUMBER(FIND(CODES!$A$10,W30)),ISNUMBER(FIND(CODES!$A$11,W30))),CODES!$A$13,IF(OR(W30&lt;W$63,ISNUMBER(W30)=FALSE),W$64,W30))))</f>
      </c>
      <c r="X82" s="9" t="str">
        <f>IF(ISBLANK(X30),"NO DATA",IF(ISNUMBER(FIND(CODES!$A$12,X30)),CODES!$A$12,IF(OR(ISNUMBER(FIND(CODES!$A$10,X30)),ISNUMBER(FIND(CODES!$A$11,X30))),CODES!$A$13,IF(OR(X30&lt;X$63,ISNUMBER(X30)=FALSE),X$64,X30))))</f>
      </c>
      <c r="Y82" s="9" t="str">
        <f>IF(ISBLANK(Y30),"NO DATA",IF(ISNUMBER(FIND(CODES!$A$12,Y30)),CODES!$A$12,IF(OR(ISNUMBER(FIND(CODES!$A$10,Y30)),ISNUMBER(FIND(CODES!$A$11,Y30))),CODES!$A$13,IF(OR(Y30&lt;Y$63,ISNUMBER(Y30)=FALSE),Y$64,Y30))))</f>
      </c>
      <c r="Z82" s="9" t="str">
        <f>IF(ISBLANK(Z30),"NO DATA",IF(ISNUMBER(FIND(CODES!$A$12,Z30)),CODES!$A$12,IF(OR(ISNUMBER(FIND(CODES!$A$10,Z30)),ISNUMBER(FIND(CODES!$A$11,Z30))),CODES!$A$13,IF(OR(Z30&lt;Z$63,ISNUMBER(Z30)=FALSE),Z$64,Z30))))</f>
      </c>
      <c r="AA82" s="9" t="str">
        <f>IF(ISBLANK(AA30),"NO DATA",IF(ISNUMBER(FIND(CODES!$A$12,AA30)),CODES!$A$12,IF(OR(ISNUMBER(FIND(CODES!$A$10,AA30)),ISNUMBER(FIND(CODES!$A$11,AA30))),CODES!$A$13,IF(OR(AA30&lt;AA$63,ISNUMBER(AA30)=FALSE),AA$64,AA30))))</f>
      </c>
      <c r="AB82" s="9" t="str">
        <f>IF(ISBLANK(AB30),"NO DATA",IF(ISNUMBER(FIND(CODES!$A$12,AB30)),CODES!$A$12,IF(OR(ISNUMBER(FIND(CODES!$A$10,AB30)),ISNUMBER(FIND(CODES!$A$11,AB30))),CODES!$A$13,IF(OR(AB30&lt;AB$63,ISNUMBER(AB30)=FALSE),AB$64,AB30))))</f>
      </c>
      <c r="AC82" s="9" t="str">
        <f>IF(ISBLANK(AC30),"NO DATA",IF(ISNUMBER(FIND(CODES!$A$12,AC30)),CODES!$A$12,IF(OR(ISNUMBER(FIND(CODES!$A$10,AC30)),ISNUMBER(FIND(CODES!$A$11,AC30))),CODES!$A$13,IF(OR(AC30&lt;AC$63,ISNUMBER(AC30)=FALSE),AC$64,AC30))))</f>
      </c>
      <c r="AD82" s="9" t="str">
        <f>IF(ISBLANK(AD30),"NO DATA",IF(ISNUMBER(FIND(CODES!$A$12,AD30)),CODES!$A$12,IF(OR(ISNUMBER(FIND(CODES!$A$10,AD30)),ISNUMBER(FIND(CODES!$A$11,AD30))),CODES!$A$13,IF(OR(AD30&lt;AD$63,ISNUMBER(AD30)=FALSE),AD$64,AD30))))</f>
      </c>
      <c r="AE82" s="9" t="str">
        <f>IF(ISBLANK(AE30),"NO DATA",IF(ISNUMBER(FIND(CODES!$A$12,AE30)),CODES!$A$12,IF(OR(ISNUMBER(FIND(CODES!$A$10,AE30)),ISNUMBER(FIND(CODES!$A$11,AE30))),CODES!$A$13,IF(OR(AE30&lt;AE$63,ISNUMBER(AE30)=FALSE),AE$64,AE30))))</f>
      </c>
      <c r="AF82" s="9" t="str">
        <f>IF(ISBLANK(AF30),"NO DATA",IF(ISNUMBER(FIND(CODES!$A$12,AF30)),CODES!$A$12,IF(OR(ISNUMBER(FIND(CODES!$A$10,AF30)),ISNUMBER(FIND(CODES!$A$11,AF30))),CODES!$A$13,IF(OR(AF30&lt;AF$63,ISNUMBER(AF30)=FALSE),AF$64,AF30))))</f>
      </c>
      <c r="AG82" s="9" t="str">
        <f>IF(ISBLANK(AG30),"NO DATA",IF(ISNUMBER(FIND(CODES!$A$12,AG30)),CODES!$A$12,IF(OR(ISNUMBER(FIND(CODES!$A$10,AG30)),ISNUMBER(FIND(CODES!$A$11,AG30))),CODES!$A$13,IF(OR(AG30&lt;AG$63,ISNUMBER(AG30)=FALSE),AG$64,AG30))))</f>
      </c>
      <c r="AH82" s="9" t="str">
        <f>IF(ISBLANK(AH30),"NO DATA",IF(ISNUMBER(FIND(CODES!$A$12,AH30)),CODES!$A$12,IF(OR(ISNUMBER(FIND(CODES!$A$10,AH30)),ISNUMBER(FIND(CODES!$A$11,AH30))),CODES!$A$13,IF(OR(AH30&lt;AH$63,ISNUMBER(AH30)=FALSE),AH$64,AH30))))</f>
      </c>
      <c r="AI82" s="9" t="str">
        <f>IF(ISBLANK(AI30),"NO DATA",IF(ISNUMBER(FIND(CODES!$A$12,AI30)),CODES!$A$12,IF(OR(ISNUMBER(FIND(CODES!$A$10,AI30)),ISNUMBER(FIND(CODES!$A$11,AI30))),CODES!$A$13,IF(OR(AI30&lt;AI$63,ISNUMBER(AI30)=FALSE),AI$64,AI30))))</f>
      </c>
      <c r="AJ82" s="9" t="str">
        <f>IF(ISBLANK(AJ30),"NO DATA",IF(ISNUMBER(FIND(CODES!$A$12,AJ30)),CODES!$A$12,IF(OR(ISNUMBER(FIND(CODES!$A$10,AJ30)),ISNUMBER(FIND(CODES!$A$11,AJ30))),CODES!$A$13,IF(OR(AJ30&lt;AJ$63,ISNUMBER(AJ30)=FALSE),AJ$64,AJ30))))</f>
      </c>
      <c r="AK82" s="9" t="str">
        <f>IF(ISBLANK(AK30),"NO DATA",IF(ISNUMBER(FIND(CODES!$A$12,AK30)),CODES!$A$12,IF(OR(ISNUMBER(FIND(CODES!$A$10,AK30)),ISNUMBER(FIND(CODES!$A$11,AK30))),CODES!$A$13,IF(OR(AK30&lt;AK$63,ISNUMBER(AK30)=FALSE),AK$64,AK30))))</f>
      </c>
      <c r="AL82" s="9" t="str">
        <f>IF(ISBLANK(AL30),"NO DATA",IF(ISNUMBER(FIND(CODES!$A$12,AL30)),CODES!$A$12,IF(OR(ISNUMBER(FIND(CODES!$A$10,AL30)),ISNUMBER(FIND(CODES!$A$11,AL30))),CODES!$A$13,IF(OR(AL30&lt;AL$63,ISNUMBER(AL30)=FALSE),AL$64,AL30))))</f>
      </c>
      <c r="AM82" s="9" t="str">
        <f>IF(ISBLANK(AM30),"NO DATA",IF(ISNUMBER(FIND(CODES!$A$12,AM30)),CODES!$A$12,IF(OR(ISNUMBER(FIND(CODES!$A$10,AM30)),ISNUMBER(FIND(CODES!$A$11,AM30))),CODES!$A$13,IF(OR(AM30&lt;AM$63,ISNUMBER(AM30)=FALSE),AM$64,AM30))))</f>
      </c>
      <c r="AN82" s="9" t="str">
        <f>IF(ISBLANK(AN30),"NO DATA",IF(ISNUMBER(FIND(CODES!$A$12,AN30)),CODES!$A$12,IF(OR(ISNUMBER(FIND(CODES!$A$10,AN30)),ISNUMBER(FIND(CODES!$A$11,AN30))),CODES!$A$13,IF(OR(AN30&lt;AN$63,ISNUMBER(AN30)=FALSE),AN$64,AN30))))</f>
      </c>
      <c r="AO82" s="9" t="str">
        <f>IF(ISBLANK(AO30),"NO DATA",IF(ISNUMBER(FIND(CODES!$A$12,AO30)),CODES!$A$12,IF(OR(ISNUMBER(FIND(CODES!$A$10,AO30)),ISNUMBER(FIND(CODES!$A$11,AO30))),CODES!$A$13,IF(OR(AO30&lt;AO$63,ISNUMBER(AO30)=FALSE),AO$64,AO30))))</f>
      </c>
      <c r="AP82" s="9" t="str">
        <f>IF(ISBLANK(AP30),"NO DATA",IF(ISNUMBER(FIND(CODES!$A$12,AP30)),CODES!$A$12,IF(OR(ISNUMBER(FIND(CODES!$A$10,AP30)),ISNUMBER(FIND(CODES!$A$11,AP30))),CODES!$A$13,IF(OR(AP30&lt;AP$63,ISNUMBER(AP30)=FALSE),AP$64,AP30))))</f>
      </c>
      <c r="AQ82" s="9" t="str">
        <f>IF(ISBLANK(AQ30),"NO DATA",IF(ISNUMBER(FIND(CODES!$A$12,AQ30)),CODES!$A$12,IF(OR(ISNUMBER(FIND(CODES!$A$10,AQ30)),ISNUMBER(FIND(CODES!$A$11,AQ30))),CODES!$A$13,IF(OR(AQ30&lt;AQ$63,ISNUMBER(AQ30)=FALSE),AQ$64,AQ30))))</f>
      </c>
      <c r="AR82" s="9" t="str">
        <f>IF(ISBLANK(AR30),"NO DATA",IF(ISNUMBER(FIND(CODES!$A$12,AR30)),CODES!$A$12,IF(OR(ISNUMBER(FIND(CODES!$A$10,AR30)),ISNUMBER(FIND(CODES!$A$11,AR30))),CODES!$A$13,IF(OR(AR30&lt;AR$63,ISNUMBER(AR30)=FALSE),AR$64,AR30))))</f>
      </c>
      <c r="AS82" s="9" t="str">
        <f>IF(ISBLANK(AS30),"NO DATA",IF(ISNUMBER(FIND(CODES!$A$12,AS30)),CODES!$A$12,IF(OR(ISNUMBER(FIND(CODES!$A$10,AS30)),ISNUMBER(FIND(CODES!$A$11,AS30))),CODES!$A$13,IF(OR(AS30&lt;AS$63,ISNUMBER(AS30)=FALSE),AS$64,AS30))))</f>
      </c>
      <c r="AT82" s="9" t="str">
        <f>IF(ISBLANK(AT30),"NO DATA",IF(ISNUMBER(FIND(CODES!$A$12,AT30)),CODES!$A$12,IF(OR(ISNUMBER(FIND(CODES!$A$10,AT30)),ISNUMBER(FIND(CODES!$A$11,AT30))),CODES!$A$13,IF(OR(AT30&lt;AT$63,ISNUMBER(AT30)=FALSE),AT$64,AT30))))</f>
      </c>
      <c r="AU82" s="9" t="str">
        <f>IF(ISBLANK(AU30),"NO DATA",IF(ISNUMBER(FIND(CODES!$A$12,AU30)),CODES!$A$12,IF(OR(ISNUMBER(FIND(CODES!$A$10,AU30)),ISNUMBER(FIND(CODES!$A$11,AU30))),CODES!$A$13,IF(OR(AU30&lt;AU$63,ISNUMBER(AU30)=FALSE),AU$64,AU30))))</f>
      </c>
      <c r="AV82" s="9" t="str">
        <f>IF(ISBLANK(AV30),"NO DATA",IF(ISNUMBER(FIND(CODES!$A$12,AV30)),CODES!$A$12,IF(OR(ISNUMBER(FIND(CODES!$A$10,AV30)),ISNUMBER(FIND(CODES!$A$11,AV30))),CODES!$A$13,IF(OR(AV30&lt;AV$63,ISNUMBER(AV30)=FALSE),AV$64,AV30))))</f>
      </c>
      <c r="AW82" s="9" t="str">
        <f>IF(ISBLANK(AW30),"NO DATA",IF(ISNUMBER(FIND(CODES!$A$12,AW30)),CODES!$A$12,IF(OR(ISNUMBER(FIND(CODES!$A$10,AW30)),ISNUMBER(FIND(CODES!$A$11,AW30))),CODES!$A$13,IF(OR(AW30&lt;AW$63,ISNUMBER(AW30)=FALSE),AW$64,AW30))))</f>
      </c>
      <c r="AX82" s="9" t="str">
        <f>IF(ISBLANK(AX30),"NO DATA",IF(ISNUMBER(FIND(CODES!$A$12,AX30)),CODES!$A$12,IF(OR(ISNUMBER(FIND(CODES!$A$10,AX30)),ISNUMBER(FIND(CODES!$A$11,AX30))),CODES!$A$13,IF(OR(AX30&lt;AX$63,ISNUMBER(AX30)=FALSE),AX$64,AX30))))</f>
      </c>
      <c r="AY82" s="9" t="str">
        <f>IF(ISBLANK(AY30),"NO DATA",IF(ISNUMBER(FIND(CODES!$A$12,AY30)),CODES!$A$12,IF(OR(ISNUMBER(FIND(CODES!$A$10,AY30)),ISNUMBER(FIND(CODES!$A$11,AY30))),CODES!$A$13,IF(OR(AY30&lt;AY$63,ISNUMBER(AY30)=FALSE),AY$64,AY30))))</f>
      </c>
      <c r="AZ82" s="9" t="str">
        <f>IF(ISBLANK(AZ30),"NO DATA",IF(ISNUMBER(FIND(CODES!$A$12,AZ30)),CODES!$A$12,IF(OR(ISNUMBER(FIND(CODES!$A$10,AZ30)),ISNUMBER(FIND(CODES!$A$11,AZ30))),CODES!$A$13,IF(OR(AZ30&lt;AZ$63,ISNUMBER(AZ30)=FALSE),AZ$64,AZ30))))</f>
      </c>
      <c r="BA82" s="9" t="str">
        <f>IF(ISBLANK(BA30),"NO DATA",IF(ISNUMBER(FIND(CODES!$A$12,BA30)),CODES!$A$12,IF(OR(ISNUMBER(FIND(CODES!$A$10,BA30)),ISNUMBER(FIND(CODES!$A$11,BA30))),CODES!$A$13,IF(OR(BA30&lt;BA$63,ISNUMBER(BA30)=FALSE),BA$64,BA30))))</f>
      </c>
      <c r="BB82" s="9" t="str">
        <f>IF(ISBLANK(BB30),"NO DATA",IF(ISNUMBER(FIND(CODES!$A$12,BB30)),CODES!$A$12,IF(OR(ISNUMBER(FIND(CODES!$A$10,BB30)),ISNUMBER(FIND(CODES!$A$11,BB30))),CODES!$A$13,IF(OR(BB30&lt;BB$63,ISNUMBER(BB30)=FALSE),BB$64,BB30))))</f>
      </c>
      <c r="BC82" s="9" t="str">
        <f>IF(ISBLANK(BC30),"NO DATA",IF(ISNUMBER(FIND(CODES!$A$12,BC30)),CODES!$A$12,IF(OR(ISNUMBER(FIND(CODES!$A$10,BC30)),ISNUMBER(FIND(CODES!$A$11,BC30))),CODES!$A$13,IF(OR(BC30&lt;BC$63,ISNUMBER(BC30)=FALSE),BC$64,BC30))))</f>
      </c>
      <c r="BD82" s="9" t="str">
        <f>IF(ISBLANK(BD30),"NO DATA",IF(ISNUMBER(FIND(CODES!$A$12,BD30)),CODES!$A$12,IF(OR(ISNUMBER(FIND(CODES!$A$10,BD30)),ISNUMBER(FIND(CODES!$A$11,BD30))),CODES!$A$13,IF(OR(BD30&lt;BD$63,ISNUMBER(BD30)=FALSE),BD$64,BD30))))</f>
      </c>
      <c r="BE82" s="9" t="str">
        <f>IF(ISBLANK(BE30),"NO DATA",IF(ISNUMBER(FIND(CODES!$A$12,BE30)),CODES!$A$12,IF(OR(ISNUMBER(FIND(CODES!$A$10,BE30)),ISNUMBER(FIND(CODES!$A$11,BE30))),CODES!$A$13,IF(OR(BE30&lt;BE$63,ISNUMBER(BE30)=FALSE),BE$64,BE30))))</f>
      </c>
      <c r="BF82" s="9" t="str">
        <f>IF(ISBLANK(BF30),"NO DATA",IF(ISNUMBER(FIND(CODES!$A$12,BF30)),CODES!$A$12,IF(OR(ISNUMBER(FIND(CODES!$A$10,BF30)),ISNUMBER(FIND(CODES!$A$11,BF30))),CODES!$A$13,IF(OR(BF30&lt;BF$63,ISNUMBER(BF30)=FALSE),BF$64,BF30))))</f>
      </c>
      <c r="BG82" s="9" t="str">
        <f>IF(ISBLANK(BG30),"NO DATA",IF(ISNUMBER(FIND(CODES!$A$12,BG30)),CODES!$A$12,IF(OR(ISNUMBER(FIND(CODES!$A$10,BG30)),ISNUMBER(FIND(CODES!$A$11,BG30))),CODES!$A$13,IF(OR(BG30&lt;BG$63,ISNUMBER(BG30)=FALSE),BG$64,BG30))))</f>
      </c>
      <c r="BH82" s="9" t="str">
        <f>IF(ISBLANK(BH30),"NO DATA",IF(ISNUMBER(FIND(CODES!$A$12,BH30)),CODES!$A$12,IF(OR(ISNUMBER(FIND(CODES!$A$10,BH30)),ISNUMBER(FIND(CODES!$A$11,BH30))),CODES!$A$13,IF(OR(BH30&lt;BH$63,ISNUMBER(BH30)=FALSE),BH$64,BH30))))</f>
      </c>
      <c r="BI82" s="9" t="str">
        <f>IF(ISBLANK(BI30),"NO DATA",IF(ISNUMBER(FIND(CODES!$A$12,BI30)),CODES!$A$12,IF(OR(ISNUMBER(FIND(CODES!$A$10,BI30)),ISNUMBER(FIND(CODES!$A$11,BI30))),CODES!$A$13,IF(OR(BI30&lt;BI$63,ISNUMBER(BI30)=FALSE),BI$64,BI30))))</f>
      </c>
      <c r="BJ82" s="9" t="str">
        <f>IF(ISBLANK(BJ30),"NO DATA",IF(ISNUMBER(FIND(CODES!$A$12,BJ30)),CODES!$A$12,IF(OR(ISNUMBER(FIND(CODES!$A$10,BJ30)),ISNUMBER(FIND(CODES!$A$11,BJ30))),CODES!$A$13,IF(OR(BJ30&lt;BJ$63,ISNUMBER(BJ30)=FALSE),BJ$64,BJ30))))</f>
      </c>
      <c r="BK82" s="9" t="str">
        <f>IF(ISBLANK(BK30),"NO DATA",IF(ISNUMBER(FIND(CODES!$A$12,BK30)),CODES!$A$12,IF(OR(ISNUMBER(FIND(CODES!$A$10,BK30)),ISNUMBER(FIND(CODES!$A$11,BK30))),CODES!$A$13,IF(OR(BK30&lt;BK$63,ISNUMBER(BK30)=FALSE),BK$64,BK30))))</f>
      </c>
      <c r="BL82" s="9" t="str">
        <f>IF(ISBLANK(BL30),"NO DATA",IF(ISNUMBER(FIND(CODES!$A$12,BL30)),CODES!$A$12,IF(OR(ISNUMBER(FIND(CODES!$A$10,BL30)),ISNUMBER(FIND(CODES!$A$11,BL30))),CODES!$A$13,IF(OR(BL30&lt;BL$63,ISNUMBER(BL30)=FALSE),BL$64,BL30))))</f>
      </c>
      <c r="BM82" s="9" t="str">
        <f>IF(ISBLANK(BM30),"NO DATA",IF(ISNUMBER(FIND(CODES!$A$12,BM30)),CODES!$A$12,IF(OR(ISNUMBER(FIND(CODES!$A$10,BM30)),ISNUMBER(FIND(CODES!$A$11,BM30))),CODES!$A$13,IF(OR(BM30&lt;BM$63,ISNUMBER(BM30)=FALSE),BM$64,BM30))))</f>
      </c>
      <c r="BN82" s="9" t="str">
        <f>IF(ISBLANK(BN30),"NO DATA",IF(ISNUMBER(FIND(CODES!$A$12,BN30)),CODES!$A$12,IF(OR(ISNUMBER(FIND(CODES!$A$10,BN30)),ISNUMBER(FIND(CODES!$A$11,BN30))),CODES!$A$13,IF(OR(BN30&lt;BN$63,ISNUMBER(BN30)=FALSE),BN$64,BN30))))</f>
      </c>
      <c r="BO82" s="9" t="str">
        <f>IF(ISBLANK(BO30),"NO DATA",IF(ISNUMBER(FIND(CODES!$A$12,BO30)),CODES!$A$12,IF(OR(ISNUMBER(FIND(CODES!$A$10,BO30)),ISNUMBER(FIND(CODES!$A$11,BO30))),CODES!$A$13,IF(OR(BO30&lt;BO$63,ISNUMBER(BO30)=FALSE),BO$64,BO30))))</f>
      </c>
      <c r="BP82" s="9" t="str">
        <f>IF(ISBLANK(BP30),"NO DATA",IF(ISNUMBER(FIND(CODES!$A$12,BP30)),CODES!$A$12,IF(OR(ISNUMBER(FIND(CODES!$A$10,BP30)),ISNUMBER(FIND(CODES!$A$11,BP30))),CODES!$A$13,IF(OR(BP30&lt;BP$63,ISNUMBER(BP30)=FALSE),BP$64,BP30))))</f>
      </c>
      <c r="BQ82" s="9" t="str">
        <f>IF(ISBLANK(BQ30),"NO DATA",IF(ISNUMBER(FIND(CODES!$A$12,BQ30)),CODES!$A$12,IF(OR(ISNUMBER(FIND(CODES!$A$10,BQ30)),ISNUMBER(FIND(CODES!$A$11,BQ30))),CODES!$A$13,IF(OR(BQ30&lt;BQ$63,ISNUMBER(BQ30)=FALSE),BQ$64,BQ30))))</f>
      </c>
      <c r="BR82" s="9" t="str">
        <f>IF(ISBLANK(BR30),"NO DATA",IF(ISNUMBER(FIND(CODES!$A$12,BR30)),CODES!$A$12,IF(OR(ISNUMBER(FIND(CODES!$A$10,BR30)),ISNUMBER(FIND(CODES!$A$11,BR30))),CODES!$A$13,IF(OR(BR30&lt;BR$63,ISNUMBER(BR30)=FALSE),BR$64,BR30))))</f>
      </c>
      <c r="BS82" s="9" t="str">
        <f>IF(ISBLANK(BS30),"NO DATA",IF(ISNUMBER(FIND(CODES!$A$12,BS30)),CODES!$A$12,IF(OR(ISNUMBER(FIND(CODES!$A$10,BS30)),ISNUMBER(FIND(CODES!$A$11,BS30))),CODES!$A$13,IF(OR(BS30&lt;BS$63,ISNUMBER(BS30)=FALSE),BS$64,BS30))))</f>
      </c>
      <c r="BT82" s="9" t="str">
        <f>IF(ISBLANK(BT30),"NO DATA",IF(ISNUMBER(FIND(CODES!$A$12,BT30)),CODES!$A$12,IF(OR(ISNUMBER(FIND(CODES!$A$10,BT30)),ISNUMBER(FIND(CODES!$A$11,BT30))),CODES!$A$13,IF(OR(BT30&lt;BT$63,ISNUMBER(BT30)=FALSE),BT$64,BT30))))</f>
      </c>
      <c r="BU82" s="9" t="str">
        <f>IF(ISBLANK(BU30),"NO DATA",IF(ISNUMBER(FIND(CODES!$A$12,BU30)),CODES!$A$12,IF(OR(ISNUMBER(FIND(CODES!$A$10,BU30)),ISNUMBER(FIND(CODES!$A$11,BU30))),CODES!$A$13,IF(OR(BU30&lt;BU$63,ISNUMBER(BU30)=FALSE),BU$64,BU30))))</f>
      </c>
      <c r="BV82" s="9" t="str">
        <f>IF(ISBLANK(BV30),"NO DATA",IF(ISNUMBER(FIND(CODES!$A$12,BV30)),CODES!$A$12,IF(OR(ISNUMBER(FIND(CODES!$A$10,BV30)),ISNUMBER(FIND(CODES!$A$11,BV30))),CODES!$A$13,IF(OR(BV30&lt;BV$63,ISNUMBER(BV30)=FALSE),BV$64,BV30))))</f>
      </c>
      <c r="BW82" s="9" t="str">
        <f>IF(ISBLANK(BW30),"NO DATA",IF(ISNUMBER(FIND(CODES!$A$12,BW30)),CODES!$A$12,IF(OR(ISNUMBER(FIND(CODES!$A$10,BW30)),ISNUMBER(FIND(CODES!$A$11,BW30))),CODES!$A$13,IF(OR(BW30&lt;BW$63,ISNUMBER(BW30)=FALSE),BW$64,BW30))))</f>
      </c>
      <c r="BX82" s="9" t="str">
        <f>IF(ISBLANK(BX30),"NO DATA",IF(ISNUMBER(FIND(CODES!$A$12,BX30)),CODES!$A$12,IF(OR(ISNUMBER(FIND(CODES!$A$10,BX30)),ISNUMBER(FIND(CODES!$A$11,BX30))),CODES!$A$13,IF(OR(BX30&lt;BX$63,ISNUMBER(BX30)=FALSE),BX$64,BX30))))</f>
      </c>
      <c r="BY82" s="9" t="str">
        <f>IF(ISBLANK(BY30),"NO DATA",IF(ISNUMBER(FIND(CODES!$A$12,BY30)),CODES!$A$12,IF(OR(ISNUMBER(FIND(CODES!$A$10,BY30)),ISNUMBER(FIND(CODES!$A$11,BY30))),CODES!$A$13,IF(OR(BY30&lt;BY$63,ISNUMBER(BY30)=FALSE),BY$64,BY30))))</f>
      </c>
      <c r="BZ82" s="9" t="str">
        <f>IF(ISBLANK(BZ30),"NO DATA",IF(ISNUMBER(FIND(CODES!$A$12,BZ30)),CODES!$A$12,IF(OR(ISNUMBER(FIND(CODES!$A$10,BZ30)),ISNUMBER(FIND(CODES!$A$11,BZ30))),CODES!$A$13,IF(OR(BZ30&lt;BZ$63,ISNUMBER(BZ30)=FALSE),BZ$64,BZ30))))</f>
      </c>
      <c r="CA82" s="9" t="str">
        <f>IF(ISBLANK(CA30),"NO DATA",IF(ISNUMBER(FIND(CODES!$A$12,CA30)),CODES!$A$12,IF(OR(ISNUMBER(FIND(CODES!$A$10,CA30)),ISNUMBER(FIND(CODES!$A$11,CA30))),CODES!$A$13,IF(OR(CA30&lt;CA$63,ISNUMBER(CA30)=FALSE),CA$64,CA30))))</f>
      </c>
      <c r="CB82" s="9" t="str">
        <f>IF(ISBLANK(CB30),"NO DATA",IF(ISNUMBER(FIND(CODES!$A$12,CB30)),CODES!$A$12,IF(OR(ISNUMBER(FIND(CODES!$A$10,CB30)),ISNUMBER(FIND(CODES!$A$11,CB30))),CODES!$A$13,IF(OR(CB30&lt;CB$63,ISNUMBER(CB30)=FALSE),CB$64,CB30))))</f>
      </c>
      <c r="CC82" s="9" t="str">
        <f>IF(ISBLANK(CC30),"NO DATA",IF(ISNUMBER(FIND(CODES!$A$12,CC30)),CODES!$A$12,IF(OR(ISNUMBER(FIND(CODES!$A$10,CC30)),ISNUMBER(FIND(CODES!$A$11,CC30))),CODES!$A$13,IF(OR(CC30&lt;CC$63,ISNUMBER(CC30)=FALSE),CC$64,CC30))))</f>
      </c>
      <c r="CD82" s="9" t="str">
        <f>IF(ISBLANK(CD30),"NO DATA",IF(ISNUMBER(FIND(CODES!$A$12,CD30)),CODES!$A$12,IF(OR(ISNUMBER(FIND(CODES!$A$10,CD30)),ISNUMBER(FIND(CODES!$A$11,CD30))),CODES!$A$13,IF(OR(CD30&lt;CD$63,ISNUMBER(CD30)=FALSE),CD$64,CD30))))</f>
      </c>
      <c r="CE82" s="9" t="str">
        <f>IF(ISBLANK(CE30),"NO DATA",IF(ISNUMBER(FIND(CODES!$A$12,CE30)),CODES!$A$12,IF(OR(ISNUMBER(FIND(CODES!$A$10,CE30)),ISNUMBER(FIND(CODES!$A$11,CE30))),CODES!$A$13,IF(OR(CE30&lt;CE$63,ISNUMBER(CE30)=FALSE),CE$64,CE30))))</f>
      </c>
      <c r="CF82" s="9" t="str">
        <f>IF(ISBLANK(CF30),"NO DATA",IF(ISNUMBER(FIND(CODES!$A$12,CF30)),CODES!$A$12,IF(OR(ISNUMBER(FIND(CODES!$A$10,CF30)),ISNUMBER(FIND(CODES!$A$11,CF30))),CODES!$A$13,IF(OR(CF30&lt;CF$63,ISNUMBER(CF30)=FALSE),CF$64,CF30))))</f>
      </c>
      <c r="CG82" s="9" t="str">
        <f>IF(ISBLANK(CG30),"NO DATA",IF(ISNUMBER(FIND(CODES!$A$12,CG30)),CODES!$A$12,IF(OR(ISNUMBER(FIND(CODES!$A$10,CG30)),ISNUMBER(FIND(CODES!$A$11,CG30))),CODES!$A$13,IF(OR(CG30&lt;CG$63,ISNUMBER(CG30)=FALSE),CG$64,CG30))))</f>
      </c>
      <c r="CH82" s="9" t="str">
        <f>IF(ISBLANK(CH30),"NO DATA",IF(ISNUMBER(FIND(CODES!$A$12,CH30)),CODES!$A$12,IF(OR(ISNUMBER(FIND(CODES!$A$10,CH30)),ISNUMBER(FIND(CODES!$A$11,CH30))),CODES!$A$13,IF(OR(CH30&lt;CH$63,ISNUMBER(CH30)=FALSE),CH$64,CH30))))</f>
      </c>
      <c r="CI82" s="9" t="str">
        <f>IF(ISBLANK(CI30),"NO DATA",IF(ISNUMBER(FIND(CODES!$A$12,CI30)),CODES!$A$12,IF(OR(ISNUMBER(FIND(CODES!$A$10,CI30)),ISNUMBER(FIND(CODES!$A$11,CI30))),CODES!$A$13,IF(OR(CI30&lt;CI$63,ISNUMBER(CI30)=FALSE),CI$64,CI30))))</f>
      </c>
      <c r="CJ82" s="9" t="str">
        <f>IF(ISBLANK(CJ30),"NO DATA",IF(ISNUMBER(FIND(CODES!$A$12,CJ30)),CODES!$A$12,IF(OR(ISNUMBER(FIND(CODES!$A$10,CJ30)),ISNUMBER(FIND(CODES!$A$11,CJ30))),CODES!$A$13,IF(OR(CJ30&lt;CJ$63,ISNUMBER(CJ30)=FALSE),CJ$64,CJ30))))</f>
      </c>
      <c r="CK82" s="9" t="str">
        <f>IF(ISBLANK(CK30),"NO DATA",IF(ISNUMBER(FIND(CODES!$A$12,CK30)),CODES!$A$12,IF(OR(ISNUMBER(FIND(CODES!$A$10,CK30)),ISNUMBER(FIND(CODES!$A$11,CK30))),CODES!$A$13,IF(OR(CK30&lt;CK$63,ISNUMBER(CK30)=FALSE),CK$64,CK30))))</f>
      </c>
      <c r="CL82" s="9" t="str">
        <f>IF(ISBLANK(CL30),"NO DATA",IF(ISNUMBER(FIND(CODES!$A$12,CL30)),CODES!$A$12,IF(OR(ISNUMBER(FIND(CODES!$A$10,CL30)),ISNUMBER(FIND(CODES!$A$11,CL30))),CODES!$A$13,IF(OR(CL30&lt;CL$63,ISNUMBER(CL30)=FALSE),CL$64,CL30))))</f>
      </c>
      <c r="CM82" s="9" t="str">
        <f>IF(ISBLANK(CM30),"NO DATA",IF(ISNUMBER(FIND(CODES!$A$12,CM30)),CODES!$A$12,IF(OR(ISNUMBER(FIND(CODES!$A$10,CM30)),ISNUMBER(FIND(CODES!$A$11,CM30))),CODES!$A$13,IF(OR(CM30&lt;CM$63,ISNUMBER(CM30)=FALSE),CM$64,CM30))))</f>
      </c>
      <c r="CN82" s="9" t="str">
        <f>IF(ISBLANK(CN30),"NO DATA",IF(ISNUMBER(FIND(CODES!$A$12,CN30)),CODES!$A$12,IF(OR(ISNUMBER(FIND(CODES!$A$10,CN30)),ISNUMBER(FIND(CODES!$A$11,CN30))),CODES!$A$13,IF(OR(CN30&lt;CN$63,ISNUMBER(CN30)=FALSE),CN$64,CN30))))</f>
      </c>
      <c r="CO82" s="9" t="str">
        <f>IF(ISBLANK(CO30),"NO DATA",IF(ISNUMBER(FIND(CODES!$A$12,CO30)),CODES!$A$12,IF(OR(ISNUMBER(FIND(CODES!$A$10,CO30)),ISNUMBER(FIND(CODES!$A$11,CO30))),CODES!$A$13,IF(OR(CO30&lt;CO$63,ISNUMBER(CO30)=FALSE),CO$64,CO30))))</f>
      </c>
      <c r="CP82" s="9" t="str">
        <f>IF(ISBLANK(CP30),"NO DATA",IF(ISNUMBER(FIND(CODES!$A$12,CP30)),CODES!$A$12,IF(OR(ISNUMBER(FIND(CODES!$A$10,CP30)),ISNUMBER(FIND(CODES!$A$11,CP30))),CODES!$A$13,IF(OR(CP30&lt;CP$63,ISNUMBER(CP30)=FALSE),CP$64,CP30))))</f>
      </c>
      <c r="CQ82" s="9" t="str">
        <f>IF(ISBLANK(CQ30),"NO DATA",IF(ISNUMBER(FIND(CODES!$A$12,CQ30)),CODES!$A$12,IF(OR(ISNUMBER(FIND(CODES!$A$10,CQ30)),ISNUMBER(FIND(CODES!$A$11,CQ30))),CODES!$A$13,IF(OR(CQ30&lt;CQ$63,ISNUMBER(CQ30)=FALSE),CQ$64,CQ30))))</f>
      </c>
      <c r="CR82" s="9" t="str">
        <f>IF(ISBLANK(CR30),"NO DATA",IF(ISNUMBER(FIND(CODES!$A$12,CR30)),CODES!$A$12,IF(OR(ISNUMBER(FIND(CODES!$A$10,CR30)),ISNUMBER(FIND(CODES!$A$11,CR30))),CODES!$A$13,IF(OR(CR30&lt;CR$63,ISNUMBER(CR30)=FALSE),CR$64,CR30))))</f>
      </c>
      <c r="CS82" s="9" t="str">
        <f>IF(ISBLANK(CS30),"NO DATA",IF(ISNUMBER(FIND(CODES!$A$12,CS30)),CODES!$A$12,IF(OR(ISNUMBER(FIND(CODES!$A$10,CS30)),ISNUMBER(FIND(CODES!$A$11,CS30))),CODES!$A$13,IF(OR(CS30&lt;CS$63,ISNUMBER(CS30)=FALSE),CS$64,CS30))))</f>
      </c>
      <c r="CT82" s="9" t="str">
        <f>IF(ISBLANK(CT30),"NO DATA",IF(ISNUMBER(FIND(CODES!$A$12,CT30)),CODES!$A$12,IF(OR(ISNUMBER(FIND(CODES!$A$10,CT30)),ISNUMBER(FIND(CODES!$A$11,CT30))),CODES!$A$13,IF(OR(CT30&lt;CT$63,ISNUMBER(CT30)=FALSE),CT$64,CT30))))</f>
      </c>
      <c r="CU82" s="9" t="str">
        <f>IF(ISBLANK(CU30),"NO DATA",IF(ISNUMBER(FIND(CODES!$A$12,CU30)),CODES!$A$12,IF(OR(ISNUMBER(FIND(CODES!$A$10,CU30)),ISNUMBER(FIND(CODES!$A$11,CU30))),CODES!$A$13,IF(OR(CU30&lt;CU$63,ISNUMBER(CU30)=FALSE),CU$64,CU30))))</f>
      </c>
      <c r="CV82" s="9" t="str">
        <f>IF(ISBLANK(CV30),"NO DATA",IF(ISNUMBER(FIND(CODES!$A$12,CV30)),CODES!$A$12,IF(OR(ISNUMBER(FIND(CODES!$A$10,CV30)),ISNUMBER(FIND(CODES!$A$11,CV30))),CODES!$A$13,IF(OR(CV30&lt;CV$63,ISNUMBER(CV30)=FALSE),CV$64,CV30))))</f>
      </c>
      <c r="CW82" s="9" t="str">
        <f>IF(ISBLANK(CW30),"NO DATA",IF(ISNUMBER(FIND(CODES!$A$12,CW30)),CODES!$A$12,IF(OR(ISNUMBER(FIND(CODES!$A$10,CW30)),ISNUMBER(FIND(CODES!$A$11,CW30))),CODES!$A$13,IF(OR(CW30&lt;CW$63,ISNUMBER(CW30)=FALSE),CW$64,CW30))))</f>
      </c>
      <c r="CX82" s="9" t="str">
        <f>IF(ISBLANK(CX30),"NO DATA",IF(ISNUMBER(FIND(CODES!$A$12,CX30)),CODES!$A$12,IF(OR(ISNUMBER(FIND(CODES!$A$10,CX30)),ISNUMBER(FIND(CODES!$A$11,CX30))),CODES!$A$13,IF(OR(CX30&lt;CX$63,ISNUMBER(CX30)=FALSE),CX$64,CX30))))</f>
      </c>
      <c r="CY82" s="9" t="str">
        <f>IF(ISBLANK(CY30),"NO DATA",IF(ISNUMBER(FIND(CODES!$A$12,CY30)),CODES!$A$12,IF(OR(ISNUMBER(FIND(CODES!$A$10,CY30)),ISNUMBER(FIND(CODES!$A$11,CY30))),CODES!$A$13,IF(OR(CY30&lt;CY$63,ISNUMBER(CY30)=FALSE),CY$64,CY30))))</f>
      </c>
      <c r="CZ82" s="9" t="str">
        <f>IF(ISBLANK(CZ30),"NO DATA",IF(ISNUMBER(FIND(CODES!$A$12,CZ30)),CODES!$A$12,IF(OR(ISNUMBER(FIND(CODES!$A$10,CZ30)),ISNUMBER(FIND(CODES!$A$11,CZ30))),CODES!$A$13,IF(OR(CZ30&lt;CZ$63,ISNUMBER(CZ30)=FALSE),CZ$64,CZ30))))</f>
      </c>
      <c r="DA82" s="9" t="str">
        <f>IF(ISBLANK(DA30),"NO DATA",IF(ISNUMBER(FIND(CODES!$A$12,DA30)),CODES!$A$12,IF(OR(ISNUMBER(FIND(CODES!$A$10,DA30)),ISNUMBER(FIND(CODES!$A$11,DA30))),CODES!$A$13,IF(OR(DA30&lt;DA$63,ISNUMBER(DA30)=FALSE),DA$64,DA30))))</f>
      </c>
      <c r="DB82" s="9" t="str">
        <f>IF(ISBLANK(DB30),"NO DATA",IF(ISNUMBER(FIND(CODES!$A$12,DB30)),CODES!$A$12,IF(OR(ISNUMBER(FIND(CODES!$A$10,DB30)),ISNUMBER(FIND(CODES!$A$11,DB30))),CODES!$A$13,IF(OR(DB30&lt;DB$63,ISNUMBER(DB30)=FALSE),DB$64,DB30))))</f>
      </c>
      <c r="DC82" s="9" t="str">
        <f>IF(ISBLANK(DC30),"NO DATA",IF(ISNUMBER(FIND(CODES!$A$12,DC30)),CODES!$A$12,IF(OR(ISNUMBER(FIND(CODES!$A$10,DC30)),ISNUMBER(FIND(CODES!$A$11,DC30))),CODES!$A$13,IF(OR(DC30&lt;DC$63,ISNUMBER(DC30)=FALSE),DC$64,DC30))))</f>
      </c>
      <c r="DD82" s="9" t="str">
        <f>IF(ISBLANK(DD30),"NO DATA",IF(ISNUMBER(FIND(CODES!$A$12,DD30)),CODES!$A$12,IF(OR(ISNUMBER(FIND(CODES!$A$10,DD30)),ISNUMBER(FIND(CODES!$A$11,DD30))),CODES!$A$13,IF(OR(DD30&lt;DD$63,ISNUMBER(DD30)=FALSE),DD$64,DD30))))</f>
      </c>
      <c r="DE82" s="9" t="str">
        <f>IF(ISBLANK(DE30),"NO DATA",IF(ISNUMBER(FIND(CODES!$A$12,DE30)),CODES!$A$12,IF(OR(ISNUMBER(FIND(CODES!$A$10,DE30)),ISNUMBER(FIND(CODES!$A$11,DE30))),CODES!$A$13,IF(OR(DE30&lt;DE$63,ISNUMBER(DE30)=FALSE),DE$64,DE30))))</f>
      </c>
      <c r="DF82" s="9" t="str">
        <f>IF(ISBLANK(DF30),"NO DATA",IF(ISNUMBER(FIND(CODES!$A$12,DF30)),CODES!$A$12,IF(OR(ISNUMBER(FIND(CODES!$A$10,DF30)),ISNUMBER(FIND(CODES!$A$11,DF30))),CODES!$A$13,IF(OR(DF30&lt;DF$63,ISNUMBER(DF30)=FALSE),DF$64,DF30))))</f>
      </c>
      <c r="DG82" s="9" t="str">
        <f>IF(ISBLANK(DG30),"NO DATA",IF(ISNUMBER(FIND(CODES!$A$12,DG30)),CODES!$A$12,IF(OR(ISNUMBER(FIND(CODES!$A$10,DG30)),ISNUMBER(FIND(CODES!$A$11,DG30))),CODES!$A$13,IF(OR(DG30&lt;DG$63,ISNUMBER(DG30)=FALSE),DG$64,DG30))))</f>
      </c>
      <c r="DH82" s="9" t="str">
        <f>IF(ISBLANK(DH30),"NO DATA",IF(ISNUMBER(FIND(CODES!$A$12,DH30)),CODES!$A$12,IF(OR(ISNUMBER(FIND(CODES!$A$10,DH30)),ISNUMBER(FIND(CODES!$A$11,DH30))),CODES!$A$13,IF(OR(DH30&lt;DH$63,ISNUMBER(DH30)=FALSE),DH$64,DH30))))</f>
      </c>
      <c r="DI82" s="9" t="str">
        <f>IF(ISBLANK(DI30),"NO DATA",IF(ISNUMBER(FIND(CODES!$A$12,DI30)),CODES!$A$12,IF(OR(ISNUMBER(FIND(CODES!$A$10,DI30)),ISNUMBER(FIND(CODES!$A$11,DI30))),CODES!$A$13,IF(OR(DI30&lt;DI$63,ISNUMBER(DI30)=FALSE),DI$64,DI30))))</f>
      </c>
    </row>
    <row r="83" spans="1:113" x14ac:dyDescent="0.25">
      <c r="A83" s="20" t="str">
        <f t="shared" si="4"/>
      </c>
      <c r="B83" s="20">
        <f t="shared" si="4"/>
      </c>
      <c r="C83" s="9" t="str">
        <f>IF(ISBLANK(C31),"NO DATA",IF(ISNUMBER(FIND(CODES!$A$12,C31)),CODES!$A$12,IF(OR(ISNUMBER(FIND(CODES!$A$10,C31)),ISNUMBER(FIND(CODES!$A$11,C31))),CODES!$A$13,IF(OR(C31&lt;C$63,ISNUMBER(C31)=FALSE),C$64,C31))))</f>
      </c>
      <c r="D83" s="9" t="str">
        <f>IF(ISBLANK(D31),"NO DATA",IF(ISNUMBER(FIND(CODES!$A$12,D31)),CODES!$A$12,IF(OR(ISNUMBER(FIND(CODES!$A$10,D31)),ISNUMBER(FIND(CODES!$A$11,D31))),CODES!$A$13,IF(OR(D31&lt;D$63,ISNUMBER(D31)=FALSE),D$64,D31))))</f>
      </c>
      <c r="E83" s="9" t="str">
        <f>IF(ISBLANK(E31),"NO DATA",IF(ISNUMBER(FIND(CODES!$A$12,E31)),CODES!$A$12,IF(OR(ISNUMBER(FIND(CODES!$A$10,E31)),ISNUMBER(FIND(CODES!$A$11,E31))),CODES!$A$13,IF(OR(E31&lt;E$63,ISNUMBER(E31)=FALSE),E$64,E31))))</f>
      </c>
      <c r="F83" s="9" t="str">
        <f>IF(ISBLANK(F31),"NO DATA",IF(ISNUMBER(FIND(CODES!$A$12,F31)),CODES!$A$12,IF(OR(ISNUMBER(FIND(CODES!$A$10,F31)),ISNUMBER(FIND(CODES!$A$11,F31))),CODES!$A$13,IF(OR(F31&lt;F$63,ISNUMBER(F31)=FALSE),F$64,F31))))</f>
      </c>
      <c r="G83" s="9" t="str">
        <f>IF(ISBLANK(G31),"NO DATA",IF(ISNUMBER(FIND(CODES!$A$12,G31)),CODES!$A$12,IF(OR(ISNUMBER(FIND(CODES!$A$10,G31)),ISNUMBER(FIND(CODES!$A$11,G31))),CODES!$A$13,IF(OR(G31&lt;G$63,ISNUMBER(G31)=FALSE),G$64,G31))))</f>
      </c>
      <c r="H83" s="9" t="str">
        <f>IF(ISBLANK(H31),"NO DATA",IF(ISNUMBER(FIND(CODES!$A$12,H31)),CODES!$A$12,IF(OR(ISNUMBER(FIND(CODES!$A$10,H31)),ISNUMBER(FIND(CODES!$A$11,H31))),CODES!$A$13,IF(OR(H31&lt;H$63,ISNUMBER(H31)=FALSE),H$64,H31))))</f>
      </c>
      <c r="I83" s="9" t="str">
        <f>IF(ISBLANK(I31),"NO DATA",IF(ISNUMBER(FIND(CODES!$A$12,I31)),CODES!$A$12,IF(OR(ISNUMBER(FIND(CODES!$A$10,I31)),ISNUMBER(FIND(CODES!$A$11,I31))),CODES!$A$13,IF(OR(I31&lt;I$63,ISNUMBER(I31)=FALSE),I$64,I31))))</f>
      </c>
      <c r="J83" s="9" t="str">
        <f>IF(ISBLANK(J31),"NO DATA",IF(ISNUMBER(FIND(CODES!$A$12,J31)),CODES!$A$12,IF(OR(ISNUMBER(FIND(CODES!$A$10,J31)),ISNUMBER(FIND(CODES!$A$11,J31))),CODES!$A$13,IF(OR(J31&lt;J$63,ISNUMBER(J31)=FALSE),J$64,J31))))</f>
      </c>
      <c r="K83" s="9" t="str">
        <f>IF(ISBLANK(K31),"NO DATA",IF(ISNUMBER(FIND(CODES!$A$12,K31)),CODES!$A$12,IF(OR(ISNUMBER(FIND(CODES!$A$10,K31)),ISNUMBER(FIND(CODES!$A$11,K31))),CODES!$A$13,IF(OR(K31&lt;K$63,ISNUMBER(K31)=FALSE),K$64,K31))))</f>
      </c>
      <c r="L83" s="9" t="str">
        <f>IF(ISBLANK(L31),"NO DATA",IF(ISNUMBER(FIND(CODES!$A$12,L31)),CODES!$A$12,IF(OR(ISNUMBER(FIND(CODES!$A$10,L31)),ISNUMBER(FIND(CODES!$A$11,L31))),CODES!$A$13,IF(OR(L31&lt;L$63,ISNUMBER(L31)=FALSE),L$64,L31))))</f>
      </c>
      <c r="M83" s="9" t="str">
        <f>IF(ISBLANK(M31),"NO DATA",IF(ISNUMBER(FIND(CODES!$A$12,M31)),CODES!$A$12,IF(OR(ISNUMBER(FIND(CODES!$A$10,M31)),ISNUMBER(FIND(CODES!$A$11,M31))),CODES!$A$13,IF(OR(M31&lt;M$63,ISNUMBER(M31)=FALSE),M$64,M31))))</f>
      </c>
      <c r="N83" s="9" t="str">
        <f>IF(ISBLANK(N31),"NO DATA",IF(ISNUMBER(FIND(CODES!$A$12,N31)),CODES!$A$12,IF(OR(ISNUMBER(FIND(CODES!$A$10,N31)),ISNUMBER(FIND(CODES!$A$11,N31))),CODES!$A$13,IF(OR(N31&lt;N$63,ISNUMBER(N31)=FALSE),N$64,N31))))</f>
      </c>
      <c r="O83" s="9" t="str">
        <f>IF(ISBLANK(O31),"NO DATA",IF(ISNUMBER(FIND(CODES!$A$12,O31)),CODES!$A$12,IF(OR(ISNUMBER(FIND(CODES!$A$10,O31)),ISNUMBER(FIND(CODES!$A$11,O31))),CODES!$A$13,IF(OR(O31&lt;O$63,ISNUMBER(O31)=FALSE),O$64,O31))))</f>
      </c>
      <c r="P83" s="9" t="str">
        <f>IF(ISBLANK(P31),"NO DATA",IF(ISNUMBER(FIND(CODES!$A$12,P31)),CODES!$A$12,IF(OR(ISNUMBER(FIND(CODES!$A$10,P31)),ISNUMBER(FIND(CODES!$A$11,P31))),CODES!$A$13,IF(OR(P31&lt;P$63,ISNUMBER(P31)=FALSE),P$64,P31))))</f>
      </c>
      <c r="Q83" s="9" t="str">
        <f>IF(ISBLANK(Q31),"NO DATA",IF(ISNUMBER(FIND(CODES!$A$12,Q31)),CODES!$A$12,IF(OR(ISNUMBER(FIND(CODES!$A$10,Q31)),ISNUMBER(FIND(CODES!$A$11,Q31))),CODES!$A$13,IF(OR(Q31&lt;Q$63,ISNUMBER(Q31)=FALSE),Q$64,Q31))))</f>
      </c>
      <c r="R83" s="9" t="str">
        <f>IF(ISBLANK(R31),"NO DATA",IF(ISNUMBER(FIND(CODES!$A$12,R31)),CODES!$A$12,IF(OR(ISNUMBER(FIND(CODES!$A$10,R31)),ISNUMBER(FIND(CODES!$A$11,R31))),CODES!$A$13,IF(OR(R31&lt;R$63,ISNUMBER(R31)=FALSE),R$64,R31))))</f>
      </c>
      <c r="S83" s="9" t="str">
        <f>IF(ISBLANK(S31),"NO DATA",IF(ISNUMBER(FIND(CODES!$A$12,S31)),CODES!$A$12,IF(OR(ISNUMBER(FIND(CODES!$A$10,S31)),ISNUMBER(FIND(CODES!$A$11,S31))),CODES!$A$13,IF(OR(S31&lt;S$63,ISNUMBER(S31)=FALSE),S$64,S31))))</f>
      </c>
      <c r="T83" s="9" t="str">
        <f>IF(ISBLANK(T31),"NO DATA",IF(ISNUMBER(FIND(CODES!$A$12,T31)),CODES!$A$12,IF(OR(ISNUMBER(FIND(CODES!$A$10,T31)),ISNUMBER(FIND(CODES!$A$11,T31))),CODES!$A$13,IF(OR(T31&lt;T$63,ISNUMBER(T31)=FALSE),T$64,T31))))</f>
      </c>
      <c r="U83" s="9" t="str">
        <f>IF(ISBLANK(U31),"NO DATA",IF(ISNUMBER(FIND(CODES!$A$12,U31)),CODES!$A$12,IF(OR(ISNUMBER(FIND(CODES!$A$10,U31)),ISNUMBER(FIND(CODES!$A$11,U31))),CODES!$A$13,IF(OR(U31&lt;U$63,ISNUMBER(U31)=FALSE),U$64,U31))))</f>
      </c>
      <c r="V83" s="9" t="str">
        <f>IF(ISBLANK(V31),"NO DATA",IF(ISNUMBER(FIND(CODES!$A$12,V31)),CODES!$A$12,IF(OR(ISNUMBER(FIND(CODES!$A$10,V31)),ISNUMBER(FIND(CODES!$A$11,V31))),CODES!$A$13,IF(OR(V31&lt;V$63,ISNUMBER(V31)=FALSE),V$64,V31))))</f>
      </c>
      <c r="W83" s="9" t="str">
        <f>IF(ISBLANK(W31),"NO DATA",IF(ISNUMBER(FIND(CODES!$A$12,W31)),CODES!$A$12,IF(OR(ISNUMBER(FIND(CODES!$A$10,W31)),ISNUMBER(FIND(CODES!$A$11,W31))),CODES!$A$13,IF(OR(W31&lt;W$63,ISNUMBER(W31)=FALSE),W$64,W31))))</f>
      </c>
      <c r="X83" s="9" t="str">
        <f>IF(ISBLANK(X31),"NO DATA",IF(ISNUMBER(FIND(CODES!$A$12,X31)),CODES!$A$12,IF(OR(ISNUMBER(FIND(CODES!$A$10,X31)),ISNUMBER(FIND(CODES!$A$11,X31))),CODES!$A$13,IF(OR(X31&lt;X$63,ISNUMBER(X31)=FALSE),X$64,X31))))</f>
      </c>
      <c r="Y83" s="9" t="str">
        <f>IF(ISBLANK(Y31),"NO DATA",IF(ISNUMBER(FIND(CODES!$A$12,Y31)),CODES!$A$12,IF(OR(ISNUMBER(FIND(CODES!$A$10,Y31)),ISNUMBER(FIND(CODES!$A$11,Y31))),CODES!$A$13,IF(OR(Y31&lt;Y$63,ISNUMBER(Y31)=FALSE),Y$64,Y31))))</f>
      </c>
      <c r="Z83" s="9" t="str">
        <f>IF(ISBLANK(Z31),"NO DATA",IF(ISNUMBER(FIND(CODES!$A$12,Z31)),CODES!$A$12,IF(OR(ISNUMBER(FIND(CODES!$A$10,Z31)),ISNUMBER(FIND(CODES!$A$11,Z31))),CODES!$A$13,IF(OR(Z31&lt;Z$63,ISNUMBER(Z31)=FALSE),Z$64,Z31))))</f>
      </c>
      <c r="AA83" s="9" t="str">
        <f>IF(ISBLANK(AA31),"NO DATA",IF(ISNUMBER(FIND(CODES!$A$12,AA31)),CODES!$A$12,IF(OR(ISNUMBER(FIND(CODES!$A$10,AA31)),ISNUMBER(FIND(CODES!$A$11,AA31))),CODES!$A$13,IF(OR(AA31&lt;AA$63,ISNUMBER(AA31)=FALSE),AA$64,AA31))))</f>
      </c>
      <c r="AB83" s="9" t="str">
        <f>IF(ISBLANK(AB31),"NO DATA",IF(ISNUMBER(FIND(CODES!$A$12,AB31)),CODES!$A$12,IF(OR(ISNUMBER(FIND(CODES!$A$10,AB31)),ISNUMBER(FIND(CODES!$A$11,AB31))),CODES!$A$13,IF(OR(AB31&lt;AB$63,ISNUMBER(AB31)=FALSE),AB$64,AB31))))</f>
      </c>
      <c r="AC83" s="9" t="str">
        <f>IF(ISBLANK(AC31),"NO DATA",IF(ISNUMBER(FIND(CODES!$A$12,AC31)),CODES!$A$12,IF(OR(ISNUMBER(FIND(CODES!$A$10,AC31)),ISNUMBER(FIND(CODES!$A$11,AC31))),CODES!$A$13,IF(OR(AC31&lt;AC$63,ISNUMBER(AC31)=FALSE),AC$64,AC31))))</f>
      </c>
      <c r="AD83" s="9" t="str">
        <f>IF(ISBLANK(AD31),"NO DATA",IF(ISNUMBER(FIND(CODES!$A$12,AD31)),CODES!$A$12,IF(OR(ISNUMBER(FIND(CODES!$A$10,AD31)),ISNUMBER(FIND(CODES!$A$11,AD31))),CODES!$A$13,IF(OR(AD31&lt;AD$63,ISNUMBER(AD31)=FALSE),AD$64,AD31))))</f>
      </c>
      <c r="AE83" s="9" t="str">
        <f>IF(ISBLANK(AE31),"NO DATA",IF(ISNUMBER(FIND(CODES!$A$12,AE31)),CODES!$A$12,IF(OR(ISNUMBER(FIND(CODES!$A$10,AE31)),ISNUMBER(FIND(CODES!$A$11,AE31))),CODES!$A$13,IF(OR(AE31&lt;AE$63,ISNUMBER(AE31)=FALSE),AE$64,AE31))))</f>
      </c>
      <c r="AF83" s="9" t="str">
        <f>IF(ISBLANK(AF31),"NO DATA",IF(ISNUMBER(FIND(CODES!$A$12,AF31)),CODES!$A$12,IF(OR(ISNUMBER(FIND(CODES!$A$10,AF31)),ISNUMBER(FIND(CODES!$A$11,AF31))),CODES!$A$13,IF(OR(AF31&lt;AF$63,ISNUMBER(AF31)=FALSE),AF$64,AF31))))</f>
      </c>
      <c r="AG83" s="9" t="str">
        <f>IF(ISBLANK(AG31),"NO DATA",IF(ISNUMBER(FIND(CODES!$A$12,AG31)),CODES!$A$12,IF(OR(ISNUMBER(FIND(CODES!$A$10,AG31)),ISNUMBER(FIND(CODES!$A$11,AG31))),CODES!$A$13,IF(OR(AG31&lt;AG$63,ISNUMBER(AG31)=FALSE),AG$64,AG31))))</f>
      </c>
      <c r="AH83" s="9" t="str">
        <f>IF(ISBLANK(AH31),"NO DATA",IF(ISNUMBER(FIND(CODES!$A$12,AH31)),CODES!$A$12,IF(OR(ISNUMBER(FIND(CODES!$A$10,AH31)),ISNUMBER(FIND(CODES!$A$11,AH31))),CODES!$A$13,IF(OR(AH31&lt;AH$63,ISNUMBER(AH31)=FALSE),AH$64,AH31))))</f>
      </c>
      <c r="AI83" s="9" t="str">
        <f>IF(ISBLANK(AI31),"NO DATA",IF(ISNUMBER(FIND(CODES!$A$12,AI31)),CODES!$A$12,IF(OR(ISNUMBER(FIND(CODES!$A$10,AI31)),ISNUMBER(FIND(CODES!$A$11,AI31))),CODES!$A$13,IF(OR(AI31&lt;AI$63,ISNUMBER(AI31)=FALSE),AI$64,AI31))))</f>
      </c>
      <c r="AJ83" s="9" t="str">
        <f>IF(ISBLANK(AJ31),"NO DATA",IF(ISNUMBER(FIND(CODES!$A$12,AJ31)),CODES!$A$12,IF(OR(ISNUMBER(FIND(CODES!$A$10,AJ31)),ISNUMBER(FIND(CODES!$A$11,AJ31))),CODES!$A$13,IF(OR(AJ31&lt;AJ$63,ISNUMBER(AJ31)=FALSE),AJ$64,AJ31))))</f>
      </c>
      <c r="AK83" s="9" t="str">
        <f>IF(ISBLANK(AK31),"NO DATA",IF(ISNUMBER(FIND(CODES!$A$12,AK31)),CODES!$A$12,IF(OR(ISNUMBER(FIND(CODES!$A$10,AK31)),ISNUMBER(FIND(CODES!$A$11,AK31))),CODES!$A$13,IF(OR(AK31&lt;AK$63,ISNUMBER(AK31)=FALSE),AK$64,AK31))))</f>
      </c>
      <c r="AL83" s="9" t="str">
        <f>IF(ISBLANK(AL31),"NO DATA",IF(ISNUMBER(FIND(CODES!$A$12,AL31)),CODES!$A$12,IF(OR(ISNUMBER(FIND(CODES!$A$10,AL31)),ISNUMBER(FIND(CODES!$A$11,AL31))),CODES!$A$13,IF(OR(AL31&lt;AL$63,ISNUMBER(AL31)=FALSE),AL$64,AL31))))</f>
      </c>
      <c r="AM83" s="9" t="str">
        <f>IF(ISBLANK(AM31),"NO DATA",IF(ISNUMBER(FIND(CODES!$A$12,AM31)),CODES!$A$12,IF(OR(ISNUMBER(FIND(CODES!$A$10,AM31)),ISNUMBER(FIND(CODES!$A$11,AM31))),CODES!$A$13,IF(OR(AM31&lt;AM$63,ISNUMBER(AM31)=FALSE),AM$64,AM31))))</f>
      </c>
      <c r="AN83" s="9" t="str">
        <f>IF(ISBLANK(AN31),"NO DATA",IF(ISNUMBER(FIND(CODES!$A$12,AN31)),CODES!$A$12,IF(OR(ISNUMBER(FIND(CODES!$A$10,AN31)),ISNUMBER(FIND(CODES!$A$11,AN31))),CODES!$A$13,IF(OR(AN31&lt;AN$63,ISNUMBER(AN31)=FALSE),AN$64,AN31))))</f>
      </c>
      <c r="AO83" s="9" t="str">
        <f>IF(ISBLANK(AO31),"NO DATA",IF(ISNUMBER(FIND(CODES!$A$12,AO31)),CODES!$A$12,IF(OR(ISNUMBER(FIND(CODES!$A$10,AO31)),ISNUMBER(FIND(CODES!$A$11,AO31))),CODES!$A$13,IF(OR(AO31&lt;AO$63,ISNUMBER(AO31)=FALSE),AO$64,AO31))))</f>
      </c>
      <c r="AP83" s="9" t="str">
        <f>IF(ISBLANK(AP31),"NO DATA",IF(ISNUMBER(FIND(CODES!$A$12,AP31)),CODES!$A$12,IF(OR(ISNUMBER(FIND(CODES!$A$10,AP31)),ISNUMBER(FIND(CODES!$A$11,AP31))),CODES!$A$13,IF(OR(AP31&lt;AP$63,ISNUMBER(AP31)=FALSE),AP$64,AP31))))</f>
      </c>
      <c r="AQ83" s="9" t="str">
        <f>IF(ISBLANK(AQ31),"NO DATA",IF(ISNUMBER(FIND(CODES!$A$12,AQ31)),CODES!$A$12,IF(OR(ISNUMBER(FIND(CODES!$A$10,AQ31)),ISNUMBER(FIND(CODES!$A$11,AQ31))),CODES!$A$13,IF(OR(AQ31&lt;AQ$63,ISNUMBER(AQ31)=FALSE),AQ$64,AQ31))))</f>
      </c>
      <c r="AR83" s="9" t="str">
        <f>IF(ISBLANK(AR31),"NO DATA",IF(ISNUMBER(FIND(CODES!$A$12,AR31)),CODES!$A$12,IF(OR(ISNUMBER(FIND(CODES!$A$10,AR31)),ISNUMBER(FIND(CODES!$A$11,AR31))),CODES!$A$13,IF(OR(AR31&lt;AR$63,ISNUMBER(AR31)=FALSE),AR$64,AR31))))</f>
      </c>
      <c r="AS83" s="9" t="str">
        <f>IF(ISBLANK(AS31),"NO DATA",IF(ISNUMBER(FIND(CODES!$A$12,AS31)),CODES!$A$12,IF(OR(ISNUMBER(FIND(CODES!$A$10,AS31)),ISNUMBER(FIND(CODES!$A$11,AS31))),CODES!$A$13,IF(OR(AS31&lt;AS$63,ISNUMBER(AS31)=FALSE),AS$64,AS31))))</f>
      </c>
      <c r="AT83" s="9" t="str">
        <f>IF(ISBLANK(AT31),"NO DATA",IF(ISNUMBER(FIND(CODES!$A$12,AT31)),CODES!$A$12,IF(OR(ISNUMBER(FIND(CODES!$A$10,AT31)),ISNUMBER(FIND(CODES!$A$11,AT31))),CODES!$A$13,IF(OR(AT31&lt;AT$63,ISNUMBER(AT31)=FALSE),AT$64,AT31))))</f>
      </c>
      <c r="AU83" s="9" t="str">
        <f>IF(ISBLANK(AU31),"NO DATA",IF(ISNUMBER(FIND(CODES!$A$12,AU31)),CODES!$A$12,IF(OR(ISNUMBER(FIND(CODES!$A$10,AU31)),ISNUMBER(FIND(CODES!$A$11,AU31))),CODES!$A$13,IF(OR(AU31&lt;AU$63,ISNUMBER(AU31)=FALSE),AU$64,AU31))))</f>
      </c>
      <c r="AV83" s="9" t="str">
        <f>IF(ISBLANK(AV31),"NO DATA",IF(ISNUMBER(FIND(CODES!$A$12,AV31)),CODES!$A$12,IF(OR(ISNUMBER(FIND(CODES!$A$10,AV31)),ISNUMBER(FIND(CODES!$A$11,AV31))),CODES!$A$13,IF(OR(AV31&lt;AV$63,ISNUMBER(AV31)=FALSE),AV$64,AV31))))</f>
      </c>
      <c r="AW83" s="9" t="str">
        <f>IF(ISBLANK(AW31),"NO DATA",IF(ISNUMBER(FIND(CODES!$A$12,AW31)),CODES!$A$12,IF(OR(ISNUMBER(FIND(CODES!$A$10,AW31)),ISNUMBER(FIND(CODES!$A$11,AW31))),CODES!$A$13,IF(OR(AW31&lt;AW$63,ISNUMBER(AW31)=FALSE),AW$64,AW31))))</f>
      </c>
      <c r="AX83" s="9" t="str">
        <f>IF(ISBLANK(AX31),"NO DATA",IF(ISNUMBER(FIND(CODES!$A$12,AX31)),CODES!$A$12,IF(OR(ISNUMBER(FIND(CODES!$A$10,AX31)),ISNUMBER(FIND(CODES!$A$11,AX31))),CODES!$A$13,IF(OR(AX31&lt;AX$63,ISNUMBER(AX31)=FALSE),AX$64,AX31))))</f>
      </c>
      <c r="AY83" s="9" t="str">
        <f>IF(ISBLANK(AY31),"NO DATA",IF(ISNUMBER(FIND(CODES!$A$12,AY31)),CODES!$A$12,IF(OR(ISNUMBER(FIND(CODES!$A$10,AY31)),ISNUMBER(FIND(CODES!$A$11,AY31))),CODES!$A$13,IF(OR(AY31&lt;AY$63,ISNUMBER(AY31)=FALSE),AY$64,AY31))))</f>
      </c>
      <c r="AZ83" s="9" t="str">
        <f>IF(ISBLANK(AZ31),"NO DATA",IF(ISNUMBER(FIND(CODES!$A$12,AZ31)),CODES!$A$12,IF(OR(ISNUMBER(FIND(CODES!$A$10,AZ31)),ISNUMBER(FIND(CODES!$A$11,AZ31))),CODES!$A$13,IF(OR(AZ31&lt;AZ$63,ISNUMBER(AZ31)=FALSE),AZ$64,AZ31))))</f>
      </c>
      <c r="BA83" s="9" t="str">
        <f>IF(ISBLANK(BA31),"NO DATA",IF(ISNUMBER(FIND(CODES!$A$12,BA31)),CODES!$A$12,IF(OR(ISNUMBER(FIND(CODES!$A$10,BA31)),ISNUMBER(FIND(CODES!$A$11,BA31))),CODES!$A$13,IF(OR(BA31&lt;BA$63,ISNUMBER(BA31)=FALSE),BA$64,BA31))))</f>
      </c>
      <c r="BB83" s="9" t="str">
        <f>IF(ISBLANK(BB31),"NO DATA",IF(ISNUMBER(FIND(CODES!$A$12,BB31)),CODES!$A$12,IF(OR(ISNUMBER(FIND(CODES!$A$10,BB31)),ISNUMBER(FIND(CODES!$A$11,BB31))),CODES!$A$13,IF(OR(BB31&lt;BB$63,ISNUMBER(BB31)=FALSE),BB$64,BB31))))</f>
      </c>
      <c r="BC83" s="9" t="str">
        <f>IF(ISBLANK(BC31),"NO DATA",IF(ISNUMBER(FIND(CODES!$A$12,BC31)),CODES!$A$12,IF(OR(ISNUMBER(FIND(CODES!$A$10,BC31)),ISNUMBER(FIND(CODES!$A$11,BC31))),CODES!$A$13,IF(OR(BC31&lt;BC$63,ISNUMBER(BC31)=FALSE),BC$64,BC31))))</f>
      </c>
      <c r="BD83" s="9" t="str">
        <f>IF(ISBLANK(BD31),"NO DATA",IF(ISNUMBER(FIND(CODES!$A$12,BD31)),CODES!$A$12,IF(OR(ISNUMBER(FIND(CODES!$A$10,BD31)),ISNUMBER(FIND(CODES!$A$11,BD31))),CODES!$A$13,IF(OR(BD31&lt;BD$63,ISNUMBER(BD31)=FALSE),BD$64,BD31))))</f>
      </c>
      <c r="BE83" s="9" t="str">
        <f>IF(ISBLANK(BE31),"NO DATA",IF(ISNUMBER(FIND(CODES!$A$12,BE31)),CODES!$A$12,IF(OR(ISNUMBER(FIND(CODES!$A$10,BE31)),ISNUMBER(FIND(CODES!$A$11,BE31))),CODES!$A$13,IF(OR(BE31&lt;BE$63,ISNUMBER(BE31)=FALSE),BE$64,BE31))))</f>
      </c>
      <c r="BF83" s="9" t="str">
        <f>IF(ISBLANK(BF31),"NO DATA",IF(ISNUMBER(FIND(CODES!$A$12,BF31)),CODES!$A$12,IF(OR(ISNUMBER(FIND(CODES!$A$10,BF31)),ISNUMBER(FIND(CODES!$A$11,BF31))),CODES!$A$13,IF(OR(BF31&lt;BF$63,ISNUMBER(BF31)=FALSE),BF$64,BF31))))</f>
      </c>
      <c r="BG83" s="9" t="str">
        <f>IF(ISBLANK(BG31),"NO DATA",IF(ISNUMBER(FIND(CODES!$A$12,BG31)),CODES!$A$12,IF(OR(ISNUMBER(FIND(CODES!$A$10,BG31)),ISNUMBER(FIND(CODES!$A$11,BG31))),CODES!$A$13,IF(OR(BG31&lt;BG$63,ISNUMBER(BG31)=FALSE),BG$64,BG31))))</f>
      </c>
      <c r="BH83" s="9" t="str">
        <f>IF(ISBLANK(BH31),"NO DATA",IF(ISNUMBER(FIND(CODES!$A$12,BH31)),CODES!$A$12,IF(OR(ISNUMBER(FIND(CODES!$A$10,BH31)),ISNUMBER(FIND(CODES!$A$11,BH31))),CODES!$A$13,IF(OR(BH31&lt;BH$63,ISNUMBER(BH31)=FALSE),BH$64,BH31))))</f>
      </c>
      <c r="BI83" s="9" t="str">
        <f>IF(ISBLANK(BI31),"NO DATA",IF(ISNUMBER(FIND(CODES!$A$12,BI31)),CODES!$A$12,IF(OR(ISNUMBER(FIND(CODES!$A$10,BI31)),ISNUMBER(FIND(CODES!$A$11,BI31))),CODES!$A$13,IF(OR(BI31&lt;BI$63,ISNUMBER(BI31)=FALSE),BI$64,BI31))))</f>
      </c>
      <c r="BJ83" s="9" t="str">
        <f>IF(ISBLANK(BJ31),"NO DATA",IF(ISNUMBER(FIND(CODES!$A$12,BJ31)),CODES!$A$12,IF(OR(ISNUMBER(FIND(CODES!$A$10,BJ31)),ISNUMBER(FIND(CODES!$A$11,BJ31))),CODES!$A$13,IF(OR(BJ31&lt;BJ$63,ISNUMBER(BJ31)=FALSE),BJ$64,BJ31))))</f>
      </c>
      <c r="BK83" s="9" t="str">
        <f>IF(ISBLANK(BK31),"NO DATA",IF(ISNUMBER(FIND(CODES!$A$12,BK31)),CODES!$A$12,IF(OR(ISNUMBER(FIND(CODES!$A$10,BK31)),ISNUMBER(FIND(CODES!$A$11,BK31))),CODES!$A$13,IF(OR(BK31&lt;BK$63,ISNUMBER(BK31)=FALSE),BK$64,BK31))))</f>
      </c>
      <c r="BL83" s="9" t="str">
        <f>IF(ISBLANK(BL31),"NO DATA",IF(ISNUMBER(FIND(CODES!$A$12,BL31)),CODES!$A$12,IF(OR(ISNUMBER(FIND(CODES!$A$10,BL31)),ISNUMBER(FIND(CODES!$A$11,BL31))),CODES!$A$13,IF(OR(BL31&lt;BL$63,ISNUMBER(BL31)=FALSE),BL$64,BL31))))</f>
      </c>
      <c r="BM83" s="9" t="str">
        <f>IF(ISBLANK(BM31),"NO DATA",IF(ISNUMBER(FIND(CODES!$A$12,BM31)),CODES!$A$12,IF(OR(ISNUMBER(FIND(CODES!$A$10,BM31)),ISNUMBER(FIND(CODES!$A$11,BM31))),CODES!$A$13,IF(OR(BM31&lt;BM$63,ISNUMBER(BM31)=FALSE),BM$64,BM31))))</f>
      </c>
      <c r="BN83" s="9" t="str">
        <f>IF(ISBLANK(BN31),"NO DATA",IF(ISNUMBER(FIND(CODES!$A$12,BN31)),CODES!$A$12,IF(OR(ISNUMBER(FIND(CODES!$A$10,BN31)),ISNUMBER(FIND(CODES!$A$11,BN31))),CODES!$A$13,IF(OR(BN31&lt;BN$63,ISNUMBER(BN31)=FALSE),BN$64,BN31))))</f>
      </c>
      <c r="BO83" s="9" t="str">
        <f>IF(ISBLANK(BO31),"NO DATA",IF(ISNUMBER(FIND(CODES!$A$12,BO31)),CODES!$A$12,IF(OR(ISNUMBER(FIND(CODES!$A$10,BO31)),ISNUMBER(FIND(CODES!$A$11,BO31))),CODES!$A$13,IF(OR(BO31&lt;BO$63,ISNUMBER(BO31)=FALSE),BO$64,BO31))))</f>
      </c>
      <c r="BP83" s="9" t="str">
        <f>IF(ISBLANK(BP31),"NO DATA",IF(ISNUMBER(FIND(CODES!$A$12,BP31)),CODES!$A$12,IF(OR(ISNUMBER(FIND(CODES!$A$10,BP31)),ISNUMBER(FIND(CODES!$A$11,BP31))),CODES!$A$13,IF(OR(BP31&lt;BP$63,ISNUMBER(BP31)=FALSE),BP$64,BP31))))</f>
      </c>
      <c r="BQ83" s="9" t="str">
        <f>IF(ISBLANK(BQ31),"NO DATA",IF(ISNUMBER(FIND(CODES!$A$12,BQ31)),CODES!$A$12,IF(OR(ISNUMBER(FIND(CODES!$A$10,BQ31)),ISNUMBER(FIND(CODES!$A$11,BQ31))),CODES!$A$13,IF(OR(BQ31&lt;BQ$63,ISNUMBER(BQ31)=FALSE),BQ$64,BQ31))))</f>
      </c>
      <c r="BR83" s="9" t="str">
        <f>IF(ISBLANK(BR31),"NO DATA",IF(ISNUMBER(FIND(CODES!$A$12,BR31)),CODES!$A$12,IF(OR(ISNUMBER(FIND(CODES!$A$10,BR31)),ISNUMBER(FIND(CODES!$A$11,BR31))),CODES!$A$13,IF(OR(BR31&lt;BR$63,ISNUMBER(BR31)=FALSE),BR$64,BR31))))</f>
      </c>
      <c r="BS83" s="9" t="str">
        <f>IF(ISBLANK(BS31),"NO DATA",IF(ISNUMBER(FIND(CODES!$A$12,BS31)),CODES!$A$12,IF(OR(ISNUMBER(FIND(CODES!$A$10,BS31)),ISNUMBER(FIND(CODES!$A$11,BS31))),CODES!$A$13,IF(OR(BS31&lt;BS$63,ISNUMBER(BS31)=FALSE),BS$64,BS31))))</f>
      </c>
      <c r="BT83" s="9" t="str">
        <f>IF(ISBLANK(BT31),"NO DATA",IF(ISNUMBER(FIND(CODES!$A$12,BT31)),CODES!$A$12,IF(OR(ISNUMBER(FIND(CODES!$A$10,BT31)),ISNUMBER(FIND(CODES!$A$11,BT31))),CODES!$A$13,IF(OR(BT31&lt;BT$63,ISNUMBER(BT31)=FALSE),BT$64,BT31))))</f>
      </c>
      <c r="BU83" s="9" t="str">
        <f>IF(ISBLANK(BU31),"NO DATA",IF(ISNUMBER(FIND(CODES!$A$12,BU31)),CODES!$A$12,IF(OR(ISNUMBER(FIND(CODES!$A$10,BU31)),ISNUMBER(FIND(CODES!$A$11,BU31))),CODES!$A$13,IF(OR(BU31&lt;BU$63,ISNUMBER(BU31)=FALSE),BU$64,BU31))))</f>
      </c>
      <c r="BV83" s="9" t="str">
        <f>IF(ISBLANK(BV31),"NO DATA",IF(ISNUMBER(FIND(CODES!$A$12,BV31)),CODES!$A$12,IF(OR(ISNUMBER(FIND(CODES!$A$10,BV31)),ISNUMBER(FIND(CODES!$A$11,BV31))),CODES!$A$13,IF(OR(BV31&lt;BV$63,ISNUMBER(BV31)=FALSE),BV$64,BV31))))</f>
      </c>
      <c r="BW83" s="9" t="str">
        <f>IF(ISBLANK(BW31),"NO DATA",IF(ISNUMBER(FIND(CODES!$A$12,BW31)),CODES!$A$12,IF(OR(ISNUMBER(FIND(CODES!$A$10,BW31)),ISNUMBER(FIND(CODES!$A$11,BW31))),CODES!$A$13,IF(OR(BW31&lt;BW$63,ISNUMBER(BW31)=FALSE),BW$64,BW31))))</f>
      </c>
      <c r="BX83" s="9" t="str">
        <f>IF(ISBLANK(BX31),"NO DATA",IF(ISNUMBER(FIND(CODES!$A$12,BX31)),CODES!$A$12,IF(OR(ISNUMBER(FIND(CODES!$A$10,BX31)),ISNUMBER(FIND(CODES!$A$11,BX31))),CODES!$A$13,IF(OR(BX31&lt;BX$63,ISNUMBER(BX31)=FALSE),BX$64,BX31))))</f>
      </c>
      <c r="BY83" s="9" t="str">
        <f>IF(ISBLANK(BY31),"NO DATA",IF(ISNUMBER(FIND(CODES!$A$12,BY31)),CODES!$A$12,IF(OR(ISNUMBER(FIND(CODES!$A$10,BY31)),ISNUMBER(FIND(CODES!$A$11,BY31))),CODES!$A$13,IF(OR(BY31&lt;BY$63,ISNUMBER(BY31)=FALSE),BY$64,BY31))))</f>
      </c>
      <c r="BZ83" s="9" t="str">
        <f>IF(ISBLANK(BZ31),"NO DATA",IF(ISNUMBER(FIND(CODES!$A$12,BZ31)),CODES!$A$12,IF(OR(ISNUMBER(FIND(CODES!$A$10,BZ31)),ISNUMBER(FIND(CODES!$A$11,BZ31))),CODES!$A$13,IF(OR(BZ31&lt;BZ$63,ISNUMBER(BZ31)=FALSE),BZ$64,BZ31))))</f>
      </c>
      <c r="CA83" s="9" t="str">
        <f>IF(ISBLANK(CA31),"NO DATA",IF(ISNUMBER(FIND(CODES!$A$12,CA31)),CODES!$A$12,IF(OR(ISNUMBER(FIND(CODES!$A$10,CA31)),ISNUMBER(FIND(CODES!$A$11,CA31))),CODES!$A$13,IF(OR(CA31&lt;CA$63,ISNUMBER(CA31)=FALSE),CA$64,CA31))))</f>
      </c>
      <c r="CB83" s="9" t="str">
        <f>IF(ISBLANK(CB31),"NO DATA",IF(ISNUMBER(FIND(CODES!$A$12,CB31)),CODES!$A$12,IF(OR(ISNUMBER(FIND(CODES!$A$10,CB31)),ISNUMBER(FIND(CODES!$A$11,CB31))),CODES!$A$13,IF(OR(CB31&lt;CB$63,ISNUMBER(CB31)=FALSE),CB$64,CB31))))</f>
      </c>
      <c r="CC83" s="9" t="str">
        <f>IF(ISBLANK(CC31),"NO DATA",IF(ISNUMBER(FIND(CODES!$A$12,CC31)),CODES!$A$12,IF(OR(ISNUMBER(FIND(CODES!$A$10,CC31)),ISNUMBER(FIND(CODES!$A$11,CC31))),CODES!$A$13,IF(OR(CC31&lt;CC$63,ISNUMBER(CC31)=FALSE),CC$64,CC31))))</f>
      </c>
      <c r="CD83" s="9" t="str">
        <f>IF(ISBLANK(CD31),"NO DATA",IF(ISNUMBER(FIND(CODES!$A$12,CD31)),CODES!$A$12,IF(OR(ISNUMBER(FIND(CODES!$A$10,CD31)),ISNUMBER(FIND(CODES!$A$11,CD31))),CODES!$A$13,IF(OR(CD31&lt;CD$63,ISNUMBER(CD31)=FALSE),CD$64,CD31))))</f>
      </c>
      <c r="CE83" s="9" t="str">
        <f>IF(ISBLANK(CE31),"NO DATA",IF(ISNUMBER(FIND(CODES!$A$12,CE31)),CODES!$A$12,IF(OR(ISNUMBER(FIND(CODES!$A$10,CE31)),ISNUMBER(FIND(CODES!$A$11,CE31))),CODES!$A$13,IF(OR(CE31&lt;CE$63,ISNUMBER(CE31)=FALSE),CE$64,CE31))))</f>
      </c>
      <c r="CF83" s="9" t="str">
        <f>IF(ISBLANK(CF31),"NO DATA",IF(ISNUMBER(FIND(CODES!$A$12,CF31)),CODES!$A$12,IF(OR(ISNUMBER(FIND(CODES!$A$10,CF31)),ISNUMBER(FIND(CODES!$A$11,CF31))),CODES!$A$13,IF(OR(CF31&lt;CF$63,ISNUMBER(CF31)=FALSE),CF$64,CF31))))</f>
      </c>
      <c r="CG83" s="9" t="str">
        <f>IF(ISBLANK(CG31),"NO DATA",IF(ISNUMBER(FIND(CODES!$A$12,CG31)),CODES!$A$12,IF(OR(ISNUMBER(FIND(CODES!$A$10,CG31)),ISNUMBER(FIND(CODES!$A$11,CG31))),CODES!$A$13,IF(OR(CG31&lt;CG$63,ISNUMBER(CG31)=FALSE),CG$64,CG31))))</f>
      </c>
      <c r="CH83" s="9" t="str">
        <f>IF(ISBLANK(CH31),"NO DATA",IF(ISNUMBER(FIND(CODES!$A$12,CH31)),CODES!$A$12,IF(OR(ISNUMBER(FIND(CODES!$A$10,CH31)),ISNUMBER(FIND(CODES!$A$11,CH31))),CODES!$A$13,IF(OR(CH31&lt;CH$63,ISNUMBER(CH31)=FALSE),CH$64,CH31))))</f>
      </c>
      <c r="CI83" s="9" t="str">
        <f>IF(ISBLANK(CI31),"NO DATA",IF(ISNUMBER(FIND(CODES!$A$12,CI31)),CODES!$A$12,IF(OR(ISNUMBER(FIND(CODES!$A$10,CI31)),ISNUMBER(FIND(CODES!$A$11,CI31))),CODES!$A$13,IF(OR(CI31&lt;CI$63,ISNUMBER(CI31)=FALSE),CI$64,CI31))))</f>
      </c>
      <c r="CJ83" s="9" t="str">
        <f>IF(ISBLANK(CJ31),"NO DATA",IF(ISNUMBER(FIND(CODES!$A$12,CJ31)),CODES!$A$12,IF(OR(ISNUMBER(FIND(CODES!$A$10,CJ31)),ISNUMBER(FIND(CODES!$A$11,CJ31))),CODES!$A$13,IF(OR(CJ31&lt;CJ$63,ISNUMBER(CJ31)=FALSE),CJ$64,CJ31))))</f>
      </c>
      <c r="CK83" s="9" t="str">
        <f>IF(ISBLANK(CK31),"NO DATA",IF(ISNUMBER(FIND(CODES!$A$12,CK31)),CODES!$A$12,IF(OR(ISNUMBER(FIND(CODES!$A$10,CK31)),ISNUMBER(FIND(CODES!$A$11,CK31))),CODES!$A$13,IF(OR(CK31&lt;CK$63,ISNUMBER(CK31)=FALSE),CK$64,CK31))))</f>
      </c>
      <c r="CL83" s="9" t="str">
        <f>IF(ISBLANK(CL31),"NO DATA",IF(ISNUMBER(FIND(CODES!$A$12,CL31)),CODES!$A$12,IF(OR(ISNUMBER(FIND(CODES!$A$10,CL31)),ISNUMBER(FIND(CODES!$A$11,CL31))),CODES!$A$13,IF(OR(CL31&lt;CL$63,ISNUMBER(CL31)=FALSE),CL$64,CL31))))</f>
      </c>
      <c r="CM83" s="9" t="str">
        <f>IF(ISBLANK(CM31),"NO DATA",IF(ISNUMBER(FIND(CODES!$A$12,CM31)),CODES!$A$12,IF(OR(ISNUMBER(FIND(CODES!$A$10,CM31)),ISNUMBER(FIND(CODES!$A$11,CM31))),CODES!$A$13,IF(OR(CM31&lt;CM$63,ISNUMBER(CM31)=FALSE),CM$64,CM31))))</f>
      </c>
      <c r="CN83" s="9" t="str">
        <f>IF(ISBLANK(CN31),"NO DATA",IF(ISNUMBER(FIND(CODES!$A$12,CN31)),CODES!$A$12,IF(OR(ISNUMBER(FIND(CODES!$A$10,CN31)),ISNUMBER(FIND(CODES!$A$11,CN31))),CODES!$A$13,IF(OR(CN31&lt;CN$63,ISNUMBER(CN31)=FALSE),CN$64,CN31))))</f>
      </c>
      <c r="CO83" s="9" t="str">
        <f>IF(ISBLANK(CO31),"NO DATA",IF(ISNUMBER(FIND(CODES!$A$12,CO31)),CODES!$A$12,IF(OR(ISNUMBER(FIND(CODES!$A$10,CO31)),ISNUMBER(FIND(CODES!$A$11,CO31))),CODES!$A$13,IF(OR(CO31&lt;CO$63,ISNUMBER(CO31)=FALSE),CO$64,CO31))))</f>
      </c>
      <c r="CP83" s="9" t="str">
        <f>IF(ISBLANK(CP31),"NO DATA",IF(ISNUMBER(FIND(CODES!$A$12,CP31)),CODES!$A$12,IF(OR(ISNUMBER(FIND(CODES!$A$10,CP31)),ISNUMBER(FIND(CODES!$A$11,CP31))),CODES!$A$13,IF(OR(CP31&lt;CP$63,ISNUMBER(CP31)=FALSE),CP$64,CP31))))</f>
      </c>
      <c r="CQ83" s="9" t="str">
        <f>IF(ISBLANK(CQ31),"NO DATA",IF(ISNUMBER(FIND(CODES!$A$12,CQ31)),CODES!$A$12,IF(OR(ISNUMBER(FIND(CODES!$A$10,CQ31)),ISNUMBER(FIND(CODES!$A$11,CQ31))),CODES!$A$13,IF(OR(CQ31&lt;CQ$63,ISNUMBER(CQ31)=FALSE),CQ$64,CQ31))))</f>
      </c>
      <c r="CR83" s="9" t="str">
        <f>IF(ISBLANK(CR31),"NO DATA",IF(ISNUMBER(FIND(CODES!$A$12,CR31)),CODES!$A$12,IF(OR(ISNUMBER(FIND(CODES!$A$10,CR31)),ISNUMBER(FIND(CODES!$A$11,CR31))),CODES!$A$13,IF(OR(CR31&lt;CR$63,ISNUMBER(CR31)=FALSE),CR$64,CR31))))</f>
      </c>
      <c r="CS83" s="9" t="str">
        <f>IF(ISBLANK(CS31),"NO DATA",IF(ISNUMBER(FIND(CODES!$A$12,CS31)),CODES!$A$12,IF(OR(ISNUMBER(FIND(CODES!$A$10,CS31)),ISNUMBER(FIND(CODES!$A$11,CS31))),CODES!$A$13,IF(OR(CS31&lt;CS$63,ISNUMBER(CS31)=FALSE),CS$64,CS31))))</f>
      </c>
      <c r="CT83" s="9" t="str">
        <f>IF(ISBLANK(CT31),"NO DATA",IF(ISNUMBER(FIND(CODES!$A$12,CT31)),CODES!$A$12,IF(OR(ISNUMBER(FIND(CODES!$A$10,CT31)),ISNUMBER(FIND(CODES!$A$11,CT31))),CODES!$A$13,IF(OR(CT31&lt;CT$63,ISNUMBER(CT31)=FALSE),CT$64,CT31))))</f>
      </c>
      <c r="CU83" s="9" t="str">
        <f>IF(ISBLANK(CU31),"NO DATA",IF(ISNUMBER(FIND(CODES!$A$12,CU31)),CODES!$A$12,IF(OR(ISNUMBER(FIND(CODES!$A$10,CU31)),ISNUMBER(FIND(CODES!$A$11,CU31))),CODES!$A$13,IF(OR(CU31&lt;CU$63,ISNUMBER(CU31)=FALSE),CU$64,CU31))))</f>
      </c>
      <c r="CV83" s="9" t="str">
        <f>IF(ISBLANK(CV31),"NO DATA",IF(ISNUMBER(FIND(CODES!$A$12,CV31)),CODES!$A$12,IF(OR(ISNUMBER(FIND(CODES!$A$10,CV31)),ISNUMBER(FIND(CODES!$A$11,CV31))),CODES!$A$13,IF(OR(CV31&lt;CV$63,ISNUMBER(CV31)=FALSE),CV$64,CV31))))</f>
      </c>
      <c r="CW83" s="9" t="str">
        <f>IF(ISBLANK(CW31),"NO DATA",IF(ISNUMBER(FIND(CODES!$A$12,CW31)),CODES!$A$12,IF(OR(ISNUMBER(FIND(CODES!$A$10,CW31)),ISNUMBER(FIND(CODES!$A$11,CW31))),CODES!$A$13,IF(OR(CW31&lt;CW$63,ISNUMBER(CW31)=FALSE),CW$64,CW31))))</f>
      </c>
      <c r="CX83" s="9" t="str">
        <f>IF(ISBLANK(CX31),"NO DATA",IF(ISNUMBER(FIND(CODES!$A$12,CX31)),CODES!$A$12,IF(OR(ISNUMBER(FIND(CODES!$A$10,CX31)),ISNUMBER(FIND(CODES!$A$11,CX31))),CODES!$A$13,IF(OR(CX31&lt;CX$63,ISNUMBER(CX31)=FALSE),CX$64,CX31))))</f>
      </c>
      <c r="CY83" s="9" t="str">
        <f>IF(ISBLANK(CY31),"NO DATA",IF(ISNUMBER(FIND(CODES!$A$12,CY31)),CODES!$A$12,IF(OR(ISNUMBER(FIND(CODES!$A$10,CY31)),ISNUMBER(FIND(CODES!$A$11,CY31))),CODES!$A$13,IF(OR(CY31&lt;CY$63,ISNUMBER(CY31)=FALSE),CY$64,CY31))))</f>
      </c>
      <c r="CZ83" s="9" t="str">
        <f>IF(ISBLANK(CZ31),"NO DATA",IF(ISNUMBER(FIND(CODES!$A$12,CZ31)),CODES!$A$12,IF(OR(ISNUMBER(FIND(CODES!$A$10,CZ31)),ISNUMBER(FIND(CODES!$A$11,CZ31))),CODES!$A$13,IF(OR(CZ31&lt;CZ$63,ISNUMBER(CZ31)=FALSE),CZ$64,CZ31))))</f>
      </c>
      <c r="DA83" s="9" t="str">
        <f>IF(ISBLANK(DA31),"NO DATA",IF(ISNUMBER(FIND(CODES!$A$12,DA31)),CODES!$A$12,IF(OR(ISNUMBER(FIND(CODES!$A$10,DA31)),ISNUMBER(FIND(CODES!$A$11,DA31))),CODES!$A$13,IF(OR(DA31&lt;DA$63,ISNUMBER(DA31)=FALSE),DA$64,DA31))))</f>
      </c>
      <c r="DB83" s="9" t="str">
        <f>IF(ISBLANK(DB31),"NO DATA",IF(ISNUMBER(FIND(CODES!$A$12,DB31)),CODES!$A$12,IF(OR(ISNUMBER(FIND(CODES!$A$10,DB31)),ISNUMBER(FIND(CODES!$A$11,DB31))),CODES!$A$13,IF(OR(DB31&lt;DB$63,ISNUMBER(DB31)=FALSE),DB$64,DB31))))</f>
      </c>
      <c r="DC83" s="9" t="str">
        <f>IF(ISBLANK(DC31),"NO DATA",IF(ISNUMBER(FIND(CODES!$A$12,DC31)),CODES!$A$12,IF(OR(ISNUMBER(FIND(CODES!$A$10,DC31)),ISNUMBER(FIND(CODES!$A$11,DC31))),CODES!$A$13,IF(OR(DC31&lt;DC$63,ISNUMBER(DC31)=FALSE),DC$64,DC31))))</f>
      </c>
      <c r="DD83" s="9" t="str">
        <f>IF(ISBLANK(DD31),"NO DATA",IF(ISNUMBER(FIND(CODES!$A$12,DD31)),CODES!$A$12,IF(OR(ISNUMBER(FIND(CODES!$A$10,DD31)),ISNUMBER(FIND(CODES!$A$11,DD31))),CODES!$A$13,IF(OR(DD31&lt;DD$63,ISNUMBER(DD31)=FALSE),DD$64,DD31))))</f>
      </c>
      <c r="DE83" s="9" t="str">
        <f>IF(ISBLANK(DE31),"NO DATA",IF(ISNUMBER(FIND(CODES!$A$12,DE31)),CODES!$A$12,IF(OR(ISNUMBER(FIND(CODES!$A$10,DE31)),ISNUMBER(FIND(CODES!$A$11,DE31))),CODES!$A$13,IF(OR(DE31&lt;DE$63,ISNUMBER(DE31)=FALSE),DE$64,DE31))))</f>
      </c>
      <c r="DF83" s="9" t="str">
        <f>IF(ISBLANK(DF31),"NO DATA",IF(ISNUMBER(FIND(CODES!$A$12,DF31)),CODES!$A$12,IF(OR(ISNUMBER(FIND(CODES!$A$10,DF31)),ISNUMBER(FIND(CODES!$A$11,DF31))),CODES!$A$13,IF(OR(DF31&lt;DF$63,ISNUMBER(DF31)=FALSE),DF$64,DF31))))</f>
      </c>
      <c r="DG83" s="9" t="str">
        <f>IF(ISBLANK(DG31),"NO DATA",IF(ISNUMBER(FIND(CODES!$A$12,DG31)),CODES!$A$12,IF(OR(ISNUMBER(FIND(CODES!$A$10,DG31)),ISNUMBER(FIND(CODES!$A$11,DG31))),CODES!$A$13,IF(OR(DG31&lt;DG$63,ISNUMBER(DG31)=FALSE),DG$64,DG31))))</f>
      </c>
      <c r="DH83" s="9" t="str">
        <f>IF(ISBLANK(DH31),"NO DATA",IF(ISNUMBER(FIND(CODES!$A$12,DH31)),CODES!$A$12,IF(OR(ISNUMBER(FIND(CODES!$A$10,DH31)),ISNUMBER(FIND(CODES!$A$11,DH31))),CODES!$A$13,IF(OR(DH31&lt;DH$63,ISNUMBER(DH31)=FALSE),DH$64,DH31))))</f>
      </c>
      <c r="DI83" s="9" t="str">
        <f>IF(ISBLANK(DI31),"NO DATA",IF(ISNUMBER(FIND(CODES!$A$12,DI31)),CODES!$A$12,IF(OR(ISNUMBER(FIND(CODES!$A$10,DI31)),ISNUMBER(FIND(CODES!$A$11,DI31))),CODES!$A$13,IF(OR(DI31&lt;DI$63,ISNUMBER(DI31)=FALSE),DI$64,DI31))))</f>
      </c>
    </row>
    <row r="84" spans="1:113" x14ac:dyDescent="0.25">
      <c r="A84" s="20" t="str">
        <f t="shared" si="4"/>
      </c>
      <c r="B84" s="20">
        <f t="shared" si="4"/>
      </c>
      <c r="C84" s="9" t="str">
        <f>IF(ISBLANK(C32),"NO DATA",IF(ISNUMBER(FIND(CODES!$A$12,C32)),CODES!$A$12,IF(OR(ISNUMBER(FIND(CODES!$A$10,C32)),ISNUMBER(FIND(CODES!$A$11,C32))),CODES!$A$13,IF(OR(C32&lt;C$63,ISNUMBER(C32)=FALSE),C$64,C32))))</f>
      </c>
      <c r="D84" s="9" t="str">
        <f>IF(ISBLANK(D32),"NO DATA",IF(ISNUMBER(FIND(CODES!$A$12,D32)),CODES!$A$12,IF(OR(ISNUMBER(FIND(CODES!$A$10,D32)),ISNUMBER(FIND(CODES!$A$11,D32))),CODES!$A$13,IF(OR(D32&lt;D$63,ISNUMBER(D32)=FALSE),D$64,D32))))</f>
      </c>
      <c r="E84" s="9" t="str">
        <f>IF(ISBLANK(E32),"NO DATA",IF(ISNUMBER(FIND(CODES!$A$12,E32)),CODES!$A$12,IF(OR(ISNUMBER(FIND(CODES!$A$10,E32)),ISNUMBER(FIND(CODES!$A$11,E32))),CODES!$A$13,IF(OR(E32&lt;E$63,ISNUMBER(E32)=FALSE),E$64,E32))))</f>
      </c>
      <c r="F84" s="9" t="str">
        <f>IF(ISBLANK(F32),"NO DATA",IF(ISNUMBER(FIND(CODES!$A$12,F32)),CODES!$A$12,IF(OR(ISNUMBER(FIND(CODES!$A$10,F32)),ISNUMBER(FIND(CODES!$A$11,F32))),CODES!$A$13,IF(OR(F32&lt;F$63,ISNUMBER(F32)=FALSE),F$64,F32))))</f>
      </c>
      <c r="G84" s="9" t="str">
        <f>IF(ISBLANK(G32),"NO DATA",IF(ISNUMBER(FIND(CODES!$A$12,G32)),CODES!$A$12,IF(OR(ISNUMBER(FIND(CODES!$A$10,G32)),ISNUMBER(FIND(CODES!$A$11,G32))),CODES!$A$13,IF(OR(G32&lt;G$63,ISNUMBER(G32)=FALSE),G$64,G32))))</f>
      </c>
      <c r="H84" s="9" t="str">
        <f>IF(ISBLANK(H32),"NO DATA",IF(ISNUMBER(FIND(CODES!$A$12,H32)),CODES!$A$12,IF(OR(ISNUMBER(FIND(CODES!$A$10,H32)),ISNUMBER(FIND(CODES!$A$11,H32))),CODES!$A$13,IF(OR(H32&lt;H$63,ISNUMBER(H32)=FALSE),H$64,H32))))</f>
      </c>
      <c r="I84" s="9" t="str">
        <f>IF(ISBLANK(I32),"NO DATA",IF(ISNUMBER(FIND(CODES!$A$12,I32)),CODES!$A$12,IF(OR(ISNUMBER(FIND(CODES!$A$10,I32)),ISNUMBER(FIND(CODES!$A$11,I32))),CODES!$A$13,IF(OR(I32&lt;I$63,ISNUMBER(I32)=FALSE),I$64,I32))))</f>
      </c>
      <c r="J84" s="9" t="str">
        <f>IF(ISBLANK(J32),"NO DATA",IF(ISNUMBER(FIND(CODES!$A$12,J32)),CODES!$A$12,IF(OR(ISNUMBER(FIND(CODES!$A$10,J32)),ISNUMBER(FIND(CODES!$A$11,J32))),CODES!$A$13,IF(OR(J32&lt;J$63,ISNUMBER(J32)=FALSE),J$64,J32))))</f>
      </c>
      <c r="K84" s="9" t="str">
        <f>IF(ISBLANK(K32),"NO DATA",IF(ISNUMBER(FIND(CODES!$A$12,K32)),CODES!$A$12,IF(OR(ISNUMBER(FIND(CODES!$A$10,K32)),ISNUMBER(FIND(CODES!$A$11,K32))),CODES!$A$13,IF(OR(K32&lt;K$63,ISNUMBER(K32)=FALSE),K$64,K32))))</f>
      </c>
      <c r="L84" s="9" t="str">
        <f>IF(ISBLANK(L32),"NO DATA",IF(ISNUMBER(FIND(CODES!$A$12,L32)),CODES!$A$12,IF(OR(ISNUMBER(FIND(CODES!$A$10,L32)),ISNUMBER(FIND(CODES!$A$11,L32))),CODES!$A$13,IF(OR(L32&lt;L$63,ISNUMBER(L32)=FALSE),L$64,L32))))</f>
      </c>
      <c r="M84" s="9" t="str">
        <f>IF(ISBLANK(M32),"NO DATA",IF(ISNUMBER(FIND(CODES!$A$12,M32)),CODES!$A$12,IF(OR(ISNUMBER(FIND(CODES!$A$10,M32)),ISNUMBER(FIND(CODES!$A$11,M32))),CODES!$A$13,IF(OR(M32&lt;M$63,ISNUMBER(M32)=FALSE),M$64,M32))))</f>
      </c>
      <c r="N84" s="9" t="str">
        <f>IF(ISBLANK(N32),"NO DATA",IF(ISNUMBER(FIND(CODES!$A$12,N32)),CODES!$A$12,IF(OR(ISNUMBER(FIND(CODES!$A$10,N32)),ISNUMBER(FIND(CODES!$A$11,N32))),CODES!$A$13,IF(OR(N32&lt;N$63,ISNUMBER(N32)=FALSE),N$64,N32))))</f>
      </c>
      <c r="O84" s="9" t="str">
        <f>IF(ISBLANK(O32),"NO DATA",IF(ISNUMBER(FIND(CODES!$A$12,O32)),CODES!$A$12,IF(OR(ISNUMBER(FIND(CODES!$A$10,O32)),ISNUMBER(FIND(CODES!$A$11,O32))),CODES!$A$13,IF(OR(O32&lt;O$63,ISNUMBER(O32)=FALSE),O$64,O32))))</f>
      </c>
      <c r="P84" s="9" t="str">
        <f>IF(ISBLANK(P32),"NO DATA",IF(ISNUMBER(FIND(CODES!$A$12,P32)),CODES!$A$12,IF(OR(ISNUMBER(FIND(CODES!$A$10,P32)),ISNUMBER(FIND(CODES!$A$11,P32))),CODES!$A$13,IF(OR(P32&lt;P$63,ISNUMBER(P32)=FALSE),P$64,P32))))</f>
      </c>
      <c r="Q84" s="9" t="str">
        <f>IF(ISBLANK(Q32),"NO DATA",IF(ISNUMBER(FIND(CODES!$A$12,Q32)),CODES!$A$12,IF(OR(ISNUMBER(FIND(CODES!$A$10,Q32)),ISNUMBER(FIND(CODES!$A$11,Q32))),CODES!$A$13,IF(OR(Q32&lt;Q$63,ISNUMBER(Q32)=FALSE),Q$64,Q32))))</f>
      </c>
      <c r="R84" s="9" t="str">
        <f>IF(ISBLANK(R32),"NO DATA",IF(ISNUMBER(FIND(CODES!$A$12,R32)),CODES!$A$12,IF(OR(ISNUMBER(FIND(CODES!$A$10,R32)),ISNUMBER(FIND(CODES!$A$11,R32))),CODES!$A$13,IF(OR(R32&lt;R$63,ISNUMBER(R32)=FALSE),R$64,R32))))</f>
      </c>
      <c r="S84" s="9" t="str">
        <f>IF(ISBLANK(S32),"NO DATA",IF(ISNUMBER(FIND(CODES!$A$12,S32)),CODES!$A$12,IF(OR(ISNUMBER(FIND(CODES!$A$10,S32)),ISNUMBER(FIND(CODES!$A$11,S32))),CODES!$A$13,IF(OR(S32&lt;S$63,ISNUMBER(S32)=FALSE),S$64,S32))))</f>
      </c>
      <c r="T84" s="9" t="str">
        <f>IF(ISBLANK(T32),"NO DATA",IF(ISNUMBER(FIND(CODES!$A$12,T32)),CODES!$A$12,IF(OR(ISNUMBER(FIND(CODES!$A$10,T32)),ISNUMBER(FIND(CODES!$A$11,T32))),CODES!$A$13,IF(OR(T32&lt;T$63,ISNUMBER(T32)=FALSE),T$64,T32))))</f>
      </c>
      <c r="U84" s="9" t="str">
        <f>IF(ISBLANK(U32),"NO DATA",IF(ISNUMBER(FIND(CODES!$A$12,U32)),CODES!$A$12,IF(OR(ISNUMBER(FIND(CODES!$A$10,U32)),ISNUMBER(FIND(CODES!$A$11,U32))),CODES!$A$13,IF(OR(U32&lt;U$63,ISNUMBER(U32)=FALSE),U$64,U32))))</f>
      </c>
      <c r="V84" s="9" t="str">
        <f>IF(ISBLANK(V32),"NO DATA",IF(ISNUMBER(FIND(CODES!$A$12,V32)),CODES!$A$12,IF(OR(ISNUMBER(FIND(CODES!$A$10,V32)),ISNUMBER(FIND(CODES!$A$11,V32))),CODES!$A$13,IF(OR(V32&lt;V$63,ISNUMBER(V32)=FALSE),V$64,V32))))</f>
      </c>
      <c r="W84" s="9" t="str">
        <f>IF(ISBLANK(W32),"NO DATA",IF(ISNUMBER(FIND(CODES!$A$12,W32)),CODES!$A$12,IF(OR(ISNUMBER(FIND(CODES!$A$10,W32)),ISNUMBER(FIND(CODES!$A$11,W32))),CODES!$A$13,IF(OR(W32&lt;W$63,ISNUMBER(W32)=FALSE),W$64,W32))))</f>
      </c>
      <c r="X84" s="9" t="str">
        <f>IF(ISBLANK(X32),"NO DATA",IF(ISNUMBER(FIND(CODES!$A$12,X32)),CODES!$A$12,IF(OR(ISNUMBER(FIND(CODES!$A$10,X32)),ISNUMBER(FIND(CODES!$A$11,X32))),CODES!$A$13,IF(OR(X32&lt;X$63,ISNUMBER(X32)=FALSE),X$64,X32))))</f>
      </c>
      <c r="Y84" s="9" t="str">
        <f>IF(ISBLANK(Y32),"NO DATA",IF(ISNUMBER(FIND(CODES!$A$12,Y32)),CODES!$A$12,IF(OR(ISNUMBER(FIND(CODES!$A$10,Y32)),ISNUMBER(FIND(CODES!$A$11,Y32))),CODES!$A$13,IF(OR(Y32&lt;Y$63,ISNUMBER(Y32)=FALSE),Y$64,Y32))))</f>
      </c>
      <c r="Z84" s="9" t="str">
        <f>IF(ISBLANK(Z32),"NO DATA",IF(ISNUMBER(FIND(CODES!$A$12,Z32)),CODES!$A$12,IF(OR(ISNUMBER(FIND(CODES!$A$10,Z32)),ISNUMBER(FIND(CODES!$A$11,Z32))),CODES!$A$13,IF(OR(Z32&lt;Z$63,ISNUMBER(Z32)=FALSE),Z$64,Z32))))</f>
      </c>
      <c r="AA84" s="9" t="str">
        <f>IF(ISBLANK(AA32),"NO DATA",IF(ISNUMBER(FIND(CODES!$A$12,AA32)),CODES!$A$12,IF(OR(ISNUMBER(FIND(CODES!$A$10,AA32)),ISNUMBER(FIND(CODES!$A$11,AA32))),CODES!$A$13,IF(OR(AA32&lt;AA$63,ISNUMBER(AA32)=FALSE),AA$64,AA32))))</f>
      </c>
      <c r="AB84" s="9" t="str">
        <f>IF(ISBLANK(AB32),"NO DATA",IF(ISNUMBER(FIND(CODES!$A$12,AB32)),CODES!$A$12,IF(OR(ISNUMBER(FIND(CODES!$A$10,AB32)),ISNUMBER(FIND(CODES!$A$11,AB32))),CODES!$A$13,IF(OR(AB32&lt;AB$63,ISNUMBER(AB32)=FALSE),AB$64,AB32))))</f>
      </c>
      <c r="AC84" s="9" t="str">
        <f>IF(ISBLANK(AC32),"NO DATA",IF(ISNUMBER(FIND(CODES!$A$12,AC32)),CODES!$A$12,IF(OR(ISNUMBER(FIND(CODES!$A$10,AC32)),ISNUMBER(FIND(CODES!$A$11,AC32))),CODES!$A$13,IF(OR(AC32&lt;AC$63,ISNUMBER(AC32)=FALSE),AC$64,AC32))))</f>
      </c>
      <c r="AD84" s="9" t="str">
        <f>IF(ISBLANK(AD32),"NO DATA",IF(ISNUMBER(FIND(CODES!$A$12,AD32)),CODES!$A$12,IF(OR(ISNUMBER(FIND(CODES!$A$10,AD32)),ISNUMBER(FIND(CODES!$A$11,AD32))),CODES!$A$13,IF(OR(AD32&lt;AD$63,ISNUMBER(AD32)=FALSE),AD$64,AD32))))</f>
      </c>
      <c r="AE84" s="9" t="str">
        <f>IF(ISBLANK(AE32),"NO DATA",IF(ISNUMBER(FIND(CODES!$A$12,AE32)),CODES!$A$12,IF(OR(ISNUMBER(FIND(CODES!$A$10,AE32)),ISNUMBER(FIND(CODES!$A$11,AE32))),CODES!$A$13,IF(OR(AE32&lt;AE$63,ISNUMBER(AE32)=FALSE),AE$64,AE32))))</f>
      </c>
      <c r="AF84" s="9" t="str">
        <f>IF(ISBLANK(AF32),"NO DATA",IF(ISNUMBER(FIND(CODES!$A$12,AF32)),CODES!$A$12,IF(OR(ISNUMBER(FIND(CODES!$A$10,AF32)),ISNUMBER(FIND(CODES!$A$11,AF32))),CODES!$A$13,IF(OR(AF32&lt;AF$63,ISNUMBER(AF32)=FALSE),AF$64,AF32))))</f>
      </c>
      <c r="AG84" s="9" t="str">
        <f>IF(ISBLANK(AG32),"NO DATA",IF(ISNUMBER(FIND(CODES!$A$12,AG32)),CODES!$A$12,IF(OR(ISNUMBER(FIND(CODES!$A$10,AG32)),ISNUMBER(FIND(CODES!$A$11,AG32))),CODES!$A$13,IF(OR(AG32&lt;AG$63,ISNUMBER(AG32)=FALSE),AG$64,AG32))))</f>
      </c>
      <c r="AH84" s="9" t="str">
        <f>IF(ISBLANK(AH32),"NO DATA",IF(ISNUMBER(FIND(CODES!$A$12,AH32)),CODES!$A$12,IF(OR(ISNUMBER(FIND(CODES!$A$10,AH32)),ISNUMBER(FIND(CODES!$A$11,AH32))),CODES!$A$13,IF(OR(AH32&lt;AH$63,ISNUMBER(AH32)=FALSE),AH$64,AH32))))</f>
      </c>
      <c r="AI84" s="9" t="str">
        <f>IF(ISBLANK(AI32),"NO DATA",IF(ISNUMBER(FIND(CODES!$A$12,AI32)),CODES!$A$12,IF(OR(ISNUMBER(FIND(CODES!$A$10,AI32)),ISNUMBER(FIND(CODES!$A$11,AI32))),CODES!$A$13,IF(OR(AI32&lt;AI$63,ISNUMBER(AI32)=FALSE),AI$64,AI32))))</f>
      </c>
      <c r="AJ84" s="9" t="str">
        <f>IF(ISBLANK(AJ32),"NO DATA",IF(ISNUMBER(FIND(CODES!$A$12,AJ32)),CODES!$A$12,IF(OR(ISNUMBER(FIND(CODES!$A$10,AJ32)),ISNUMBER(FIND(CODES!$A$11,AJ32))),CODES!$A$13,IF(OR(AJ32&lt;AJ$63,ISNUMBER(AJ32)=FALSE),AJ$64,AJ32))))</f>
      </c>
      <c r="AK84" s="9" t="str">
        <f>IF(ISBLANK(AK32),"NO DATA",IF(ISNUMBER(FIND(CODES!$A$12,AK32)),CODES!$A$12,IF(OR(ISNUMBER(FIND(CODES!$A$10,AK32)),ISNUMBER(FIND(CODES!$A$11,AK32))),CODES!$A$13,IF(OR(AK32&lt;AK$63,ISNUMBER(AK32)=FALSE),AK$64,AK32))))</f>
      </c>
      <c r="AL84" s="9" t="str">
        <f>IF(ISBLANK(AL32),"NO DATA",IF(ISNUMBER(FIND(CODES!$A$12,AL32)),CODES!$A$12,IF(OR(ISNUMBER(FIND(CODES!$A$10,AL32)),ISNUMBER(FIND(CODES!$A$11,AL32))),CODES!$A$13,IF(OR(AL32&lt;AL$63,ISNUMBER(AL32)=FALSE),AL$64,AL32))))</f>
      </c>
      <c r="AM84" s="9" t="str">
        <f>IF(ISBLANK(AM32),"NO DATA",IF(ISNUMBER(FIND(CODES!$A$12,AM32)),CODES!$A$12,IF(OR(ISNUMBER(FIND(CODES!$A$10,AM32)),ISNUMBER(FIND(CODES!$A$11,AM32))),CODES!$A$13,IF(OR(AM32&lt;AM$63,ISNUMBER(AM32)=FALSE),AM$64,AM32))))</f>
      </c>
      <c r="AN84" s="9" t="str">
        <f>IF(ISBLANK(AN32),"NO DATA",IF(ISNUMBER(FIND(CODES!$A$12,AN32)),CODES!$A$12,IF(OR(ISNUMBER(FIND(CODES!$A$10,AN32)),ISNUMBER(FIND(CODES!$A$11,AN32))),CODES!$A$13,IF(OR(AN32&lt;AN$63,ISNUMBER(AN32)=FALSE),AN$64,AN32))))</f>
      </c>
      <c r="AO84" s="9" t="str">
        <f>IF(ISBLANK(AO32),"NO DATA",IF(ISNUMBER(FIND(CODES!$A$12,AO32)),CODES!$A$12,IF(OR(ISNUMBER(FIND(CODES!$A$10,AO32)),ISNUMBER(FIND(CODES!$A$11,AO32))),CODES!$A$13,IF(OR(AO32&lt;AO$63,ISNUMBER(AO32)=FALSE),AO$64,AO32))))</f>
      </c>
      <c r="AP84" s="9" t="str">
        <f>IF(ISBLANK(AP32),"NO DATA",IF(ISNUMBER(FIND(CODES!$A$12,AP32)),CODES!$A$12,IF(OR(ISNUMBER(FIND(CODES!$A$10,AP32)),ISNUMBER(FIND(CODES!$A$11,AP32))),CODES!$A$13,IF(OR(AP32&lt;AP$63,ISNUMBER(AP32)=FALSE),AP$64,AP32))))</f>
      </c>
      <c r="AQ84" s="9" t="str">
        <f>IF(ISBLANK(AQ32),"NO DATA",IF(ISNUMBER(FIND(CODES!$A$12,AQ32)),CODES!$A$12,IF(OR(ISNUMBER(FIND(CODES!$A$10,AQ32)),ISNUMBER(FIND(CODES!$A$11,AQ32))),CODES!$A$13,IF(OR(AQ32&lt;AQ$63,ISNUMBER(AQ32)=FALSE),AQ$64,AQ32))))</f>
      </c>
      <c r="AR84" s="9" t="str">
        <f>IF(ISBLANK(AR32),"NO DATA",IF(ISNUMBER(FIND(CODES!$A$12,AR32)),CODES!$A$12,IF(OR(ISNUMBER(FIND(CODES!$A$10,AR32)),ISNUMBER(FIND(CODES!$A$11,AR32))),CODES!$A$13,IF(OR(AR32&lt;AR$63,ISNUMBER(AR32)=FALSE),AR$64,AR32))))</f>
      </c>
      <c r="AS84" s="9" t="str">
        <f>IF(ISBLANK(AS32),"NO DATA",IF(ISNUMBER(FIND(CODES!$A$12,AS32)),CODES!$A$12,IF(OR(ISNUMBER(FIND(CODES!$A$10,AS32)),ISNUMBER(FIND(CODES!$A$11,AS32))),CODES!$A$13,IF(OR(AS32&lt;AS$63,ISNUMBER(AS32)=FALSE),AS$64,AS32))))</f>
      </c>
      <c r="AT84" s="9" t="str">
        <f>IF(ISBLANK(AT32),"NO DATA",IF(ISNUMBER(FIND(CODES!$A$12,AT32)),CODES!$A$12,IF(OR(ISNUMBER(FIND(CODES!$A$10,AT32)),ISNUMBER(FIND(CODES!$A$11,AT32))),CODES!$A$13,IF(OR(AT32&lt;AT$63,ISNUMBER(AT32)=FALSE),AT$64,AT32))))</f>
      </c>
      <c r="AU84" s="9" t="str">
        <f>IF(ISBLANK(AU32),"NO DATA",IF(ISNUMBER(FIND(CODES!$A$12,AU32)),CODES!$A$12,IF(OR(ISNUMBER(FIND(CODES!$A$10,AU32)),ISNUMBER(FIND(CODES!$A$11,AU32))),CODES!$A$13,IF(OR(AU32&lt;AU$63,ISNUMBER(AU32)=FALSE),AU$64,AU32))))</f>
      </c>
      <c r="AV84" s="9" t="str">
        <f>IF(ISBLANK(AV32),"NO DATA",IF(ISNUMBER(FIND(CODES!$A$12,AV32)),CODES!$A$12,IF(OR(ISNUMBER(FIND(CODES!$A$10,AV32)),ISNUMBER(FIND(CODES!$A$11,AV32))),CODES!$A$13,IF(OR(AV32&lt;AV$63,ISNUMBER(AV32)=FALSE),AV$64,AV32))))</f>
      </c>
      <c r="AW84" s="9" t="str">
        <f>IF(ISBLANK(AW32),"NO DATA",IF(ISNUMBER(FIND(CODES!$A$12,AW32)),CODES!$A$12,IF(OR(ISNUMBER(FIND(CODES!$A$10,AW32)),ISNUMBER(FIND(CODES!$A$11,AW32))),CODES!$A$13,IF(OR(AW32&lt;AW$63,ISNUMBER(AW32)=FALSE),AW$64,AW32))))</f>
      </c>
      <c r="AX84" s="9" t="str">
        <f>IF(ISBLANK(AX32),"NO DATA",IF(ISNUMBER(FIND(CODES!$A$12,AX32)),CODES!$A$12,IF(OR(ISNUMBER(FIND(CODES!$A$10,AX32)),ISNUMBER(FIND(CODES!$A$11,AX32))),CODES!$A$13,IF(OR(AX32&lt;AX$63,ISNUMBER(AX32)=FALSE),AX$64,AX32))))</f>
      </c>
      <c r="AY84" s="9" t="str">
        <f>IF(ISBLANK(AY32),"NO DATA",IF(ISNUMBER(FIND(CODES!$A$12,AY32)),CODES!$A$12,IF(OR(ISNUMBER(FIND(CODES!$A$10,AY32)),ISNUMBER(FIND(CODES!$A$11,AY32))),CODES!$A$13,IF(OR(AY32&lt;AY$63,ISNUMBER(AY32)=FALSE),AY$64,AY32))))</f>
      </c>
      <c r="AZ84" s="9" t="str">
        <f>IF(ISBLANK(AZ32),"NO DATA",IF(ISNUMBER(FIND(CODES!$A$12,AZ32)),CODES!$A$12,IF(OR(ISNUMBER(FIND(CODES!$A$10,AZ32)),ISNUMBER(FIND(CODES!$A$11,AZ32))),CODES!$A$13,IF(OR(AZ32&lt;AZ$63,ISNUMBER(AZ32)=FALSE),AZ$64,AZ32))))</f>
      </c>
      <c r="BA84" s="9" t="str">
        <f>IF(ISBLANK(BA32),"NO DATA",IF(ISNUMBER(FIND(CODES!$A$12,BA32)),CODES!$A$12,IF(OR(ISNUMBER(FIND(CODES!$A$10,BA32)),ISNUMBER(FIND(CODES!$A$11,BA32))),CODES!$A$13,IF(OR(BA32&lt;BA$63,ISNUMBER(BA32)=FALSE),BA$64,BA32))))</f>
      </c>
      <c r="BB84" s="9" t="str">
        <f>IF(ISBLANK(BB32),"NO DATA",IF(ISNUMBER(FIND(CODES!$A$12,BB32)),CODES!$A$12,IF(OR(ISNUMBER(FIND(CODES!$A$10,BB32)),ISNUMBER(FIND(CODES!$A$11,BB32))),CODES!$A$13,IF(OR(BB32&lt;BB$63,ISNUMBER(BB32)=FALSE),BB$64,BB32))))</f>
      </c>
      <c r="BC84" s="9" t="str">
        <f>IF(ISBLANK(BC32),"NO DATA",IF(ISNUMBER(FIND(CODES!$A$12,BC32)),CODES!$A$12,IF(OR(ISNUMBER(FIND(CODES!$A$10,BC32)),ISNUMBER(FIND(CODES!$A$11,BC32))),CODES!$A$13,IF(OR(BC32&lt;BC$63,ISNUMBER(BC32)=FALSE),BC$64,BC32))))</f>
      </c>
      <c r="BD84" s="9" t="str">
        <f>IF(ISBLANK(BD32),"NO DATA",IF(ISNUMBER(FIND(CODES!$A$12,BD32)),CODES!$A$12,IF(OR(ISNUMBER(FIND(CODES!$A$10,BD32)),ISNUMBER(FIND(CODES!$A$11,BD32))),CODES!$A$13,IF(OR(BD32&lt;BD$63,ISNUMBER(BD32)=FALSE),BD$64,BD32))))</f>
      </c>
      <c r="BE84" s="9" t="str">
        <f>IF(ISBLANK(BE32),"NO DATA",IF(ISNUMBER(FIND(CODES!$A$12,BE32)),CODES!$A$12,IF(OR(ISNUMBER(FIND(CODES!$A$10,BE32)),ISNUMBER(FIND(CODES!$A$11,BE32))),CODES!$A$13,IF(OR(BE32&lt;BE$63,ISNUMBER(BE32)=FALSE),BE$64,BE32))))</f>
      </c>
      <c r="BF84" s="9" t="str">
        <f>IF(ISBLANK(BF32),"NO DATA",IF(ISNUMBER(FIND(CODES!$A$12,BF32)),CODES!$A$12,IF(OR(ISNUMBER(FIND(CODES!$A$10,BF32)),ISNUMBER(FIND(CODES!$A$11,BF32))),CODES!$A$13,IF(OR(BF32&lt;BF$63,ISNUMBER(BF32)=FALSE),BF$64,BF32))))</f>
      </c>
      <c r="BG84" s="9" t="str">
        <f>IF(ISBLANK(BG32),"NO DATA",IF(ISNUMBER(FIND(CODES!$A$12,BG32)),CODES!$A$12,IF(OR(ISNUMBER(FIND(CODES!$A$10,BG32)),ISNUMBER(FIND(CODES!$A$11,BG32))),CODES!$A$13,IF(OR(BG32&lt;BG$63,ISNUMBER(BG32)=FALSE),BG$64,BG32))))</f>
      </c>
      <c r="BH84" s="9" t="str">
        <f>IF(ISBLANK(BH32),"NO DATA",IF(ISNUMBER(FIND(CODES!$A$12,BH32)),CODES!$A$12,IF(OR(ISNUMBER(FIND(CODES!$A$10,BH32)),ISNUMBER(FIND(CODES!$A$11,BH32))),CODES!$A$13,IF(OR(BH32&lt;BH$63,ISNUMBER(BH32)=FALSE),BH$64,BH32))))</f>
      </c>
      <c r="BI84" s="9" t="str">
        <f>IF(ISBLANK(BI32),"NO DATA",IF(ISNUMBER(FIND(CODES!$A$12,BI32)),CODES!$A$12,IF(OR(ISNUMBER(FIND(CODES!$A$10,BI32)),ISNUMBER(FIND(CODES!$A$11,BI32))),CODES!$A$13,IF(OR(BI32&lt;BI$63,ISNUMBER(BI32)=FALSE),BI$64,BI32))))</f>
      </c>
      <c r="BJ84" s="9" t="str">
        <f>IF(ISBLANK(BJ32),"NO DATA",IF(ISNUMBER(FIND(CODES!$A$12,BJ32)),CODES!$A$12,IF(OR(ISNUMBER(FIND(CODES!$A$10,BJ32)),ISNUMBER(FIND(CODES!$A$11,BJ32))),CODES!$A$13,IF(OR(BJ32&lt;BJ$63,ISNUMBER(BJ32)=FALSE),BJ$64,BJ32))))</f>
      </c>
      <c r="BK84" s="9" t="str">
        <f>IF(ISBLANK(BK32),"NO DATA",IF(ISNUMBER(FIND(CODES!$A$12,BK32)),CODES!$A$12,IF(OR(ISNUMBER(FIND(CODES!$A$10,BK32)),ISNUMBER(FIND(CODES!$A$11,BK32))),CODES!$A$13,IF(OR(BK32&lt;BK$63,ISNUMBER(BK32)=FALSE),BK$64,BK32))))</f>
      </c>
      <c r="BL84" s="9" t="str">
        <f>IF(ISBLANK(BL32),"NO DATA",IF(ISNUMBER(FIND(CODES!$A$12,BL32)),CODES!$A$12,IF(OR(ISNUMBER(FIND(CODES!$A$10,BL32)),ISNUMBER(FIND(CODES!$A$11,BL32))),CODES!$A$13,IF(OR(BL32&lt;BL$63,ISNUMBER(BL32)=FALSE),BL$64,BL32))))</f>
      </c>
      <c r="BM84" s="9" t="str">
        <f>IF(ISBLANK(BM32),"NO DATA",IF(ISNUMBER(FIND(CODES!$A$12,BM32)),CODES!$A$12,IF(OR(ISNUMBER(FIND(CODES!$A$10,BM32)),ISNUMBER(FIND(CODES!$A$11,BM32))),CODES!$A$13,IF(OR(BM32&lt;BM$63,ISNUMBER(BM32)=FALSE),BM$64,BM32))))</f>
      </c>
      <c r="BN84" s="9" t="str">
        <f>IF(ISBLANK(BN32),"NO DATA",IF(ISNUMBER(FIND(CODES!$A$12,BN32)),CODES!$A$12,IF(OR(ISNUMBER(FIND(CODES!$A$10,BN32)),ISNUMBER(FIND(CODES!$A$11,BN32))),CODES!$A$13,IF(OR(BN32&lt;BN$63,ISNUMBER(BN32)=FALSE),BN$64,BN32))))</f>
      </c>
      <c r="BO84" s="9" t="str">
        <f>IF(ISBLANK(BO32),"NO DATA",IF(ISNUMBER(FIND(CODES!$A$12,BO32)),CODES!$A$12,IF(OR(ISNUMBER(FIND(CODES!$A$10,BO32)),ISNUMBER(FIND(CODES!$A$11,BO32))),CODES!$A$13,IF(OR(BO32&lt;BO$63,ISNUMBER(BO32)=FALSE),BO$64,BO32))))</f>
      </c>
      <c r="BP84" s="9" t="str">
        <f>IF(ISBLANK(BP32),"NO DATA",IF(ISNUMBER(FIND(CODES!$A$12,BP32)),CODES!$A$12,IF(OR(ISNUMBER(FIND(CODES!$A$10,BP32)),ISNUMBER(FIND(CODES!$A$11,BP32))),CODES!$A$13,IF(OR(BP32&lt;BP$63,ISNUMBER(BP32)=FALSE),BP$64,BP32))))</f>
      </c>
      <c r="BQ84" s="9" t="str">
        <f>IF(ISBLANK(BQ32),"NO DATA",IF(ISNUMBER(FIND(CODES!$A$12,BQ32)),CODES!$A$12,IF(OR(ISNUMBER(FIND(CODES!$A$10,BQ32)),ISNUMBER(FIND(CODES!$A$11,BQ32))),CODES!$A$13,IF(OR(BQ32&lt;BQ$63,ISNUMBER(BQ32)=FALSE),BQ$64,BQ32))))</f>
      </c>
      <c r="BR84" s="9" t="str">
        <f>IF(ISBLANK(BR32),"NO DATA",IF(ISNUMBER(FIND(CODES!$A$12,BR32)),CODES!$A$12,IF(OR(ISNUMBER(FIND(CODES!$A$10,BR32)),ISNUMBER(FIND(CODES!$A$11,BR32))),CODES!$A$13,IF(OR(BR32&lt;BR$63,ISNUMBER(BR32)=FALSE),BR$64,BR32))))</f>
      </c>
      <c r="BS84" s="9" t="str">
        <f>IF(ISBLANK(BS32),"NO DATA",IF(ISNUMBER(FIND(CODES!$A$12,BS32)),CODES!$A$12,IF(OR(ISNUMBER(FIND(CODES!$A$10,BS32)),ISNUMBER(FIND(CODES!$A$11,BS32))),CODES!$A$13,IF(OR(BS32&lt;BS$63,ISNUMBER(BS32)=FALSE),BS$64,BS32))))</f>
      </c>
      <c r="BT84" s="9" t="str">
        <f>IF(ISBLANK(BT32),"NO DATA",IF(ISNUMBER(FIND(CODES!$A$12,BT32)),CODES!$A$12,IF(OR(ISNUMBER(FIND(CODES!$A$10,BT32)),ISNUMBER(FIND(CODES!$A$11,BT32))),CODES!$A$13,IF(OR(BT32&lt;BT$63,ISNUMBER(BT32)=FALSE),BT$64,BT32))))</f>
      </c>
      <c r="BU84" s="9" t="str">
        <f>IF(ISBLANK(BU32),"NO DATA",IF(ISNUMBER(FIND(CODES!$A$12,BU32)),CODES!$A$12,IF(OR(ISNUMBER(FIND(CODES!$A$10,BU32)),ISNUMBER(FIND(CODES!$A$11,BU32))),CODES!$A$13,IF(OR(BU32&lt;BU$63,ISNUMBER(BU32)=FALSE),BU$64,BU32))))</f>
      </c>
      <c r="BV84" s="9" t="str">
        <f>IF(ISBLANK(BV32),"NO DATA",IF(ISNUMBER(FIND(CODES!$A$12,BV32)),CODES!$A$12,IF(OR(ISNUMBER(FIND(CODES!$A$10,BV32)),ISNUMBER(FIND(CODES!$A$11,BV32))),CODES!$A$13,IF(OR(BV32&lt;BV$63,ISNUMBER(BV32)=FALSE),BV$64,BV32))))</f>
      </c>
      <c r="BW84" s="9" t="str">
        <f>IF(ISBLANK(BW32),"NO DATA",IF(ISNUMBER(FIND(CODES!$A$12,BW32)),CODES!$A$12,IF(OR(ISNUMBER(FIND(CODES!$A$10,BW32)),ISNUMBER(FIND(CODES!$A$11,BW32))),CODES!$A$13,IF(OR(BW32&lt;BW$63,ISNUMBER(BW32)=FALSE),BW$64,BW32))))</f>
      </c>
      <c r="BX84" s="9" t="str">
        <f>IF(ISBLANK(BX32),"NO DATA",IF(ISNUMBER(FIND(CODES!$A$12,BX32)),CODES!$A$12,IF(OR(ISNUMBER(FIND(CODES!$A$10,BX32)),ISNUMBER(FIND(CODES!$A$11,BX32))),CODES!$A$13,IF(OR(BX32&lt;BX$63,ISNUMBER(BX32)=FALSE),BX$64,BX32))))</f>
      </c>
      <c r="BY84" s="9" t="str">
        <f>IF(ISBLANK(BY32),"NO DATA",IF(ISNUMBER(FIND(CODES!$A$12,BY32)),CODES!$A$12,IF(OR(ISNUMBER(FIND(CODES!$A$10,BY32)),ISNUMBER(FIND(CODES!$A$11,BY32))),CODES!$A$13,IF(OR(BY32&lt;BY$63,ISNUMBER(BY32)=FALSE),BY$64,BY32))))</f>
      </c>
      <c r="BZ84" s="9" t="str">
        <f>IF(ISBLANK(BZ32),"NO DATA",IF(ISNUMBER(FIND(CODES!$A$12,BZ32)),CODES!$A$12,IF(OR(ISNUMBER(FIND(CODES!$A$10,BZ32)),ISNUMBER(FIND(CODES!$A$11,BZ32))),CODES!$A$13,IF(OR(BZ32&lt;BZ$63,ISNUMBER(BZ32)=FALSE),BZ$64,BZ32))))</f>
      </c>
      <c r="CA84" s="9" t="str">
        <f>IF(ISBLANK(CA32),"NO DATA",IF(ISNUMBER(FIND(CODES!$A$12,CA32)),CODES!$A$12,IF(OR(ISNUMBER(FIND(CODES!$A$10,CA32)),ISNUMBER(FIND(CODES!$A$11,CA32))),CODES!$A$13,IF(OR(CA32&lt;CA$63,ISNUMBER(CA32)=FALSE),CA$64,CA32))))</f>
      </c>
      <c r="CB84" s="9" t="str">
        <f>IF(ISBLANK(CB32),"NO DATA",IF(ISNUMBER(FIND(CODES!$A$12,CB32)),CODES!$A$12,IF(OR(ISNUMBER(FIND(CODES!$A$10,CB32)),ISNUMBER(FIND(CODES!$A$11,CB32))),CODES!$A$13,IF(OR(CB32&lt;CB$63,ISNUMBER(CB32)=FALSE),CB$64,CB32))))</f>
      </c>
      <c r="CC84" s="9" t="str">
        <f>IF(ISBLANK(CC32),"NO DATA",IF(ISNUMBER(FIND(CODES!$A$12,CC32)),CODES!$A$12,IF(OR(ISNUMBER(FIND(CODES!$A$10,CC32)),ISNUMBER(FIND(CODES!$A$11,CC32))),CODES!$A$13,IF(OR(CC32&lt;CC$63,ISNUMBER(CC32)=FALSE),CC$64,CC32))))</f>
      </c>
      <c r="CD84" s="9" t="str">
        <f>IF(ISBLANK(CD32),"NO DATA",IF(ISNUMBER(FIND(CODES!$A$12,CD32)),CODES!$A$12,IF(OR(ISNUMBER(FIND(CODES!$A$10,CD32)),ISNUMBER(FIND(CODES!$A$11,CD32))),CODES!$A$13,IF(OR(CD32&lt;CD$63,ISNUMBER(CD32)=FALSE),CD$64,CD32))))</f>
      </c>
      <c r="CE84" s="9" t="str">
        <f>IF(ISBLANK(CE32),"NO DATA",IF(ISNUMBER(FIND(CODES!$A$12,CE32)),CODES!$A$12,IF(OR(ISNUMBER(FIND(CODES!$A$10,CE32)),ISNUMBER(FIND(CODES!$A$11,CE32))),CODES!$A$13,IF(OR(CE32&lt;CE$63,ISNUMBER(CE32)=FALSE),CE$64,CE32))))</f>
      </c>
      <c r="CF84" s="9" t="str">
        <f>IF(ISBLANK(CF32),"NO DATA",IF(ISNUMBER(FIND(CODES!$A$12,CF32)),CODES!$A$12,IF(OR(ISNUMBER(FIND(CODES!$A$10,CF32)),ISNUMBER(FIND(CODES!$A$11,CF32))),CODES!$A$13,IF(OR(CF32&lt;CF$63,ISNUMBER(CF32)=FALSE),CF$64,CF32))))</f>
      </c>
      <c r="CG84" s="9" t="str">
        <f>IF(ISBLANK(CG32),"NO DATA",IF(ISNUMBER(FIND(CODES!$A$12,CG32)),CODES!$A$12,IF(OR(ISNUMBER(FIND(CODES!$A$10,CG32)),ISNUMBER(FIND(CODES!$A$11,CG32))),CODES!$A$13,IF(OR(CG32&lt;CG$63,ISNUMBER(CG32)=FALSE),CG$64,CG32))))</f>
      </c>
      <c r="CH84" s="9" t="str">
        <f>IF(ISBLANK(CH32),"NO DATA",IF(ISNUMBER(FIND(CODES!$A$12,CH32)),CODES!$A$12,IF(OR(ISNUMBER(FIND(CODES!$A$10,CH32)),ISNUMBER(FIND(CODES!$A$11,CH32))),CODES!$A$13,IF(OR(CH32&lt;CH$63,ISNUMBER(CH32)=FALSE),CH$64,CH32))))</f>
      </c>
      <c r="CI84" s="9" t="str">
        <f>IF(ISBLANK(CI32),"NO DATA",IF(ISNUMBER(FIND(CODES!$A$12,CI32)),CODES!$A$12,IF(OR(ISNUMBER(FIND(CODES!$A$10,CI32)),ISNUMBER(FIND(CODES!$A$11,CI32))),CODES!$A$13,IF(OR(CI32&lt;CI$63,ISNUMBER(CI32)=FALSE),CI$64,CI32))))</f>
      </c>
      <c r="CJ84" s="9" t="str">
        <f>IF(ISBLANK(CJ32),"NO DATA",IF(ISNUMBER(FIND(CODES!$A$12,CJ32)),CODES!$A$12,IF(OR(ISNUMBER(FIND(CODES!$A$10,CJ32)),ISNUMBER(FIND(CODES!$A$11,CJ32))),CODES!$A$13,IF(OR(CJ32&lt;CJ$63,ISNUMBER(CJ32)=FALSE),CJ$64,CJ32))))</f>
      </c>
      <c r="CK84" s="9" t="str">
        <f>IF(ISBLANK(CK32),"NO DATA",IF(ISNUMBER(FIND(CODES!$A$12,CK32)),CODES!$A$12,IF(OR(ISNUMBER(FIND(CODES!$A$10,CK32)),ISNUMBER(FIND(CODES!$A$11,CK32))),CODES!$A$13,IF(OR(CK32&lt;CK$63,ISNUMBER(CK32)=FALSE),CK$64,CK32))))</f>
      </c>
      <c r="CL84" s="9" t="str">
        <f>IF(ISBLANK(CL32),"NO DATA",IF(ISNUMBER(FIND(CODES!$A$12,CL32)),CODES!$A$12,IF(OR(ISNUMBER(FIND(CODES!$A$10,CL32)),ISNUMBER(FIND(CODES!$A$11,CL32))),CODES!$A$13,IF(OR(CL32&lt;CL$63,ISNUMBER(CL32)=FALSE),CL$64,CL32))))</f>
      </c>
      <c r="CM84" s="9" t="str">
        <f>IF(ISBLANK(CM32),"NO DATA",IF(ISNUMBER(FIND(CODES!$A$12,CM32)),CODES!$A$12,IF(OR(ISNUMBER(FIND(CODES!$A$10,CM32)),ISNUMBER(FIND(CODES!$A$11,CM32))),CODES!$A$13,IF(OR(CM32&lt;CM$63,ISNUMBER(CM32)=FALSE),CM$64,CM32))))</f>
      </c>
      <c r="CN84" s="9" t="str">
        <f>IF(ISBLANK(CN32),"NO DATA",IF(ISNUMBER(FIND(CODES!$A$12,CN32)),CODES!$A$12,IF(OR(ISNUMBER(FIND(CODES!$A$10,CN32)),ISNUMBER(FIND(CODES!$A$11,CN32))),CODES!$A$13,IF(OR(CN32&lt;CN$63,ISNUMBER(CN32)=FALSE),CN$64,CN32))))</f>
      </c>
      <c r="CO84" s="9" t="str">
        <f>IF(ISBLANK(CO32),"NO DATA",IF(ISNUMBER(FIND(CODES!$A$12,CO32)),CODES!$A$12,IF(OR(ISNUMBER(FIND(CODES!$A$10,CO32)),ISNUMBER(FIND(CODES!$A$11,CO32))),CODES!$A$13,IF(OR(CO32&lt;CO$63,ISNUMBER(CO32)=FALSE),CO$64,CO32))))</f>
      </c>
      <c r="CP84" s="9" t="str">
        <f>IF(ISBLANK(CP32),"NO DATA",IF(ISNUMBER(FIND(CODES!$A$12,CP32)),CODES!$A$12,IF(OR(ISNUMBER(FIND(CODES!$A$10,CP32)),ISNUMBER(FIND(CODES!$A$11,CP32))),CODES!$A$13,IF(OR(CP32&lt;CP$63,ISNUMBER(CP32)=FALSE),CP$64,CP32))))</f>
      </c>
      <c r="CQ84" s="9" t="str">
        <f>IF(ISBLANK(CQ32),"NO DATA",IF(ISNUMBER(FIND(CODES!$A$12,CQ32)),CODES!$A$12,IF(OR(ISNUMBER(FIND(CODES!$A$10,CQ32)),ISNUMBER(FIND(CODES!$A$11,CQ32))),CODES!$A$13,IF(OR(CQ32&lt;CQ$63,ISNUMBER(CQ32)=FALSE),CQ$64,CQ32))))</f>
      </c>
      <c r="CR84" s="9" t="str">
        <f>IF(ISBLANK(CR32),"NO DATA",IF(ISNUMBER(FIND(CODES!$A$12,CR32)),CODES!$A$12,IF(OR(ISNUMBER(FIND(CODES!$A$10,CR32)),ISNUMBER(FIND(CODES!$A$11,CR32))),CODES!$A$13,IF(OR(CR32&lt;CR$63,ISNUMBER(CR32)=FALSE),CR$64,CR32))))</f>
      </c>
      <c r="CS84" s="9" t="str">
        <f>IF(ISBLANK(CS32),"NO DATA",IF(ISNUMBER(FIND(CODES!$A$12,CS32)),CODES!$A$12,IF(OR(ISNUMBER(FIND(CODES!$A$10,CS32)),ISNUMBER(FIND(CODES!$A$11,CS32))),CODES!$A$13,IF(OR(CS32&lt;CS$63,ISNUMBER(CS32)=FALSE),CS$64,CS32))))</f>
      </c>
      <c r="CT84" s="9" t="str">
        <f>IF(ISBLANK(CT32),"NO DATA",IF(ISNUMBER(FIND(CODES!$A$12,CT32)),CODES!$A$12,IF(OR(ISNUMBER(FIND(CODES!$A$10,CT32)),ISNUMBER(FIND(CODES!$A$11,CT32))),CODES!$A$13,IF(OR(CT32&lt;CT$63,ISNUMBER(CT32)=FALSE),CT$64,CT32))))</f>
      </c>
      <c r="CU84" s="9" t="str">
        <f>IF(ISBLANK(CU32),"NO DATA",IF(ISNUMBER(FIND(CODES!$A$12,CU32)),CODES!$A$12,IF(OR(ISNUMBER(FIND(CODES!$A$10,CU32)),ISNUMBER(FIND(CODES!$A$11,CU32))),CODES!$A$13,IF(OR(CU32&lt;CU$63,ISNUMBER(CU32)=FALSE),CU$64,CU32))))</f>
      </c>
      <c r="CV84" s="9" t="str">
        <f>IF(ISBLANK(CV32),"NO DATA",IF(ISNUMBER(FIND(CODES!$A$12,CV32)),CODES!$A$12,IF(OR(ISNUMBER(FIND(CODES!$A$10,CV32)),ISNUMBER(FIND(CODES!$A$11,CV32))),CODES!$A$13,IF(OR(CV32&lt;CV$63,ISNUMBER(CV32)=FALSE),CV$64,CV32))))</f>
      </c>
      <c r="CW84" s="9" t="str">
        <f>IF(ISBLANK(CW32),"NO DATA",IF(ISNUMBER(FIND(CODES!$A$12,CW32)),CODES!$A$12,IF(OR(ISNUMBER(FIND(CODES!$A$10,CW32)),ISNUMBER(FIND(CODES!$A$11,CW32))),CODES!$A$13,IF(OR(CW32&lt;CW$63,ISNUMBER(CW32)=FALSE),CW$64,CW32))))</f>
      </c>
      <c r="CX84" s="9" t="str">
        <f>IF(ISBLANK(CX32),"NO DATA",IF(ISNUMBER(FIND(CODES!$A$12,CX32)),CODES!$A$12,IF(OR(ISNUMBER(FIND(CODES!$A$10,CX32)),ISNUMBER(FIND(CODES!$A$11,CX32))),CODES!$A$13,IF(OR(CX32&lt;CX$63,ISNUMBER(CX32)=FALSE),CX$64,CX32))))</f>
      </c>
      <c r="CY84" s="9" t="str">
        <f>IF(ISBLANK(CY32),"NO DATA",IF(ISNUMBER(FIND(CODES!$A$12,CY32)),CODES!$A$12,IF(OR(ISNUMBER(FIND(CODES!$A$10,CY32)),ISNUMBER(FIND(CODES!$A$11,CY32))),CODES!$A$13,IF(OR(CY32&lt;CY$63,ISNUMBER(CY32)=FALSE),CY$64,CY32))))</f>
      </c>
      <c r="CZ84" s="9" t="str">
        <f>IF(ISBLANK(CZ32),"NO DATA",IF(ISNUMBER(FIND(CODES!$A$12,CZ32)),CODES!$A$12,IF(OR(ISNUMBER(FIND(CODES!$A$10,CZ32)),ISNUMBER(FIND(CODES!$A$11,CZ32))),CODES!$A$13,IF(OR(CZ32&lt;CZ$63,ISNUMBER(CZ32)=FALSE),CZ$64,CZ32))))</f>
      </c>
      <c r="DA84" s="9" t="str">
        <f>IF(ISBLANK(DA32),"NO DATA",IF(ISNUMBER(FIND(CODES!$A$12,DA32)),CODES!$A$12,IF(OR(ISNUMBER(FIND(CODES!$A$10,DA32)),ISNUMBER(FIND(CODES!$A$11,DA32))),CODES!$A$13,IF(OR(DA32&lt;DA$63,ISNUMBER(DA32)=FALSE),DA$64,DA32))))</f>
      </c>
      <c r="DB84" s="9" t="str">
        <f>IF(ISBLANK(DB32),"NO DATA",IF(ISNUMBER(FIND(CODES!$A$12,DB32)),CODES!$A$12,IF(OR(ISNUMBER(FIND(CODES!$A$10,DB32)),ISNUMBER(FIND(CODES!$A$11,DB32))),CODES!$A$13,IF(OR(DB32&lt;DB$63,ISNUMBER(DB32)=FALSE),DB$64,DB32))))</f>
      </c>
      <c r="DC84" s="9" t="str">
        <f>IF(ISBLANK(DC32),"NO DATA",IF(ISNUMBER(FIND(CODES!$A$12,DC32)),CODES!$A$12,IF(OR(ISNUMBER(FIND(CODES!$A$10,DC32)),ISNUMBER(FIND(CODES!$A$11,DC32))),CODES!$A$13,IF(OR(DC32&lt;DC$63,ISNUMBER(DC32)=FALSE),DC$64,DC32))))</f>
      </c>
      <c r="DD84" s="9" t="str">
        <f>IF(ISBLANK(DD32),"NO DATA",IF(ISNUMBER(FIND(CODES!$A$12,DD32)),CODES!$A$12,IF(OR(ISNUMBER(FIND(CODES!$A$10,DD32)),ISNUMBER(FIND(CODES!$A$11,DD32))),CODES!$A$13,IF(OR(DD32&lt;DD$63,ISNUMBER(DD32)=FALSE),DD$64,DD32))))</f>
      </c>
      <c r="DE84" s="9" t="str">
        <f>IF(ISBLANK(DE32),"NO DATA",IF(ISNUMBER(FIND(CODES!$A$12,DE32)),CODES!$A$12,IF(OR(ISNUMBER(FIND(CODES!$A$10,DE32)),ISNUMBER(FIND(CODES!$A$11,DE32))),CODES!$A$13,IF(OR(DE32&lt;DE$63,ISNUMBER(DE32)=FALSE),DE$64,DE32))))</f>
      </c>
      <c r="DF84" s="9" t="str">
        <f>IF(ISBLANK(DF32),"NO DATA",IF(ISNUMBER(FIND(CODES!$A$12,DF32)),CODES!$A$12,IF(OR(ISNUMBER(FIND(CODES!$A$10,DF32)),ISNUMBER(FIND(CODES!$A$11,DF32))),CODES!$A$13,IF(OR(DF32&lt;DF$63,ISNUMBER(DF32)=FALSE),DF$64,DF32))))</f>
      </c>
      <c r="DG84" s="9" t="str">
        <f>IF(ISBLANK(DG32),"NO DATA",IF(ISNUMBER(FIND(CODES!$A$12,DG32)),CODES!$A$12,IF(OR(ISNUMBER(FIND(CODES!$A$10,DG32)),ISNUMBER(FIND(CODES!$A$11,DG32))),CODES!$A$13,IF(OR(DG32&lt;DG$63,ISNUMBER(DG32)=FALSE),DG$64,DG32))))</f>
      </c>
      <c r="DH84" s="9" t="str">
        <f>IF(ISBLANK(DH32),"NO DATA",IF(ISNUMBER(FIND(CODES!$A$12,DH32)),CODES!$A$12,IF(OR(ISNUMBER(FIND(CODES!$A$10,DH32)),ISNUMBER(FIND(CODES!$A$11,DH32))),CODES!$A$13,IF(OR(DH32&lt;DH$63,ISNUMBER(DH32)=FALSE),DH$64,DH32))))</f>
      </c>
      <c r="DI84" s="9" t="str">
        <f>IF(ISBLANK(DI32),"NO DATA",IF(ISNUMBER(FIND(CODES!$A$12,DI32)),CODES!$A$12,IF(OR(ISNUMBER(FIND(CODES!$A$10,DI32)),ISNUMBER(FIND(CODES!$A$11,DI32))),CODES!$A$13,IF(OR(DI32&lt;DI$63,ISNUMBER(DI32)=FALSE),DI$64,DI32))))</f>
      </c>
    </row>
    <row r="85" spans="1:113" x14ac:dyDescent="0.25">
      <c r="A85" s="20" t="str">
        <f t="shared" si="4"/>
      </c>
      <c r="B85" s="20">
        <f t="shared" si="4"/>
      </c>
      <c r="C85" s="9" t="str">
        <f>IF(ISBLANK(C33),"NO DATA",IF(ISNUMBER(FIND(CODES!$A$12,C33)),CODES!$A$12,IF(OR(ISNUMBER(FIND(CODES!$A$10,C33)),ISNUMBER(FIND(CODES!$A$11,C33))),CODES!$A$13,IF(OR(C33&lt;C$63,ISNUMBER(C33)=FALSE),C$64,C33))))</f>
      </c>
      <c r="D85" s="9" t="str">
        <f>IF(ISBLANK(D33),"NO DATA",IF(ISNUMBER(FIND(CODES!$A$12,D33)),CODES!$A$12,IF(OR(ISNUMBER(FIND(CODES!$A$10,D33)),ISNUMBER(FIND(CODES!$A$11,D33))),CODES!$A$13,IF(OR(D33&lt;D$63,ISNUMBER(D33)=FALSE),D$64,D33))))</f>
      </c>
      <c r="E85" s="9" t="str">
        <f>IF(ISBLANK(E33),"NO DATA",IF(ISNUMBER(FIND(CODES!$A$12,E33)),CODES!$A$12,IF(OR(ISNUMBER(FIND(CODES!$A$10,E33)),ISNUMBER(FIND(CODES!$A$11,E33))),CODES!$A$13,IF(OR(E33&lt;E$63,ISNUMBER(E33)=FALSE),E$64,E33))))</f>
      </c>
      <c r="F85" s="9" t="str">
        <f>IF(ISBLANK(F33),"NO DATA",IF(ISNUMBER(FIND(CODES!$A$12,F33)),CODES!$A$12,IF(OR(ISNUMBER(FIND(CODES!$A$10,F33)),ISNUMBER(FIND(CODES!$A$11,F33))),CODES!$A$13,IF(OR(F33&lt;F$63,ISNUMBER(F33)=FALSE),F$64,F33))))</f>
      </c>
      <c r="G85" s="9" t="str">
        <f>IF(ISBLANK(G33),"NO DATA",IF(ISNUMBER(FIND(CODES!$A$12,G33)),CODES!$A$12,IF(OR(ISNUMBER(FIND(CODES!$A$10,G33)),ISNUMBER(FIND(CODES!$A$11,G33))),CODES!$A$13,IF(OR(G33&lt;G$63,ISNUMBER(G33)=FALSE),G$64,G33))))</f>
      </c>
      <c r="H85" s="9" t="str">
        <f>IF(ISBLANK(H33),"NO DATA",IF(ISNUMBER(FIND(CODES!$A$12,H33)),CODES!$A$12,IF(OR(ISNUMBER(FIND(CODES!$A$10,H33)),ISNUMBER(FIND(CODES!$A$11,H33))),CODES!$A$13,IF(OR(H33&lt;H$63,ISNUMBER(H33)=FALSE),H$64,H33))))</f>
      </c>
      <c r="I85" s="9" t="str">
        <f>IF(ISBLANK(I33),"NO DATA",IF(ISNUMBER(FIND(CODES!$A$12,I33)),CODES!$A$12,IF(OR(ISNUMBER(FIND(CODES!$A$10,I33)),ISNUMBER(FIND(CODES!$A$11,I33))),CODES!$A$13,IF(OR(I33&lt;I$63,ISNUMBER(I33)=FALSE),I$64,I33))))</f>
      </c>
      <c r="J85" s="9" t="str">
        <f>IF(ISBLANK(J33),"NO DATA",IF(ISNUMBER(FIND(CODES!$A$12,J33)),CODES!$A$12,IF(OR(ISNUMBER(FIND(CODES!$A$10,J33)),ISNUMBER(FIND(CODES!$A$11,J33))),CODES!$A$13,IF(OR(J33&lt;J$63,ISNUMBER(J33)=FALSE),J$64,J33))))</f>
      </c>
      <c r="K85" s="9" t="str">
        <f>IF(ISBLANK(K33),"NO DATA",IF(ISNUMBER(FIND(CODES!$A$12,K33)),CODES!$A$12,IF(OR(ISNUMBER(FIND(CODES!$A$10,K33)),ISNUMBER(FIND(CODES!$A$11,K33))),CODES!$A$13,IF(OR(K33&lt;K$63,ISNUMBER(K33)=FALSE),K$64,K33))))</f>
      </c>
      <c r="L85" s="9" t="str">
        <f>IF(ISBLANK(L33),"NO DATA",IF(ISNUMBER(FIND(CODES!$A$12,L33)),CODES!$A$12,IF(OR(ISNUMBER(FIND(CODES!$A$10,L33)),ISNUMBER(FIND(CODES!$A$11,L33))),CODES!$A$13,IF(OR(L33&lt;L$63,ISNUMBER(L33)=FALSE),L$64,L33))))</f>
      </c>
      <c r="M85" s="9" t="str">
        <f>IF(ISBLANK(M33),"NO DATA",IF(ISNUMBER(FIND(CODES!$A$12,M33)),CODES!$A$12,IF(OR(ISNUMBER(FIND(CODES!$A$10,M33)),ISNUMBER(FIND(CODES!$A$11,M33))),CODES!$A$13,IF(OR(M33&lt;M$63,ISNUMBER(M33)=FALSE),M$64,M33))))</f>
      </c>
      <c r="N85" s="9" t="str">
        <f>IF(ISBLANK(N33),"NO DATA",IF(ISNUMBER(FIND(CODES!$A$12,N33)),CODES!$A$12,IF(OR(ISNUMBER(FIND(CODES!$A$10,N33)),ISNUMBER(FIND(CODES!$A$11,N33))),CODES!$A$13,IF(OR(N33&lt;N$63,ISNUMBER(N33)=FALSE),N$64,N33))))</f>
      </c>
      <c r="O85" s="9" t="str">
        <f>IF(ISBLANK(O33),"NO DATA",IF(ISNUMBER(FIND(CODES!$A$12,O33)),CODES!$A$12,IF(OR(ISNUMBER(FIND(CODES!$A$10,O33)),ISNUMBER(FIND(CODES!$A$11,O33))),CODES!$A$13,IF(OR(O33&lt;O$63,ISNUMBER(O33)=FALSE),O$64,O33))))</f>
      </c>
      <c r="P85" s="9" t="str">
        <f>IF(ISBLANK(P33),"NO DATA",IF(ISNUMBER(FIND(CODES!$A$12,P33)),CODES!$A$12,IF(OR(ISNUMBER(FIND(CODES!$A$10,P33)),ISNUMBER(FIND(CODES!$A$11,P33))),CODES!$A$13,IF(OR(P33&lt;P$63,ISNUMBER(P33)=FALSE),P$64,P33))))</f>
      </c>
      <c r="Q85" s="9" t="str">
        <f>IF(ISBLANK(Q33),"NO DATA",IF(ISNUMBER(FIND(CODES!$A$12,Q33)),CODES!$A$12,IF(OR(ISNUMBER(FIND(CODES!$A$10,Q33)),ISNUMBER(FIND(CODES!$A$11,Q33))),CODES!$A$13,IF(OR(Q33&lt;Q$63,ISNUMBER(Q33)=FALSE),Q$64,Q33))))</f>
      </c>
      <c r="R85" s="9" t="str">
        <f>IF(ISBLANK(R33),"NO DATA",IF(ISNUMBER(FIND(CODES!$A$12,R33)),CODES!$A$12,IF(OR(ISNUMBER(FIND(CODES!$A$10,R33)),ISNUMBER(FIND(CODES!$A$11,R33))),CODES!$A$13,IF(OR(R33&lt;R$63,ISNUMBER(R33)=FALSE),R$64,R33))))</f>
      </c>
      <c r="S85" s="9" t="str">
        <f>IF(ISBLANK(S33),"NO DATA",IF(ISNUMBER(FIND(CODES!$A$12,S33)),CODES!$A$12,IF(OR(ISNUMBER(FIND(CODES!$A$10,S33)),ISNUMBER(FIND(CODES!$A$11,S33))),CODES!$A$13,IF(OR(S33&lt;S$63,ISNUMBER(S33)=FALSE),S$64,S33))))</f>
      </c>
      <c r="T85" s="9" t="str">
        <f>IF(ISBLANK(T33),"NO DATA",IF(ISNUMBER(FIND(CODES!$A$12,T33)),CODES!$A$12,IF(OR(ISNUMBER(FIND(CODES!$A$10,T33)),ISNUMBER(FIND(CODES!$A$11,T33))),CODES!$A$13,IF(OR(T33&lt;T$63,ISNUMBER(T33)=FALSE),T$64,T33))))</f>
      </c>
      <c r="U85" s="9" t="str">
        <f>IF(ISBLANK(U33),"NO DATA",IF(ISNUMBER(FIND(CODES!$A$12,U33)),CODES!$A$12,IF(OR(ISNUMBER(FIND(CODES!$A$10,U33)),ISNUMBER(FIND(CODES!$A$11,U33))),CODES!$A$13,IF(OR(U33&lt;U$63,ISNUMBER(U33)=FALSE),U$64,U33))))</f>
      </c>
      <c r="V85" s="9" t="str">
        <f>IF(ISBLANK(V33),"NO DATA",IF(ISNUMBER(FIND(CODES!$A$12,V33)),CODES!$A$12,IF(OR(ISNUMBER(FIND(CODES!$A$10,V33)),ISNUMBER(FIND(CODES!$A$11,V33))),CODES!$A$13,IF(OR(V33&lt;V$63,ISNUMBER(V33)=FALSE),V$64,V33))))</f>
      </c>
      <c r="W85" s="9" t="str">
        <f>IF(ISBLANK(W33),"NO DATA",IF(ISNUMBER(FIND(CODES!$A$12,W33)),CODES!$A$12,IF(OR(ISNUMBER(FIND(CODES!$A$10,W33)),ISNUMBER(FIND(CODES!$A$11,W33))),CODES!$A$13,IF(OR(W33&lt;W$63,ISNUMBER(W33)=FALSE),W$64,W33))))</f>
      </c>
      <c r="X85" s="9" t="str">
        <f>IF(ISBLANK(X33),"NO DATA",IF(ISNUMBER(FIND(CODES!$A$12,X33)),CODES!$A$12,IF(OR(ISNUMBER(FIND(CODES!$A$10,X33)),ISNUMBER(FIND(CODES!$A$11,X33))),CODES!$A$13,IF(OR(X33&lt;X$63,ISNUMBER(X33)=FALSE),X$64,X33))))</f>
      </c>
      <c r="Y85" s="9" t="str">
        <f>IF(ISBLANK(Y33),"NO DATA",IF(ISNUMBER(FIND(CODES!$A$12,Y33)),CODES!$A$12,IF(OR(ISNUMBER(FIND(CODES!$A$10,Y33)),ISNUMBER(FIND(CODES!$A$11,Y33))),CODES!$A$13,IF(OR(Y33&lt;Y$63,ISNUMBER(Y33)=FALSE),Y$64,Y33))))</f>
      </c>
      <c r="Z85" s="9" t="str">
        <f>IF(ISBLANK(Z33),"NO DATA",IF(ISNUMBER(FIND(CODES!$A$12,Z33)),CODES!$A$12,IF(OR(ISNUMBER(FIND(CODES!$A$10,Z33)),ISNUMBER(FIND(CODES!$A$11,Z33))),CODES!$A$13,IF(OR(Z33&lt;Z$63,ISNUMBER(Z33)=FALSE),Z$64,Z33))))</f>
      </c>
      <c r="AA85" s="9" t="str">
        <f>IF(ISBLANK(AA33),"NO DATA",IF(ISNUMBER(FIND(CODES!$A$12,AA33)),CODES!$A$12,IF(OR(ISNUMBER(FIND(CODES!$A$10,AA33)),ISNUMBER(FIND(CODES!$A$11,AA33))),CODES!$A$13,IF(OR(AA33&lt;AA$63,ISNUMBER(AA33)=FALSE),AA$64,AA33))))</f>
      </c>
      <c r="AB85" s="9" t="str">
        <f>IF(ISBLANK(AB33),"NO DATA",IF(ISNUMBER(FIND(CODES!$A$12,AB33)),CODES!$A$12,IF(OR(ISNUMBER(FIND(CODES!$A$10,AB33)),ISNUMBER(FIND(CODES!$A$11,AB33))),CODES!$A$13,IF(OR(AB33&lt;AB$63,ISNUMBER(AB33)=FALSE),AB$64,AB33))))</f>
      </c>
      <c r="AC85" s="9" t="str">
        <f>IF(ISBLANK(AC33),"NO DATA",IF(ISNUMBER(FIND(CODES!$A$12,AC33)),CODES!$A$12,IF(OR(ISNUMBER(FIND(CODES!$A$10,AC33)),ISNUMBER(FIND(CODES!$A$11,AC33))),CODES!$A$13,IF(OR(AC33&lt;AC$63,ISNUMBER(AC33)=FALSE),AC$64,AC33))))</f>
      </c>
      <c r="AD85" s="9" t="str">
        <f>IF(ISBLANK(AD33),"NO DATA",IF(ISNUMBER(FIND(CODES!$A$12,AD33)),CODES!$A$12,IF(OR(ISNUMBER(FIND(CODES!$A$10,AD33)),ISNUMBER(FIND(CODES!$A$11,AD33))),CODES!$A$13,IF(OR(AD33&lt;AD$63,ISNUMBER(AD33)=FALSE),AD$64,AD33))))</f>
      </c>
      <c r="AE85" s="9" t="str">
        <f>IF(ISBLANK(AE33),"NO DATA",IF(ISNUMBER(FIND(CODES!$A$12,AE33)),CODES!$A$12,IF(OR(ISNUMBER(FIND(CODES!$A$10,AE33)),ISNUMBER(FIND(CODES!$A$11,AE33))),CODES!$A$13,IF(OR(AE33&lt;AE$63,ISNUMBER(AE33)=FALSE),AE$64,AE33))))</f>
      </c>
      <c r="AF85" s="9" t="str">
        <f>IF(ISBLANK(AF33),"NO DATA",IF(ISNUMBER(FIND(CODES!$A$12,AF33)),CODES!$A$12,IF(OR(ISNUMBER(FIND(CODES!$A$10,AF33)),ISNUMBER(FIND(CODES!$A$11,AF33))),CODES!$A$13,IF(OR(AF33&lt;AF$63,ISNUMBER(AF33)=FALSE),AF$64,AF33))))</f>
      </c>
      <c r="AG85" s="9" t="str">
        <f>IF(ISBLANK(AG33),"NO DATA",IF(ISNUMBER(FIND(CODES!$A$12,AG33)),CODES!$A$12,IF(OR(ISNUMBER(FIND(CODES!$A$10,AG33)),ISNUMBER(FIND(CODES!$A$11,AG33))),CODES!$A$13,IF(OR(AG33&lt;AG$63,ISNUMBER(AG33)=FALSE),AG$64,AG33))))</f>
      </c>
      <c r="AH85" s="9" t="str">
        <f>IF(ISBLANK(AH33),"NO DATA",IF(ISNUMBER(FIND(CODES!$A$12,AH33)),CODES!$A$12,IF(OR(ISNUMBER(FIND(CODES!$A$10,AH33)),ISNUMBER(FIND(CODES!$A$11,AH33))),CODES!$A$13,IF(OR(AH33&lt;AH$63,ISNUMBER(AH33)=FALSE),AH$64,AH33))))</f>
      </c>
      <c r="AI85" s="9" t="str">
        <f>IF(ISBLANK(AI33),"NO DATA",IF(ISNUMBER(FIND(CODES!$A$12,AI33)),CODES!$A$12,IF(OR(ISNUMBER(FIND(CODES!$A$10,AI33)),ISNUMBER(FIND(CODES!$A$11,AI33))),CODES!$A$13,IF(OR(AI33&lt;AI$63,ISNUMBER(AI33)=FALSE),AI$64,AI33))))</f>
      </c>
      <c r="AJ85" s="9" t="str">
        <f>IF(ISBLANK(AJ33),"NO DATA",IF(ISNUMBER(FIND(CODES!$A$12,AJ33)),CODES!$A$12,IF(OR(ISNUMBER(FIND(CODES!$A$10,AJ33)),ISNUMBER(FIND(CODES!$A$11,AJ33))),CODES!$A$13,IF(OR(AJ33&lt;AJ$63,ISNUMBER(AJ33)=FALSE),AJ$64,AJ33))))</f>
      </c>
      <c r="AK85" s="9" t="str">
        <f>IF(ISBLANK(AK33),"NO DATA",IF(ISNUMBER(FIND(CODES!$A$12,AK33)),CODES!$A$12,IF(OR(ISNUMBER(FIND(CODES!$A$10,AK33)),ISNUMBER(FIND(CODES!$A$11,AK33))),CODES!$A$13,IF(OR(AK33&lt;AK$63,ISNUMBER(AK33)=FALSE),AK$64,AK33))))</f>
      </c>
      <c r="AL85" s="9" t="str">
        <f>IF(ISBLANK(AL33),"NO DATA",IF(ISNUMBER(FIND(CODES!$A$12,AL33)),CODES!$A$12,IF(OR(ISNUMBER(FIND(CODES!$A$10,AL33)),ISNUMBER(FIND(CODES!$A$11,AL33))),CODES!$A$13,IF(OR(AL33&lt;AL$63,ISNUMBER(AL33)=FALSE),AL$64,AL33))))</f>
      </c>
      <c r="AM85" s="9" t="str">
        <f>IF(ISBLANK(AM33),"NO DATA",IF(ISNUMBER(FIND(CODES!$A$12,AM33)),CODES!$A$12,IF(OR(ISNUMBER(FIND(CODES!$A$10,AM33)),ISNUMBER(FIND(CODES!$A$11,AM33))),CODES!$A$13,IF(OR(AM33&lt;AM$63,ISNUMBER(AM33)=FALSE),AM$64,AM33))))</f>
      </c>
      <c r="AN85" s="9" t="str">
        <f>IF(ISBLANK(AN33),"NO DATA",IF(ISNUMBER(FIND(CODES!$A$12,AN33)),CODES!$A$12,IF(OR(ISNUMBER(FIND(CODES!$A$10,AN33)),ISNUMBER(FIND(CODES!$A$11,AN33))),CODES!$A$13,IF(OR(AN33&lt;AN$63,ISNUMBER(AN33)=FALSE),AN$64,AN33))))</f>
      </c>
      <c r="AO85" s="9" t="str">
        <f>IF(ISBLANK(AO33),"NO DATA",IF(ISNUMBER(FIND(CODES!$A$12,AO33)),CODES!$A$12,IF(OR(ISNUMBER(FIND(CODES!$A$10,AO33)),ISNUMBER(FIND(CODES!$A$11,AO33))),CODES!$A$13,IF(OR(AO33&lt;AO$63,ISNUMBER(AO33)=FALSE),AO$64,AO33))))</f>
      </c>
      <c r="AP85" s="9" t="str">
        <f>IF(ISBLANK(AP33),"NO DATA",IF(ISNUMBER(FIND(CODES!$A$12,AP33)),CODES!$A$12,IF(OR(ISNUMBER(FIND(CODES!$A$10,AP33)),ISNUMBER(FIND(CODES!$A$11,AP33))),CODES!$A$13,IF(OR(AP33&lt;AP$63,ISNUMBER(AP33)=FALSE),AP$64,AP33))))</f>
      </c>
      <c r="AQ85" s="9" t="str">
        <f>IF(ISBLANK(AQ33),"NO DATA",IF(ISNUMBER(FIND(CODES!$A$12,AQ33)),CODES!$A$12,IF(OR(ISNUMBER(FIND(CODES!$A$10,AQ33)),ISNUMBER(FIND(CODES!$A$11,AQ33))),CODES!$A$13,IF(OR(AQ33&lt;AQ$63,ISNUMBER(AQ33)=FALSE),AQ$64,AQ33))))</f>
      </c>
      <c r="AR85" s="9" t="str">
        <f>IF(ISBLANK(AR33),"NO DATA",IF(ISNUMBER(FIND(CODES!$A$12,AR33)),CODES!$A$12,IF(OR(ISNUMBER(FIND(CODES!$A$10,AR33)),ISNUMBER(FIND(CODES!$A$11,AR33))),CODES!$A$13,IF(OR(AR33&lt;AR$63,ISNUMBER(AR33)=FALSE),AR$64,AR33))))</f>
      </c>
      <c r="AS85" s="9" t="str">
        <f>IF(ISBLANK(AS33),"NO DATA",IF(ISNUMBER(FIND(CODES!$A$12,AS33)),CODES!$A$12,IF(OR(ISNUMBER(FIND(CODES!$A$10,AS33)),ISNUMBER(FIND(CODES!$A$11,AS33))),CODES!$A$13,IF(OR(AS33&lt;AS$63,ISNUMBER(AS33)=FALSE),AS$64,AS33))))</f>
      </c>
      <c r="AT85" s="9" t="str">
        <f>IF(ISBLANK(AT33),"NO DATA",IF(ISNUMBER(FIND(CODES!$A$12,AT33)),CODES!$A$12,IF(OR(ISNUMBER(FIND(CODES!$A$10,AT33)),ISNUMBER(FIND(CODES!$A$11,AT33))),CODES!$A$13,IF(OR(AT33&lt;AT$63,ISNUMBER(AT33)=FALSE),AT$64,AT33))))</f>
      </c>
      <c r="AU85" s="9" t="str">
        <f>IF(ISBLANK(AU33),"NO DATA",IF(ISNUMBER(FIND(CODES!$A$12,AU33)),CODES!$A$12,IF(OR(ISNUMBER(FIND(CODES!$A$10,AU33)),ISNUMBER(FIND(CODES!$A$11,AU33))),CODES!$A$13,IF(OR(AU33&lt;AU$63,ISNUMBER(AU33)=FALSE),AU$64,AU33))))</f>
      </c>
      <c r="AV85" s="9" t="str">
        <f>IF(ISBLANK(AV33),"NO DATA",IF(ISNUMBER(FIND(CODES!$A$12,AV33)),CODES!$A$12,IF(OR(ISNUMBER(FIND(CODES!$A$10,AV33)),ISNUMBER(FIND(CODES!$A$11,AV33))),CODES!$A$13,IF(OR(AV33&lt;AV$63,ISNUMBER(AV33)=FALSE),AV$64,AV33))))</f>
      </c>
      <c r="AW85" s="9" t="str">
        <f>IF(ISBLANK(AW33),"NO DATA",IF(ISNUMBER(FIND(CODES!$A$12,AW33)),CODES!$A$12,IF(OR(ISNUMBER(FIND(CODES!$A$10,AW33)),ISNUMBER(FIND(CODES!$A$11,AW33))),CODES!$A$13,IF(OR(AW33&lt;AW$63,ISNUMBER(AW33)=FALSE),AW$64,AW33))))</f>
      </c>
      <c r="AX85" s="9" t="str">
        <f>IF(ISBLANK(AX33),"NO DATA",IF(ISNUMBER(FIND(CODES!$A$12,AX33)),CODES!$A$12,IF(OR(ISNUMBER(FIND(CODES!$A$10,AX33)),ISNUMBER(FIND(CODES!$A$11,AX33))),CODES!$A$13,IF(OR(AX33&lt;AX$63,ISNUMBER(AX33)=FALSE),AX$64,AX33))))</f>
      </c>
      <c r="AY85" s="9" t="str">
        <f>IF(ISBLANK(AY33),"NO DATA",IF(ISNUMBER(FIND(CODES!$A$12,AY33)),CODES!$A$12,IF(OR(ISNUMBER(FIND(CODES!$A$10,AY33)),ISNUMBER(FIND(CODES!$A$11,AY33))),CODES!$A$13,IF(OR(AY33&lt;AY$63,ISNUMBER(AY33)=FALSE),AY$64,AY33))))</f>
      </c>
      <c r="AZ85" s="9" t="str">
        <f>IF(ISBLANK(AZ33),"NO DATA",IF(ISNUMBER(FIND(CODES!$A$12,AZ33)),CODES!$A$12,IF(OR(ISNUMBER(FIND(CODES!$A$10,AZ33)),ISNUMBER(FIND(CODES!$A$11,AZ33))),CODES!$A$13,IF(OR(AZ33&lt;AZ$63,ISNUMBER(AZ33)=FALSE),AZ$64,AZ33))))</f>
      </c>
      <c r="BA85" s="9" t="str">
        <f>IF(ISBLANK(BA33),"NO DATA",IF(ISNUMBER(FIND(CODES!$A$12,BA33)),CODES!$A$12,IF(OR(ISNUMBER(FIND(CODES!$A$10,BA33)),ISNUMBER(FIND(CODES!$A$11,BA33))),CODES!$A$13,IF(OR(BA33&lt;BA$63,ISNUMBER(BA33)=FALSE),BA$64,BA33))))</f>
      </c>
      <c r="BB85" s="9" t="str">
        <f>IF(ISBLANK(BB33),"NO DATA",IF(ISNUMBER(FIND(CODES!$A$12,BB33)),CODES!$A$12,IF(OR(ISNUMBER(FIND(CODES!$A$10,BB33)),ISNUMBER(FIND(CODES!$A$11,BB33))),CODES!$A$13,IF(OR(BB33&lt;BB$63,ISNUMBER(BB33)=FALSE),BB$64,BB33))))</f>
      </c>
      <c r="BC85" s="9" t="str">
        <f>IF(ISBLANK(BC33),"NO DATA",IF(ISNUMBER(FIND(CODES!$A$12,BC33)),CODES!$A$12,IF(OR(ISNUMBER(FIND(CODES!$A$10,BC33)),ISNUMBER(FIND(CODES!$A$11,BC33))),CODES!$A$13,IF(OR(BC33&lt;BC$63,ISNUMBER(BC33)=FALSE),BC$64,BC33))))</f>
      </c>
      <c r="BD85" s="9" t="str">
        <f>IF(ISBLANK(BD33),"NO DATA",IF(ISNUMBER(FIND(CODES!$A$12,BD33)),CODES!$A$12,IF(OR(ISNUMBER(FIND(CODES!$A$10,BD33)),ISNUMBER(FIND(CODES!$A$11,BD33))),CODES!$A$13,IF(OR(BD33&lt;BD$63,ISNUMBER(BD33)=FALSE),BD$64,BD33))))</f>
      </c>
      <c r="BE85" s="9" t="str">
        <f>IF(ISBLANK(BE33),"NO DATA",IF(ISNUMBER(FIND(CODES!$A$12,BE33)),CODES!$A$12,IF(OR(ISNUMBER(FIND(CODES!$A$10,BE33)),ISNUMBER(FIND(CODES!$A$11,BE33))),CODES!$A$13,IF(OR(BE33&lt;BE$63,ISNUMBER(BE33)=FALSE),BE$64,BE33))))</f>
      </c>
      <c r="BF85" s="9" t="str">
        <f>IF(ISBLANK(BF33),"NO DATA",IF(ISNUMBER(FIND(CODES!$A$12,BF33)),CODES!$A$12,IF(OR(ISNUMBER(FIND(CODES!$A$10,BF33)),ISNUMBER(FIND(CODES!$A$11,BF33))),CODES!$A$13,IF(OR(BF33&lt;BF$63,ISNUMBER(BF33)=FALSE),BF$64,BF33))))</f>
      </c>
      <c r="BG85" s="9" t="str">
        <f>IF(ISBLANK(BG33),"NO DATA",IF(ISNUMBER(FIND(CODES!$A$12,BG33)),CODES!$A$12,IF(OR(ISNUMBER(FIND(CODES!$A$10,BG33)),ISNUMBER(FIND(CODES!$A$11,BG33))),CODES!$A$13,IF(OR(BG33&lt;BG$63,ISNUMBER(BG33)=FALSE),BG$64,BG33))))</f>
      </c>
      <c r="BH85" s="9" t="str">
        <f>IF(ISBLANK(BH33),"NO DATA",IF(ISNUMBER(FIND(CODES!$A$12,BH33)),CODES!$A$12,IF(OR(ISNUMBER(FIND(CODES!$A$10,BH33)),ISNUMBER(FIND(CODES!$A$11,BH33))),CODES!$A$13,IF(OR(BH33&lt;BH$63,ISNUMBER(BH33)=FALSE),BH$64,BH33))))</f>
      </c>
      <c r="BI85" s="9" t="str">
        <f>IF(ISBLANK(BI33),"NO DATA",IF(ISNUMBER(FIND(CODES!$A$12,BI33)),CODES!$A$12,IF(OR(ISNUMBER(FIND(CODES!$A$10,BI33)),ISNUMBER(FIND(CODES!$A$11,BI33))),CODES!$A$13,IF(OR(BI33&lt;BI$63,ISNUMBER(BI33)=FALSE),BI$64,BI33))))</f>
      </c>
      <c r="BJ85" s="9" t="str">
        <f>IF(ISBLANK(BJ33),"NO DATA",IF(ISNUMBER(FIND(CODES!$A$12,BJ33)),CODES!$A$12,IF(OR(ISNUMBER(FIND(CODES!$A$10,BJ33)),ISNUMBER(FIND(CODES!$A$11,BJ33))),CODES!$A$13,IF(OR(BJ33&lt;BJ$63,ISNUMBER(BJ33)=FALSE),BJ$64,BJ33))))</f>
      </c>
      <c r="BK85" s="9" t="str">
        <f>IF(ISBLANK(BK33),"NO DATA",IF(ISNUMBER(FIND(CODES!$A$12,BK33)),CODES!$A$12,IF(OR(ISNUMBER(FIND(CODES!$A$10,BK33)),ISNUMBER(FIND(CODES!$A$11,BK33))),CODES!$A$13,IF(OR(BK33&lt;BK$63,ISNUMBER(BK33)=FALSE),BK$64,BK33))))</f>
      </c>
      <c r="BL85" s="9" t="str">
        <f>IF(ISBLANK(BL33),"NO DATA",IF(ISNUMBER(FIND(CODES!$A$12,BL33)),CODES!$A$12,IF(OR(ISNUMBER(FIND(CODES!$A$10,BL33)),ISNUMBER(FIND(CODES!$A$11,BL33))),CODES!$A$13,IF(OR(BL33&lt;BL$63,ISNUMBER(BL33)=FALSE),BL$64,BL33))))</f>
      </c>
      <c r="BM85" s="9" t="str">
        <f>IF(ISBLANK(BM33),"NO DATA",IF(ISNUMBER(FIND(CODES!$A$12,BM33)),CODES!$A$12,IF(OR(ISNUMBER(FIND(CODES!$A$10,BM33)),ISNUMBER(FIND(CODES!$A$11,BM33))),CODES!$A$13,IF(OR(BM33&lt;BM$63,ISNUMBER(BM33)=FALSE),BM$64,BM33))))</f>
      </c>
      <c r="BN85" s="9" t="str">
        <f>IF(ISBLANK(BN33),"NO DATA",IF(ISNUMBER(FIND(CODES!$A$12,BN33)),CODES!$A$12,IF(OR(ISNUMBER(FIND(CODES!$A$10,BN33)),ISNUMBER(FIND(CODES!$A$11,BN33))),CODES!$A$13,IF(OR(BN33&lt;BN$63,ISNUMBER(BN33)=FALSE),BN$64,BN33))))</f>
      </c>
      <c r="BO85" s="9" t="str">
        <f>IF(ISBLANK(BO33),"NO DATA",IF(ISNUMBER(FIND(CODES!$A$12,BO33)),CODES!$A$12,IF(OR(ISNUMBER(FIND(CODES!$A$10,BO33)),ISNUMBER(FIND(CODES!$A$11,BO33))),CODES!$A$13,IF(OR(BO33&lt;BO$63,ISNUMBER(BO33)=FALSE),BO$64,BO33))))</f>
      </c>
      <c r="BP85" s="9" t="str">
        <f>IF(ISBLANK(BP33),"NO DATA",IF(ISNUMBER(FIND(CODES!$A$12,BP33)),CODES!$A$12,IF(OR(ISNUMBER(FIND(CODES!$A$10,BP33)),ISNUMBER(FIND(CODES!$A$11,BP33))),CODES!$A$13,IF(OR(BP33&lt;BP$63,ISNUMBER(BP33)=FALSE),BP$64,BP33))))</f>
      </c>
      <c r="BQ85" s="9" t="str">
        <f>IF(ISBLANK(BQ33),"NO DATA",IF(ISNUMBER(FIND(CODES!$A$12,BQ33)),CODES!$A$12,IF(OR(ISNUMBER(FIND(CODES!$A$10,BQ33)),ISNUMBER(FIND(CODES!$A$11,BQ33))),CODES!$A$13,IF(OR(BQ33&lt;BQ$63,ISNUMBER(BQ33)=FALSE),BQ$64,BQ33))))</f>
      </c>
      <c r="BR85" s="9" t="str">
        <f>IF(ISBLANK(BR33),"NO DATA",IF(ISNUMBER(FIND(CODES!$A$12,BR33)),CODES!$A$12,IF(OR(ISNUMBER(FIND(CODES!$A$10,BR33)),ISNUMBER(FIND(CODES!$A$11,BR33))),CODES!$A$13,IF(OR(BR33&lt;BR$63,ISNUMBER(BR33)=FALSE),BR$64,BR33))))</f>
      </c>
      <c r="BS85" s="9" t="str">
        <f>IF(ISBLANK(BS33),"NO DATA",IF(ISNUMBER(FIND(CODES!$A$12,BS33)),CODES!$A$12,IF(OR(ISNUMBER(FIND(CODES!$A$10,BS33)),ISNUMBER(FIND(CODES!$A$11,BS33))),CODES!$A$13,IF(OR(BS33&lt;BS$63,ISNUMBER(BS33)=FALSE),BS$64,BS33))))</f>
      </c>
      <c r="BT85" s="9" t="str">
        <f>IF(ISBLANK(BT33),"NO DATA",IF(ISNUMBER(FIND(CODES!$A$12,BT33)),CODES!$A$12,IF(OR(ISNUMBER(FIND(CODES!$A$10,BT33)),ISNUMBER(FIND(CODES!$A$11,BT33))),CODES!$A$13,IF(OR(BT33&lt;BT$63,ISNUMBER(BT33)=FALSE),BT$64,BT33))))</f>
      </c>
      <c r="BU85" s="9" t="str">
        <f>IF(ISBLANK(BU33),"NO DATA",IF(ISNUMBER(FIND(CODES!$A$12,BU33)),CODES!$A$12,IF(OR(ISNUMBER(FIND(CODES!$A$10,BU33)),ISNUMBER(FIND(CODES!$A$11,BU33))),CODES!$A$13,IF(OR(BU33&lt;BU$63,ISNUMBER(BU33)=FALSE),BU$64,BU33))))</f>
      </c>
      <c r="BV85" s="9" t="str">
        <f>IF(ISBLANK(BV33),"NO DATA",IF(ISNUMBER(FIND(CODES!$A$12,BV33)),CODES!$A$12,IF(OR(ISNUMBER(FIND(CODES!$A$10,BV33)),ISNUMBER(FIND(CODES!$A$11,BV33))),CODES!$A$13,IF(OR(BV33&lt;BV$63,ISNUMBER(BV33)=FALSE),BV$64,BV33))))</f>
      </c>
      <c r="BW85" s="9" t="str">
        <f>IF(ISBLANK(BW33),"NO DATA",IF(ISNUMBER(FIND(CODES!$A$12,BW33)),CODES!$A$12,IF(OR(ISNUMBER(FIND(CODES!$A$10,BW33)),ISNUMBER(FIND(CODES!$A$11,BW33))),CODES!$A$13,IF(OR(BW33&lt;BW$63,ISNUMBER(BW33)=FALSE),BW$64,BW33))))</f>
      </c>
      <c r="BX85" s="9" t="str">
        <f>IF(ISBLANK(BX33),"NO DATA",IF(ISNUMBER(FIND(CODES!$A$12,BX33)),CODES!$A$12,IF(OR(ISNUMBER(FIND(CODES!$A$10,BX33)),ISNUMBER(FIND(CODES!$A$11,BX33))),CODES!$A$13,IF(OR(BX33&lt;BX$63,ISNUMBER(BX33)=FALSE),BX$64,BX33))))</f>
      </c>
      <c r="BY85" s="9" t="str">
        <f>IF(ISBLANK(BY33),"NO DATA",IF(ISNUMBER(FIND(CODES!$A$12,BY33)),CODES!$A$12,IF(OR(ISNUMBER(FIND(CODES!$A$10,BY33)),ISNUMBER(FIND(CODES!$A$11,BY33))),CODES!$A$13,IF(OR(BY33&lt;BY$63,ISNUMBER(BY33)=FALSE),BY$64,BY33))))</f>
      </c>
      <c r="BZ85" s="9" t="str">
        <f>IF(ISBLANK(BZ33),"NO DATA",IF(ISNUMBER(FIND(CODES!$A$12,BZ33)),CODES!$A$12,IF(OR(ISNUMBER(FIND(CODES!$A$10,BZ33)),ISNUMBER(FIND(CODES!$A$11,BZ33))),CODES!$A$13,IF(OR(BZ33&lt;BZ$63,ISNUMBER(BZ33)=FALSE),BZ$64,BZ33))))</f>
      </c>
      <c r="CA85" s="9" t="str">
        <f>IF(ISBLANK(CA33),"NO DATA",IF(ISNUMBER(FIND(CODES!$A$12,CA33)),CODES!$A$12,IF(OR(ISNUMBER(FIND(CODES!$A$10,CA33)),ISNUMBER(FIND(CODES!$A$11,CA33))),CODES!$A$13,IF(OR(CA33&lt;CA$63,ISNUMBER(CA33)=FALSE),CA$64,CA33))))</f>
      </c>
      <c r="CB85" s="9" t="str">
        <f>IF(ISBLANK(CB33),"NO DATA",IF(ISNUMBER(FIND(CODES!$A$12,CB33)),CODES!$A$12,IF(OR(ISNUMBER(FIND(CODES!$A$10,CB33)),ISNUMBER(FIND(CODES!$A$11,CB33))),CODES!$A$13,IF(OR(CB33&lt;CB$63,ISNUMBER(CB33)=FALSE),CB$64,CB33))))</f>
      </c>
      <c r="CC85" s="9" t="str">
        <f>IF(ISBLANK(CC33),"NO DATA",IF(ISNUMBER(FIND(CODES!$A$12,CC33)),CODES!$A$12,IF(OR(ISNUMBER(FIND(CODES!$A$10,CC33)),ISNUMBER(FIND(CODES!$A$11,CC33))),CODES!$A$13,IF(OR(CC33&lt;CC$63,ISNUMBER(CC33)=FALSE),CC$64,CC33))))</f>
      </c>
      <c r="CD85" s="9" t="str">
        <f>IF(ISBLANK(CD33),"NO DATA",IF(ISNUMBER(FIND(CODES!$A$12,CD33)),CODES!$A$12,IF(OR(ISNUMBER(FIND(CODES!$A$10,CD33)),ISNUMBER(FIND(CODES!$A$11,CD33))),CODES!$A$13,IF(OR(CD33&lt;CD$63,ISNUMBER(CD33)=FALSE),CD$64,CD33))))</f>
      </c>
      <c r="CE85" s="9" t="str">
        <f>IF(ISBLANK(CE33),"NO DATA",IF(ISNUMBER(FIND(CODES!$A$12,CE33)),CODES!$A$12,IF(OR(ISNUMBER(FIND(CODES!$A$10,CE33)),ISNUMBER(FIND(CODES!$A$11,CE33))),CODES!$A$13,IF(OR(CE33&lt;CE$63,ISNUMBER(CE33)=FALSE),CE$64,CE33))))</f>
      </c>
      <c r="CF85" s="9" t="str">
        <f>IF(ISBLANK(CF33),"NO DATA",IF(ISNUMBER(FIND(CODES!$A$12,CF33)),CODES!$A$12,IF(OR(ISNUMBER(FIND(CODES!$A$10,CF33)),ISNUMBER(FIND(CODES!$A$11,CF33))),CODES!$A$13,IF(OR(CF33&lt;CF$63,ISNUMBER(CF33)=FALSE),CF$64,CF33))))</f>
      </c>
      <c r="CG85" s="9" t="str">
        <f>IF(ISBLANK(CG33),"NO DATA",IF(ISNUMBER(FIND(CODES!$A$12,CG33)),CODES!$A$12,IF(OR(ISNUMBER(FIND(CODES!$A$10,CG33)),ISNUMBER(FIND(CODES!$A$11,CG33))),CODES!$A$13,IF(OR(CG33&lt;CG$63,ISNUMBER(CG33)=FALSE),CG$64,CG33))))</f>
      </c>
      <c r="CH85" s="9" t="str">
        <f>IF(ISBLANK(CH33),"NO DATA",IF(ISNUMBER(FIND(CODES!$A$12,CH33)),CODES!$A$12,IF(OR(ISNUMBER(FIND(CODES!$A$10,CH33)),ISNUMBER(FIND(CODES!$A$11,CH33))),CODES!$A$13,IF(OR(CH33&lt;CH$63,ISNUMBER(CH33)=FALSE),CH$64,CH33))))</f>
      </c>
      <c r="CI85" s="9" t="str">
        <f>IF(ISBLANK(CI33),"NO DATA",IF(ISNUMBER(FIND(CODES!$A$12,CI33)),CODES!$A$12,IF(OR(ISNUMBER(FIND(CODES!$A$10,CI33)),ISNUMBER(FIND(CODES!$A$11,CI33))),CODES!$A$13,IF(OR(CI33&lt;CI$63,ISNUMBER(CI33)=FALSE),CI$64,CI33))))</f>
      </c>
      <c r="CJ85" s="9" t="str">
        <f>IF(ISBLANK(CJ33),"NO DATA",IF(ISNUMBER(FIND(CODES!$A$12,CJ33)),CODES!$A$12,IF(OR(ISNUMBER(FIND(CODES!$A$10,CJ33)),ISNUMBER(FIND(CODES!$A$11,CJ33))),CODES!$A$13,IF(OR(CJ33&lt;CJ$63,ISNUMBER(CJ33)=FALSE),CJ$64,CJ33))))</f>
      </c>
      <c r="CK85" s="9" t="str">
        <f>IF(ISBLANK(CK33),"NO DATA",IF(ISNUMBER(FIND(CODES!$A$12,CK33)),CODES!$A$12,IF(OR(ISNUMBER(FIND(CODES!$A$10,CK33)),ISNUMBER(FIND(CODES!$A$11,CK33))),CODES!$A$13,IF(OR(CK33&lt;CK$63,ISNUMBER(CK33)=FALSE),CK$64,CK33))))</f>
      </c>
      <c r="CL85" s="9" t="str">
        <f>IF(ISBLANK(CL33),"NO DATA",IF(ISNUMBER(FIND(CODES!$A$12,CL33)),CODES!$A$12,IF(OR(ISNUMBER(FIND(CODES!$A$10,CL33)),ISNUMBER(FIND(CODES!$A$11,CL33))),CODES!$A$13,IF(OR(CL33&lt;CL$63,ISNUMBER(CL33)=FALSE),CL$64,CL33))))</f>
      </c>
      <c r="CM85" s="9" t="str">
        <f>IF(ISBLANK(CM33),"NO DATA",IF(ISNUMBER(FIND(CODES!$A$12,CM33)),CODES!$A$12,IF(OR(ISNUMBER(FIND(CODES!$A$10,CM33)),ISNUMBER(FIND(CODES!$A$11,CM33))),CODES!$A$13,IF(OR(CM33&lt;CM$63,ISNUMBER(CM33)=FALSE),CM$64,CM33))))</f>
      </c>
      <c r="CN85" s="9" t="str">
        <f>IF(ISBLANK(CN33),"NO DATA",IF(ISNUMBER(FIND(CODES!$A$12,CN33)),CODES!$A$12,IF(OR(ISNUMBER(FIND(CODES!$A$10,CN33)),ISNUMBER(FIND(CODES!$A$11,CN33))),CODES!$A$13,IF(OR(CN33&lt;CN$63,ISNUMBER(CN33)=FALSE),CN$64,CN33))))</f>
      </c>
      <c r="CO85" s="9" t="str">
        <f>IF(ISBLANK(CO33),"NO DATA",IF(ISNUMBER(FIND(CODES!$A$12,CO33)),CODES!$A$12,IF(OR(ISNUMBER(FIND(CODES!$A$10,CO33)),ISNUMBER(FIND(CODES!$A$11,CO33))),CODES!$A$13,IF(OR(CO33&lt;CO$63,ISNUMBER(CO33)=FALSE),CO$64,CO33))))</f>
      </c>
      <c r="CP85" s="9" t="str">
        <f>IF(ISBLANK(CP33),"NO DATA",IF(ISNUMBER(FIND(CODES!$A$12,CP33)),CODES!$A$12,IF(OR(ISNUMBER(FIND(CODES!$A$10,CP33)),ISNUMBER(FIND(CODES!$A$11,CP33))),CODES!$A$13,IF(OR(CP33&lt;CP$63,ISNUMBER(CP33)=FALSE),CP$64,CP33))))</f>
      </c>
      <c r="CQ85" s="9" t="str">
        <f>IF(ISBLANK(CQ33),"NO DATA",IF(ISNUMBER(FIND(CODES!$A$12,CQ33)),CODES!$A$12,IF(OR(ISNUMBER(FIND(CODES!$A$10,CQ33)),ISNUMBER(FIND(CODES!$A$11,CQ33))),CODES!$A$13,IF(OR(CQ33&lt;CQ$63,ISNUMBER(CQ33)=FALSE),CQ$64,CQ33))))</f>
      </c>
      <c r="CR85" s="9" t="str">
        <f>IF(ISBLANK(CR33),"NO DATA",IF(ISNUMBER(FIND(CODES!$A$12,CR33)),CODES!$A$12,IF(OR(ISNUMBER(FIND(CODES!$A$10,CR33)),ISNUMBER(FIND(CODES!$A$11,CR33))),CODES!$A$13,IF(OR(CR33&lt;CR$63,ISNUMBER(CR33)=FALSE),CR$64,CR33))))</f>
      </c>
      <c r="CS85" s="9" t="str">
        <f>IF(ISBLANK(CS33),"NO DATA",IF(ISNUMBER(FIND(CODES!$A$12,CS33)),CODES!$A$12,IF(OR(ISNUMBER(FIND(CODES!$A$10,CS33)),ISNUMBER(FIND(CODES!$A$11,CS33))),CODES!$A$13,IF(OR(CS33&lt;CS$63,ISNUMBER(CS33)=FALSE),CS$64,CS33))))</f>
      </c>
      <c r="CT85" s="9" t="str">
        <f>IF(ISBLANK(CT33),"NO DATA",IF(ISNUMBER(FIND(CODES!$A$12,CT33)),CODES!$A$12,IF(OR(ISNUMBER(FIND(CODES!$A$10,CT33)),ISNUMBER(FIND(CODES!$A$11,CT33))),CODES!$A$13,IF(OR(CT33&lt;CT$63,ISNUMBER(CT33)=FALSE),CT$64,CT33))))</f>
      </c>
      <c r="CU85" s="9" t="str">
        <f>IF(ISBLANK(CU33),"NO DATA",IF(ISNUMBER(FIND(CODES!$A$12,CU33)),CODES!$A$12,IF(OR(ISNUMBER(FIND(CODES!$A$10,CU33)),ISNUMBER(FIND(CODES!$A$11,CU33))),CODES!$A$13,IF(OR(CU33&lt;CU$63,ISNUMBER(CU33)=FALSE),CU$64,CU33))))</f>
      </c>
      <c r="CV85" s="9" t="str">
        <f>IF(ISBLANK(CV33),"NO DATA",IF(ISNUMBER(FIND(CODES!$A$12,CV33)),CODES!$A$12,IF(OR(ISNUMBER(FIND(CODES!$A$10,CV33)),ISNUMBER(FIND(CODES!$A$11,CV33))),CODES!$A$13,IF(OR(CV33&lt;CV$63,ISNUMBER(CV33)=FALSE),CV$64,CV33))))</f>
      </c>
      <c r="CW85" s="9" t="str">
        <f>IF(ISBLANK(CW33),"NO DATA",IF(ISNUMBER(FIND(CODES!$A$12,CW33)),CODES!$A$12,IF(OR(ISNUMBER(FIND(CODES!$A$10,CW33)),ISNUMBER(FIND(CODES!$A$11,CW33))),CODES!$A$13,IF(OR(CW33&lt;CW$63,ISNUMBER(CW33)=FALSE),CW$64,CW33))))</f>
      </c>
      <c r="CX85" s="9" t="str">
        <f>IF(ISBLANK(CX33),"NO DATA",IF(ISNUMBER(FIND(CODES!$A$12,CX33)),CODES!$A$12,IF(OR(ISNUMBER(FIND(CODES!$A$10,CX33)),ISNUMBER(FIND(CODES!$A$11,CX33))),CODES!$A$13,IF(OR(CX33&lt;CX$63,ISNUMBER(CX33)=FALSE),CX$64,CX33))))</f>
      </c>
      <c r="CY85" s="9" t="str">
        <f>IF(ISBLANK(CY33),"NO DATA",IF(ISNUMBER(FIND(CODES!$A$12,CY33)),CODES!$A$12,IF(OR(ISNUMBER(FIND(CODES!$A$10,CY33)),ISNUMBER(FIND(CODES!$A$11,CY33))),CODES!$A$13,IF(OR(CY33&lt;CY$63,ISNUMBER(CY33)=FALSE),CY$64,CY33))))</f>
      </c>
      <c r="CZ85" s="9" t="str">
        <f>IF(ISBLANK(CZ33),"NO DATA",IF(ISNUMBER(FIND(CODES!$A$12,CZ33)),CODES!$A$12,IF(OR(ISNUMBER(FIND(CODES!$A$10,CZ33)),ISNUMBER(FIND(CODES!$A$11,CZ33))),CODES!$A$13,IF(OR(CZ33&lt;CZ$63,ISNUMBER(CZ33)=FALSE),CZ$64,CZ33))))</f>
      </c>
      <c r="DA85" s="9" t="str">
        <f>IF(ISBLANK(DA33),"NO DATA",IF(ISNUMBER(FIND(CODES!$A$12,DA33)),CODES!$A$12,IF(OR(ISNUMBER(FIND(CODES!$A$10,DA33)),ISNUMBER(FIND(CODES!$A$11,DA33))),CODES!$A$13,IF(OR(DA33&lt;DA$63,ISNUMBER(DA33)=FALSE),DA$64,DA33))))</f>
      </c>
      <c r="DB85" s="9" t="str">
        <f>IF(ISBLANK(DB33),"NO DATA",IF(ISNUMBER(FIND(CODES!$A$12,DB33)),CODES!$A$12,IF(OR(ISNUMBER(FIND(CODES!$A$10,DB33)),ISNUMBER(FIND(CODES!$A$11,DB33))),CODES!$A$13,IF(OR(DB33&lt;DB$63,ISNUMBER(DB33)=FALSE),DB$64,DB33))))</f>
      </c>
      <c r="DC85" s="9" t="str">
        <f>IF(ISBLANK(DC33),"NO DATA",IF(ISNUMBER(FIND(CODES!$A$12,DC33)),CODES!$A$12,IF(OR(ISNUMBER(FIND(CODES!$A$10,DC33)),ISNUMBER(FIND(CODES!$A$11,DC33))),CODES!$A$13,IF(OR(DC33&lt;DC$63,ISNUMBER(DC33)=FALSE),DC$64,DC33))))</f>
      </c>
      <c r="DD85" s="9" t="str">
        <f>IF(ISBLANK(DD33),"NO DATA",IF(ISNUMBER(FIND(CODES!$A$12,DD33)),CODES!$A$12,IF(OR(ISNUMBER(FIND(CODES!$A$10,DD33)),ISNUMBER(FIND(CODES!$A$11,DD33))),CODES!$A$13,IF(OR(DD33&lt;DD$63,ISNUMBER(DD33)=FALSE),DD$64,DD33))))</f>
      </c>
      <c r="DE85" s="9" t="str">
        <f>IF(ISBLANK(DE33),"NO DATA",IF(ISNUMBER(FIND(CODES!$A$12,DE33)),CODES!$A$12,IF(OR(ISNUMBER(FIND(CODES!$A$10,DE33)),ISNUMBER(FIND(CODES!$A$11,DE33))),CODES!$A$13,IF(OR(DE33&lt;DE$63,ISNUMBER(DE33)=FALSE),DE$64,DE33))))</f>
      </c>
      <c r="DF85" s="9" t="str">
        <f>IF(ISBLANK(DF33),"NO DATA",IF(ISNUMBER(FIND(CODES!$A$12,DF33)),CODES!$A$12,IF(OR(ISNUMBER(FIND(CODES!$A$10,DF33)),ISNUMBER(FIND(CODES!$A$11,DF33))),CODES!$A$13,IF(OR(DF33&lt;DF$63,ISNUMBER(DF33)=FALSE),DF$64,DF33))))</f>
      </c>
      <c r="DG85" s="9" t="str">
        <f>IF(ISBLANK(DG33),"NO DATA",IF(ISNUMBER(FIND(CODES!$A$12,DG33)),CODES!$A$12,IF(OR(ISNUMBER(FIND(CODES!$A$10,DG33)),ISNUMBER(FIND(CODES!$A$11,DG33))),CODES!$A$13,IF(OR(DG33&lt;DG$63,ISNUMBER(DG33)=FALSE),DG$64,DG33))))</f>
      </c>
      <c r="DH85" s="9" t="str">
        <f>IF(ISBLANK(DH33),"NO DATA",IF(ISNUMBER(FIND(CODES!$A$12,DH33)),CODES!$A$12,IF(OR(ISNUMBER(FIND(CODES!$A$10,DH33)),ISNUMBER(FIND(CODES!$A$11,DH33))),CODES!$A$13,IF(OR(DH33&lt;DH$63,ISNUMBER(DH33)=FALSE),DH$64,DH33))))</f>
      </c>
      <c r="DI85" s="9" t="str">
        <f>IF(ISBLANK(DI33),"NO DATA",IF(ISNUMBER(FIND(CODES!$A$12,DI33)),CODES!$A$12,IF(OR(ISNUMBER(FIND(CODES!$A$10,DI33)),ISNUMBER(FIND(CODES!$A$11,DI33))),CODES!$A$13,IF(OR(DI33&lt;DI$63,ISNUMBER(DI33)=FALSE),DI$64,DI33))))</f>
      </c>
    </row>
    <row r="86" spans="1:113" x14ac:dyDescent="0.25">
      <c r="A86" s="20" t="str">
        <f t="shared" si="4"/>
      </c>
      <c r="B86" s="20">
        <f t="shared" si="4"/>
      </c>
      <c r="C86" s="9" t="str">
        <f>IF(ISBLANK(C34),"NO DATA",IF(ISNUMBER(FIND(CODES!$A$12,C34)),CODES!$A$12,IF(OR(ISNUMBER(FIND(CODES!$A$10,C34)),ISNUMBER(FIND(CODES!$A$11,C34))),CODES!$A$13,IF(OR(C34&lt;C$63,ISNUMBER(C34)=FALSE),C$64,C34))))</f>
      </c>
      <c r="D86" s="9" t="str">
        <f>IF(ISBLANK(D34),"NO DATA",IF(ISNUMBER(FIND(CODES!$A$12,D34)),CODES!$A$12,IF(OR(ISNUMBER(FIND(CODES!$A$10,D34)),ISNUMBER(FIND(CODES!$A$11,D34))),CODES!$A$13,IF(OR(D34&lt;D$63,ISNUMBER(D34)=FALSE),D$64,D34))))</f>
      </c>
      <c r="E86" s="9" t="str">
        <f>IF(ISBLANK(E34),"NO DATA",IF(ISNUMBER(FIND(CODES!$A$12,E34)),CODES!$A$12,IF(OR(ISNUMBER(FIND(CODES!$A$10,E34)),ISNUMBER(FIND(CODES!$A$11,E34))),CODES!$A$13,IF(OR(E34&lt;E$63,ISNUMBER(E34)=FALSE),E$64,E34))))</f>
      </c>
      <c r="F86" s="9" t="str">
        <f>IF(ISBLANK(F34),"NO DATA",IF(ISNUMBER(FIND(CODES!$A$12,F34)),CODES!$A$12,IF(OR(ISNUMBER(FIND(CODES!$A$10,F34)),ISNUMBER(FIND(CODES!$A$11,F34))),CODES!$A$13,IF(OR(F34&lt;F$63,ISNUMBER(F34)=FALSE),F$64,F34))))</f>
      </c>
      <c r="G86" s="9" t="str">
        <f>IF(ISBLANK(G34),"NO DATA",IF(ISNUMBER(FIND(CODES!$A$12,G34)),CODES!$A$12,IF(OR(ISNUMBER(FIND(CODES!$A$10,G34)),ISNUMBER(FIND(CODES!$A$11,G34))),CODES!$A$13,IF(OR(G34&lt;G$63,ISNUMBER(G34)=FALSE),G$64,G34))))</f>
      </c>
      <c r="H86" s="9" t="str">
        <f>IF(ISBLANK(H34),"NO DATA",IF(ISNUMBER(FIND(CODES!$A$12,H34)),CODES!$A$12,IF(OR(ISNUMBER(FIND(CODES!$A$10,H34)),ISNUMBER(FIND(CODES!$A$11,H34))),CODES!$A$13,IF(OR(H34&lt;H$63,ISNUMBER(H34)=FALSE),H$64,H34))))</f>
      </c>
      <c r="I86" s="9" t="str">
        <f>IF(ISBLANK(I34),"NO DATA",IF(ISNUMBER(FIND(CODES!$A$12,I34)),CODES!$A$12,IF(OR(ISNUMBER(FIND(CODES!$A$10,I34)),ISNUMBER(FIND(CODES!$A$11,I34))),CODES!$A$13,IF(OR(I34&lt;I$63,ISNUMBER(I34)=FALSE),I$64,I34))))</f>
      </c>
      <c r="J86" s="9" t="str">
        <f>IF(ISBLANK(J34),"NO DATA",IF(ISNUMBER(FIND(CODES!$A$12,J34)),CODES!$A$12,IF(OR(ISNUMBER(FIND(CODES!$A$10,J34)),ISNUMBER(FIND(CODES!$A$11,J34))),CODES!$A$13,IF(OR(J34&lt;J$63,ISNUMBER(J34)=FALSE),J$64,J34))))</f>
      </c>
      <c r="K86" s="9" t="str">
        <f>IF(ISBLANK(K34),"NO DATA",IF(ISNUMBER(FIND(CODES!$A$12,K34)),CODES!$A$12,IF(OR(ISNUMBER(FIND(CODES!$A$10,K34)),ISNUMBER(FIND(CODES!$A$11,K34))),CODES!$A$13,IF(OR(K34&lt;K$63,ISNUMBER(K34)=FALSE),K$64,K34))))</f>
      </c>
      <c r="L86" s="9" t="str">
        <f>IF(ISBLANK(L34),"NO DATA",IF(ISNUMBER(FIND(CODES!$A$12,L34)),CODES!$A$12,IF(OR(ISNUMBER(FIND(CODES!$A$10,L34)),ISNUMBER(FIND(CODES!$A$11,L34))),CODES!$A$13,IF(OR(L34&lt;L$63,ISNUMBER(L34)=FALSE),L$64,L34))))</f>
      </c>
      <c r="M86" s="9" t="str">
        <f>IF(ISBLANK(M34),"NO DATA",IF(ISNUMBER(FIND(CODES!$A$12,M34)),CODES!$A$12,IF(OR(ISNUMBER(FIND(CODES!$A$10,M34)),ISNUMBER(FIND(CODES!$A$11,M34))),CODES!$A$13,IF(OR(M34&lt;M$63,ISNUMBER(M34)=FALSE),M$64,M34))))</f>
      </c>
      <c r="N86" s="9" t="str">
        <f>IF(ISBLANK(N34),"NO DATA",IF(ISNUMBER(FIND(CODES!$A$12,N34)),CODES!$A$12,IF(OR(ISNUMBER(FIND(CODES!$A$10,N34)),ISNUMBER(FIND(CODES!$A$11,N34))),CODES!$A$13,IF(OR(N34&lt;N$63,ISNUMBER(N34)=FALSE),N$64,N34))))</f>
      </c>
      <c r="O86" s="9" t="str">
        <f>IF(ISBLANK(O34),"NO DATA",IF(ISNUMBER(FIND(CODES!$A$12,O34)),CODES!$A$12,IF(OR(ISNUMBER(FIND(CODES!$A$10,O34)),ISNUMBER(FIND(CODES!$A$11,O34))),CODES!$A$13,IF(OR(O34&lt;O$63,ISNUMBER(O34)=FALSE),O$64,O34))))</f>
      </c>
      <c r="P86" s="9" t="str">
        <f>IF(ISBLANK(P34),"NO DATA",IF(ISNUMBER(FIND(CODES!$A$12,P34)),CODES!$A$12,IF(OR(ISNUMBER(FIND(CODES!$A$10,P34)),ISNUMBER(FIND(CODES!$A$11,P34))),CODES!$A$13,IF(OR(P34&lt;P$63,ISNUMBER(P34)=FALSE),P$64,P34))))</f>
      </c>
      <c r="Q86" s="9" t="str">
        <f>IF(ISBLANK(Q34),"NO DATA",IF(ISNUMBER(FIND(CODES!$A$12,Q34)),CODES!$A$12,IF(OR(ISNUMBER(FIND(CODES!$A$10,Q34)),ISNUMBER(FIND(CODES!$A$11,Q34))),CODES!$A$13,IF(OR(Q34&lt;Q$63,ISNUMBER(Q34)=FALSE),Q$64,Q34))))</f>
      </c>
      <c r="R86" s="9" t="str">
        <f>IF(ISBLANK(R34),"NO DATA",IF(ISNUMBER(FIND(CODES!$A$12,R34)),CODES!$A$12,IF(OR(ISNUMBER(FIND(CODES!$A$10,R34)),ISNUMBER(FIND(CODES!$A$11,R34))),CODES!$A$13,IF(OR(R34&lt;R$63,ISNUMBER(R34)=FALSE),R$64,R34))))</f>
      </c>
      <c r="S86" s="9" t="str">
        <f>IF(ISBLANK(S34),"NO DATA",IF(ISNUMBER(FIND(CODES!$A$12,S34)),CODES!$A$12,IF(OR(ISNUMBER(FIND(CODES!$A$10,S34)),ISNUMBER(FIND(CODES!$A$11,S34))),CODES!$A$13,IF(OR(S34&lt;S$63,ISNUMBER(S34)=FALSE),S$64,S34))))</f>
      </c>
      <c r="T86" s="9" t="str">
        <f>IF(ISBLANK(T34),"NO DATA",IF(ISNUMBER(FIND(CODES!$A$12,T34)),CODES!$A$12,IF(OR(ISNUMBER(FIND(CODES!$A$10,T34)),ISNUMBER(FIND(CODES!$A$11,T34))),CODES!$A$13,IF(OR(T34&lt;T$63,ISNUMBER(T34)=FALSE),T$64,T34))))</f>
      </c>
      <c r="U86" s="9" t="str">
        <f>IF(ISBLANK(U34),"NO DATA",IF(ISNUMBER(FIND(CODES!$A$12,U34)),CODES!$A$12,IF(OR(ISNUMBER(FIND(CODES!$A$10,U34)),ISNUMBER(FIND(CODES!$A$11,U34))),CODES!$A$13,IF(OR(U34&lt;U$63,ISNUMBER(U34)=FALSE),U$64,U34))))</f>
      </c>
      <c r="V86" s="9" t="str">
        <f>IF(ISBLANK(V34),"NO DATA",IF(ISNUMBER(FIND(CODES!$A$12,V34)),CODES!$A$12,IF(OR(ISNUMBER(FIND(CODES!$A$10,V34)),ISNUMBER(FIND(CODES!$A$11,V34))),CODES!$A$13,IF(OR(V34&lt;V$63,ISNUMBER(V34)=FALSE),V$64,V34))))</f>
      </c>
      <c r="W86" s="9" t="str">
        <f>IF(ISBLANK(W34),"NO DATA",IF(ISNUMBER(FIND(CODES!$A$12,W34)),CODES!$A$12,IF(OR(ISNUMBER(FIND(CODES!$A$10,W34)),ISNUMBER(FIND(CODES!$A$11,W34))),CODES!$A$13,IF(OR(W34&lt;W$63,ISNUMBER(W34)=FALSE),W$64,W34))))</f>
      </c>
      <c r="X86" s="9" t="str">
        <f>IF(ISBLANK(X34),"NO DATA",IF(ISNUMBER(FIND(CODES!$A$12,X34)),CODES!$A$12,IF(OR(ISNUMBER(FIND(CODES!$A$10,X34)),ISNUMBER(FIND(CODES!$A$11,X34))),CODES!$A$13,IF(OR(X34&lt;X$63,ISNUMBER(X34)=FALSE),X$64,X34))))</f>
      </c>
      <c r="Y86" s="9" t="str">
        <f>IF(ISBLANK(Y34),"NO DATA",IF(ISNUMBER(FIND(CODES!$A$12,Y34)),CODES!$A$12,IF(OR(ISNUMBER(FIND(CODES!$A$10,Y34)),ISNUMBER(FIND(CODES!$A$11,Y34))),CODES!$A$13,IF(OR(Y34&lt;Y$63,ISNUMBER(Y34)=FALSE),Y$64,Y34))))</f>
      </c>
      <c r="Z86" s="9" t="str">
        <f>IF(ISBLANK(Z34),"NO DATA",IF(ISNUMBER(FIND(CODES!$A$12,Z34)),CODES!$A$12,IF(OR(ISNUMBER(FIND(CODES!$A$10,Z34)),ISNUMBER(FIND(CODES!$A$11,Z34))),CODES!$A$13,IF(OR(Z34&lt;Z$63,ISNUMBER(Z34)=FALSE),Z$64,Z34))))</f>
      </c>
      <c r="AA86" s="9" t="str">
        <f>IF(ISBLANK(AA34),"NO DATA",IF(ISNUMBER(FIND(CODES!$A$12,AA34)),CODES!$A$12,IF(OR(ISNUMBER(FIND(CODES!$A$10,AA34)),ISNUMBER(FIND(CODES!$A$11,AA34))),CODES!$A$13,IF(OR(AA34&lt;AA$63,ISNUMBER(AA34)=FALSE),AA$64,AA34))))</f>
      </c>
      <c r="AB86" s="9" t="str">
        <f>IF(ISBLANK(AB34),"NO DATA",IF(ISNUMBER(FIND(CODES!$A$12,AB34)),CODES!$A$12,IF(OR(ISNUMBER(FIND(CODES!$A$10,AB34)),ISNUMBER(FIND(CODES!$A$11,AB34))),CODES!$A$13,IF(OR(AB34&lt;AB$63,ISNUMBER(AB34)=FALSE),AB$64,AB34))))</f>
      </c>
      <c r="AC86" s="9" t="str">
        <f>IF(ISBLANK(AC34),"NO DATA",IF(ISNUMBER(FIND(CODES!$A$12,AC34)),CODES!$A$12,IF(OR(ISNUMBER(FIND(CODES!$A$10,AC34)),ISNUMBER(FIND(CODES!$A$11,AC34))),CODES!$A$13,IF(OR(AC34&lt;AC$63,ISNUMBER(AC34)=FALSE),AC$64,AC34))))</f>
      </c>
      <c r="AD86" s="9" t="str">
        <f>IF(ISBLANK(AD34),"NO DATA",IF(ISNUMBER(FIND(CODES!$A$12,AD34)),CODES!$A$12,IF(OR(ISNUMBER(FIND(CODES!$A$10,AD34)),ISNUMBER(FIND(CODES!$A$11,AD34))),CODES!$A$13,IF(OR(AD34&lt;AD$63,ISNUMBER(AD34)=FALSE),AD$64,AD34))))</f>
      </c>
      <c r="AE86" s="9" t="str">
        <f>IF(ISBLANK(AE34),"NO DATA",IF(ISNUMBER(FIND(CODES!$A$12,AE34)),CODES!$A$12,IF(OR(ISNUMBER(FIND(CODES!$A$10,AE34)),ISNUMBER(FIND(CODES!$A$11,AE34))),CODES!$A$13,IF(OR(AE34&lt;AE$63,ISNUMBER(AE34)=FALSE),AE$64,AE34))))</f>
      </c>
      <c r="AF86" s="9" t="str">
        <f>IF(ISBLANK(AF34),"NO DATA",IF(ISNUMBER(FIND(CODES!$A$12,AF34)),CODES!$A$12,IF(OR(ISNUMBER(FIND(CODES!$A$10,AF34)),ISNUMBER(FIND(CODES!$A$11,AF34))),CODES!$A$13,IF(OR(AF34&lt;AF$63,ISNUMBER(AF34)=FALSE),AF$64,AF34))))</f>
      </c>
      <c r="AG86" s="9" t="str">
        <f>IF(ISBLANK(AG34),"NO DATA",IF(ISNUMBER(FIND(CODES!$A$12,AG34)),CODES!$A$12,IF(OR(ISNUMBER(FIND(CODES!$A$10,AG34)),ISNUMBER(FIND(CODES!$A$11,AG34))),CODES!$A$13,IF(OR(AG34&lt;AG$63,ISNUMBER(AG34)=FALSE),AG$64,AG34))))</f>
      </c>
      <c r="AH86" s="9" t="str">
        <f>IF(ISBLANK(AH34),"NO DATA",IF(ISNUMBER(FIND(CODES!$A$12,AH34)),CODES!$A$12,IF(OR(ISNUMBER(FIND(CODES!$A$10,AH34)),ISNUMBER(FIND(CODES!$A$11,AH34))),CODES!$A$13,IF(OR(AH34&lt;AH$63,ISNUMBER(AH34)=FALSE),AH$64,AH34))))</f>
      </c>
      <c r="AI86" s="9" t="str">
        <f>IF(ISBLANK(AI34),"NO DATA",IF(ISNUMBER(FIND(CODES!$A$12,AI34)),CODES!$A$12,IF(OR(ISNUMBER(FIND(CODES!$A$10,AI34)),ISNUMBER(FIND(CODES!$A$11,AI34))),CODES!$A$13,IF(OR(AI34&lt;AI$63,ISNUMBER(AI34)=FALSE),AI$64,AI34))))</f>
      </c>
      <c r="AJ86" s="9" t="str">
        <f>IF(ISBLANK(AJ34),"NO DATA",IF(ISNUMBER(FIND(CODES!$A$12,AJ34)),CODES!$A$12,IF(OR(ISNUMBER(FIND(CODES!$A$10,AJ34)),ISNUMBER(FIND(CODES!$A$11,AJ34))),CODES!$A$13,IF(OR(AJ34&lt;AJ$63,ISNUMBER(AJ34)=FALSE),AJ$64,AJ34))))</f>
      </c>
      <c r="AK86" s="9" t="str">
        <f>IF(ISBLANK(AK34),"NO DATA",IF(ISNUMBER(FIND(CODES!$A$12,AK34)),CODES!$A$12,IF(OR(ISNUMBER(FIND(CODES!$A$10,AK34)),ISNUMBER(FIND(CODES!$A$11,AK34))),CODES!$A$13,IF(OR(AK34&lt;AK$63,ISNUMBER(AK34)=FALSE),AK$64,AK34))))</f>
      </c>
      <c r="AL86" s="9" t="str">
        <f>IF(ISBLANK(AL34),"NO DATA",IF(ISNUMBER(FIND(CODES!$A$12,AL34)),CODES!$A$12,IF(OR(ISNUMBER(FIND(CODES!$A$10,AL34)),ISNUMBER(FIND(CODES!$A$11,AL34))),CODES!$A$13,IF(OR(AL34&lt;AL$63,ISNUMBER(AL34)=FALSE),AL$64,AL34))))</f>
      </c>
      <c r="AM86" s="9" t="str">
        <f>IF(ISBLANK(AM34),"NO DATA",IF(ISNUMBER(FIND(CODES!$A$12,AM34)),CODES!$A$12,IF(OR(ISNUMBER(FIND(CODES!$A$10,AM34)),ISNUMBER(FIND(CODES!$A$11,AM34))),CODES!$A$13,IF(OR(AM34&lt;AM$63,ISNUMBER(AM34)=FALSE),AM$64,AM34))))</f>
      </c>
      <c r="AN86" s="9" t="str">
        <f>IF(ISBLANK(AN34),"NO DATA",IF(ISNUMBER(FIND(CODES!$A$12,AN34)),CODES!$A$12,IF(OR(ISNUMBER(FIND(CODES!$A$10,AN34)),ISNUMBER(FIND(CODES!$A$11,AN34))),CODES!$A$13,IF(OR(AN34&lt;AN$63,ISNUMBER(AN34)=FALSE),AN$64,AN34))))</f>
      </c>
      <c r="AO86" s="9" t="str">
        <f>IF(ISBLANK(AO34),"NO DATA",IF(ISNUMBER(FIND(CODES!$A$12,AO34)),CODES!$A$12,IF(OR(ISNUMBER(FIND(CODES!$A$10,AO34)),ISNUMBER(FIND(CODES!$A$11,AO34))),CODES!$A$13,IF(OR(AO34&lt;AO$63,ISNUMBER(AO34)=FALSE),AO$64,AO34))))</f>
      </c>
      <c r="AP86" s="9" t="str">
        <f>IF(ISBLANK(AP34),"NO DATA",IF(ISNUMBER(FIND(CODES!$A$12,AP34)),CODES!$A$12,IF(OR(ISNUMBER(FIND(CODES!$A$10,AP34)),ISNUMBER(FIND(CODES!$A$11,AP34))),CODES!$A$13,IF(OR(AP34&lt;AP$63,ISNUMBER(AP34)=FALSE),AP$64,AP34))))</f>
      </c>
      <c r="AQ86" s="9" t="str">
        <f>IF(ISBLANK(AQ34),"NO DATA",IF(ISNUMBER(FIND(CODES!$A$12,AQ34)),CODES!$A$12,IF(OR(ISNUMBER(FIND(CODES!$A$10,AQ34)),ISNUMBER(FIND(CODES!$A$11,AQ34))),CODES!$A$13,IF(OR(AQ34&lt;AQ$63,ISNUMBER(AQ34)=FALSE),AQ$64,AQ34))))</f>
      </c>
      <c r="AR86" s="9" t="str">
        <f>IF(ISBLANK(AR34),"NO DATA",IF(ISNUMBER(FIND(CODES!$A$12,AR34)),CODES!$A$12,IF(OR(ISNUMBER(FIND(CODES!$A$10,AR34)),ISNUMBER(FIND(CODES!$A$11,AR34))),CODES!$A$13,IF(OR(AR34&lt;AR$63,ISNUMBER(AR34)=FALSE),AR$64,AR34))))</f>
      </c>
      <c r="AS86" s="9" t="str">
        <f>IF(ISBLANK(AS34),"NO DATA",IF(ISNUMBER(FIND(CODES!$A$12,AS34)),CODES!$A$12,IF(OR(ISNUMBER(FIND(CODES!$A$10,AS34)),ISNUMBER(FIND(CODES!$A$11,AS34))),CODES!$A$13,IF(OR(AS34&lt;AS$63,ISNUMBER(AS34)=FALSE),AS$64,AS34))))</f>
      </c>
      <c r="AT86" s="9" t="str">
        <f>IF(ISBLANK(AT34),"NO DATA",IF(ISNUMBER(FIND(CODES!$A$12,AT34)),CODES!$A$12,IF(OR(ISNUMBER(FIND(CODES!$A$10,AT34)),ISNUMBER(FIND(CODES!$A$11,AT34))),CODES!$A$13,IF(OR(AT34&lt;AT$63,ISNUMBER(AT34)=FALSE),AT$64,AT34))))</f>
      </c>
      <c r="AU86" s="9" t="str">
        <f>IF(ISBLANK(AU34),"NO DATA",IF(ISNUMBER(FIND(CODES!$A$12,AU34)),CODES!$A$12,IF(OR(ISNUMBER(FIND(CODES!$A$10,AU34)),ISNUMBER(FIND(CODES!$A$11,AU34))),CODES!$A$13,IF(OR(AU34&lt;AU$63,ISNUMBER(AU34)=FALSE),AU$64,AU34))))</f>
      </c>
      <c r="AV86" s="9" t="str">
        <f>IF(ISBLANK(AV34),"NO DATA",IF(ISNUMBER(FIND(CODES!$A$12,AV34)),CODES!$A$12,IF(OR(ISNUMBER(FIND(CODES!$A$10,AV34)),ISNUMBER(FIND(CODES!$A$11,AV34))),CODES!$A$13,IF(OR(AV34&lt;AV$63,ISNUMBER(AV34)=FALSE),AV$64,AV34))))</f>
      </c>
      <c r="AW86" s="9" t="str">
        <f>IF(ISBLANK(AW34),"NO DATA",IF(ISNUMBER(FIND(CODES!$A$12,AW34)),CODES!$A$12,IF(OR(ISNUMBER(FIND(CODES!$A$10,AW34)),ISNUMBER(FIND(CODES!$A$11,AW34))),CODES!$A$13,IF(OR(AW34&lt;AW$63,ISNUMBER(AW34)=FALSE),AW$64,AW34))))</f>
      </c>
      <c r="AX86" s="9" t="str">
        <f>IF(ISBLANK(AX34),"NO DATA",IF(ISNUMBER(FIND(CODES!$A$12,AX34)),CODES!$A$12,IF(OR(ISNUMBER(FIND(CODES!$A$10,AX34)),ISNUMBER(FIND(CODES!$A$11,AX34))),CODES!$A$13,IF(OR(AX34&lt;AX$63,ISNUMBER(AX34)=FALSE),AX$64,AX34))))</f>
      </c>
      <c r="AY86" s="9" t="str">
        <f>IF(ISBLANK(AY34),"NO DATA",IF(ISNUMBER(FIND(CODES!$A$12,AY34)),CODES!$A$12,IF(OR(ISNUMBER(FIND(CODES!$A$10,AY34)),ISNUMBER(FIND(CODES!$A$11,AY34))),CODES!$A$13,IF(OR(AY34&lt;AY$63,ISNUMBER(AY34)=FALSE),AY$64,AY34))))</f>
      </c>
      <c r="AZ86" s="9" t="str">
        <f>IF(ISBLANK(AZ34),"NO DATA",IF(ISNUMBER(FIND(CODES!$A$12,AZ34)),CODES!$A$12,IF(OR(ISNUMBER(FIND(CODES!$A$10,AZ34)),ISNUMBER(FIND(CODES!$A$11,AZ34))),CODES!$A$13,IF(OR(AZ34&lt;AZ$63,ISNUMBER(AZ34)=FALSE),AZ$64,AZ34))))</f>
      </c>
      <c r="BA86" s="9" t="str">
        <f>IF(ISBLANK(BA34),"NO DATA",IF(ISNUMBER(FIND(CODES!$A$12,BA34)),CODES!$A$12,IF(OR(ISNUMBER(FIND(CODES!$A$10,BA34)),ISNUMBER(FIND(CODES!$A$11,BA34))),CODES!$A$13,IF(OR(BA34&lt;BA$63,ISNUMBER(BA34)=FALSE),BA$64,BA34))))</f>
      </c>
      <c r="BB86" s="9" t="str">
        <f>IF(ISBLANK(BB34),"NO DATA",IF(ISNUMBER(FIND(CODES!$A$12,BB34)),CODES!$A$12,IF(OR(ISNUMBER(FIND(CODES!$A$10,BB34)),ISNUMBER(FIND(CODES!$A$11,BB34))),CODES!$A$13,IF(OR(BB34&lt;BB$63,ISNUMBER(BB34)=FALSE),BB$64,BB34))))</f>
      </c>
      <c r="BC86" s="9" t="str">
        <f>IF(ISBLANK(BC34),"NO DATA",IF(ISNUMBER(FIND(CODES!$A$12,BC34)),CODES!$A$12,IF(OR(ISNUMBER(FIND(CODES!$A$10,BC34)),ISNUMBER(FIND(CODES!$A$11,BC34))),CODES!$A$13,IF(OR(BC34&lt;BC$63,ISNUMBER(BC34)=FALSE),BC$64,BC34))))</f>
      </c>
      <c r="BD86" s="9" t="str">
        <f>IF(ISBLANK(BD34),"NO DATA",IF(ISNUMBER(FIND(CODES!$A$12,BD34)),CODES!$A$12,IF(OR(ISNUMBER(FIND(CODES!$A$10,BD34)),ISNUMBER(FIND(CODES!$A$11,BD34))),CODES!$A$13,IF(OR(BD34&lt;BD$63,ISNUMBER(BD34)=FALSE),BD$64,BD34))))</f>
      </c>
      <c r="BE86" s="9" t="str">
        <f>IF(ISBLANK(BE34),"NO DATA",IF(ISNUMBER(FIND(CODES!$A$12,BE34)),CODES!$A$12,IF(OR(ISNUMBER(FIND(CODES!$A$10,BE34)),ISNUMBER(FIND(CODES!$A$11,BE34))),CODES!$A$13,IF(OR(BE34&lt;BE$63,ISNUMBER(BE34)=FALSE),BE$64,BE34))))</f>
      </c>
      <c r="BF86" s="9" t="str">
        <f>IF(ISBLANK(BF34),"NO DATA",IF(ISNUMBER(FIND(CODES!$A$12,BF34)),CODES!$A$12,IF(OR(ISNUMBER(FIND(CODES!$A$10,BF34)),ISNUMBER(FIND(CODES!$A$11,BF34))),CODES!$A$13,IF(OR(BF34&lt;BF$63,ISNUMBER(BF34)=FALSE),BF$64,BF34))))</f>
      </c>
      <c r="BG86" s="9" t="str">
        <f>IF(ISBLANK(BG34),"NO DATA",IF(ISNUMBER(FIND(CODES!$A$12,BG34)),CODES!$A$12,IF(OR(ISNUMBER(FIND(CODES!$A$10,BG34)),ISNUMBER(FIND(CODES!$A$11,BG34))),CODES!$A$13,IF(OR(BG34&lt;BG$63,ISNUMBER(BG34)=FALSE),BG$64,BG34))))</f>
      </c>
      <c r="BH86" s="9" t="str">
        <f>IF(ISBLANK(BH34),"NO DATA",IF(ISNUMBER(FIND(CODES!$A$12,BH34)),CODES!$A$12,IF(OR(ISNUMBER(FIND(CODES!$A$10,BH34)),ISNUMBER(FIND(CODES!$A$11,BH34))),CODES!$A$13,IF(OR(BH34&lt;BH$63,ISNUMBER(BH34)=FALSE),BH$64,BH34))))</f>
      </c>
      <c r="BI86" s="9" t="str">
        <f>IF(ISBLANK(BI34),"NO DATA",IF(ISNUMBER(FIND(CODES!$A$12,BI34)),CODES!$A$12,IF(OR(ISNUMBER(FIND(CODES!$A$10,BI34)),ISNUMBER(FIND(CODES!$A$11,BI34))),CODES!$A$13,IF(OR(BI34&lt;BI$63,ISNUMBER(BI34)=FALSE),BI$64,BI34))))</f>
      </c>
      <c r="BJ86" s="9" t="str">
        <f>IF(ISBLANK(BJ34),"NO DATA",IF(ISNUMBER(FIND(CODES!$A$12,BJ34)),CODES!$A$12,IF(OR(ISNUMBER(FIND(CODES!$A$10,BJ34)),ISNUMBER(FIND(CODES!$A$11,BJ34))),CODES!$A$13,IF(OR(BJ34&lt;BJ$63,ISNUMBER(BJ34)=FALSE),BJ$64,BJ34))))</f>
      </c>
      <c r="BK86" s="9" t="str">
        <f>IF(ISBLANK(BK34),"NO DATA",IF(ISNUMBER(FIND(CODES!$A$12,BK34)),CODES!$A$12,IF(OR(ISNUMBER(FIND(CODES!$A$10,BK34)),ISNUMBER(FIND(CODES!$A$11,BK34))),CODES!$A$13,IF(OR(BK34&lt;BK$63,ISNUMBER(BK34)=FALSE),BK$64,BK34))))</f>
      </c>
      <c r="BL86" s="9" t="str">
        <f>IF(ISBLANK(BL34),"NO DATA",IF(ISNUMBER(FIND(CODES!$A$12,BL34)),CODES!$A$12,IF(OR(ISNUMBER(FIND(CODES!$A$10,BL34)),ISNUMBER(FIND(CODES!$A$11,BL34))),CODES!$A$13,IF(OR(BL34&lt;BL$63,ISNUMBER(BL34)=FALSE),BL$64,BL34))))</f>
      </c>
      <c r="BM86" s="9" t="str">
        <f>IF(ISBLANK(BM34),"NO DATA",IF(ISNUMBER(FIND(CODES!$A$12,BM34)),CODES!$A$12,IF(OR(ISNUMBER(FIND(CODES!$A$10,BM34)),ISNUMBER(FIND(CODES!$A$11,BM34))),CODES!$A$13,IF(OR(BM34&lt;BM$63,ISNUMBER(BM34)=FALSE),BM$64,BM34))))</f>
      </c>
      <c r="BN86" s="9" t="str">
        <f>IF(ISBLANK(BN34),"NO DATA",IF(ISNUMBER(FIND(CODES!$A$12,BN34)),CODES!$A$12,IF(OR(ISNUMBER(FIND(CODES!$A$10,BN34)),ISNUMBER(FIND(CODES!$A$11,BN34))),CODES!$A$13,IF(OR(BN34&lt;BN$63,ISNUMBER(BN34)=FALSE),BN$64,BN34))))</f>
      </c>
      <c r="BO86" s="9" t="str">
        <f>IF(ISBLANK(BO34),"NO DATA",IF(ISNUMBER(FIND(CODES!$A$12,BO34)),CODES!$A$12,IF(OR(ISNUMBER(FIND(CODES!$A$10,BO34)),ISNUMBER(FIND(CODES!$A$11,BO34))),CODES!$A$13,IF(OR(BO34&lt;BO$63,ISNUMBER(BO34)=FALSE),BO$64,BO34))))</f>
      </c>
      <c r="BP86" s="9" t="str">
        <f>IF(ISBLANK(BP34),"NO DATA",IF(ISNUMBER(FIND(CODES!$A$12,BP34)),CODES!$A$12,IF(OR(ISNUMBER(FIND(CODES!$A$10,BP34)),ISNUMBER(FIND(CODES!$A$11,BP34))),CODES!$A$13,IF(OR(BP34&lt;BP$63,ISNUMBER(BP34)=FALSE),BP$64,BP34))))</f>
      </c>
      <c r="BQ86" s="9" t="str">
        <f>IF(ISBLANK(BQ34),"NO DATA",IF(ISNUMBER(FIND(CODES!$A$12,BQ34)),CODES!$A$12,IF(OR(ISNUMBER(FIND(CODES!$A$10,BQ34)),ISNUMBER(FIND(CODES!$A$11,BQ34))),CODES!$A$13,IF(OR(BQ34&lt;BQ$63,ISNUMBER(BQ34)=FALSE),BQ$64,BQ34))))</f>
      </c>
      <c r="BR86" s="9" t="str">
        <f>IF(ISBLANK(BR34),"NO DATA",IF(ISNUMBER(FIND(CODES!$A$12,BR34)),CODES!$A$12,IF(OR(ISNUMBER(FIND(CODES!$A$10,BR34)),ISNUMBER(FIND(CODES!$A$11,BR34))),CODES!$A$13,IF(OR(BR34&lt;BR$63,ISNUMBER(BR34)=FALSE),BR$64,BR34))))</f>
      </c>
      <c r="BS86" s="9" t="str">
        <f>IF(ISBLANK(BS34),"NO DATA",IF(ISNUMBER(FIND(CODES!$A$12,BS34)),CODES!$A$12,IF(OR(ISNUMBER(FIND(CODES!$A$10,BS34)),ISNUMBER(FIND(CODES!$A$11,BS34))),CODES!$A$13,IF(OR(BS34&lt;BS$63,ISNUMBER(BS34)=FALSE),BS$64,BS34))))</f>
      </c>
      <c r="BT86" s="9" t="str">
        <f>IF(ISBLANK(BT34),"NO DATA",IF(ISNUMBER(FIND(CODES!$A$12,BT34)),CODES!$A$12,IF(OR(ISNUMBER(FIND(CODES!$A$10,BT34)),ISNUMBER(FIND(CODES!$A$11,BT34))),CODES!$A$13,IF(OR(BT34&lt;BT$63,ISNUMBER(BT34)=FALSE),BT$64,BT34))))</f>
      </c>
      <c r="BU86" s="9" t="str">
        <f>IF(ISBLANK(BU34),"NO DATA",IF(ISNUMBER(FIND(CODES!$A$12,BU34)),CODES!$A$12,IF(OR(ISNUMBER(FIND(CODES!$A$10,BU34)),ISNUMBER(FIND(CODES!$A$11,BU34))),CODES!$A$13,IF(OR(BU34&lt;BU$63,ISNUMBER(BU34)=FALSE),BU$64,BU34))))</f>
      </c>
      <c r="BV86" s="9" t="str">
        <f>IF(ISBLANK(BV34),"NO DATA",IF(ISNUMBER(FIND(CODES!$A$12,BV34)),CODES!$A$12,IF(OR(ISNUMBER(FIND(CODES!$A$10,BV34)),ISNUMBER(FIND(CODES!$A$11,BV34))),CODES!$A$13,IF(OR(BV34&lt;BV$63,ISNUMBER(BV34)=FALSE),BV$64,BV34))))</f>
      </c>
      <c r="BW86" s="9" t="str">
        <f>IF(ISBLANK(BW34),"NO DATA",IF(ISNUMBER(FIND(CODES!$A$12,BW34)),CODES!$A$12,IF(OR(ISNUMBER(FIND(CODES!$A$10,BW34)),ISNUMBER(FIND(CODES!$A$11,BW34))),CODES!$A$13,IF(OR(BW34&lt;BW$63,ISNUMBER(BW34)=FALSE),BW$64,BW34))))</f>
      </c>
      <c r="BX86" s="9" t="str">
        <f>IF(ISBLANK(BX34),"NO DATA",IF(ISNUMBER(FIND(CODES!$A$12,BX34)),CODES!$A$12,IF(OR(ISNUMBER(FIND(CODES!$A$10,BX34)),ISNUMBER(FIND(CODES!$A$11,BX34))),CODES!$A$13,IF(OR(BX34&lt;BX$63,ISNUMBER(BX34)=FALSE),BX$64,BX34))))</f>
      </c>
      <c r="BY86" s="9" t="str">
        <f>IF(ISBLANK(BY34),"NO DATA",IF(ISNUMBER(FIND(CODES!$A$12,BY34)),CODES!$A$12,IF(OR(ISNUMBER(FIND(CODES!$A$10,BY34)),ISNUMBER(FIND(CODES!$A$11,BY34))),CODES!$A$13,IF(OR(BY34&lt;BY$63,ISNUMBER(BY34)=FALSE),BY$64,BY34))))</f>
      </c>
      <c r="BZ86" s="9" t="str">
        <f>IF(ISBLANK(BZ34),"NO DATA",IF(ISNUMBER(FIND(CODES!$A$12,BZ34)),CODES!$A$12,IF(OR(ISNUMBER(FIND(CODES!$A$10,BZ34)),ISNUMBER(FIND(CODES!$A$11,BZ34))),CODES!$A$13,IF(OR(BZ34&lt;BZ$63,ISNUMBER(BZ34)=FALSE),BZ$64,BZ34))))</f>
      </c>
      <c r="CA86" s="9" t="str">
        <f>IF(ISBLANK(CA34),"NO DATA",IF(ISNUMBER(FIND(CODES!$A$12,CA34)),CODES!$A$12,IF(OR(ISNUMBER(FIND(CODES!$A$10,CA34)),ISNUMBER(FIND(CODES!$A$11,CA34))),CODES!$A$13,IF(OR(CA34&lt;CA$63,ISNUMBER(CA34)=FALSE),CA$64,CA34))))</f>
      </c>
      <c r="CB86" s="9" t="str">
        <f>IF(ISBLANK(CB34),"NO DATA",IF(ISNUMBER(FIND(CODES!$A$12,CB34)),CODES!$A$12,IF(OR(ISNUMBER(FIND(CODES!$A$10,CB34)),ISNUMBER(FIND(CODES!$A$11,CB34))),CODES!$A$13,IF(OR(CB34&lt;CB$63,ISNUMBER(CB34)=FALSE),CB$64,CB34))))</f>
      </c>
      <c r="CC86" s="9" t="str">
        <f>IF(ISBLANK(CC34),"NO DATA",IF(ISNUMBER(FIND(CODES!$A$12,CC34)),CODES!$A$12,IF(OR(ISNUMBER(FIND(CODES!$A$10,CC34)),ISNUMBER(FIND(CODES!$A$11,CC34))),CODES!$A$13,IF(OR(CC34&lt;CC$63,ISNUMBER(CC34)=FALSE),CC$64,CC34))))</f>
      </c>
      <c r="CD86" s="9" t="str">
        <f>IF(ISBLANK(CD34),"NO DATA",IF(ISNUMBER(FIND(CODES!$A$12,CD34)),CODES!$A$12,IF(OR(ISNUMBER(FIND(CODES!$A$10,CD34)),ISNUMBER(FIND(CODES!$A$11,CD34))),CODES!$A$13,IF(OR(CD34&lt;CD$63,ISNUMBER(CD34)=FALSE),CD$64,CD34))))</f>
      </c>
      <c r="CE86" s="9" t="str">
        <f>IF(ISBLANK(CE34),"NO DATA",IF(ISNUMBER(FIND(CODES!$A$12,CE34)),CODES!$A$12,IF(OR(ISNUMBER(FIND(CODES!$A$10,CE34)),ISNUMBER(FIND(CODES!$A$11,CE34))),CODES!$A$13,IF(OR(CE34&lt;CE$63,ISNUMBER(CE34)=FALSE),CE$64,CE34))))</f>
      </c>
      <c r="CF86" s="9" t="str">
        <f>IF(ISBLANK(CF34),"NO DATA",IF(ISNUMBER(FIND(CODES!$A$12,CF34)),CODES!$A$12,IF(OR(ISNUMBER(FIND(CODES!$A$10,CF34)),ISNUMBER(FIND(CODES!$A$11,CF34))),CODES!$A$13,IF(OR(CF34&lt;CF$63,ISNUMBER(CF34)=FALSE),CF$64,CF34))))</f>
      </c>
      <c r="CG86" s="9" t="str">
        <f>IF(ISBLANK(CG34),"NO DATA",IF(ISNUMBER(FIND(CODES!$A$12,CG34)),CODES!$A$12,IF(OR(ISNUMBER(FIND(CODES!$A$10,CG34)),ISNUMBER(FIND(CODES!$A$11,CG34))),CODES!$A$13,IF(OR(CG34&lt;CG$63,ISNUMBER(CG34)=FALSE),CG$64,CG34))))</f>
      </c>
      <c r="CH86" s="9" t="str">
        <f>IF(ISBLANK(CH34),"NO DATA",IF(ISNUMBER(FIND(CODES!$A$12,CH34)),CODES!$A$12,IF(OR(ISNUMBER(FIND(CODES!$A$10,CH34)),ISNUMBER(FIND(CODES!$A$11,CH34))),CODES!$A$13,IF(OR(CH34&lt;CH$63,ISNUMBER(CH34)=FALSE),CH$64,CH34))))</f>
      </c>
      <c r="CI86" s="9" t="str">
        <f>IF(ISBLANK(CI34),"NO DATA",IF(ISNUMBER(FIND(CODES!$A$12,CI34)),CODES!$A$12,IF(OR(ISNUMBER(FIND(CODES!$A$10,CI34)),ISNUMBER(FIND(CODES!$A$11,CI34))),CODES!$A$13,IF(OR(CI34&lt;CI$63,ISNUMBER(CI34)=FALSE),CI$64,CI34))))</f>
      </c>
      <c r="CJ86" s="9" t="str">
        <f>IF(ISBLANK(CJ34),"NO DATA",IF(ISNUMBER(FIND(CODES!$A$12,CJ34)),CODES!$A$12,IF(OR(ISNUMBER(FIND(CODES!$A$10,CJ34)),ISNUMBER(FIND(CODES!$A$11,CJ34))),CODES!$A$13,IF(OR(CJ34&lt;CJ$63,ISNUMBER(CJ34)=FALSE),CJ$64,CJ34))))</f>
      </c>
      <c r="CK86" s="9" t="str">
        <f>IF(ISBLANK(CK34),"NO DATA",IF(ISNUMBER(FIND(CODES!$A$12,CK34)),CODES!$A$12,IF(OR(ISNUMBER(FIND(CODES!$A$10,CK34)),ISNUMBER(FIND(CODES!$A$11,CK34))),CODES!$A$13,IF(OR(CK34&lt;CK$63,ISNUMBER(CK34)=FALSE),CK$64,CK34))))</f>
      </c>
      <c r="CL86" s="9" t="str">
        <f>IF(ISBLANK(CL34),"NO DATA",IF(ISNUMBER(FIND(CODES!$A$12,CL34)),CODES!$A$12,IF(OR(ISNUMBER(FIND(CODES!$A$10,CL34)),ISNUMBER(FIND(CODES!$A$11,CL34))),CODES!$A$13,IF(OR(CL34&lt;CL$63,ISNUMBER(CL34)=FALSE),CL$64,CL34))))</f>
      </c>
      <c r="CM86" s="9" t="str">
        <f>IF(ISBLANK(CM34),"NO DATA",IF(ISNUMBER(FIND(CODES!$A$12,CM34)),CODES!$A$12,IF(OR(ISNUMBER(FIND(CODES!$A$10,CM34)),ISNUMBER(FIND(CODES!$A$11,CM34))),CODES!$A$13,IF(OR(CM34&lt;CM$63,ISNUMBER(CM34)=FALSE),CM$64,CM34))))</f>
      </c>
      <c r="CN86" s="9" t="str">
        <f>IF(ISBLANK(CN34),"NO DATA",IF(ISNUMBER(FIND(CODES!$A$12,CN34)),CODES!$A$12,IF(OR(ISNUMBER(FIND(CODES!$A$10,CN34)),ISNUMBER(FIND(CODES!$A$11,CN34))),CODES!$A$13,IF(OR(CN34&lt;CN$63,ISNUMBER(CN34)=FALSE),CN$64,CN34))))</f>
      </c>
      <c r="CO86" s="9" t="str">
        <f>IF(ISBLANK(CO34),"NO DATA",IF(ISNUMBER(FIND(CODES!$A$12,CO34)),CODES!$A$12,IF(OR(ISNUMBER(FIND(CODES!$A$10,CO34)),ISNUMBER(FIND(CODES!$A$11,CO34))),CODES!$A$13,IF(OR(CO34&lt;CO$63,ISNUMBER(CO34)=FALSE),CO$64,CO34))))</f>
      </c>
      <c r="CP86" s="9" t="str">
        <f>IF(ISBLANK(CP34),"NO DATA",IF(ISNUMBER(FIND(CODES!$A$12,CP34)),CODES!$A$12,IF(OR(ISNUMBER(FIND(CODES!$A$10,CP34)),ISNUMBER(FIND(CODES!$A$11,CP34))),CODES!$A$13,IF(OR(CP34&lt;CP$63,ISNUMBER(CP34)=FALSE),CP$64,CP34))))</f>
      </c>
      <c r="CQ86" s="9" t="str">
        <f>IF(ISBLANK(CQ34),"NO DATA",IF(ISNUMBER(FIND(CODES!$A$12,CQ34)),CODES!$A$12,IF(OR(ISNUMBER(FIND(CODES!$A$10,CQ34)),ISNUMBER(FIND(CODES!$A$11,CQ34))),CODES!$A$13,IF(OR(CQ34&lt;CQ$63,ISNUMBER(CQ34)=FALSE),CQ$64,CQ34))))</f>
      </c>
      <c r="CR86" s="9" t="str">
        <f>IF(ISBLANK(CR34),"NO DATA",IF(ISNUMBER(FIND(CODES!$A$12,CR34)),CODES!$A$12,IF(OR(ISNUMBER(FIND(CODES!$A$10,CR34)),ISNUMBER(FIND(CODES!$A$11,CR34))),CODES!$A$13,IF(OR(CR34&lt;CR$63,ISNUMBER(CR34)=FALSE),CR$64,CR34))))</f>
      </c>
      <c r="CS86" s="9" t="str">
        <f>IF(ISBLANK(CS34),"NO DATA",IF(ISNUMBER(FIND(CODES!$A$12,CS34)),CODES!$A$12,IF(OR(ISNUMBER(FIND(CODES!$A$10,CS34)),ISNUMBER(FIND(CODES!$A$11,CS34))),CODES!$A$13,IF(OR(CS34&lt;CS$63,ISNUMBER(CS34)=FALSE),CS$64,CS34))))</f>
      </c>
      <c r="CT86" s="9" t="str">
        <f>IF(ISBLANK(CT34),"NO DATA",IF(ISNUMBER(FIND(CODES!$A$12,CT34)),CODES!$A$12,IF(OR(ISNUMBER(FIND(CODES!$A$10,CT34)),ISNUMBER(FIND(CODES!$A$11,CT34))),CODES!$A$13,IF(OR(CT34&lt;CT$63,ISNUMBER(CT34)=FALSE),CT$64,CT34))))</f>
      </c>
      <c r="CU86" s="9" t="str">
        <f>IF(ISBLANK(CU34),"NO DATA",IF(ISNUMBER(FIND(CODES!$A$12,CU34)),CODES!$A$12,IF(OR(ISNUMBER(FIND(CODES!$A$10,CU34)),ISNUMBER(FIND(CODES!$A$11,CU34))),CODES!$A$13,IF(OR(CU34&lt;CU$63,ISNUMBER(CU34)=FALSE),CU$64,CU34))))</f>
      </c>
      <c r="CV86" s="9" t="str">
        <f>IF(ISBLANK(CV34),"NO DATA",IF(ISNUMBER(FIND(CODES!$A$12,CV34)),CODES!$A$12,IF(OR(ISNUMBER(FIND(CODES!$A$10,CV34)),ISNUMBER(FIND(CODES!$A$11,CV34))),CODES!$A$13,IF(OR(CV34&lt;CV$63,ISNUMBER(CV34)=FALSE),CV$64,CV34))))</f>
      </c>
      <c r="CW86" s="9" t="str">
        <f>IF(ISBLANK(CW34),"NO DATA",IF(ISNUMBER(FIND(CODES!$A$12,CW34)),CODES!$A$12,IF(OR(ISNUMBER(FIND(CODES!$A$10,CW34)),ISNUMBER(FIND(CODES!$A$11,CW34))),CODES!$A$13,IF(OR(CW34&lt;CW$63,ISNUMBER(CW34)=FALSE),CW$64,CW34))))</f>
      </c>
      <c r="CX86" s="9" t="str">
        <f>IF(ISBLANK(CX34),"NO DATA",IF(ISNUMBER(FIND(CODES!$A$12,CX34)),CODES!$A$12,IF(OR(ISNUMBER(FIND(CODES!$A$10,CX34)),ISNUMBER(FIND(CODES!$A$11,CX34))),CODES!$A$13,IF(OR(CX34&lt;CX$63,ISNUMBER(CX34)=FALSE),CX$64,CX34))))</f>
      </c>
      <c r="CY86" s="9" t="str">
        <f>IF(ISBLANK(CY34),"NO DATA",IF(ISNUMBER(FIND(CODES!$A$12,CY34)),CODES!$A$12,IF(OR(ISNUMBER(FIND(CODES!$A$10,CY34)),ISNUMBER(FIND(CODES!$A$11,CY34))),CODES!$A$13,IF(OR(CY34&lt;CY$63,ISNUMBER(CY34)=FALSE),CY$64,CY34))))</f>
      </c>
      <c r="CZ86" s="9" t="str">
        <f>IF(ISBLANK(CZ34),"NO DATA",IF(ISNUMBER(FIND(CODES!$A$12,CZ34)),CODES!$A$12,IF(OR(ISNUMBER(FIND(CODES!$A$10,CZ34)),ISNUMBER(FIND(CODES!$A$11,CZ34))),CODES!$A$13,IF(OR(CZ34&lt;CZ$63,ISNUMBER(CZ34)=FALSE),CZ$64,CZ34))))</f>
      </c>
      <c r="DA86" s="9" t="str">
        <f>IF(ISBLANK(DA34),"NO DATA",IF(ISNUMBER(FIND(CODES!$A$12,DA34)),CODES!$A$12,IF(OR(ISNUMBER(FIND(CODES!$A$10,DA34)),ISNUMBER(FIND(CODES!$A$11,DA34))),CODES!$A$13,IF(OR(DA34&lt;DA$63,ISNUMBER(DA34)=FALSE),DA$64,DA34))))</f>
      </c>
      <c r="DB86" s="9" t="str">
        <f>IF(ISBLANK(DB34),"NO DATA",IF(ISNUMBER(FIND(CODES!$A$12,DB34)),CODES!$A$12,IF(OR(ISNUMBER(FIND(CODES!$A$10,DB34)),ISNUMBER(FIND(CODES!$A$11,DB34))),CODES!$A$13,IF(OR(DB34&lt;DB$63,ISNUMBER(DB34)=FALSE),DB$64,DB34))))</f>
      </c>
      <c r="DC86" s="9" t="str">
        <f>IF(ISBLANK(DC34),"NO DATA",IF(ISNUMBER(FIND(CODES!$A$12,DC34)),CODES!$A$12,IF(OR(ISNUMBER(FIND(CODES!$A$10,DC34)),ISNUMBER(FIND(CODES!$A$11,DC34))),CODES!$A$13,IF(OR(DC34&lt;DC$63,ISNUMBER(DC34)=FALSE),DC$64,DC34))))</f>
      </c>
      <c r="DD86" s="9" t="str">
        <f>IF(ISBLANK(DD34),"NO DATA",IF(ISNUMBER(FIND(CODES!$A$12,DD34)),CODES!$A$12,IF(OR(ISNUMBER(FIND(CODES!$A$10,DD34)),ISNUMBER(FIND(CODES!$A$11,DD34))),CODES!$A$13,IF(OR(DD34&lt;DD$63,ISNUMBER(DD34)=FALSE),DD$64,DD34))))</f>
      </c>
      <c r="DE86" s="9" t="str">
        <f>IF(ISBLANK(DE34),"NO DATA",IF(ISNUMBER(FIND(CODES!$A$12,DE34)),CODES!$A$12,IF(OR(ISNUMBER(FIND(CODES!$A$10,DE34)),ISNUMBER(FIND(CODES!$A$11,DE34))),CODES!$A$13,IF(OR(DE34&lt;DE$63,ISNUMBER(DE34)=FALSE),DE$64,DE34))))</f>
      </c>
      <c r="DF86" s="9" t="str">
        <f>IF(ISBLANK(DF34),"NO DATA",IF(ISNUMBER(FIND(CODES!$A$12,DF34)),CODES!$A$12,IF(OR(ISNUMBER(FIND(CODES!$A$10,DF34)),ISNUMBER(FIND(CODES!$A$11,DF34))),CODES!$A$13,IF(OR(DF34&lt;DF$63,ISNUMBER(DF34)=FALSE),DF$64,DF34))))</f>
      </c>
      <c r="DG86" s="9" t="str">
        <f>IF(ISBLANK(DG34),"NO DATA",IF(ISNUMBER(FIND(CODES!$A$12,DG34)),CODES!$A$12,IF(OR(ISNUMBER(FIND(CODES!$A$10,DG34)),ISNUMBER(FIND(CODES!$A$11,DG34))),CODES!$A$13,IF(OR(DG34&lt;DG$63,ISNUMBER(DG34)=FALSE),DG$64,DG34))))</f>
      </c>
      <c r="DH86" s="9" t="str">
        <f>IF(ISBLANK(DH34),"NO DATA",IF(ISNUMBER(FIND(CODES!$A$12,DH34)),CODES!$A$12,IF(OR(ISNUMBER(FIND(CODES!$A$10,DH34)),ISNUMBER(FIND(CODES!$A$11,DH34))),CODES!$A$13,IF(OR(DH34&lt;DH$63,ISNUMBER(DH34)=FALSE),DH$64,DH34))))</f>
      </c>
      <c r="DI86" s="9" t="str">
        <f>IF(ISBLANK(DI34),"NO DATA",IF(ISNUMBER(FIND(CODES!$A$12,DI34)),CODES!$A$12,IF(OR(ISNUMBER(FIND(CODES!$A$10,DI34)),ISNUMBER(FIND(CODES!$A$11,DI34))),CODES!$A$13,IF(OR(DI34&lt;DI$63,ISNUMBER(DI34)=FALSE),DI$64,DI34))))</f>
      </c>
    </row>
    <row r="87" spans="1:113" x14ac:dyDescent="0.25">
      <c r="A87" s="20" t="str">
        <f t="shared" si="4"/>
      </c>
      <c r="B87" s="20">
        <f t="shared" si="4"/>
      </c>
      <c r="C87" s="9" t="str">
        <f>IF(ISBLANK(C35),"NO DATA",IF(ISNUMBER(FIND(CODES!$A$12,C35)),CODES!$A$12,IF(OR(ISNUMBER(FIND(CODES!$A$10,C35)),ISNUMBER(FIND(CODES!$A$11,C35))),CODES!$A$13,IF(OR(C35&lt;C$63,ISNUMBER(C35)=FALSE),C$64,C35))))</f>
      </c>
      <c r="D87" s="9" t="str">
        <f>IF(ISBLANK(D35),"NO DATA",IF(ISNUMBER(FIND(CODES!$A$12,D35)),CODES!$A$12,IF(OR(ISNUMBER(FIND(CODES!$A$10,D35)),ISNUMBER(FIND(CODES!$A$11,D35))),CODES!$A$13,IF(OR(D35&lt;D$63,ISNUMBER(D35)=FALSE),D$64,D35))))</f>
      </c>
      <c r="E87" s="9" t="str">
        <f>IF(ISBLANK(E35),"NO DATA",IF(ISNUMBER(FIND(CODES!$A$12,E35)),CODES!$A$12,IF(OR(ISNUMBER(FIND(CODES!$A$10,E35)),ISNUMBER(FIND(CODES!$A$11,E35))),CODES!$A$13,IF(OR(E35&lt;E$63,ISNUMBER(E35)=FALSE),E$64,E35))))</f>
      </c>
      <c r="F87" s="9" t="str">
        <f>IF(ISBLANK(F35),"NO DATA",IF(ISNUMBER(FIND(CODES!$A$12,F35)),CODES!$A$12,IF(OR(ISNUMBER(FIND(CODES!$A$10,F35)),ISNUMBER(FIND(CODES!$A$11,F35))),CODES!$A$13,IF(OR(F35&lt;F$63,ISNUMBER(F35)=FALSE),F$64,F35))))</f>
      </c>
      <c r="G87" s="9" t="str">
        <f>IF(ISBLANK(G35),"NO DATA",IF(ISNUMBER(FIND(CODES!$A$12,G35)),CODES!$A$12,IF(OR(ISNUMBER(FIND(CODES!$A$10,G35)),ISNUMBER(FIND(CODES!$A$11,G35))),CODES!$A$13,IF(OR(G35&lt;G$63,ISNUMBER(G35)=FALSE),G$64,G35))))</f>
      </c>
      <c r="H87" s="9" t="str">
        <f>IF(ISBLANK(H35),"NO DATA",IF(ISNUMBER(FIND(CODES!$A$12,H35)),CODES!$A$12,IF(OR(ISNUMBER(FIND(CODES!$A$10,H35)),ISNUMBER(FIND(CODES!$A$11,H35))),CODES!$A$13,IF(OR(H35&lt;H$63,ISNUMBER(H35)=FALSE),H$64,H35))))</f>
      </c>
      <c r="I87" s="9" t="str">
        <f>IF(ISBLANK(I35),"NO DATA",IF(ISNUMBER(FIND(CODES!$A$12,I35)),CODES!$A$12,IF(OR(ISNUMBER(FIND(CODES!$A$10,I35)),ISNUMBER(FIND(CODES!$A$11,I35))),CODES!$A$13,IF(OR(I35&lt;I$63,ISNUMBER(I35)=FALSE),I$64,I35))))</f>
      </c>
      <c r="J87" s="9" t="str">
        <f>IF(ISBLANK(J35),"NO DATA",IF(ISNUMBER(FIND(CODES!$A$12,J35)),CODES!$A$12,IF(OR(ISNUMBER(FIND(CODES!$A$10,J35)),ISNUMBER(FIND(CODES!$A$11,J35))),CODES!$A$13,IF(OR(J35&lt;J$63,ISNUMBER(J35)=FALSE),J$64,J35))))</f>
      </c>
      <c r="K87" s="9" t="str">
        <f>IF(ISBLANK(K35),"NO DATA",IF(ISNUMBER(FIND(CODES!$A$12,K35)),CODES!$A$12,IF(OR(ISNUMBER(FIND(CODES!$A$10,K35)),ISNUMBER(FIND(CODES!$A$11,K35))),CODES!$A$13,IF(OR(K35&lt;K$63,ISNUMBER(K35)=FALSE),K$64,K35))))</f>
      </c>
      <c r="L87" s="9" t="str">
        <f>IF(ISBLANK(L35),"NO DATA",IF(ISNUMBER(FIND(CODES!$A$12,L35)),CODES!$A$12,IF(OR(ISNUMBER(FIND(CODES!$A$10,L35)),ISNUMBER(FIND(CODES!$A$11,L35))),CODES!$A$13,IF(OR(L35&lt;L$63,ISNUMBER(L35)=FALSE),L$64,L35))))</f>
      </c>
      <c r="M87" s="9" t="str">
        <f>IF(ISBLANK(M35),"NO DATA",IF(ISNUMBER(FIND(CODES!$A$12,M35)),CODES!$A$12,IF(OR(ISNUMBER(FIND(CODES!$A$10,M35)),ISNUMBER(FIND(CODES!$A$11,M35))),CODES!$A$13,IF(OR(M35&lt;M$63,ISNUMBER(M35)=FALSE),M$64,M35))))</f>
      </c>
      <c r="N87" s="9" t="str">
        <f>IF(ISBLANK(N35),"NO DATA",IF(ISNUMBER(FIND(CODES!$A$12,N35)),CODES!$A$12,IF(OR(ISNUMBER(FIND(CODES!$A$10,N35)),ISNUMBER(FIND(CODES!$A$11,N35))),CODES!$A$13,IF(OR(N35&lt;N$63,ISNUMBER(N35)=FALSE),N$64,N35))))</f>
      </c>
      <c r="O87" s="9" t="str">
        <f>IF(ISBLANK(O35),"NO DATA",IF(ISNUMBER(FIND(CODES!$A$12,O35)),CODES!$A$12,IF(OR(ISNUMBER(FIND(CODES!$A$10,O35)),ISNUMBER(FIND(CODES!$A$11,O35))),CODES!$A$13,IF(OR(O35&lt;O$63,ISNUMBER(O35)=FALSE),O$64,O35))))</f>
      </c>
      <c r="P87" s="9" t="str">
        <f>IF(ISBLANK(P35),"NO DATA",IF(ISNUMBER(FIND(CODES!$A$12,P35)),CODES!$A$12,IF(OR(ISNUMBER(FIND(CODES!$A$10,P35)),ISNUMBER(FIND(CODES!$A$11,P35))),CODES!$A$13,IF(OR(P35&lt;P$63,ISNUMBER(P35)=FALSE),P$64,P35))))</f>
      </c>
      <c r="Q87" s="9" t="str">
        <f>IF(ISBLANK(Q35),"NO DATA",IF(ISNUMBER(FIND(CODES!$A$12,Q35)),CODES!$A$12,IF(OR(ISNUMBER(FIND(CODES!$A$10,Q35)),ISNUMBER(FIND(CODES!$A$11,Q35))),CODES!$A$13,IF(OR(Q35&lt;Q$63,ISNUMBER(Q35)=FALSE),Q$64,Q35))))</f>
      </c>
      <c r="R87" s="9" t="str">
        <f>IF(ISBLANK(R35),"NO DATA",IF(ISNUMBER(FIND(CODES!$A$12,R35)),CODES!$A$12,IF(OR(ISNUMBER(FIND(CODES!$A$10,R35)),ISNUMBER(FIND(CODES!$A$11,R35))),CODES!$A$13,IF(OR(R35&lt;R$63,ISNUMBER(R35)=FALSE),R$64,R35))))</f>
      </c>
      <c r="S87" s="9" t="str">
        <f>IF(ISBLANK(S35),"NO DATA",IF(ISNUMBER(FIND(CODES!$A$12,S35)),CODES!$A$12,IF(OR(ISNUMBER(FIND(CODES!$A$10,S35)),ISNUMBER(FIND(CODES!$A$11,S35))),CODES!$A$13,IF(OR(S35&lt;S$63,ISNUMBER(S35)=FALSE),S$64,S35))))</f>
      </c>
      <c r="T87" s="9" t="str">
        <f>IF(ISBLANK(T35),"NO DATA",IF(ISNUMBER(FIND(CODES!$A$12,T35)),CODES!$A$12,IF(OR(ISNUMBER(FIND(CODES!$A$10,T35)),ISNUMBER(FIND(CODES!$A$11,T35))),CODES!$A$13,IF(OR(T35&lt;T$63,ISNUMBER(T35)=FALSE),T$64,T35))))</f>
      </c>
      <c r="U87" s="9" t="str">
        <f>IF(ISBLANK(U35),"NO DATA",IF(ISNUMBER(FIND(CODES!$A$12,U35)),CODES!$A$12,IF(OR(ISNUMBER(FIND(CODES!$A$10,U35)),ISNUMBER(FIND(CODES!$A$11,U35))),CODES!$A$13,IF(OR(U35&lt;U$63,ISNUMBER(U35)=FALSE),U$64,U35))))</f>
      </c>
      <c r="V87" s="9" t="str">
        <f>IF(ISBLANK(V35),"NO DATA",IF(ISNUMBER(FIND(CODES!$A$12,V35)),CODES!$A$12,IF(OR(ISNUMBER(FIND(CODES!$A$10,V35)),ISNUMBER(FIND(CODES!$A$11,V35))),CODES!$A$13,IF(OR(V35&lt;V$63,ISNUMBER(V35)=FALSE),V$64,V35))))</f>
      </c>
      <c r="W87" s="9" t="str">
        <f>IF(ISBLANK(W35),"NO DATA",IF(ISNUMBER(FIND(CODES!$A$12,W35)),CODES!$A$12,IF(OR(ISNUMBER(FIND(CODES!$A$10,W35)),ISNUMBER(FIND(CODES!$A$11,W35))),CODES!$A$13,IF(OR(W35&lt;W$63,ISNUMBER(W35)=FALSE),W$64,W35))))</f>
      </c>
      <c r="X87" s="9" t="str">
        <f>IF(ISBLANK(X35),"NO DATA",IF(ISNUMBER(FIND(CODES!$A$12,X35)),CODES!$A$12,IF(OR(ISNUMBER(FIND(CODES!$A$10,X35)),ISNUMBER(FIND(CODES!$A$11,X35))),CODES!$A$13,IF(OR(X35&lt;X$63,ISNUMBER(X35)=FALSE),X$64,X35))))</f>
      </c>
      <c r="Y87" s="9" t="str">
        <f>IF(ISBLANK(Y35),"NO DATA",IF(ISNUMBER(FIND(CODES!$A$12,Y35)),CODES!$A$12,IF(OR(ISNUMBER(FIND(CODES!$A$10,Y35)),ISNUMBER(FIND(CODES!$A$11,Y35))),CODES!$A$13,IF(OR(Y35&lt;Y$63,ISNUMBER(Y35)=FALSE),Y$64,Y35))))</f>
      </c>
      <c r="Z87" s="9" t="str">
        <f>IF(ISBLANK(Z35),"NO DATA",IF(ISNUMBER(FIND(CODES!$A$12,Z35)),CODES!$A$12,IF(OR(ISNUMBER(FIND(CODES!$A$10,Z35)),ISNUMBER(FIND(CODES!$A$11,Z35))),CODES!$A$13,IF(OR(Z35&lt;Z$63,ISNUMBER(Z35)=FALSE),Z$64,Z35))))</f>
      </c>
      <c r="AA87" s="9" t="str">
        <f>IF(ISBLANK(AA35),"NO DATA",IF(ISNUMBER(FIND(CODES!$A$12,AA35)),CODES!$A$12,IF(OR(ISNUMBER(FIND(CODES!$A$10,AA35)),ISNUMBER(FIND(CODES!$A$11,AA35))),CODES!$A$13,IF(OR(AA35&lt;AA$63,ISNUMBER(AA35)=FALSE),AA$64,AA35))))</f>
      </c>
      <c r="AB87" s="9" t="str">
        <f>IF(ISBLANK(AB35),"NO DATA",IF(ISNUMBER(FIND(CODES!$A$12,AB35)),CODES!$A$12,IF(OR(ISNUMBER(FIND(CODES!$A$10,AB35)),ISNUMBER(FIND(CODES!$A$11,AB35))),CODES!$A$13,IF(OR(AB35&lt;AB$63,ISNUMBER(AB35)=FALSE),AB$64,AB35))))</f>
      </c>
      <c r="AC87" s="9" t="str">
        <f>IF(ISBLANK(AC35),"NO DATA",IF(ISNUMBER(FIND(CODES!$A$12,AC35)),CODES!$A$12,IF(OR(ISNUMBER(FIND(CODES!$A$10,AC35)),ISNUMBER(FIND(CODES!$A$11,AC35))),CODES!$A$13,IF(OR(AC35&lt;AC$63,ISNUMBER(AC35)=FALSE),AC$64,AC35))))</f>
      </c>
      <c r="AD87" s="9" t="str">
        <f>IF(ISBLANK(AD35),"NO DATA",IF(ISNUMBER(FIND(CODES!$A$12,AD35)),CODES!$A$12,IF(OR(ISNUMBER(FIND(CODES!$A$10,AD35)),ISNUMBER(FIND(CODES!$A$11,AD35))),CODES!$A$13,IF(OR(AD35&lt;AD$63,ISNUMBER(AD35)=FALSE),AD$64,AD35))))</f>
      </c>
      <c r="AE87" s="9" t="str">
        <f>IF(ISBLANK(AE35),"NO DATA",IF(ISNUMBER(FIND(CODES!$A$12,AE35)),CODES!$A$12,IF(OR(ISNUMBER(FIND(CODES!$A$10,AE35)),ISNUMBER(FIND(CODES!$A$11,AE35))),CODES!$A$13,IF(OR(AE35&lt;AE$63,ISNUMBER(AE35)=FALSE),AE$64,AE35))))</f>
      </c>
      <c r="AF87" s="9" t="str">
        <f>IF(ISBLANK(AF35),"NO DATA",IF(ISNUMBER(FIND(CODES!$A$12,AF35)),CODES!$A$12,IF(OR(ISNUMBER(FIND(CODES!$A$10,AF35)),ISNUMBER(FIND(CODES!$A$11,AF35))),CODES!$A$13,IF(OR(AF35&lt;AF$63,ISNUMBER(AF35)=FALSE),AF$64,AF35))))</f>
      </c>
      <c r="AG87" s="9" t="str">
        <f>IF(ISBLANK(AG35),"NO DATA",IF(ISNUMBER(FIND(CODES!$A$12,AG35)),CODES!$A$12,IF(OR(ISNUMBER(FIND(CODES!$A$10,AG35)),ISNUMBER(FIND(CODES!$A$11,AG35))),CODES!$A$13,IF(OR(AG35&lt;AG$63,ISNUMBER(AG35)=FALSE),AG$64,AG35))))</f>
      </c>
      <c r="AH87" s="9" t="str">
        <f>IF(ISBLANK(AH35),"NO DATA",IF(ISNUMBER(FIND(CODES!$A$12,AH35)),CODES!$A$12,IF(OR(ISNUMBER(FIND(CODES!$A$10,AH35)),ISNUMBER(FIND(CODES!$A$11,AH35))),CODES!$A$13,IF(OR(AH35&lt;AH$63,ISNUMBER(AH35)=FALSE),AH$64,AH35))))</f>
      </c>
      <c r="AI87" s="9" t="str">
        <f>IF(ISBLANK(AI35),"NO DATA",IF(ISNUMBER(FIND(CODES!$A$12,AI35)),CODES!$A$12,IF(OR(ISNUMBER(FIND(CODES!$A$10,AI35)),ISNUMBER(FIND(CODES!$A$11,AI35))),CODES!$A$13,IF(OR(AI35&lt;AI$63,ISNUMBER(AI35)=FALSE),AI$64,AI35))))</f>
      </c>
      <c r="AJ87" s="9" t="str">
        <f>IF(ISBLANK(AJ35),"NO DATA",IF(ISNUMBER(FIND(CODES!$A$12,AJ35)),CODES!$A$12,IF(OR(ISNUMBER(FIND(CODES!$A$10,AJ35)),ISNUMBER(FIND(CODES!$A$11,AJ35))),CODES!$A$13,IF(OR(AJ35&lt;AJ$63,ISNUMBER(AJ35)=FALSE),AJ$64,AJ35))))</f>
      </c>
      <c r="AK87" s="9" t="str">
        <f>IF(ISBLANK(AK35),"NO DATA",IF(ISNUMBER(FIND(CODES!$A$12,AK35)),CODES!$A$12,IF(OR(ISNUMBER(FIND(CODES!$A$10,AK35)),ISNUMBER(FIND(CODES!$A$11,AK35))),CODES!$A$13,IF(OR(AK35&lt;AK$63,ISNUMBER(AK35)=FALSE),AK$64,AK35))))</f>
      </c>
      <c r="AL87" s="9" t="str">
        <f>IF(ISBLANK(AL35),"NO DATA",IF(ISNUMBER(FIND(CODES!$A$12,AL35)),CODES!$A$12,IF(OR(ISNUMBER(FIND(CODES!$A$10,AL35)),ISNUMBER(FIND(CODES!$A$11,AL35))),CODES!$A$13,IF(OR(AL35&lt;AL$63,ISNUMBER(AL35)=FALSE),AL$64,AL35))))</f>
      </c>
      <c r="AM87" s="9" t="str">
        <f>IF(ISBLANK(AM35),"NO DATA",IF(ISNUMBER(FIND(CODES!$A$12,AM35)),CODES!$A$12,IF(OR(ISNUMBER(FIND(CODES!$A$10,AM35)),ISNUMBER(FIND(CODES!$A$11,AM35))),CODES!$A$13,IF(OR(AM35&lt;AM$63,ISNUMBER(AM35)=FALSE),AM$64,AM35))))</f>
      </c>
      <c r="AN87" s="9" t="str">
        <f>IF(ISBLANK(AN35),"NO DATA",IF(ISNUMBER(FIND(CODES!$A$12,AN35)),CODES!$A$12,IF(OR(ISNUMBER(FIND(CODES!$A$10,AN35)),ISNUMBER(FIND(CODES!$A$11,AN35))),CODES!$A$13,IF(OR(AN35&lt;AN$63,ISNUMBER(AN35)=FALSE),AN$64,AN35))))</f>
      </c>
      <c r="AO87" s="9" t="str">
        <f>IF(ISBLANK(AO35),"NO DATA",IF(ISNUMBER(FIND(CODES!$A$12,AO35)),CODES!$A$12,IF(OR(ISNUMBER(FIND(CODES!$A$10,AO35)),ISNUMBER(FIND(CODES!$A$11,AO35))),CODES!$A$13,IF(OR(AO35&lt;AO$63,ISNUMBER(AO35)=FALSE),AO$64,AO35))))</f>
      </c>
      <c r="AP87" s="9" t="str">
        <f>IF(ISBLANK(AP35),"NO DATA",IF(ISNUMBER(FIND(CODES!$A$12,AP35)),CODES!$A$12,IF(OR(ISNUMBER(FIND(CODES!$A$10,AP35)),ISNUMBER(FIND(CODES!$A$11,AP35))),CODES!$A$13,IF(OR(AP35&lt;AP$63,ISNUMBER(AP35)=FALSE),AP$64,AP35))))</f>
      </c>
      <c r="AQ87" s="9" t="str">
        <f>IF(ISBLANK(AQ35),"NO DATA",IF(ISNUMBER(FIND(CODES!$A$12,AQ35)),CODES!$A$12,IF(OR(ISNUMBER(FIND(CODES!$A$10,AQ35)),ISNUMBER(FIND(CODES!$A$11,AQ35))),CODES!$A$13,IF(OR(AQ35&lt;AQ$63,ISNUMBER(AQ35)=FALSE),AQ$64,AQ35))))</f>
      </c>
      <c r="AR87" s="9" t="str">
        <f>IF(ISBLANK(AR35),"NO DATA",IF(ISNUMBER(FIND(CODES!$A$12,AR35)),CODES!$A$12,IF(OR(ISNUMBER(FIND(CODES!$A$10,AR35)),ISNUMBER(FIND(CODES!$A$11,AR35))),CODES!$A$13,IF(OR(AR35&lt;AR$63,ISNUMBER(AR35)=FALSE),AR$64,AR35))))</f>
      </c>
      <c r="AS87" s="9" t="str">
        <f>IF(ISBLANK(AS35),"NO DATA",IF(ISNUMBER(FIND(CODES!$A$12,AS35)),CODES!$A$12,IF(OR(ISNUMBER(FIND(CODES!$A$10,AS35)),ISNUMBER(FIND(CODES!$A$11,AS35))),CODES!$A$13,IF(OR(AS35&lt;AS$63,ISNUMBER(AS35)=FALSE),AS$64,AS35))))</f>
      </c>
      <c r="AT87" s="9" t="str">
        <f>IF(ISBLANK(AT35),"NO DATA",IF(ISNUMBER(FIND(CODES!$A$12,AT35)),CODES!$A$12,IF(OR(ISNUMBER(FIND(CODES!$A$10,AT35)),ISNUMBER(FIND(CODES!$A$11,AT35))),CODES!$A$13,IF(OR(AT35&lt;AT$63,ISNUMBER(AT35)=FALSE),AT$64,AT35))))</f>
      </c>
      <c r="AU87" s="9" t="str">
        <f>IF(ISBLANK(AU35),"NO DATA",IF(ISNUMBER(FIND(CODES!$A$12,AU35)),CODES!$A$12,IF(OR(ISNUMBER(FIND(CODES!$A$10,AU35)),ISNUMBER(FIND(CODES!$A$11,AU35))),CODES!$A$13,IF(OR(AU35&lt;AU$63,ISNUMBER(AU35)=FALSE),AU$64,AU35))))</f>
      </c>
      <c r="AV87" s="9" t="str">
        <f>IF(ISBLANK(AV35),"NO DATA",IF(ISNUMBER(FIND(CODES!$A$12,AV35)),CODES!$A$12,IF(OR(ISNUMBER(FIND(CODES!$A$10,AV35)),ISNUMBER(FIND(CODES!$A$11,AV35))),CODES!$A$13,IF(OR(AV35&lt;AV$63,ISNUMBER(AV35)=FALSE),AV$64,AV35))))</f>
      </c>
      <c r="AW87" s="9" t="str">
        <f>IF(ISBLANK(AW35),"NO DATA",IF(ISNUMBER(FIND(CODES!$A$12,AW35)),CODES!$A$12,IF(OR(ISNUMBER(FIND(CODES!$A$10,AW35)),ISNUMBER(FIND(CODES!$A$11,AW35))),CODES!$A$13,IF(OR(AW35&lt;AW$63,ISNUMBER(AW35)=FALSE),AW$64,AW35))))</f>
      </c>
      <c r="AX87" s="9" t="str">
        <f>IF(ISBLANK(AX35),"NO DATA",IF(ISNUMBER(FIND(CODES!$A$12,AX35)),CODES!$A$12,IF(OR(ISNUMBER(FIND(CODES!$A$10,AX35)),ISNUMBER(FIND(CODES!$A$11,AX35))),CODES!$A$13,IF(OR(AX35&lt;AX$63,ISNUMBER(AX35)=FALSE),AX$64,AX35))))</f>
      </c>
      <c r="AY87" s="9" t="str">
        <f>IF(ISBLANK(AY35),"NO DATA",IF(ISNUMBER(FIND(CODES!$A$12,AY35)),CODES!$A$12,IF(OR(ISNUMBER(FIND(CODES!$A$10,AY35)),ISNUMBER(FIND(CODES!$A$11,AY35))),CODES!$A$13,IF(OR(AY35&lt;AY$63,ISNUMBER(AY35)=FALSE),AY$64,AY35))))</f>
      </c>
      <c r="AZ87" s="9" t="str">
        <f>IF(ISBLANK(AZ35),"NO DATA",IF(ISNUMBER(FIND(CODES!$A$12,AZ35)),CODES!$A$12,IF(OR(ISNUMBER(FIND(CODES!$A$10,AZ35)),ISNUMBER(FIND(CODES!$A$11,AZ35))),CODES!$A$13,IF(OR(AZ35&lt;AZ$63,ISNUMBER(AZ35)=FALSE),AZ$64,AZ35))))</f>
      </c>
      <c r="BA87" s="9" t="str">
        <f>IF(ISBLANK(BA35),"NO DATA",IF(ISNUMBER(FIND(CODES!$A$12,BA35)),CODES!$A$12,IF(OR(ISNUMBER(FIND(CODES!$A$10,BA35)),ISNUMBER(FIND(CODES!$A$11,BA35))),CODES!$A$13,IF(OR(BA35&lt;BA$63,ISNUMBER(BA35)=FALSE),BA$64,BA35))))</f>
      </c>
      <c r="BB87" s="9" t="str">
        <f>IF(ISBLANK(BB35),"NO DATA",IF(ISNUMBER(FIND(CODES!$A$12,BB35)),CODES!$A$12,IF(OR(ISNUMBER(FIND(CODES!$A$10,BB35)),ISNUMBER(FIND(CODES!$A$11,BB35))),CODES!$A$13,IF(OR(BB35&lt;BB$63,ISNUMBER(BB35)=FALSE),BB$64,BB35))))</f>
      </c>
      <c r="BC87" s="9" t="str">
        <f>IF(ISBLANK(BC35),"NO DATA",IF(ISNUMBER(FIND(CODES!$A$12,BC35)),CODES!$A$12,IF(OR(ISNUMBER(FIND(CODES!$A$10,BC35)),ISNUMBER(FIND(CODES!$A$11,BC35))),CODES!$A$13,IF(OR(BC35&lt;BC$63,ISNUMBER(BC35)=FALSE),BC$64,BC35))))</f>
      </c>
      <c r="BD87" s="9" t="str">
        <f>IF(ISBLANK(BD35),"NO DATA",IF(ISNUMBER(FIND(CODES!$A$12,BD35)),CODES!$A$12,IF(OR(ISNUMBER(FIND(CODES!$A$10,BD35)),ISNUMBER(FIND(CODES!$A$11,BD35))),CODES!$A$13,IF(OR(BD35&lt;BD$63,ISNUMBER(BD35)=FALSE),BD$64,BD35))))</f>
      </c>
      <c r="BE87" s="9" t="str">
        <f>IF(ISBLANK(BE35),"NO DATA",IF(ISNUMBER(FIND(CODES!$A$12,BE35)),CODES!$A$12,IF(OR(ISNUMBER(FIND(CODES!$A$10,BE35)),ISNUMBER(FIND(CODES!$A$11,BE35))),CODES!$A$13,IF(OR(BE35&lt;BE$63,ISNUMBER(BE35)=FALSE),BE$64,BE35))))</f>
      </c>
      <c r="BF87" s="9" t="str">
        <f>IF(ISBLANK(BF35),"NO DATA",IF(ISNUMBER(FIND(CODES!$A$12,BF35)),CODES!$A$12,IF(OR(ISNUMBER(FIND(CODES!$A$10,BF35)),ISNUMBER(FIND(CODES!$A$11,BF35))),CODES!$A$13,IF(OR(BF35&lt;BF$63,ISNUMBER(BF35)=FALSE),BF$64,BF35))))</f>
      </c>
      <c r="BG87" s="9" t="str">
        <f>IF(ISBLANK(BG35),"NO DATA",IF(ISNUMBER(FIND(CODES!$A$12,BG35)),CODES!$A$12,IF(OR(ISNUMBER(FIND(CODES!$A$10,BG35)),ISNUMBER(FIND(CODES!$A$11,BG35))),CODES!$A$13,IF(OR(BG35&lt;BG$63,ISNUMBER(BG35)=FALSE),BG$64,BG35))))</f>
      </c>
      <c r="BH87" s="9" t="str">
        <f>IF(ISBLANK(BH35),"NO DATA",IF(ISNUMBER(FIND(CODES!$A$12,BH35)),CODES!$A$12,IF(OR(ISNUMBER(FIND(CODES!$A$10,BH35)),ISNUMBER(FIND(CODES!$A$11,BH35))),CODES!$A$13,IF(OR(BH35&lt;BH$63,ISNUMBER(BH35)=FALSE),BH$64,BH35))))</f>
      </c>
      <c r="BI87" s="9" t="str">
        <f>IF(ISBLANK(BI35),"NO DATA",IF(ISNUMBER(FIND(CODES!$A$12,BI35)),CODES!$A$12,IF(OR(ISNUMBER(FIND(CODES!$A$10,BI35)),ISNUMBER(FIND(CODES!$A$11,BI35))),CODES!$A$13,IF(OR(BI35&lt;BI$63,ISNUMBER(BI35)=FALSE),BI$64,BI35))))</f>
      </c>
      <c r="BJ87" s="9" t="str">
        <f>IF(ISBLANK(BJ35),"NO DATA",IF(ISNUMBER(FIND(CODES!$A$12,BJ35)),CODES!$A$12,IF(OR(ISNUMBER(FIND(CODES!$A$10,BJ35)),ISNUMBER(FIND(CODES!$A$11,BJ35))),CODES!$A$13,IF(OR(BJ35&lt;BJ$63,ISNUMBER(BJ35)=FALSE),BJ$64,BJ35))))</f>
      </c>
      <c r="BK87" s="9" t="str">
        <f>IF(ISBLANK(BK35),"NO DATA",IF(ISNUMBER(FIND(CODES!$A$12,BK35)),CODES!$A$12,IF(OR(ISNUMBER(FIND(CODES!$A$10,BK35)),ISNUMBER(FIND(CODES!$A$11,BK35))),CODES!$A$13,IF(OR(BK35&lt;BK$63,ISNUMBER(BK35)=FALSE),BK$64,BK35))))</f>
      </c>
      <c r="BL87" s="9" t="str">
        <f>IF(ISBLANK(BL35),"NO DATA",IF(ISNUMBER(FIND(CODES!$A$12,BL35)),CODES!$A$12,IF(OR(ISNUMBER(FIND(CODES!$A$10,BL35)),ISNUMBER(FIND(CODES!$A$11,BL35))),CODES!$A$13,IF(OR(BL35&lt;BL$63,ISNUMBER(BL35)=FALSE),BL$64,BL35))))</f>
      </c>
      <c r="BM87" s="9" t="str">
        <f>IF(ISBLANK(BM35),"NO DATA",IF(ISNUMBER(FIND(CODES!$A$12,BM35)),CODES!$A$12,IF(OR(ISNUMBER(FIND(CODES!$A$10,BM35)),ISNUMBER(FIND(CODES!$A$11,BM35))),CODES!$A$13,IF(OR(BM35&lt;BM$63,ISNUMBER(BM35)=FALSE),BM$64,BM35))))</f>
      </c>
      <c r="BN87" s="9" t="str">
        <f>IF(ISBLANK(BN35),"NO DATA",IF(ISNUMBER(FIND(CODES!$A$12,BN35)),CODES!$A$12,IF(OR(ISNUMBER(FIND(CODES!$A$10,BN35)),ISNUMBER(FIND(CODES!$A$11,BN35))),CODES!$A$13,IF(OR(BN35&lt;BN$63,ISNUMBER(BN35)=FALSE),BN$64,BN35))))</f>
      </c>
      <c r="BO87" s="9" t="str">
        <f>IF(ISBLANK(BO35),"NO DATA",IF(ISNUMBER(FIND(CODES!$A$12,BO35)),CODES!$A$12,IF(OR(ISNUMBER(FIND(CODES!$A$10,BO35)),ISNUMBER(FIND(CODES!$A$11,BO35))),CODES!$A$13,IF(OR(BO35&lt;BO$63,ISNUMBER(BO35)=FALSE),BO$64,BO35))))</f>
      </c>
      <c r="BP87" s="9" t="str">
        <f>IF(ISBLANK(BP35),"NO DATA",IF(ISNUMBER(FIND(CODES!$A$12,BP35)),CODES!$A$12,IF(OR(ISNUMBER(FIND(CODES!$A$10,BP35)),ISNUMBER(FIND(CODES!$A$11,BP35))),CODES!$A$13,IF(OR(BP35&lt;BP$63,ISNUMBER(BP35)=FALSE),BP$64,BP35))))</f>
      </c>
      <c r="BQ87" s="9" t="str">
        <f>IF(ISBLANK(BQ35),"NO DATA",IF(ISNUMBER(FIND(CODES!$A$12,BQ35)),CODES!$A$12,IF(OR(ISNUMBER(FIND(CODES!$A$10,BQ35)),ISNUMBER(FIND(CODES!$A$11,BQ35))),CODES!$A$13,IF(OR(BQ35&lt;BQ$63,ISNUMBER(BQ35)=FALSE),BQ$64,BQ35))))</f>
      </c>
      <c r="BR87" s="9" t="str">
        <f>IF(ISBLANK(BR35),"NO DATA",IF(ISNUMBER(FIND(CODES!$A$12,BR35)),CODES!$A$12,IF(OR(ISNUMBER(FIND(CODES!$A$10,BR35)),ISNUMBER(FIND(CODES!$A$11,BR35))),CODES!$A$13,IF(OR(BR35&lt;BR$63,ISNUMBER(BR35)=FALSE),BR$64,BR35))))</f>
      </c>
      <c r="BS87" s="9" t="str">
        <f>IF(ISBLANK(BS35),"NO DATA",IF(ISNUMBER(FIND(CODES!$A$12,BS35)),CODES!$A$12,IF(OR(ISNUMBER(FIND(CODES!$A$10,BS35)),ISNUMBER(FIND(CODES!$A$11,BS35))),CODES!$A$13,IF(OR(BS35&lt;BS$63,ISNUMBER(BS35)=FALSE),BS$64,BS35))))</f>
      </c>
      <c r="BT87" s="9" t="str">
        <f>IF(ISBLANK(BT35),"NO DATA",IF(ISNUMBER(FIND(CODES!$A$12,BT35)),CODES!$A$12,IF(OR(ISNUMBER(FIND(CODES!$A$10,BT35)),ISNUMBER(FIND(CODES!$A$11,BT35))),CODES!$A$13,IF(OR(BT35&lt;BT$63,ISNUMBER(BT35)=FALSE),BT$64,BT35))))</f>
      </c>
      <c r="BU87" s="9" t="str">
        <f>IF(ISBLANK(BU35),"NO DATA",IF(ISNUMBER(FIND(CODES!$A$12,BU35)),CODES!$A$12,IF(OR(ISNUMBER(FIND(CODES!$A$10,BU35)),ISNUMBER(FIND(CODES!$A$11,BU35))),CODES!$A$13,IF(OR(BU35&lt;BU$63,ISNUMBER(BU35)=FALSE),BU$64,BU35))))</f>
      </c>
      <c r="BV87" s="9" t="str">
        <f>IF(ISBLANK(BV35),"NO DATA",IF(ISNUMBER(FIND(CODES!$A$12,BV35)),CODES!$A$12,IF(OR(ISNUMBER(FIND(CODES!$A$10,BV35)),ISNUMBER(FIND(CODES!$A$11,BV35))),CODES!$A$13,IF(OR(BV35&lt;BV$63,ISNUMBER(BV35)=FALSE),BV$64,BV35))))</f>
      </c>
      <c r="BW87" s="9" t="str">
        <f>IF(ISBLANK(BW35),"NO DATA",IF(ISNUMBER(FIND(CODES!$A$12,BW35)),CODES!$A$12,IF(OR(ISNUMBER(FIND(CODES!$A$10,BW35)),ISNUMBER(FIND(CODES!$A$11,BW35))),CODES!$A$13,IF(OR(BW35&lt;BW$63,ISNUMBER(BW35)=FALSE),BW$64,BW35))))</f>
      </c>
      <c r="BX87" s="9" t="str">
        <f>IF(ISBLANK(BX35),"NO DATA",IF(ISNUMBER(FIND(CODES!$A$12,BX35)),CODES!$A$12,IF(OR(ISNUMBER(FIND(CODES!$A$10,BX35)),ISNUMBER(FIND(CODES!$A$11,BX35))),CODES!$A$13,IF(OR(BX35&lt;BX$63,ISNUMBER(BX35)=FALSE),BX$64,BX35))))</f>
      </c>
      <c r="BY87" s="9" t="str">
        <f>IF(ISBLANK(BY35),"NO DATA",IF(ISNUMBER(FIND(CODES!$A$12,BY35)),CODES!$A$12,IF(OR(ISNUMBER(FIND(CODES!$A$10,BY35)),ISNUMBER(FIND(CODES!$A$11,BY35))),CODES!$A$13,IF(OR(BY35&lt;BY$63,ISNUMBER(BY35)=FALSE),BY$64,BY35))))</f>
      </c>
      <c r="BZ87" s="9" t="str">
        <f>IF(ISBLANK(BZ35),"NO DATA",IF(ISNUMBER(FIND(CODES!$A$12,BZ35)),CODES!$A$12,IF(OR(ISNUMBER(FIND(CODES!$A$10,BZ35)),ISNUMBER(FIND(CODES!$A$11,BZ35))),CODES!$A$13,IF(OR(BZ35&lt;BZ$63,ISNUMBER(BZ35)=FALSE),BZ$64,BZ35))))</f>
      </c>
      <c r="CA87" s="9" t="str">
        <f>IF(ISBLANK(CA35),"NO DATA",IF(ISNUMBER(FIND(CODES!$A$12,CA35)),CODES!$A$12,IF(OR(ISNUMBER(FIND(CODES!$A$10,CA35)),ISNUMBER(FIND(CODES!$A$11,CA35))),CODES!$A$13,IF(OR(CA35&lt;CA$63,ISNUMBER(CA35)=FALSE),CA$64,CA35))))</f>
      </c>
      <c r="CB87" s="9" t="str">
        <f>IF(ISBLANK(CB35),"NO DATA",IF(ISNUMBER(FIND(CODES!$A$12,CB35)),CODES!$A$12,IF(OR(ISNUMBER(FIND(CODES!$A$10,CB35)),ISNUMBER(FIND(CODES!$A$11,CB35))),CODES!$A$13,IF(OR(CB35&lt;CB$63,ISNUMBER(CB35)=FALSE),CB$64,CB35))))</f>
      </c>
      <c r="CC87" s="9" t="str">
        <f>IF(ISBLANK(CC35),"NO DATA",IF(ISNUMBER(FIND(CODES!$A$12,CC35)),CODES!$A$12,IF(OR(ISNUMBER(FIND(CODES!$A$10,CC35)),ISNUMBER(FIND(CODES!$A$11,CC35))),CODES!$A$13,IF(OR(CC35&lt;CC$63,ISNUMBER(CC35)=FALSE),CC$64,CC35))))</f>
      </c>
      <c r="CD87" s="9" t="str">
        <f>IF(ISBLANK(CD35),"NO DATA",IF(ISNUMBER(FIND(CODES!$A$12,CD35)),CODES!$A$12,IF(OR(ISNUMBER(FIND(CODES!$A$10,CD35)),ISNUMBER(FIND(CODES!$A$11,CD35))),CODES!$A$13,IF(OR(CD35&lt;CD$63,ISNUMBER(CD35)=FALSE),CD$64,CD35))))</f>
      </c>
      <c r="CE87" s="9" t="str">
        <f>IF(ISBLANK(CE35),"NO DATA",IF(ISNUMBER(FIND(CODES!$A$12,CE35)),CODES!$A$12,IF(OR(ISNUMBER(FIND(CODES!$A$10,CE35)),ISNUMBER(FIND(CODES!$A$11,CE35))),CODES!$A$13,IF(OR(CE35&lt;CE$63,ISNUMBER(CE35)=FALSE),CE$64,CE35))))</f>
      </c>
      <c r="CF87" s="9" t="str">
        <f>IF(ISBLANK(CF35),"NO DATA",IF(ISNUMBER(FIND(CODES!$A$12,CF35)),CODES!$A$12,IF(OR(ISNUMBER(FIND(CODES!$A$10,CF35)),ISNUMBER(FIND(CODES!$A$11,CF35))),CODES!$A$13,IF(OR(CF35&lt;CF$63,ISNUMBER(CF35)=FALSE),CF$64,CF35))))</f>
      </c>
      <c r="CG87" s="9" t="str">
        <f>IF(ISBLANK(CG35),"NO DATA",IF(ISNUMBER(FIND(CODES!$A$12,CG35)),CODES!$A$12,IF(OR(ISNUMBER(FIND(CODES!$A$10,CG35)),ISNUMBER(FIND(CODES!$A$11,CG35))),CODES!$A$13,IF(OR(CG35&lt;CG$63,ISNUMBER(CG35)=FALSE),CG$64,CG35))))</f>
      </c>
      <c r="CH87" s="9" t="str">
        <f>IF(ISBLANK(CH35),"NO DATA",IF(ISNUMBER(FIND(CODES!$A$12,CH35)),CODES!$A$12,IF(OR(ISNUMBER(FIND(CODES!$A$10,CH35)),ISNUMBER(FIND(CODES!$A$11,CH35))),CODES!$A$13,IF(OR(CH35&lt;CH$63,ISNUMBER(CH35)=FALSE),CH$64,CH35))))</f>
      </c>
      <c r="CI87" s="9" t="str">
        <f>IF(ISBLANK(CI35),"NO DATA",IF(ISNUMBER(FIND(CODES!$A$12,CI35)),CODES!$A$12,IF(OR(ISNUMBER(FIND(CODES!$A$10,CI35)),ISNUMBER(FIND(CODES!$A$11,CI35))),CODES!$A$13,IF(OR(CI35&lt;CI$63,ISNUMBER(CI35)=FALSE),CI$64,CI35))))</f>
      </c>
      <c r="CJ87" s="9" t="str">
        <f>IF(ISBLANK(CJ35),"NO DATA",IF(ISNUMBER(FIND(CODES!$A$12,CJ35)),CODES!$A$12,IF(OR(ISNUMBER(FIND(CODES!$A$10,CJ35)),ISNUMBER(FIND(CODES!$A$11,CJ35))),CODES!$A$13,IF(OR(CJ35&lt;CJ$63,ISNUMBER(CJ35)=FALSE),CJ$64,CJ35))))</f>
      </c>
      <c r="CK87" s="9" t="str">
        <f>IF(ISBLANK(CK35),"NO DATA",IF(ISNUMBER(FIND(CODES!$A$12,CK35)),CODES!$A$12,IF(OR(ISNUMBER(FIND(CODES!$A$10,CK35)),ISNUMBER(FIND(CODES!$A$11,CK35))),CODES!$A$13,IF(OR(CK35&lt;CK$63,ISNUMBER(CK35)=FALSE),CK$64,CK35))))</f>
      </c>
      <c r="CL87" s="9" t="str">
        <f>IF(ISBLANK(CL35),"NO DATA",IF(ISNUMBER(FIND(CODES!$A$12,CL35)),CODES!$A$12,IF(OR(ISNUMBER(FIND(CODES!$A$10,CL35)),ISNUMBER(FIND(CODES!$A$11,CL35))),CODES!$A$13,IF(OR(CL35&lt;CL$63,ISNUMBER(CL35)=FALSE),CL$64,CL35))))</f>
      </c>
      <c r="CM87" s="9" t="str">
        <f>IF(ISBLANK(CM35),"NO DATA",IF(ISNUMBER(FIND(CODES!$A$12,CM35)),CODES!$A$12,IF(OR(ISNUMBER(FIND(CODES!$A$10,CM35)),ISNUMBER(FIND(CODES!$A$11,CM35))),CODES!$A$13,IF(OR(CM35&lt;CM$63,ISNUMBER(CM35)=FALSE),CM$64,CM35))))</f>
      </c>
      <c r="CN87" s="9" t="str">
        <f>IF(ISBLANK(CN35),"NO DATA",IF(ISNUMBER(FIND(CODES!$A$12,CN35)),CODES!$A$12,IF(OR(ISNUMBER(FIND(CODES!$A$10,CN35)),ISNUMBER(FIND(CODES!$A$11,CN35))),CODES!$A$13,IF(OR(CN35&lt;CN$63,ISNUMBER(CN35)=FALSE),CN$64,CN35))))</f>
      </c>
      <c r="CO87" s="9" t="str">
        <f>IF(ISBLANK(CO35),"NO DATA",IF(ISNUMBER(FIND(CODES!$A$12,CO35)),CODES!$A$12,IF(OR(ISNUMBER(FIND(CODES!$A$10,CO35)),ISNUMBER(FIND(CODES!$A$11,CO35))),CODES!$A$13,IF(OR(CO35&lt;CO$63,ISNUMBER(CO35)=FALSE),CO$64,CO35))))</f>
      </c>
      <c r="CP87" s="9" t="str">
        <f>IF(ISBLANK(CP35),"NO DATA",IF(ISNUMBER(FIND(CODES!$A$12,CP35)),CODES!$A$12,IF(OR(ISNUMBER(FIND(CODES!$A$10,CP35)),ISNUMBER(FIND(CODES!$A$11,CP35))),CODES!$A$13,IF(OR(CP35&lt;CP$63,ISNUMBER(CP35)=FALSE),CP$64,CP35))))</f>
      </c>
      <c r="CQ87" s="9" t="str">
        <f>IF(ISBLANK(CQ35),"NO DATA",IF(ISNUMBER(FIND(CODES!$A$12,CQ35)),CODES!$A$12,IF(OR(ISNUMBER(FIND(CODES!$A$10,CQ35)),ISNUMBER(FIND(CODES!$A$11,CQ35))),CODES!$A$13,IF(OR(CQ35&lt;CQ$63,ISNUMBER(CQ35)=FALSE),CQ$64,CQ35))))</f>
      </c>
      <c r="CR87" s="9" t="str">
        <f>IF(ISBLANK(CR35),"NO DATA",IF(ISNUMBER(FIND(CODES!$A$12,CR35)),CODES!$A$12,IF(OR(ISNUMBER(FIND(CODES!$A$10,CR35)),ISNUMBER(FIND(CODES!$A$11,CR35))),CODES!$A$13,IF(OR(CR35&lt;CR$63,ISNUMBER(CR35)=FALSE),CR$64,CR35))))</f>
      </c>
      <c r="CS87" s="9" t="str">
        <f>IF(ISBLANK(CS35),"NO DATA",IF(ISNUMBER(FIND(CODES!$A$12,CS35)),CODES!$A$12,IF(OR(ISNUMBER(FIND(CODES!$A$10,CS35)),ISNUMBER(FIND(CODES!$A$11,CS35))),CODES!$A$13,IF(OR(CS35&lt;CS$63,ISNUMBER(CS35)=FALSE),CS$64,CS35))))</f>
      </c>
      <c r="CT87" s="9" t="str">
        <f>IF(ISBLANK(CT35),"NO DATA",IF(ISNUMBER(FIND(CODES!$A$12,CT35)),CODES!$A$12,IF(OR(ISNUMBER(FIND(CODES!$A$10,CT35)),ISNUMBER(FIND(CODES!$A$11,CT35))),CODES!$A$13,IF(OR(CT35&lt;CT$63,ISNUMBER(CT35)=FALSE),CT$64,CT35))))</f>
      </c>
      <c r="CU87" s="9" t="str">
        <f>IF(ISBLANK(CU35),"NO DATA",IF(ISNUMBER(FIND(CODES!$A$12,CU35)),CODES!$A$12,IF(OR(ISNUMBER(FIND(CODES!$A$10,CU35)),ISNUMBER(FIND(CODES!$A$11,CU35))),CODES!$A$13,IF(OR(CU35&lt;CU$63,ISNUMBER(CU35)=FALSE),CU$64,CU35))))</f>
      </c>
      <c r="CV87" s="9" t="str">
        <f>IF(ISBLANK(CV35),"NO DATA",IF(ISNUMBER(FIND(CODES!$A$12,CV35)),CODES!$A$12,IF(OR(ISNUMBER(FIND(CODES!$A$10,CV35)),ISNUMBER(FIND(CODES!$A$11,CV35))),CODES!$A$13,IF(OR(CV35&lt;CV$63,ISNUMBER(CV35)=FALSE),CV$64,CV35))))</f>
      </c>
      <c r="CW87" s="9" t="str">
        <f>IF(ISBLANK(CW35),"NO DATA",IF(ISNUMBER(FIND(CODES!$A$12,CW35)),CODES!$A$12,IF(OR(ISNUMBER(FIND(CODES!$A$10,CW35)),ISNUMBER(FIND(CODES!$A$11,CW35))),CODES!$A$13,IF(OR(CW35&lt;CW$63,ISNUMBER(CW35)=FALSE),CW$64,CW35))))</f>
      </c>
      <c r="CX87" s="9" t="str">
        <f>IF(ISBLANK(CX35),"NO DATA",IF(ISNUMBER(FIND(CODES!$A$12,CX35)),CODES!$A$12,IF(OR(ISNUMBER(FIND(CODES!$A$10,CX35)),ISNUMBER(FIND(CODES!$A$11,CX35))),CODES!$A$13,IF(OR(CX35&lt;CX$63,ISNUMBER(CX35)=FALSE),CX$64,CX35))))</f>
      </c>
      <c r="CY87" s="9" t="str">
        <f>IF(ISBLANK(CY35),"NO DATA",IF(ISNUMBER(FIND(CODES!$A$12,CY35)),CODES!$A$12,IF(OR(ISNUMBER(FIND(CODES!$A$10,CY35)),ISNUMBER(FIND(CODES!$A$11,CY35))),CODES!$A$13,IF(OR(CY35&lt;CY$63,ISNUMBER(CY35)=FALSE),CY$64,CY35))))</f>
      </c>
      <c r="CZ87" s="9" t="str">
        <f>IF(ISBLANK(CZ35),"NO DATA",IF(ISNUMBER(FIND(CODES!$A$12,CZ35)),CODES!$A$12,IF(OR(ISNUMBER(FIND(CODES!$A$10,CZ35)),ISNUMBER(FIND(CODES!$A$11,CZ35))),CODES!$A$13,IF(OR(CZ35&lt;CZ$63,ISNUMBER(CZ35)=FALSE),CZ$64,CZ35))))</f>
      </c>
      <c r="DA87" s="9" t="str">
        <f>IF(ISBLANK(DA35),"NO DATA",IF(ISNUMBER(FIND(CODES!$A$12,DA35)),CODES!$A$12,IF(OR(ISNUMBER(FIND(CODES!$A$10,DA35)),ISNUMBER(FIND(CODES!$A$11,DA35))),CODES!$A$13,IF(OR(DA35&lt;DA$63,ISNUMBER(DA35)=FALSE),DA$64,DA35))))</f>
      </c>
      <c r="DB87" s="9" t="str">
        <f>IF(ISBLANK(DB35),"NO DATA",IF(ISNUMBER(FIND(CODES!$A$12,DB35)),CODES!$A$12,IF(OR(ISNUMBER(FIND(CODES!$A$10,DB35)),ISNUMBER(FIND(CODES!$A$11,DB35))),CODES!$A$13,IF(OR(DB35&lt;DB$63,ISNUMBER(DB35)=FALSE),DB$64,DB35))))</f>
      </c>
      <c r="DC87" s="9" t="str">
        <f>IF(ISBLANK(DC35),"NO DATA",IF(ISNUMBER(FIND(CODES!$A$12,DC35)),CODES!$A$12,IF(OR(ISNUMBER(FIND(CODES!$A$10,DC35)),ISNUMBER(FIND(CODES!$A$11,DC35))),CODES!$A$13,IF(OR(DC35&lt;DC$63,ISNUMBER(DC35)=FALSE),DC$64,DC35))))</f>
      </c>
      <c r="DD87" s="9" t="str">
        <f>IF(ISBLANK(DD35),"NO DATA",IF(ISNUMBER(FIND(CODES!$A$12,DD35)),CODES!$A$12,IF(OR(ISNUMBER(FIND(CODES!$A$10,DD35)),ISNUMBER(FIND(CODES!$A$11,DD35))),CODES!$A$13,IF(OR(DD35&lt;DD$63,ISNUMBER(DD35)=FALSE),DD$64,DD35))))</f>
      </c>
      <c r="DE87" s="9" t="str">
        <f>IF(ISBLANK(DE35),"NO DATA",IF(ISNUMBER(FIND(CODES!$A$12,DE35)),CODES!$A$12,IF(OR(ISNUMBER(FIND(CODES!$A$10,DE35)),ISNUMBER(FIND(CODES!$A$11,DE35))),CODES!$A$13,IF(OR(DE35&lt;DE$63,ISNUMBER(DE35)=FALSE),DE$64,DE35))))</f>
      </c>
      <c r="DF87" s="9" t="str">
        <f>IF(ISBLANK(DF35),"NO DATA",IF(ISNUMBER(FIND(CODES!$A$12,DF35)),CODES!$A$12,IF(OR(ISNUMBER(FIND(CODES!$A$10,DF35)),ISNUMBER(FIND(CODES!$A$11,DF35))),CODES!$A$13,IF(OR(DF35&lt;DF$63,ISNUMBER(DF35)=FALSE),DF$64,DF35))))</f>
      </c>
      <c r="DG87" s="9" t="str">
        <f>IF(ISBLANK(DG35),"NO DATA",IF(ISNUMBER(FIND(CODES!$A$12,DG35)),CODES!$A$12,IF(OR(ISNUMBER(FIND(CODES!$A$10,DG35)),ISNUMBER(FIND(CODES!$A$11,DG35))),CODES!$A$13,IF(OR(DG35&lt;DG$63,ISNUMBER(DG35)=FALSE),DG$64,DG35))))</f>
      </c>
      <c r="DH87" s="9" t="str">
        <f>IF(ISBLANK(DH35),"NO DATA",IF(ISNUMBER(FIND(CODES!$A$12,DH35)),CODES!$A$12,IF(OR(ISNUMBER(FIND(CODES!$A$10,DH35)),ISNUMBER(FIND(CODES!$A$11,DH35))),CODES!$A$13,IF(OR(DH35&lt;DH$63,ISNUMBER(DH35)=FALSE),DH$64,DH35))))</f>
      </c>
      <c r="DI87" s="9" t="str">
        <f>IF(ISBLANK(DI35),"NO DATA",IF(ISNUMBER(FIND(CODES!$A$12,DI35)),CODES!$A$12,IF(OR(ISNUMBER(FIND(CODES!$A$10,DI35)),ISNUMBER(FIND(CODES!$A$11,DI35))),CODES!$A$13,IF(OR(DI35&lt;DI$63,ISNUMBER(DI35)=FALSE),DI$64,DI35))))</f>
      </c>
    </row>
    <row r="88" spans="1:113" x14ac:dyDescent="0.25">
      <c r="A88" s="20" t="str">
        <f t="shared" si="4"/>
      </c>
      <c r="B88" s="20">
        <f t="shared" si="4"/>
      </c>
      <c r="C88" s="9" t="str">
        <f>IF(ISBLANK(C36),"NO DATA",IF(ISNUMBER(FIND(CODES!$A$12,C36)),CODES!$A$12,IF(OR(ISNUMBER(FIND(CODES!$A$10,C36)),ISNUMBER(FIND(CODES!$A$11,C36))),CODES!$A$13,IF(OR(C36&lt;C$63,ISNUMBER(C36)=FALSE),C$64,C36))))</f>
      </c>
      <c r="D88" s="9" t="str">
        <f>IF(ISBLANK(D36),"NO DATA",IF(ISNUMBER(FIND(CODES!$A$12,D36)),CODES!$A$12,IF(OR(ISNUMBER(FIND(CODES!$A$10,D36)),ISNUMBER(FIND(CODES!$A$11,D36))),CODES!$A$13,IF(OR(D36&lt;D$63,ISNUMBER(D36)=FALSE),D$64,D36))))</f>
      </c>
      <c r="E88" s="9" t="str">
        <f>IF(ISBLANK(E36),"NO DATA",IF(ISNUMBER(FIND(CODES!$A$12,E36)),CODES!$A$12,IF(OR(ISNUMBER(FIND(CODES!$A$10,E36)),ISNUMBER(FIND(CODES!$A$11,E36))),CODES!$A$13,IF(OR(E36&lt;E$63,ISNUMBER(E36)=FALSE),E$64,E36))))</f>
      </c>
      <c r="F88" s="9" t="str">
        <f>IF(ISBLANK(F36),"NO DATA",IF(ISNUMBER(FIND(CODES!$A$12,F36)),CODES!$A$12,IF(OR(ISNUMBER(FIND(CODES!$A$10,F36)),ISNUMBER(FIND(CODES!$A$11,F36))),CODES!$A$13,IF(OR(F36&lt;F$63,ISNUMBER(F36)=FALSE),F$64,F36))))</f>
      </c>
      <c r="G88" s="9" t="str">
        <f>IF(ISBLANK(G36),"NO DATA",IF(ISNUMBER(FIND(CODES!$A$12,G36)),CODES!$A$12,IF(OR(ISNUMBER(FIND(CODES!$A$10,G36)),ISNUMBER(FIND(CODES!$A$11,G36))),CODES!$A$13,IF(OR(G36&lt;G$63,ISNUMBER(G36)=FALSE),G$64,G36))))</f>
      </c>
      <c r="H88" s="9" t="str">
        <f>IF(ISBLANK(H36),"NO DATA",IF(ISNUMBER(FIND(CODES!$A$12,H36)),CODES!$A$12,IF(OR(ISNUMBER(FIND(CODES!$A$10,H36)),ISNUMBER(FIND(CODES!$A$11,H36))),CODES!$A$13,IF(OR(H36&lt;H$63,ISNUMBER(H36)=FALSE),H$64,H36))))</f>
      </c>
      <c r="I88" s="9" t="str">
        <f>IF(ISBLANK(I36),"NO DATA",IF(ISNUMBER(FIND(CODES!$A$12,I36)),CODES!$A$12,IF(OR(ISNUMBER(FIND(CODES!$A$10,I36)),ISNUMBER(FIND(CODES!$A$11,I36))),CODES!$A$13,IF(OR(I36&lt;I$63,ISNUMBER(I36)=FALSE),I$64,I36))))</f>
      </c>
      <c r="J88" s="9" t="str">
        <f>IF(ISBLANK(J36),"NO DATA",IF(ISNUMBER(FIND(CODES!$A$12,J36)),CODES!$A$12,IF(OR(ISNUMBER(FIND(CODES!$A$10,J36)),ISNUMBER(FIND(CODES!$A$11,J36))),CODES!$A$13,IF(OR(J36&lt;J$63,ISNUMBER(J36)=FALSE),J$64,J36))))</f>
      </c>
      <c r="K88" s="9" t="str">
        <f>IF(ISBLANK(K36),"NO DATA",IF(ISNUMBER(FIND(CODES!$A$12,K36)),CODES!$A$12,IF(OR(ISNUMBER(FIND(CODES!$A$10,K36)),ISNUMBER(FIND(CODES!$A$11,K36))),CODES!$A$13,IF(OR(K36&lt;K$63,ISNUMBER(K36)=FALSE),K$64,K36))))</f>
      </c>
      <c r="L88" s="9" t="str">
        <f>IF(ISBLANK(L36),"NO DATA",IF(ISNUMBER(FIND(CODES!$A$12,L36)),CODES!$A$12,IF(OR(ISNUMBER(FIND(CODES!$A$10,L36)),ISNUMBER(FIND(CODES!$A$11,L36))),CODES!$A$13,IF(OR(L36&lt;L$63,ISNUMBER(L36)=FALSE),L$64,L36))))</f>
      </c>
      <c r="M88" s="9" t="str">
        <f>IF(ISBLANK(M36),"NO DATA",IF(ISNUMBER(FIND(CODES!$A$12,M36)),CODES!$A$12,IF(OR(ISNUMBER(FIND(CODES!$A$10,M36)),ISNUMBER(FIND(CODES!$A$11,M36))),CODES!$A$13,IF(OR(M36&lt;M$63,ISNUMBER(M36)=FALSE),M$64,M36))))</f>
      </c>
      <c r="N88" s="9" t="str">
        <f>IF(ISBLANK(N36),"NO DATA",IF(ISNUMBER(FIND(CODES!$A$12,N36)),CODES!$A$12,IF(OR(ISNUMBER(FIND(CODES!$A$10,N36)),ISNUMBER(FIND(CODES!$A$11,N36))),CODES!$A$13,IF(OR(N36&lt;N$63,ISNUMBER(N36)=FALSE),N$64,N36))))</f>
      </c>
      <c r="O88" s="9" t="str">
        <f>IF(ISBLANK(O36),"NO DATA",IF(ISNUMBER(FIND(CODES!$A$12,O36)),CODES!$A$12,IF(OR(ISNUMBER(FIND(CODES!$A$10,O36)),ISNUMBER(FIND(CODES!$A$11,O36))),CODES!$A$13,IF(OR(O36&lt;O$63,ISNUMBER(O36)=FALSE),O$64,O36))))</f>
      </c>
      <c r="P88" s="9" t="str">
        <f>IF(ISBLANK(P36),"NO DATA",IF(ISNUMBER(FIND(CODES!$A$12,P36)),CODES!$A$12,IF(OR(ISNUMBER(FIND(CODES!$A$10,P36)),ISNUMBER(FIND(CODES!$A$11,P36))),CODES!$A$13,IF(OR(P36&lt;P$63,ISNUMBER(P36)=FALSE),P$64,P36))))</f>
      </c>
      <c r="Q88" s="9" t="str">
        <f>IF(ISBLANK(Q36),"NO DATA",IF(ISNUMBER(FIND(CODES!$A$12,Q36)),CODES!$A$12,IF(OR(ISNUMBER(FIND(CODES!$A$10,Q36)),ISNUMBER(FIND(CODES!$A$11,Q36))),CODES!$A$13,IF(OR(Q36&lt;Q$63,ISNUMBER(Q36)=FALSE),Q$64,Q36))))</f>
      </c>
      <c r="R88" s="9" t="str">
        <f>IF(ISBLANK(R36),"NO DATA",IF(ISNUMBER(FIND(CODES!$A$12,R36)),CODES!$A$12,IF(OR(ISNUMBER(FIND(CODES!$A$10,R36)),ISNUMBER(FIND(CODES!$A$11,R36))),CODES!$A$13,IF(OR(R36&lt;R$63,ISNUMBER(R36)=FALSE),R$64,R36))))</f>
      </c>
      <c r="S88" s="9" t="str">
        <f>IF(ISBLANK(S36),"NO DATA",IF(ISNUMBER(FIND(CODES!$A$12,S36)),CODES!$A$12,IF(OR(ISNUMBER(FIND(CODES!$A$10,S36)),ISNUMBER(FIND(CODES!$A$11,S36))),CODES!$A$13,IF(OR(S36&lt;S$63,ISNUMBER(S36)=FALSE),S$64,S36))))</f>
      </c>
      <c r="T88" s="9" t="str">
        <f>IF(ISBLANK(T36),"NO DATA",IF(ISNUMBER(FIND(CODES!$A$12,T36)),CODES!$A$12,IF(OR(ISNUMBER(FIND(CODES!$A$10,T36)),ISNUMBER(FIND(CODES!$A$11,T36))),CODES!$A$13,IF(OR(T36&lt;T$63,ISNUMBER(T36)=FALSE),T$64,T36))))</f>
      </c>
      <c r="U88" s="9" t="str">
        <f>IF(ISBLANK(U36),"NO DATA",IF(ISNUMBER(FIND(CODES!$A$12,U36)),CODES!$A$12,IF(OR(ISNUMBER(FIND(CODES!$A$10,U36)),ISNUMBER(FIND(CODES!$A$11,U36))),CODES!$A$13,IF(OR(U36&lt;U$63,ISNUMBER(U36)=FALSE),U$64,U36))))</f>
      </c>
      <c r="V88" s="9" t="str">
        <f>IF(ISBLANK(V36),"NO DATA",IF(ISNUMBER(FIND(CODES!$A$12,V36)),CODES!$A$12,IF(OR(ISNUMBER(FIND(CODES!$A$10,V36)),ISNUMBER(FIND(CODES!$A$11,V36))),CODES!$A$13,IF(OR(V36&lt;V$63,ISNUMBER(V36)=FALSE),V$64,V36))))</f>
      </c>
      <c r="W88" s="9" t="str">
        <f>IF(ISBLANK(W36),"NO DATA",IF(ISNUMBER(FIND(CODES!$A$12,W36)),CODES!$A$12,IF(OR(ISNUMBER(FIND(CODES!$A$10,W36)),ISNUMBER(FIND(CODES!$A$11,W36))),CODES!$A$13,IF(OR(W36&lt;W$63,ISNUMBER(W36)=FALSE),W$64,W36))))</f>
      </c>
      <c r="X88" s="9" t="str">
        <f>IF(ISBLANK(X36),"NO DATA",IF(ISNUMBER(FIND(CODES!$A$12,X36)),CODES!$A$12,IF(OR(ISNUMBER(FIND(CODES!$A$10,X36)),ISNUMBER(FIND(CODES!$A$11,X36))),CODES!$A$13,IF(OR(X36&lt;X$63,ISNUMBER(X36)=FALSE),X$64,X36))))</f>
      </c>
      <c r="Y88" s="9" t="str">
        <f>IF(ISBLANK(Y36),"NO DATA",IF(ISNUMBER(FIND(CODES!$A$12,Y36)),CODES!$A$12,IF(OR(ISNUMBER(FIND(CODES!$A$10,Y36)),ISNUMBER(FIND(CODES!$A$11,Y36))),CODES!$A$13,IF(OR(Y36&lt;Y$63,ISNUMBER(Y36)=FALSE),Y$64,Y36))))</f>
      </c>
      <c r="Z88" s="9" t="str">
        <f>IF(ISBLANK(Z36),"NO DATA",IF(ISNUMBER(FIND(CODES!$A$12,Z36)),CODES!$A$12,IF(OR(ISNUMBER(FIND(CODES!$A$10,Z36)),ISNUMBER(FIND(CODES!$A$11,Z36))),CODES!$A$13,IF(OR(Z36&lt;Z$63,ISNUMBER(Z36)=FALSE),Z$64,Z36))))</f>
      </c>
      <c r="AA88" s="9" t="str">
        <f>IF(ISBLANK(AA36),"NO DATA",IF(ISNUMBER(FIND(CODES!$A$12,AA36)),CODES!$A$12,IF(OR(ISNUMBER(FIND(CODES!$A$10,AA36)),ISNUMBER(FIND(CODES!$A$11,AA36))),CODES!$A$13,IF(OR(AA36&lt;AA$63,ISNUMBER(AA36)=FALSE),AA$64,AA36))))</f>
      </c>
      <c r="AB88" s="9" t="str">
        <f>IF(ISBLANK(AB36),"NO DATA",IF(ISNUMBER(FIND(CODES!$A$12,AB36)),CODES!$A$12,IF(OR(ISNUMBER(FIND(CODES!$A$10,AB36)),ISNUMBER(FIND(CODES!$A$11,AB36))),CODES!$A$13,IF(OR(AB36&lt;AB$63,ISNUMBER(AB36)=FALSE),AB$64,AB36))))</f>
      </c>
      <c r="AC88" s="9" t="str">
        <f>IF(ISBLANK(AC36),"NO DATA",IF(ISNUMBER(FIND(CODES!$A$12,AC36)),CODES!$A$12,IF(OR(ISNUMBER(FIND(CODES!$A$10,AC36)),ISNUMBER(FIND(CODES!$A$11,AC36))),CODES!$A$13,IF(OR(AC36&lt;AC$63,ISNUMBER(AC36)=FALSE),AC$64,AC36))))</f>
      </c>
      <c r="AD88" s="9" t="str">
        <f>IF(ISBLANK(AD36),"NO DATA",IF(ISNUMBER(FIND(CODES!$A$12,AD36)),CODES!$A$12,IF(OR(ISNUMBER(FIND(CODES!$A$10,AD36)),ISNUMBER(FIND(CODES!$A$11,AD36))),CODES!$A$13,IF(OR(AD36&lt;AD$63,ISNUMBER(AD36)=FALSE),AD$64,AD36))))</f>
      </c>
      <c r="AE88" s="9" t="str">
        <f>IF(ISBLANK(AE36),"NO DATA",IF(ISNUMBER(FIND(CODES!$A$12,AE36)),CODES!$A$12,IF(OR(ISNUMBER(FIND(CODES!$A$10,AE36)),ISNUMBER(FIND(CODES!$A$11,AE36))),CODES!$A$13,IF(OR(AE36&lt;AE$63,ISNUMBER(AE36)=FALSE),AE$64,AE36))))</f>
      </c>
      <c r="AF88" s="9" t="str">
        <f>IF(ISBLANK(AF36),"NO DATA",IF(ISNUMBER(FIND(CODES!$A$12,AF36)),CODES!$A$12,IF(OR(ISNUMBER(FIND(CODES!$A$10,AF36)),ISNUMBER(FIND(CODES!$A$11,AF36))),CODES!$A$13,IF(OR(AF36&lt;AF$63,ISNUMBER(AF36)=FALSE),AF$64,AF36))))</f>
      </c>
      <c r="AG88" s="9" t="str">
        <f>IF(ISBLANK(AG36),"NO DATA",IF(ISNUMBER(FIND(CODES!$A$12,AG36)),CODES!$A$12,IF(OR(ISNUMBER(FIND(CODES!$A$10,AG36)),ISNUMBER(FIND(CODES!$A$11,AG36))),CODES!$A$13,IF(OR(AG36&lt;AG$63,ISNUMBER(AG36)=FALSE),AG$64,AG36))))</f>
      </c>
      <c r="AH88" s="9" t="str">
        <f>IF(ISBLANK(AH36),"NO DATA",IF(ISNUMBER(FIND(CODES!$A$12,AH36)),CODES!$A$12,IF(OR(ISNUMBER(FIND(CODES!$A$10,AH36)),ISNUMBER(FIND(CODES!$A$11,AH36))),CODES!$A$13,IF(OR(AH36&lt;AH$63,ISNUMBER(AH36)=FALSE),AH$64,AH36))))</f>
      </c>
      <c r="AI88" s="9" t="str">
        <f>IF(ISBLANK(AI36),"NO DATA",IF(ISNUMBER(FIND(CODES!$A$12,AI36)),CODES!$A$12,IF(OR(ISNUMBER(FIND(CODES!$A$10,AI36)),ISNUMBER(FIND(CODES!$A$11,AI36))),CODES!$A$13,IF(OR(AI36&lt;AI$63,ISNUMBER(AI36)=FALSE),AI$64,AI36))))</f>
      </c>
      <c r="AJ88" s="9" t="str">
        <f>IF(ISBLANK(AJ36),"NO DATA",IF(ISNUMBER(FIND(CODES!$A$12,AJ36)),CODES!$A$12,IF(OR(ISNUMBER(FIND(CODES!$A$10,AJ36)),ISNUMBER(FIND(CODES!$A$11,AJ36))),CODES!$A$13,IF(OR(AJ36&lt;AJ$63,ISNUMBER(AJ36)=FALSE),AJ$64,AJ36))))</f>
      </c>
      <c r="AK88" s="9" t="str">
        <f>IF(ISBLANK(AK36),"NO DATA",IF(ISNUMBER(FIND(CODES!$A$12,AK36)),CODES!$A$12,IF(OR(ISNUMBER(FIND(CODES!$A$10,AK36)),ISNUMBER(FIND(CODES!$A$11,AK36))),CODES!$A$13,IF(OR(AK36&lt;AK$63,ISNUMBER(AK36)=FALSE),AK$64,AK36))))</f>
      </c>
      <c r="AL88" s="9" t="str">
        <f>IF(ISBLANK(AL36),"NO DATA",IF(ISNUMBER(FIND(CODES!$A$12,AL36)),CODES!$A$12,IF(OR(ISNUMBER(FIND(CODES!$A$10,AL36)),ISNUMBER(FIND(CODES!$A$11,AL36))),CODES!$A$13,IF(OR(AL36&lt;AL$63,ISNUMBER(AL36)=FALSE),AL$64,AL36))))</f>
      </c>
      <c r="AM88" s="9" t="str">
        <f>IF(ISBLANK(AM36),"NO DATA",IF(ISNUMBER(FIND(CODES!$A$12,AM36)),CODES!$A$12,IF(OR(ISNUMBER(FIND(CODES!$A$10,AM36)),ISNUMBER(FIND(CODES!$A$11,AM36))),CODES!$A$13,IF(OR(AM36&lt;AM$63,ISNUMBER(AM36)=FALSE),AM$64,AM36))))</f>
      </c>
      <c r="AN88" s="9" t="str">
        <f>IF(ISBLANK(AN36),"NO DATA",IF(ISNUMBER(FIND(CODES!$A$12,AN36)),CODES!$A$12,IF(OR(ISNUMBER(FIND(CODES!$A$10,AN36)),ISNUMBER(FIND(CODES!$A$11,AN36))),CODES!$A$13,IF(OR(AN36&lt;AN$63,ISNUMBER(AN36)=FALSE),AN$64,AN36))))</f>
      </c>
      <c r="AO88" s="9" t="str">
        <f>IF(ISBLANK(AO36),"NO DATA",IF(ISNUMBER(FIND(CODES!$A$12,AO36)),CODES!$A$12,IF(OR(ISNUMBER(FIND(CODES!$A$10,AO36)),ISNUMBER(FIND(CODES!$A$11,AO36))),CODES!$A$13,IF(OR(AO36&lt;AO$63,ISNUMBER(AO36)=FALSE),AO$64,AO36))))</f>
      </c>
      <c r="AP88" s="9" t="str">
        <f>IF(ISBLANK(AP36),"NO DATA",IF(ISNUMBER(FIND(CODES!$A$12,AP36)),CODES!$A$12,IF(OR(ISNUMBER(FIND(CODES!$A$10,AP36)),ISNUMBER(FIND(CODES!$A$11,AP36))),CODES!$A$13,IF(OR(AP36&lt;AP$63,ISNUMBER(AP36)=FALSE),AP$64,AP36))))</f>
      </c>
      <c r="AQ88" s="9" t="str">
        <f>IF(ISBLANK(AQ36),"NO DATA",IF(ISNUMBER(FIND(CODES!$A$12,AQ36)),CODES!$A$12,IF(OR(ISNUMBER(FIND(CODES!$A$10,AQ36)),ISNUMBER(FIND(CODES!$A$11,AQ36))),CODES!$A$13,IF(OR(AQ36&lt;AQ$63,ISNUMBER(AQ36)=FALSE),AQ$64,AQ36))))</f>
      </c>
      <c r="AR88" s="9" t="str">
        <f>IF(ISBLANK(AR36),"NO DATA",IF(ISNUMBER(FIND(CODES!$A$12,AR36)),CODES!$A$12,IF(OR(ISNUMBER(FIND(CODES!$A$10,AR36)),ISNUMBER(FIND(CODES!$A$11,AR36))),CODES!$A$13,IF(OR(AR36&lt;AR$63,ISNUMBER(AR36)=FALSE),AR$64,AR36))))</f>
      </c>
      <c r="AS88" s="9" t="str">
        <f>IF(ISBLANK(AS36),"NO DATA",IF(ISNUMBER(FIND(CODES!$A$12,AS36)),CODES!$A$12,IF(OR(ISNUMBER(FIND(CODES!$A$10,AS36)),ISNUMBER(FIND(CODES!$A$11,AS36))),CODES!$A$13,IF(OR(AS36&lt;AS$63,ISNUMBER(AS36)=FALSE),AS$64,AS36))))</f>
      </c>
      <c r="AT88" s="9" t="str">
        <f>IF(ISBLANK(AT36),"NO DATA",IF(ISNUMBER(FIND(CODES!$A$12,AT36)),CODES!$A$12,IF(OR(ISNUMBER(FIND(CODES!$A$10,AT36)),ISNUMBER(FIND(CODES!$A$11,AT36))),CODES!$A$13,IF(OR(AT36&lt;AT$63,ISNUMBER(AT36)=FALSE),AT$64,AT36))))</f>
      </c>
      <c r="AU88" s="9" t="str">
        <f>IF(ISBLANK(AU36),"NO DATA",IF(ISNUMBER(FIND(CODES!$A$12,AU36)),CODES!$A$12,IF(OR(ISNUMBER(FIND(CODES!$A$10,AU36)),ISNUMBER(FIND(CODES!$A$11,AU36))),CODES!$A$13,IF(OR(AU36&lt;AU$63,ISNUMBER(AU36)=FALSE),AU$64,AU36))))</f>
      </c>
      <c r="AV88" s="9" t="str">
        <f>IF(ISBLANK(AV36),"NO DATA",IF(ISNUMBER(FIND(CODES!$A$12,AV36)),CODES!$A$12,IF(OR(ISNUMBER(FIND(CODES!$A$10,AV36)),ISNUMBER(FIND(CODES!$A$11,AV36))),CODES!$A$13,IF(OR(AV36&lt;AV$63,ISNUMBER(AV36)=FALSE),AV$64,AV36))))</f>
      </c>
      <c r="AW88" s="9" t="str">
        <f>IF(ISBLANK(AW36),"NO DATA",IF(ISNUMBER(FIND(CODES!$A$12,AW36)),CODES!$A$12,IF(OR(ISNUMBER(FIND(CODES!$A$10,AW36)),ISNUMBER(FIND(CODES!$A$11,AW36))),CODES!$A$13,IF(OR(AW36&lt;AW$63,ISNUMBER(AW36)=FALSE),AW$64,AW36))))</f>
      </c>
      <c r="AX88" s="9" t="str">
        <f>IF(ISBLANK(AX36),"NO DATA",IF(ISNUMBER(FIND(CODES!$A$12,AX36)),CODES!$A$12,IF(OR(ISNUMBER(FIND(CODES!$A$10,AX36)),ISNUMBER(FIND(CODES!$A$11,AX36))),CODES!$A$13,IF(OR(AX36&lt;AX$63,ISNUMBER(AX36)=FALSE),AX$64,AX36))))</f>
      </c>
      <c r="AY88" s="9" t="str">
        <f>IF(ISBLANK(AY36),"NO DATA",IF(ISNUMBER(FIND(CODES!$A$12,AY36)),CODES!$A$12,IF(OR(ISNUMBER(FIND(CODES!$A$10,AY36)),ISNUMBER(FIND(CODES!$A$11,AY36))),CODES!$A$13,IF(OR(AY36&lt;AY$63,ISNUMBER(AY36)=FALSE),AY$64,AY36))))</f>
      </c>
      <c r="AZ88" s="9" t="str">
        <f>IF(ISBLANK(AZ36),"NO DATA",IF(ISNUMBER(FIND(CODES!$A$12,AZ36)),CODES!$A$12,IF(OR(ISNUMBER(FIND(CODES!$A$10,AZ36)),ISNUMBER(FIND(CODES!$A$11,AZ36))),CODES!$A$13,IF(OR(AZ36&lt;AZ$63,ISNUMBER(AZ36)=FALSE),AZ$64,AZ36))))</f>
      </c>
      <c r="BA88" s="9" t="str">
        <f>IF(ISBLANK(BA36),"NO DATA",IF(ISNUMBER(FIND(CODES!$A$12,BA36)),CODES!$A$12,IF(OR(ISNUMBER(FIND(CODES!$A$10,BA36)),ISNUMBER(FIND(CODES!$A$11,BA36))),CODES!$A$13,IF(OR(BA36&lt;BA$63,ISNUMBER(BA36)=FALSE),BA$64,BA36))))</f>
      </c>
      <c r="BB88" s="9" t="str">
        <f>IF(ISBLANK(BB36),"NO DATA",IF(ISNUMBER(FIND(CODES!$A$12,BB36)),CODES!$A$12,IF(OR(ISNUMBER(FIND(CODES!$A$10,BB36)),ISNUMBER(FIND(CODES!$A$11,BB36))),CODES!$A$13,IF(OR(BB36&lt;BB$63,ISNUMBER(BB36)=FALSE),BB$64,BB36))))</f>
      </c>
      <c r="BC88" s="9" t="str">
        <f>IF(ISBLANK(BC36),"NO DATA",IF(ISNUMBER(FIND(CODES!$A$12,BC36)),CODES!$A$12,IF(OR(ISNUMBER(FIND(CODES!$A$10,BC36)),ISNUMBER(FIND(CODES!$A$11,BC36))),CODES!$A$13,IF(OR(BC36&lt;BC$63,ISNUMBER(BC36)=FALSE),BC$64,BC36))))</f>
      </c>
      <c r="BD88" s="9" t="str">
        <f>IF(ISBLANK(BD36),"NO DATA",IF(ISNUMBER(FIND(CODES!$A$12,BD36)),CODES!$A$12,IF(OR(ISNUMBER(FIND(CODES!$A$10,BD36)),ISNUMBER(FIND(CODES!$A$11,BD36))),CODES!$A$13,IF(OR(BD36&lt;BD$63,ISNUMBER(BD36)=FALSE),BD$64,BD36))))</f>
      </c>
      <c r="BE88" s="9" t="str">
        <f>IF(ISBLANK(BE36),"NO DATA",IF(ISNUMBER(FIND(CODES!$A$12,BE36)),CODES!$A$12,IF(OR(ISNUMBER(FIND(CODES!$A$10,BE36)),ISNUMBER(FIND(CODES!$A$11,BE36))),CODES!$A$13,IF(OR(BE36&lt;BE$63,ISNUMBER(BE36)=FALSE),BE$64,BE36))))</f>
      </c>
      <c r="BF88" s="9" t="str">
        <f>IF(ISBLANK(BF36),"NO DATA",IF(ISNUMBER(FIND(CODES!$A$12,BF36)),CODES!$A$12,IF(OR(ISNUMBER(FIND(CODES!$A$10,BF36)),ISNUMBER(FIND(CODES!$A$11,BF36))),CODES!$A$13,IF(OR(BF36&lt;BF$63,ISNUMBER(BF36)=FALSE),BF$64,BF36))))</f>
      </c>
      <c r="BG88" s="9" t="str">
        <f>IF(ISBLANK(BG36),"NO DATA",IF(ISNUMBER(FIND(CODES!$A$12,BG36)),CODES!$A$12,IF(OR(ISNUMBER(FIND(CODES!$A$10,BG36)),ISNUMBER(FIND(CODES!$A$11,BG36))),CODES!$A$13,IF(OR(BG36&lt;BG$63,ISNUMBER(BG36)=FALSE),BG$64,BG36))))</f>
      </c>
      <c r="BH88" s="9" t="str">
        <f>IF(ISBLANK(BH36),"NO DATA",IF(ISNUMBER(FIND(CODES!$A$12,BH36)),CODES!$A$12,IF(OR(ISNUMBER(FIND(CODES!$A$10,BH36)),ISNUMBER(FIND(CODES!$A$11,BH36))),CODES!$A$13,IF(OR(BH36&lt;BH$63,ISNUMBER(BH36)=FALSE),BH$64,BH36))))</f>
      </c>
      <c r="BI88" s="9" t="str">
        <f>IF(ISBLANK(BI36),"NO DATA",IF(ISNUMBER(FIND(CODES!$A$12,BI36)),CODES!$A$12,IF(OR(ISNUMBER(FIND(CODES!$A$10,BI36)),ISNUMBER(FIND(CODES!$A$11,BI36))),CODES!$A$13,IF(OR(BI36&lt;BI$63,ISNUMBER(BI36)=FALSE),BI$64,BI36))))</f>
      </c>
      <c r="BJ88" s="9" t="str">
        <f>IF(ISBLANK(BJ36),"NO DATA",IF(ISNUMBER(FIND(CODES!$A$12,BJ36)),CODES!$A$12,IF(OR(ISNUMBER(FIND(CODES!$A$10,BJ36)),ISNUMBER(FIND(CODES!$A$11,BJ36))),CODES!$A$13,IF(OR(BJ36&lt;BJ$63,ISNUMBER(BJ36)=FALSE),BJ$64,BJ36))))</f>
      </c>
      <c r="BK88" s="9" t="str">
        <f>IF(ISBLANK(BK36),"NO DATA",IF(ISNUMBER(FIND(CODES!$A$12,BK36)),CODES!$A$12,IF(OR(ISNUMBER(FIND(CODES!$A$10,BK36)),ISNUMBER(FIND(CODES!$A$11,BK36))),CODES!$A$13,IF(OR(BK36&lt;BK$63,ISNUMBER(BK36)=FALSE),BK$64,BK36))))</f>
      </c>
      <c r="BL88" s="9" t="str">
        <f>IF(ISBLANK(BL36),"NO DATA",IF(ISNUMBER(FIND(CODES!$A$12,BL36)),CODES!$A$12,IF(OR(ISNUMBER(FIND(CODES!$A$10,BL36)),ISNUMBER(FIND(CODES!$A$11,BL36))),CODES!$A$13,IF(OR(BL36&lt;BL$63,ISNUMBER(BL36)=FALSE),BL$64,BL36))))</f>
      </c>
      <c r="BM88" s="9" t="str">
        <f>IF(ISBLANK(BM36),"NO DATA",IF(ISNUMBER(FIND(CODES!$A$12,BM36)),CODES!$A$12,IF(OR(ISNUMBER(FIND(CODES!$A$10,BM36)),ISNUMBER(FIND(CODES!$A$11,BM36))),CODES!$A$13,IF(OR(BM36&lt;BM$63,ISNUMBER(BM36)=FALSE),BM$64,BM36))))</f>
      </c>
      <c r="BN88" s="9" t="str">
        <f>IF(ISBLANK(BN36),"NO DATA",IF(ISNUMBER(FIND(CODES!$A$12,BN36)),CODES!$A$12,IF(OR(ISNUMBER(FIND(CODES!$A$10,BN36)),ISNUMBER(FIND(CODES!$A$11,BN36))),CODES!$A$13,IF(OR(BN36&lt;BN$63,ISNUMBER(BN36)=FALSE),BN$64,BN36))))</f>
      </c>
      <c r="BO88" s="9" t="str">
        <f>IF(ISBLANK(BO36),"NO DATA",IF(ISNUMBER(FIND(CODES!$A$12,BO36)),CODES!$A$12,IF(OR(ISNUMBER(FIND(CODES!$A$10,BO36)),ISNUMBER(FIND(CODES!$A$11,BO36))),CODES!$A$13,IF(OR(BO36&lt;BO$63,ISNUMBER(BO36)=FALSE),BO$64,BO36))))</f>
      </c>
      <c r="BP88" s="9" t="str">
        <f>IF(ISBLANK(BP36),"NO DATA",IF(ISNUMBER(FIND(CODES!$A$12,BP36)),CODES!$A$12,IF(OR(ISNUMBER(FIND(CODES!$A$10,BP36)),ISNUMBER(FIND(CODES!$A$11,BP36))),CODES!$A$13,IF(OR(BP36&lt;BP$63,ISNUMBER(BP36)=FALSE),BP$64,BP36))))</f>
      </c>
      <c r="BQ88" s="9" t="str">
        <f>IF(ISBLANK(BQ36),"NO DATA",IF(ISNUMBER(FIND(CODES!$A$12,BQ36)),CODES!$A$12,IF(OR(ISNUMBER(FIND(CODES!$A$10,BQ36)),ISNUMBER(FIND(CODES!$A$11,BQ36))),CODES!$A$13,IF(OR(BQ36&lt;BQ$63,ISNUMBER(BQ36)=FALSE),BQ$64,BQ36))))</f>
      </c>
      <c r="BR88" s="9" t="str">
        <f>IF(ISBLANK(BR36),"NO DATA",IF(ISNUMBER(FIND(CODES!$A$12,BR36)),CODES!$A$12,IF(OR(ISNUMBER(FIND(CODES!$A$10,BR36)),ISNUMBER(FIND(CODES!$A$11,BR36))),CODES!$A$13,IF(OR(BR36&lt;BR$63,ISNUMBER(BR36)=FALSE),BR$64,BR36))))</f>
      </c>
      <c r="BS88" s="9" t="str">
        <f>IF(ISBLANK(BS36),"NO DATA",IF(ISNUMBER(FIND(CODES!$A$12,BS36)),CODES!$A$12,IF(OR(ISNUMBER(FIND(CODES!$A$10,BS36)),ISNUMBER(FIND(CODES!$A$11,BS36))),CODES!$A$13,IF(OR(BS36&lt;BS$63,ISNUMBER(BS36)=FALSE),BS$64,BS36))))</f>
      </c>
      <c r="BT88" s="9" t="str">
        <f>IF(ISBLANK(BT36),"NO DATA",IF(ISNUMBER(FIND(CODES!$A$12,BT36)),CODES!$A$12,IF(OR(ISNUMBER(FIND(CODES!$A$10,BT36)),ISNUMBER(FIND(CODES!$A$11,BT36))),CODES!$A$13,IF(OR(BT36&lt;BT$63,ISNUMBER(BT36)=FALSE),BT$64,BT36))))</f>
      </c>
      <c r="BU88" s="9" t="str">
        <f>IF(ISBLANK(BU36),"NO DATA",IF(ISNUMBER(FIND(CODES!$A$12,BU36)),CODES!$A$12,IF(OR(ISNUMBER(FIND(CODES!$A$10,BU36)),ISNUMBER(FIND(CODES!$A$11,BU36))),CODES!$A$13,IF(OR(BU36&lt;BU$63,ISNUMBER(BU36)=FALSE),BU$64,BU36))))</f>
      </c>
      <c r="BV88" s="9" t="str">
        <f>IF(ISBLANK(BV36),"NO DATA",IF(ISNUMBER(FIND(CODES!$A$12,BV36)),CODES!$A$12,IF(OR(ISNUMBER(FIND(CODES!$A$10,BV36)),ISNUMBER(FIND(CODES!$A$11,BV36))),CODES!$A$13,IF(OR(BV36&lt;BV$63,ISNUMBER(BV36)=FALSE),BV$64,BV36))))</f>
      </c>
      <c r="BW88" s="9" t="str">
        <f>IF(ISBLANK(BW36),"NO DATA",IF(ISNUMBER(FIND(CODES!$A$12,BW36)),CODES!$A$12,IF(OR(ISNUMBER(FIND(CODES!$A$10,BW36)),ISNUMBER(FIND(CODES!$A$11,BW36))),CODES!$A$13,IF(OR(BW36&lt;BW$63,ISNUMBER(BW36)=FALSE),BW$64,BW36))))</f>
      </c>
      <c r="BX88" s="9" t="str">
        <f>IF(ISBLANK(BX36),"NO DATA",IF(ISNUMBER(FIND(CODES!$A$12,BX36)),CODES!$A$12,IF(OR(ISNUMBER(FIND(CODES!$A$10,BX36)),ISNUMBER(FIND(CODES!$A$11,BX36))),CODES!$A$13,IF(OR(BX36&lt;BX$63,ISNUMBER(BX36)=FALSE),BX$64,BX36))))</f>
      </c>
      <c r="BY88" s="9" t="str">
        <f>IF(ISBLANK(BY36),"NO DATA",IF(ISNUMBER(FIND(CODES!$A$12,BY36)),CODES!$A$12,IF(OR(ISNUMBER(FIND(CODES!$A$10,BY36)),ISNUMBER(FIND(CODES!$A$11,BY36))),CODES!$A$13,IF(OR(BY36&lt;BY$63,ISNUMBER(BY36)=FALSE),BY$64,BY36))))</f>
      </c>
      <c r="BZ88" s="9" t="str">
        <f>IF(ISBLANK(BZ36),"NO DATA",IF(ISNUMBER(FIND(CODES!$A$12,BZ36)),CODES!$A$12,IF(OR(ISNUMBER(FIND(CODES!$A$10,BZ36)),ISNUMBER(FIND(CODES!$A$11,BZ36))),CODES!$A$13,IF(OR(BZ36&lt;BZ$63,ISNUMBER(BZ36)=FALSE),BZ$64,BZ36))))</f>
      </c>
      <c r="CA88" s="9" t="str">
        <f>IF(ISBLANK(CA36),"NO DATA",IF(ISNUMBER(FIND(CODES!$A$12,CA36)),CODES!$A$12,IF(OR(ISNUMBER(FIND(CODES!$A$10,CA36)),ISNUMBER(FIND(CODES!$A$11,CA36))),CODES!$A$13,IF(OR(CA36&lt;CA$63,ISNUMBER(CA36)=FALSE),CA$64,CA36))))</f>
      </c>
      <c r="CB88" s="9" t="str">
        <f>IF(ISBLANK(CB36),"NO DATA",IF(ISNUMBER(FIND(CODES!$A$12,CB36)),CODES!$A$12,IF(OR(ISNUMBER(FIND(CODES!$A$10,CB36)),ISNUMBER(FIND(CODES!$A$11,CB36))),CODES!$A$13,IF(OR(CB36&lt;CB$63,ISNUMBER(CB36)=FALSE),CB$64,CB36))))</f>
      </c>
      <c r="CC88" s="9" t="str">
        <f>IF(ISBLANK(CC36),"NO DATA",IF(ISNUMBER(FIND(CODES!$A$12,CC36)),CODES!$A$12,IF(OR(ISNUMBER(FIND(CODES!$A$10,CC36)),ISNUMBER(FIND(CODES!$A$11,CC36))),CODES!$A$13,IF(OR(CC36&lt;CC$63,ISNUMBER(CC36)=FALSE),CC$64,CC36))))</f>
      </c>
      <c r="CD88" s="9" t="str">
        <f>IF(ISBLANK(CD36),"NO DATA",IF(ISNUMBER(FIND(CODES!$A$12,CD36)),CODES!$A$12,IF(OR(ISNUMBER(FIND(CODES!$A$10,CD36)),ISNUMBER(FIND(CODES!$A$11,CD36))),CODES!$A$13,IF(OR(CD36&lt;CD$63,ISNUMBER(CD36)=FALSE),CD$64,CD36))))</f>
      </c>
      <c r="CE88" s="9" t="str">
        <f>IF(ISBLANK(CE36),"NO DATA",IF(ISNUMBER(FIND(CODES!$A$12,CE36)),CODES!$A$12,IF(OR(ISNUMBER(FIND(CODES!$A$10,CE36)),ISNUMBER(FIND(CODES!$A$11,CE36))),CODES!$A$13,IF(OR(CE36&lt;CE$63,ISNUMBER(CE36)=FALSE),CE$64,CE36))))</f>
      </c>
      <c r="CF88" s="9" t="str">
        <f>IF(ISBLANK(CF36),"NO DATA",IF(ISNUMBER(FIND(CODES!$A$12,CF36)),CODES!$A$12,IF(OR(ISNUMBER(FIND(CODES!$A$10,CF36)),ISNUMBER(FIND(CODES!$A$11,CF36))),CODES!$A$13,IF(OR(CF36&lt;CF$63,ISNUMBER(CF36)=FALSE),CF$64,CF36))))</f>
      </c>
      <c r="CG88" s="9" t="str">
        <f>IF(ISBLANK(CG36),"NO DATA",IF(ISNUMBER(FIND(CODES!$A$12,CG36)),CODES!$A$12,IF(OR(ISNUMBER(FIND(CODES!$A$10,CG36)),ISNUMBER(FIND(CODES!$A$11,CG36))),CODES!$A$13,IF(OR(CG36&lt;CG$63,ISNUMBER(CG36)=FALSE),CG$64,CG36))))</f>
      </c>
      <c r="CH88" s="9" t="str">
        <f>IF(ISBLANK(CH36),"NO DATA",IF(ISNUMBER(FIND(CODES!$A$12,CH36)),CODES!$A$12,IF(OR(ISNUMBER(FIND(CODES!$A$10,CH36)),ISNUMBER(FIND(CODES!$A$11,CH36))),CODES!$A$13,IF(OR(CH36&lt;CH$63,ISNUMBER(CH36)=FALSE),CH$64,CH36))))</f>
      </c>
      <c r="CI88" s="9" t="str">
        <f>IF(ISBLANK(CI36),"NO DATA",IF(ISNUMBER(FIND(CODES!$A$12,CI36)),CODES!$A$12,IF(OR(ISNUMBER(FIND(CODES!$A$10,CI36)),ISNUMBER(FIND(CODES!$A$11,CI36))),CODES!$A$13,IF(OR(CI36&lt;CI$63,ISNUMBER(CI36)=FALSE),CI$64,CI36))))</f>
      </c>
      <c r="CJ88" s="9" t="str">
        <f>IF(ISBLANK(CJ36),"NO DATA",IF(ISNUMBER(FIND(CODES!$A$12,CJ36)),CODES!$A$12,IF(OR(ISNUMBER(FIND(CODES!$A$10,CJ36)),ISNUMBER(FIND(CODES!$A$11,CJ36))),CODES!$A$13,IF(OR(CJ36&lt;CJ$63,ISNUMBER(CJ36)=FALSE),CJ$64,CJ36))))</f>
      </c>
      <c r="CK88" s="9" t="str">
        <f>IF(ISBLANK(CK36),"NO DATA",IF(ISNUMBER(FIND(CODES!$A$12,CK36)),CODES!$A$12,IF(OR(ISNUMBER(FIND(CODES!$A$10,CK36)),ISNUMBER(FIND(CODES!$A$11,CK36))),CODES!$A$13,IF(OR(CK36&lt;CK$63,ISNUMBER(CK36)=FALSE),CK$64,CK36))))</f>
      </c>
      <c r="CL88" s="9" t="str">
        <f>IF(ISBLANK(CL36),"NO DATA",IF(ISNUMBER(FIND(CODES!$A$12,CL36)),CODES!$A$12,IF(OR(ISNUMBER(FIND(CODES!$A$10,CL36)),ISNUMBER(FIND(CODES!$A$11,CL36))),CODES!$A$13,IF(OR(CL36&lt;CL$63,ISNUMBER(CL36)=FALSE),CL$64,CL36))))</f>
      </c>
      <c r="CM88" s="9" t="str">
        <f>IF(ISBLANK(CM36),"NO DATA",IF(ISNUMBER(FIND(CODES!$A$12,CM36)),CODES!$A$12,IF(OR(ISNUMBER(FIND(CODES!$A$10,CM36)),ISNUMBER(FIND(CODES!$A$11,CM36))),CODES!$A$13,IF(OR(CM36&lt;CM$63,ISNUMBER(CM36)=FALSE),CM$64,CM36))))</f>
      </c>
      <c r="CN88" s="9" t="str">
        <f>IF(ISBLANK(CN36),"NO DATA",IF(ISNUMBER(FIND(CODES!$A$12,CN36)),CODES!$A$12,IF(OR(ISNUMBER(FIND(CODES!$A$10,CN36)),ISNUMBER(FIND(CODES!$A$11,CN36))),CODES!$A$13,IF(OR(CN36&lt;CN$63,ISNUMBER(CN36)=FALSE),CN$64,CN36))))</f>
      </c>
      <c r="CO88" s="9" t="str">
        <f>IF(ISBLANK(CO36),"NO DATA",IF(ISNUMBER(FIND(CODES!$A$12,CO36)),CODES!$A$12,IF(OR(ISNUMBER(FIND(CODES!$A$10,CO36)),ISNUMBER(FIND(CODES!$A$11,CO36))),CODES!$A$13,IF(OR(CO36&lt;CO$63,ISNUMBER(CO36)=FALSE),CO$64,CO36))))</f>
      </c>
      <c r="CP88" s="9" t="str">
        <f>IF(ISBLANK(CP36),"NO DATA",IF(ISNUMBER(FIND(CODES!$A$12,CP36)),CODES!$A$12,IF(OR(ISNUMBER(FIND(CODES!$A$10,CP36)),ISNUMBER(FIND(CODES!$A$11,CP36))),CODES!$A$13,IF(OR(CP36&lt;CP$63,ISNUMBER(CP36)=FALSE),CP$64,CP36))))</f>
      </c>
      <c r="CQ88" s="9" t="str">
        <f>IF(ISBLANK(CQ36),"NO DATA",IF(ISNUMBER(FIND(CODES!$A$12,CQ36)),CODES!$A$12,IF(OR(ISNUMBER(FIND(CODES!$A$10,CQ36)),ISNUMBER(FIND(CODES!$A$11,CQ36))),CODES!$A$13,IF(OR(CQ36&lt;CQ$63,ISNUMBER(CQ36)=FALSE),CQ$64,CQ36))))</f>
      </c>
      <c r="CR88" s="9" t="str">
        <f>IF(ISBLANK(CR36),"NO DATA",IF(ISNUMBER(FIND(CODES!$A$12,CR36)),CODES!$A$12,IF(OR(ISNUMBER(FIND(CODES!$A$10,CR36)),ISNUMBER(FIND(CODES!$A$11,CR36))),CODES!$A$13,IF(OR(CR36&lt;CR$63,ISNUMBER(CR36)=FALSE),CR$64,CR36))))</f>
      </c>
      <c r="CS88" s="9" t="str">
        <f>IF(ISBLANK(CS36),"NO DATA",IF(ISNUMBER(FIND(CODES!$A$12,CS36)),CODES!$A$12,IF(OR(ISNUMBER(FIND(CODES!$A$10,CS36)),ISNUMBER(FIND(CODES!$A$11,CS36))),CODES!$A$13,IF(OR(CS36&lt;CS$63,ISNUMBER(CS36)=FALSE),CS$64,CS36))))</f>
      </c>
      <c r="CT88" s="9" t="str">
        <f>IF(ISBLANK(CT36),"NO DATA",IF(ISNUMBER(FIND(CODES!$A$12,CT36)),CODES!$A$12,IF(OR(ISNUMBER(FIND(CODES!$A$10,CT36)),ISNUMBER(FIND(CODES!$A$11,CT36))),CODES!$A$13,IF(OR(CT36&lt;CT$63,ISNUMBER(CT36)=FALSE),CT$64,CT36))))</f>
      </c>
      <c r="CU88" s="9" t="str">
        <f>IF(ISBLANK(CU36),"NO DATA",IF(ISNUMBER(FIND(CODES!$A$12,CU36)),CODES!$A$12,IF(OR(ISNUMBER(FIND(CODES!$A$10,CU36)),ISNUMBER(FIND(CODES!$A$11,CU36))),CODES!$A$13,IF(OR(CU36&lt;CU$63,ISNUMBER(CU36)=FALSE),CU$64,CU36))))</f>
      </c>
      <c r="CV88" s="9" t="str">
        <f>IF(ISBLANK(CV36),"NO DATA",IF(ISNUMBER(FIND(CODES!$A$12,CV36)),CODES!$A$12,IF(OR(ISNUMBER(FIND(CODES!$A$10,CV36)),ISNUMBER(FIND(CODES!$A$11,CV36))),CODES!$A$13,IF(OR(CV36&lt;CV$63,ISNUMBER(CV36)=FALSE),CV$64,CV36))))</f>
      </c>
      <c r="CW88" s="9" t="str">
        <f>IF(ISBLANK(CW36),"NO DATA",IF(ISNUMBER(FIND(CODES!$A$12,CW36)),CODES!$A$12,IF(OR(ISNUMBER(FIND(CODES!$A$10,CW36)),ISNUMBER(FIND(CODES!$A$11,CW36))),CODES!$A$13,IF(OR(CW36&lt;CW$63,ISNUMBER(CW36)=FALSE),CW$64,CW36))))</f>
      </c>
      <c r="CX88" s="9" t="str">
        <f>IF(ISBLANK(CX36),"NO DATA",IF(ISNUMBER(FIND(CODES!$A$12,CX36)),CODES!$A$12,IF(OR(ISNUMBER(FIND(CODES!$A$10,CX36)),ISNUMBER(FIND(CODES!$A$11,CX36))),CODES!$A$13,IF(OR(CX36&lt;CX$63,ISNUMBER(CX36)=FALSE),CX$64,CX36))))</f>
      </c>
      <c r="CY88" s="9" t="str">
        <f>IF(ISBLANK(CY36),"NO DATA",IF(ISNUMBER(FIND(CODES!$A$12,CY36)),CODES!$A$12,IF(OR(ISNUMBER(FIND(CODES!$A$10,CY36)),ISNUMBER(FIND(CODES!$A$11,CY36))),CODES!$A$13,IF(OR(CY36&lt;CY$63,ISNUMBER(CY36)=FALSE),CY$64,CY36))))</f>
      </c>
      <c r="CZ88" s="9" t="str">
        <f>IF(ISBLANK(CZ36),"NO DATA",IF(ISNUMBER(FIND(CODES!$A$12,CZ36)),CODES!$A$12,IF(OR(ISNUMBER(FIND(CODES!$A$10,CZ36)),ISNUMBER(FIND(CODES!$A$11,CZ36))),CODES!$A$13,IF(OR(CZ36&lt;CZ$63,ISNUMBER(CZ36)=FALSE),CZ$64,CZ36))))</f>
      </c>
      <c r="DA88" s="9" t="str">
        <f>IF(ISBLANK(DA36),"NO DATA",IF(ISNUMBER(FIND(CODES!$A$12,DA36)),CODES!$A$12,IF(OR(ISNUMBER(FIND(CODES!$A$10,DA36)),ISNUMBER(FIND(CODES!$A$11,DA36))),CODES!$A$13,IF(OR(DA36&lt;DA$63,ISNUMBER(DA36)=FALSE),DA$64,DA36))))</f>
      </c>
      <c r="DB88" s="9" t="str">
        <f>IF(ISBLANK(DB36),"NO DATA",IF(ISNUMBER(FIND(CODES!$A$12,DB36)),CODES!$A$12,IF(OR(ISNUMBER(FIND(CODES!$A$10,DB36)),ISNUMBER(FIND(CODES!$A$11,DB36))),CODES!$A$13,IF(OR(DB36&lt;DB$63,ISNUMBER(DB36)=FALSE),DB$64,DB36))))</f>
      </c>
      <c r="DC88" s="9" t="str">
        <f>IF(ISBLANK(DC36),"NO DATA",IF(ISNUMBER(FIND(CODES!$A$12,DC36)),CODES!$A$12,IF(OR(ISNUMBER(FIND(CODES!$A$10,DC36)),ISNUMBER(FIND(CODES!$A$11,DC36))),CODES!$A$13,IF(OR(DC36&lt;DC$63,ISNUMBER(DC36)=FALSE),DC$64,DC36))))</f>
      </c>
      <c r="DD88" s="9" t="str">
        <f>IF(ISBLANK(DD36),"NO DATA",IF(ISNUMBER(FIND(CODES!$A$12,DD36)),CODES!$A$12,IF(OR(ISNUMBER(FIND(CODES!$A$10,DD36)),ISNUMBER(FIND(CODES!$A$11,DD36))),CODES!$A$13,IF(OR(DD36&lt;DD$63,ISNUMBER(DD36)=FALSE),DD$64,DD36))))</f>
      </c>
      <c r="DE88" s="9" t="str">
        <f>IF(ISBLANK(DE36),"NO DATA",IF(ISNUMBER(FIND(CODES!$A$12,DE36)),CODES!$A$12,IF(OR(ISNUMBER(FIND(CODES!$A$10,DE36)),ISNUMBER(FIND(CODES!$A$11,DE36))),CODES!$A$13,IF(OR(DE36&lt;DE$63,ISNUMBER(DE36)=FALSE),DE$64,DE36))))</f>
      </c>
      <c r="DF88" s="9" t="str">
        <f>IF(ISBLANK(DF36),"NO DATA",IF(ISNUMBER(FIND(CODES!$A$12,DF36)),CODES!$A$12,IF(OR(ISNUMBER(FIND(CODES!$A$10,DF36)),ISNUMBER(FIND(CODES!$A$11,DF36))),CODES!$A$13,IF(OR(DF36&lt;DF$63,ISNUMBER(DF36)=FALSE),DF$64,DF36))))</f>
      </c>
      <c r="DG88" s="9" t="str">
        <f>IF(ISBLANK(DG36),"NO DATA",IF(ISNUMBER(FIND(CODES!$A$12,DG36)),CODES!$A$12,IF(OR(ISNUMBER(FIND(CODES!$A$10,DG36)),ISNUMBER(FIND(CODES!$A$11,DG36))),CODES!$A$13,IF(OR(DG36&lt;DG$63,ISNUMBER(DG36)=FALSE),DG$64,DG36))))</f>
      </c>
      <c r="DH88" s="9" t="str">
        <f>IF(ISBLANK(DH36),"NO DATA",IF(ISNUMBER(FIND(CODES!$A$12,DH36)),CODES!$A$12,IF(OR(ISNUMBER(FIND(CODES!$A$10,DH36)),ISNUMBER(FIND(CODES!$A$11,DH36))),CODES!$A$13,IF(OR(DH36&lt;DH$63,ISNUMBER(DH36)=FALSE),DH$64,DH36))))</f>
      </c>
      <c r="DI88" s="9" t="str">
        <f>IF(ISBLANK(DI36),"NO DATA",IF(ISNUMBER(FIND(CODES!$A$12,DI36)),CODES!$A$12,IF(OR(ISNUMBER(FIND(CODES!$A$10,DI36)),ISNUMBER(FIND(CODES!$A$11,DI36))),CODES!$A$13,IF(OR(DI36&lt;DI$63,ISNUMBER(DI36)=FALSE),DI$64,DI36))))</f>
      </c>
    </row>
    <row r="89" spans="1:113" x14ac:dyDescent="0.25">
      <c r="A89" s="20" t="str">
        <f t="shared" si="4"/>
      </c>
      <c r="B89" s="20">
        <f t="shared" si="4"/>
      </c>
      <c r="C89" s="9" t="str">
        <f>IF(ISBLANK(C37),"NO DATA",IF(ISNUMBER(FIND(CODES!$A$12,C37)),CODES!$A$12,IF(OR(ISNUMBER(FIND(CODES!$A$10,C37)),ISNUMBER(FIND(CODES!$A$11,C37))),CODES!$A$13,IF(OR(C37&lt;C$63,ISNUMBER(C37)=FALSE),C$64,C37))))</f>
      </c>
      <c r="D89" s="9" t="str">
        <f>IF(ISBLANK(D37),"NO DATA",IF(ISNUMBER(FIND(CODES!$A$12,D37)),CODES!$A$12,IF(OR(ISNUMBER(FIND(CODES!$A$10,D37)),ISNUMBER(FIND(CODES!$A$11,D37))),CODES!$A$13,IF(OR(D37&lt;D$63,ISNUMBER(D37)=FALSE),D$64,D37))))</f>
      </c>
      <c r="E89" s="9" t="str">
        <f>IF(ISBLANK(E37),"NO DATA",IF(ISNUMBER(FIND(CODES!$A$12,E37)),CODES!$A$12,IF(OR(ISNUMBER(FIND(CODES!$A$10,E37)),ISNUMBER(FIND(CODES!$A$11,E37))),CODES!$A$13,IF(OR(E37&lt;E$63,ISNUMBER(E37)=FALSE),E$64,E37))))</f>
      </c>
      <c r="F89" s="9" t="str">
        <f>IF(ISBLANK(F37),"NO DATA",IF(ISNUMBER(FIND(CODES!$A$12,F37)),CODES!$A$12,IF(OR(ISNUMBER(FIND(CODES!$A$10,F37)),ISNUMBER(FIND(CODES!$A$11,F37))),CODES!$A$13,IF(OR(F37&lt;F$63,ISNUMBER(F37)=FALSE),F$64,F37))))</f>
      </c>
      <c r="G89" s="9" t="str">
        <f>IF(ISBLANK(G37),"NO DATA",IF(ISNUMBER(FIND(CODES!$A$12,G37)),CODES!$A$12,IF(OR(ISNUMBER(FIND(CODES!$A$10,G37)),ISNUMBER(FIND(CODES!$A$11,G37))),CODES!$A$13,IF(OR(G37&lt;G$63,ISNUMBER(G37)=FALSE),G$64,G37))))</f>
      </c>
      <c r="H89" s="9" t="str">
        <f>IF(ISBLANK(H37),"NO DATA",IF(ISNUMBER(FIND(CODES!$A$12,H37)),CODES!$A$12,IF(OR(ISNUMBER(FIND(CODES!$A$10,H37)),ISNUMBER(FIND(CODES!$A$11,H37))),CODES!$A$13,IF(OR(H37&lt;H$63,ISNUMBER(H37)=FALSE),H$64,H37))))</f>
      </c>
      <c r="I89" s="9" t="str">
        <f>IF(ISBLANK(I37),"NO DATA",IF(ISNUMBER(FIND(CODES!$A$12,I37)),CODES!$A$12,IF(OR(ISNUMBER(FIND(CODES!$A$10,I37)),ISNUMBER(FIND(CODES!$A$11,I37))),CODES!$A$13,IF(OR(I37&lt;I$63,ISNUMBER(I37)=FALSE),I$64,I37))))</f>
      </c>
      <c r="J89" s="9" t="str">
        <f>IF(ISBLANK(J37),"NO DATA",IF(ISNUMBER(FIND(CODES!$A$12,J37)),CODES!$A$12,IF(OR(ISNUMBER(FIND(CODES!$A$10,J37)),ISNUMBER(FIND(CODES!$A$11,J37))),CODES!$A$13,IF(OR(J37&lt;J$63,ISNUMBER(J37)=FALSE),J$64,J37))))</f>
      </c>
      <c r="K89" s="9" t="str">
        <f>IF(ISBLANK(K37),"NO DATA",IF(ISNUMBER(FIND(CODES!$A$12,K37)),CODES!$A$12,IF(OR(ISNUMBER(FIND(CODES!$A$10,K37)),ISNUMBER(FIND(CODES!$A$11,K37))),CODES!$A$13,IF(OR(K37&lt;K$63,ISNUMBER(K37)=FALSE),K$64,K37))))</f>
      </c>
      <c r="L89" s="9" t="str">
        <f>IF(ISBLANK(L37),"NO DATA",IF(ISNUMBER(FIND(CODES!$A$12,L37)),CODES!$A$12,IF(OR(ISNUMBER(FIND(CODES!$A$10,L37)),ISNUMBER(FIND(CODES!$A$11,L37))),CODES!$A$13,IF(OR(L37&lt;L$63,ISNUMBER(L37)=FALSE),L$64,L37))))</f>
      </c>
      <c r="M89" s="9" t="str">
        <f>IF(ISBLANK(M37),"NO DATA",IF(ISNUMBER(FIND(CODES!$A$12,M37)),CODES!$A$12,IF(OR(ISNUMBER(FIND(CODES!$A$10,M37)),ISNUMBER(FIND(CODES!$A$11,M37))),CODES!$A$13,IF(OR(M37&lt;M$63,ISNUMBER(M37)=FALSE),M$64,M37))))</f>
      </c>
      <c r="N89" s="9" t="str">
        <f>IF(ISBLANK(N37),"NO DATA",IF(ISNUMBER(FIND(CODES!$A$12,N37)),CODES!$A$12,IF(OR(ISNUMBER(FIND(CODES!$A$10,N37)),ISNUMBER(FIND(CODES!$A$11,N37))),CODES!$A$13,IF(OR(N37&lt;N$63,ISNUMBER(N37)=FALSE),N$64,N37))))</f>
      </c>
      <c r="O89" s="9" t="str">
        <f>IF(ISBLANK(O37),"NO DATA",IF(ISNUMBER(FIND(CODES!$A$12,O37)),CODES!$A$12,IF(OR(ISNUMBER(FIND(CODES!$A$10,O37)),ISNUMBER(FIND(CODES!$A$11,O37))),CODES!$A$13,IF(OR(O37&lt;O$63,ISNUMBER(O37)=FALSE),O$64,O37))))</f>
      </c>
      <c r="P89" s="9" t="str">
        <f>IF(ISBLANK(P37),"NO DATA",IF(ISNUMBER(FIND(CODES!$A$12,P37)),CODES!$A$12,IF(OR(ISNUMBER(FIND(CODES!$A$10,P37)),ISNUMBER(FIND(CODES!$A$11,P37))),CODES!$A$13,IF(OR(P37&lt;P$63,ISNUMBER(P37)=FALSE),P$64,P37))))</f>
      </c>
      <c r="Q89" s="9" t="str">
        <f>IF(ISBLANK(Q37),"NO DATA",IF(ISNUMBER(FIND(CODES!$A$12,Q37)),CODES!$A$12,IF(OR(ISNUMBER(FIND(CODES!$A$10,Q37)),ISNUMBER(FIND(CODES!$A$11,Q37))),CODES!$A$13,IF(OR(Q37&lt;Q$63,ISNUMBER(Q37)=FALSE),Q$64,Q37))))</f>
      </c>
      <c r="R89" s="9" t="str">
        <f>IF(ISBLANK(R37),"NO DATA",IF(ISNUMBER(FIND(CODES!$A$12,R37)),CODES!$A$12,IF(OR(ISNUMBER(FIND(CODES!$A$10,R37)),ISNUMBER(FIND(CODES!$A$11,R37))),CODES!$A$13,IF(OR(R37&lt;R$63,ISNUMBER(R37)=FALSE),R$64,R37))))</f>
      </c>
      <c r="S89" s="9" t="str">
        <f>IF(ISBLANK(S37),"NO DATA",IF(ISNUMBER(FIND(CODES!$A$12,S37)),CODES!$A$12,IF(OR(ISNUMBER(FIND(CODES!$A$10,S37)),ISNUMBER(FIND(CODES!$A$11,S37))),CODES!$A$13,IF(OR(S37&lt;S$63,ISNUMBER(S37)=FALSE),S$64,S37))))</f>
      </c>
      <c r="T89" s="9" t="str">
        <f>IF(ISBLANK(T37),"NO DATA",IF(ISNUMBER(FIND(CODES!$A$12,T37)),CODES!$A$12,IF(OR(ISNUMBER(FIND(CODES!$A$10,T37)),ISNUMBER(FIND(CODES!$A$11,T37))),CODES!$A$13,IF(OR(T37&lt;T$63,ISNUMBER(T37)=FALSE),T$64,T37))))</f>
      </c>
      <c r="U89" s="9" t="str">
        <f>IF(ISBLANK(U37),"NO DATA",IF(ISNUMBER(FIND(CODES!$A$12,U37)),CODES!$A$12,IF(OR(ISNUMBER(FIND(CODES!$A$10,U37)),ISNUMBER(FIND(CODES!$A$11,U37))),CODES!$A$13,IF(OR(U37&lt;U$63,ISNUMBER(U37)=FALSE),U$64,U37))))</f>
      </c>
      <c r="V89" s="9" t="str">
        <f>IF(ISBLANK(V37),"NO DATA",IF(ISNUMBER(FIND(CODES!$A$12,V37)),CODES!$A$12,IF(OR(ISNUMBER(FIND(CODES!$A$10,V37)),ISNUMBER(FIND(CODES!$A$11,V37))),CODES!$A$13,IF(OR(V37&lt;V$63,ISNUMBER(V37)=FALSE),V$64,V37))))</f>
      </c>
      <c r="W89" s="9" t="str">
        <f>IF(ISBLANK(W37),"NO DATA",IF(ISNUMBER(FIND(CODES!$A$12,W37)),CODES!$A$12,IF(OR(ISNUMBER(FIND(CODES!$A$10,W37)),ISNUMBER(FIND(CODES!$A$11,W37))),CODES!$A$13,IF(OR(W37&lt;W$63,ISNUMBER(W37)=FALSE),W$64,W37))))</f>
      </c>
      <c r="X89" s="9" t="str">
        <f>IF(ISBLANK(X37),"NO DATA",IF(ISNUMBER(FIND(CODES!$A$12,X37)),CODES!$A$12,IF(OR(ISNUMBER(FIND(CODES!$A$10,X37)),ISNUMBER(FIND(CODES!$A$11,X37))),CODES!$A$13,IF(OR(X37&lt;X$63,ISNUMBER(X37)=FALSE),X$64,X37))))</f>
      </c>
      <c r="Y89" s="9" t="str">
        <f>IF(ISBLANK(Y37),"NO DATA",IF(ISNUMBER(FIND(CODES!$A$12,Y37)),CODES!$A$12,IF(OR(ISNUMBER(FIND(CODES!$A$10,Y37)),ISNUMBER(FIND(CODES!$A$11,Y37))),CODES!$A$13,IF(OR(Y37&lt;Y$63,ISNUMBER(Y37)=FALSE),Y$64,Y37))))</f>
      </c>
      <c r="Z89" s="9" t="str">
        <f>IF(ISBLANK(Z37),"NO DATA",IF(ISNUMBER(FIND(CODES!$A$12,Z37)),CODES!$A$12,IF(OR(ISNUMBER(FIND(CODES!$A$10,Z37)),ISNUMBER(FIND(CODES!$A$11,Z37))),CODES!$A$13,IF(OR(Z37&lt;Z$63,ISNUMBER(Z37)=FALSE),Z$64,Z37))))</f>
      </c>
      <c r="AA89" s="9" t="str">
        <f>IF(ISBLANK(AA37),"NO DATA",IF(ISNUMBER(FIND(CODES!$A$12,AA37)),CODES!$A$12,IF(OR(ISNUMBER(FIND(CODES!$A$10,AA37)),ISNUMBER(FIND(CODES!$A$11,AA37))),CODES!$A$13,IF(OR(AA37&lt;AA$63,ISNUMBER(AA37)=FALSE),AA$64,AA37))))</f>
      </c>
      <c r="AB89" s="9" t="str">
        <f>IF(ISBLANK(AB37),"NO DATA",IF(ISNUMBER(FIND(CODES!$A$12,AB37)),CODES!$A$12,IF(OR(ISNUMBER(FIND(CODES!$A$10,AB37)),ISNUMBER(FIND(CODES!$A$11,AB37))),CODES!$A$13,IF(OR(AB37&lt;AB$63,ISNUMBER(AB37)=FALSE),AB$64,AB37))))</f>
      </c>
      <c r="AC89" s="9" t="str">
        <f>IF(ISBLANK(AC37),"NO DATA",IF(ISNUMBER(FIND(CODES!$A$12,AC37)),CODES!$A$12,IF(OR(ISNUMBER(FIND(CODES!$A$10,AC37)),ISNUMBER(FIND(CODES!$A$11,AC37))),CODES!$A$13,IF(OR(AC37&lt;AC$63,ISNUMBER(AC37)=FALSE),AC$64,AC37))))</f>
      </c>
      <c r="AD89" s="9" t="str">
        <f>IF(ISBLANK(AD37),"NO DATA",IF(ISNUMBER(FIND(CODES!$A$12,AD37)),CODES!$A$12,IF(OR(ISNUMBER(FIND(CODES!$A$10,AD37)),ISNUMBER(FIND(CODES!$A$11,AD37))),CODES!$A$13,IF(OR(AD37&lt;AD$63,ISNUMBER(AD37)=FALSE),AD$64,AD37))))</f>
      </c>
      <c r="AE89" s="9" t="str">
        <f>IF(ISBLANK(AE37),"NO DATA",IF(ISNUMBER(FIND(CODES!$A$12,AE37)),CODES!$A$12,IF(OR(ISNUMBER(FIND(CODES!$A$10,AE37)),ISNUMBER(FIND(CODES!$A$11,AE37))),CODES!$A$13,IF(OR(AE37&lt;AE$63,ISNUMBER(AE37)=FALSE),AE$64,AE37))))</f>
      </c>
      <c r="AF89" s="9" t="str">
        <f>IF(ISBLANK(AF37),"NO DATA",IF(ISNUMBER(FIND(CODES!$A$12,AF37)),CODES!$A$12,IF(OR(ISNUMBER(FIND(CODES!$A$10,AF37)),ISNUMBER(FIND(CODES!$A$11,AF37))),CODES!$A$13,IF(OR(AF37&lt;AF$63,ISNUMBER(AF37)=FALSE),AF$64,AF37))))</f>
      </c>
      <c r="AG89" s="9" t="str">
        <f>IF(ISBLANK(AG37),"NO DATA",IF(ISNUMBER(FIND(CODES!$A$12,AG37)),CODES!$A$12,IF(OR(ISNUMBER(FIND(CODES!$A$10,AG37)),ISNUMBER(FIND(CODES!$A$11,AG37))),CODES!$A$13,IF(OR(AG37&lt;AG$63,ISNUMBER(AG37)=FALSE),AG$64,AG37))))</f>
      </c>
      <c r="AH89" s="9" t="str">
        <f>IF(ISBLANK(AH37),"NO DATA",IF(ISNUMBER(FIND(CODES!$A$12,AH37)),CODES!$A$12,IF(OR(ISNUMBER(FIND(CODES!$A$10,AH37)),ISNUMBER(FIND(CODES!$A$11,AH37))),CODES!$A$13,IF(OR(AH37&lt;AH$63,ISNUMBER(AH37)=FALSE),AH$64,AH37))))</f>
      </c>
      <c r="AI89" s="9" t="str">
        <f>IF(ISBLANK(AI37),"NO DATA",IF(ISNUMBER(FIND(CODES!$A$12,AI37)),CODES!$A$12,IF(OR(ISNUMBER(FIND(CODES!$A$10,AI37)),ISNUMBER(FIND(CODES!$A$11,AI37))),CODES!$A$13,IF(OR(AI37&lt;AI$63,ISNUMBER(AI37)=FALSE),AI$64,AI37))))</f>
      </c>
      <c r="AJ89" s="9" t="str">
        <f>IF(ISBLANK(AJ37),"NO DATA",IF(ISNUMBER(FIND(CODES!$A$12,AJ37)),CODES!$A$12,IF(OR(ISNUMBER(FIND(CODES!$A$10,AJ37)),ISNUMBER(FIND(CODES!$A$11,AJ37))),CODES!$A$13,IF(OR(AJ37&lt;AJ$63,ISNUMBER(AJ37)=FALSE),AJ$64,AJ37))))</f>
      </c>
      <c r="AK89" s="9" t="str">
        <f>IF(ISBLANK(AK37),"NO DATA",IF(ISNUMBER(FIND(CODES!$A$12,AK37)),CODES!$A$12,IF(OR(ISNUMBER(FIND(CODES!$A$10,AK37)),ISNUMBER(FIND(CODES!$A$11,AK37))),CODES!$A$13,IF(OR(AK37&lt;AK$63,ISNUMBER(AK37)=FALSE),AK$64,AK37))))</f>
      </c>
      <c r="AL89" s="9" t="str">
        <f>IF(ISBLANK(AL37),"NO DATA",IF(ISNUMBER(FIND(CODES!$A$12,AL37)),CODES!$A$12,IF(OR(ISNUMBER(FIND(CODES!$A$10,AL37)),ISNUMBER(FIND(CODES!$A$11,AL37))),CODES!$A$13,IF(OR(AL37&lt;AL$63,ISNUMBER(AL37)=FALSE),AL$64,AL37))))</f>
      </c>
      <c r="AM89" s="9" t="str">
        <f>IF(ISBLANK(AM37),"NO DATA",IF(ISNUMBER(FIND(CODES!$A$12,AM37)),CODES!$A$12,IF(OR(ISNUMBER(FIND(CODES!$A$10,AM37)),ISNUMBER(FIND(CODES!$A$11,AM37))),CODES!$A$13,IF(OR(AM37&lt;AM$63,ISNUMBER(AM37)=FALSE),AM$64,AM37))))</f>
      </c>
      <c r="AN89" s="9" t="str">
        <f>IF(ISBLANK(AN37),"NO DATA",IF(ISNUMBER(FIND(CODES!$A$12,AN37)),CODES!$A$12,IF(OR(ISNUMBER(FIND(CODES!$A$10,AN37)),ISNUMBER(FIND(CODES!$A$11,AN37))),CODES!$A$13,IF(OR(AN37&lt;AN$63,ISNUMBER(AN37)=FALSE),AN$64,AN37))))</f>
      </c>
      <c r="AO89" s="9" t="str">
        <f>IF(ISBLANK(AO37),"NO DATA",IF(ISNUMBER(FIND(CODES!$A$12,AO37)),CODES!$A$12,IF(OR(ISNUMBER(FIND(CODES!$A$10,AO37)),ISNUMBER(FIND(CODES!$A$11,AO37))),CODES!$A$13,IF(OR(AO37&lt;AO$63,ISNUMBER(AO37)=FALSE),AO$64,AO37))))</f>
      </c>
      <c r="AP89" s="9" t="str">
        <f>IF(ISBLANK(AP37),"NO DATA",IF(ISNUMBER(FIND(CODES!$A$12,AP37)),CODES!$A$12,IF(OR(ISNUMBER(FIND(CODES!$A$10,AP37)),ISNUMBER(FIND(CODES!$A$11,AP37))),CODES!$A$13,IF(OR(AP37&lt;AP$63,ISNUMBER(AP37)=FALSE),AP$64,AP37))))</f>
      </c>
      <c r="AQ89" s="9" t="str">
        <f>IF(ISBLANK(AQ37),"NO DATA",IF(ISNUMBER(FIND(CODES!$A$12,AQ37)),CODES!$A$12,IF(OR(ISNUMBER(FIND(CODES!$A$10,AQ37)),ISNUMBER(FIND(CODES!$A$11,AQ37))),CODES!$A$13,IF(OR(AQ37&lt;AQ$63,ISNUMBER(AQ37)=FALSE),AQ$64,AQ37))))</f>
      </c>
      <c r="AR89" s="9" t="str">
        <f>IF(ISBLANK(AR37),"NO DATA",IF(ISNUMBER(FIND(CODES!$A$12,AR37)),CODES!$A$12,IF(OR(ISNUMBER(FIND(CODES!$A$10,AR37)),ISNUMBER(FIND(CODES!$A$11,AR37))),CODES!$A$13,IF(OR(AR37&lt;AR$63,ISNUMBER(AR37)=FALSE),AR$64,AR37))))</f>
      </c>
      <c r="AS89" s="9" t="str">
        <f>IF(ISBLANK(AS37),"NO DATA",IF(ISNUMBER(FIND(CODES!$A$12,AS37)),CODES!$A$12,IF(OR(ISNUMBER(FIND(CODES!$A$10,AS37)),ISNUMBER(FIND(CODES!$A$11,AS37))),CODES!$A$13,IF(OR(AS37&lt;AS$63,ISNUMBER(AS37)=FALSE),AS$64,AS37))))</f>
      </c>
      <c r="AT89" s="9" t="str">
        <f>IF(ISBLANK(AT37),"NO DATA",IF(ISNUMBER(FIND(CODES!$A$12,AT37)),CODES!$A$12,IF(OR(ISNUMBER(FIND(CODES!$A$10,AT37)),ISNUMBER(FIND(CODES!$A$11,AT37))),CODES!$A$13,IF(OR(AT37&lt;AT$63,ISNUMBER(AT37)=FALSE),AT$64,AT37))))</f>
      </c>
      <c r="AU89" s="9" t="str">
        <f>IF(ISBLANK(AU37),"NO DATA",IF(ISNUMBER(FIND(CODES!$A$12,AU37)),CODES!$A$12,IF(OR(ISNUMBER(FIND(CODES!$A$10,AU37)),ISNUMBER(FIND(CODES!$A$11,AU37))),CODES!$A$13,IF(OR(AU37&lt;AU$63,ISNUMBER(AU37)=FALSE),AU$64,AU37))))</f>
      </c>
      <c r="AV89" s="9" t="str">
        <f>IF(ISBLANK(AV37),"NO DATA",IF(ISNUMBER(FIND(CODES!$A$12,AV37)),CODES!$A$12,IF(OR(ISNUMBER(FIND(CODES!$A$10,AV37)),ISNUMBER(FIND(CODES!$A$11,AV37))),CODES!$A$13,IF(OR(AV37&lt;AV$63,ISNUMBER(AV37)=FALSE),AV$64,AV37))))</f>
      </c>
      <c r="AW89" s="9" t="str">
        <f>IF(ISBLANK(AW37),"NO DATA",IF(ISNUMBER(FIND(CODES!$A$12,AW37)),CODES!$A$12,IF(OR(ISNUMBER(FIND(CODES!$A$10,AW37)),ISNUMBER(FIND(CODES!$A$11,AW37))),CODES!$A$13,IF(OR(AW37&lt;AW$63,ISNUMBER(AW37)=FALSE),AW$64,AW37))))</f>
      </c>
      <c r="AX89" s="9" t="str">
        <f>IF(ISBLANK(AX37),"NO DATA",IF(ISNUMBER(FIND(CODES!$A$12,AX37)),CODES!$A$12,IF(OR(ISNUMBER(FIND(CODES!$A$10,AX37)),ISNUMBER(FIND(CODES!$A$11,AX37))),CODES!$A$13,IF(OR(AX37&lt;AX$63,ISNUMBER(AX37)=FALSE),AX$64,AX37))))</f>
      </c>
      <c r="AY89" s="9" t="str">
        <f>IF(ISBLANK(AY37),"NO DATA",IF(ISNUMBER(FIND(CODES!$A$12,AY37)),CODES!$A$12,IF(OR(ISNUMBER(FIND(CODES!$A$10,AY37)),ISNUMBER(FIND(CODES!$A$11,AY37))),CODES!$A$13,IF(OR(AY37&lt;AY$63,ISNUMBER(AY37)=FALSE),AY$64,AY37))))</f>
      </c>
      <c r="AZ89" s="9" t="str">
        <f>IF(ISBLANK(AZ37),"NO DATA",IF(ISNUMBER(FIND(CODES!$A$12,AZ37)),CODES!$A$12,IF(OR(ISNUMBER(FIND(CODES!$A$10,AZ37)),ISNUMBER(FIND(CODES!$A$11,AZ37))),CODES!$A$13,IF(OR(AZ37&lt;AZ$63,ISNUMBER(AZ37)=FALSE),AZ$64,AZ37))))</f>
      </c>
      <c r="BA89" s="9" t="str">
        <f>IF(ISBLANK(BA37),"NO DATA",IF(ISNUMBER(FIND(CODES!$A$12,BA37)),CODES!$A$12,IF(OR(ISNUMBER(FIND(CODES!$A$10,BA37)),ISNUMBER(FIND(CODES!$A$11,BA37))),CODES!$A$13,IF(OR(BA37&lt;BA$63,ISNUMBER(BA37)=FALSE),BA$64,BA37))))</f>
      </c>
      <c r="BB89" s="9" t="str">
        <f>IF(ISBLANK(BB37),"NO DATA",IF(ISNUMBER(FIND(CODES!$A$12,BB37)),CODES!$A$12,IF(OR(ISNUMBER(FIND(CODES!$A$10,BB37)),ISNUMBER(FIND(CODES!$A$11,BB37))),CODES!$A$13,IF(OR(BB37&lt;BB$63,ISNUMBER(BB37)=FALSE),BB$64,BB37))))</f>
      </c>
      <c r="BC89" s="9" t="str">
        <f>IF(ISBLANK(BC37),"NO DATA",IF(ISNUMBER(FIND(CODES!$A$12,BC37)),CODES!$A$12,IF(OR(ISNUMBER(FIND(CODES!$A$10,BC37)),ISNUMBER(FIND(CODES!$A$11,BC37))),CODES!$A$13,IF(OR(BC37&lt;BC$63,ISNUMBER(BC37)=FALSE),BC$64,BC37))))</f>
      </c>
      <c r="BD89" s="9" t="str">
        <f>IF(ISBLANK(BD37),"NO DATA",IF(ISNUMBER(FIND(CODES!$A$12,BD37)),CODES!$A$12,IF(OR(ISNUMBER(FIND(CODES!$A$10,BD37)),ISNUMBER(FIND(CODES!$A$11,BD37))),CODES!$A$13,IF(OR(BD37&lt;BD$63,ISNUMBER(BD37)=FALSE),BD$64,BD37))))</f>
      </c>
      <c r="BE89" s="9" t="str">
        <f>IF(ISBLANK(BE37),"NO DATA",IF(ISNUMBER(FIND(CODES!$A$12,BE37)),CODES!$A$12,IF(OR(ISNUMBER(FIND(CODES!$A$10,BE37)),ISNUMBER(FIND(CODES!$A$11,BE37))),CODES!$A$13,IF(OR(BE37&lt;BE$63,ISNUMBER(BE37)=FALSE),BE$64,BE37))))</f>
      </c>
      <c r="BF89" s="9" t="str">
        <f>IF(ISBLANK(BF37),"NO DATA",IF(ISNUMBER(FIND(CODES!$A$12,BF37)),CODES!$A$12,IF(OR(ISNUMBER(FIND(CODES!$A$10,BF37)),ISNUMBER(FIND(CODES!$A$11,BF37))),CODES!$A$13,IF(OR(BF37&lt;BF$63,ISNUMBER(BF37)=FALSE),BF$64,BF37))))</f>
      </c>
      <c r="BG89" s="9" t="str">
        <f>IF(ISBLANK(BG37),"NO DATA",IF(ISNUMBER(FIND(CODES!$A$12,BG37)),CODES!$A$12,IF(OR(ISNUMBER(FIND(CODES!$A$10,BG37)),ISNUMBER(FIND(CODES!$A$11,BG37))),CODES!$A$13,IF(OR(BG37&lt;BG$63,ISNUMBER(BG37)=FALSE),BG$64,BG37))))</f>
      </c>
      <c r="BH89" s="9" t="str">
        <f>IF(ISBLANK(BH37),"NO DATA",IF(ISNUMBER(FIND(CODES!$A$12,BH37)),CODES!$A$12,IF(OR(ISNUMBER(FIND(CODES!$A$10,BH37)),ISNUMBER(FIND(CODES!$A$11,BH37))),CODES!$A$13,IF(OR(BH37&lt;BH$63,ISNUMBER(BH37)=FALSE),BH$64,BH37))))</f>
      </c>
      <c r="BI89" s="9" t="str">
        <f>IF(ISBLANK(BI37),"NO DATA",IF(ISNUMBER(FIND(CODES!$A$12,BI37)),CODES!$A$12,IF(OR(ISNUMBER(FIND(CODES!$A$10,BI37)),ISNUMBER(FIND(CODES!$A$11,BI37))),CODES!$A$13,IF(OR(BI37&lt;BI$63,ISNUMBER(BI37)=FALSE),BI$64,BI37))))</f>
      </c>
      <c r="BJ89" s="9" t="str">
        <f>IF(ISBLANK(BJ37),"NO DATA",IF(ISNUMBER(FIND(CODES!$A$12,BJ37)),CODES!$A$12,IF(OR(ISNUMBER(FIND(CODES!$A$10,BJ37)),ISNUMBER(FIND(CODES!$A$11,BJ37))),CODES!$A$13,IF(OR(BJ37&lt;BJ$63,ISNUMBER(BJ37)=FALSE),BJ$64,BJ37))))</f>
      </c>
      <c r="BK89" s="9" t="str">
        <f>IF(ISBLANK(BK37),"NO DATA",IF(ISNUMBER(FIND(CODES!$A$12,BK37)),CODES!$A$12,IF(OR(ISNUMBER(FIND(CODES!$A$10,BK37)),ISNUMBER(FIND(CODES!$A$11,BK37))),CODES!$A$13,IF(OR(BK37&lt;BK$63,ISNUMBER(BK37)=FALSE),BK$64,BK37))))</f>
      </c>
      <c r="BL89" s="9" t="str">
        <f>IF(ISBLANK(BL37),"NO DATA",IF(ISNUMBER(FIND(CODES!$A$12,BL37)),CODES!$A$12,IF(OR(ISNUMBER(FIND(CODES!$A$10,BL37)),ISNUMBER(FIND(CODES!$A$11,BL37))),CODES!$A$13,IF(OR(BL37&lt;BL$63,ISNUMBER(BL37)=FALSE),BL$64,BL37))))</f>
      </c>
      <c r="BM89" s="9" t="str">
        <f>IF(ISBLANK(BM37),"NO DATA",IF(ISNUMBER(FIND(CODES!$A$12,BM37)),CODES!$A$12,IF(OR(ISNUMBER(FIND(CODES!$A$10,BM37)),ISNUMBER(FIND(CODES!$A$11,BM37))),CODES!$A$13,IF(OR(BM37&lt;BM$63,ISNUMBER(BM37)=FALSE),BM$64,BM37))))</f>
      </c>
      <c r="BN89" s="9" t="str">
        <f>IF(ISBLANK(BN37),"NO DATA",IF(ISNUMBER(FIND(CODES!$A$12,BN37)),CODES!$A$12,IF(OR(ISNUMBER(FIND(CODES!$A$10,BN37)),ISNUMBER(FIND(CODES!$A$11,BN37))),CODES!$A$13,IF(OR(BN37&lt;BN$63,ISNUMBER(BN37)=FALSE),BN$64,BN37))))</f>
      </c>
      <c r="BO89" s="9" t="str">
        <f>IF(ISBLANK(BO37),"NO DATA",IF(ISNUMBER(FIND(CODES!$A$12,BO37)),CODES!$A$12,IF(OR(ISNUMBER(FIND(CODES!$A$10,BO37)),ISNUMBER(FIND(CODES!$A$11,BO37))),CODES!$A$13,IF(OR(BO37&lt;BO$63,ISNUMBER(BO37)=FALSE),BO$64,BO37))))</f>
      </c>
      <c r="BP89" s="9" t="str">
        <f>IF(ISBLANK(BP37),"NO DATA",IF(ISNUMBER(FIND(CODES!$A$12,BP37)),CODES!$A$12,IF(OR(ISNUMBER(FIND(CODES!$A$10,BP37)),ISNUMBER(FIND(CODES!$A$11,BP37))),CODES!$A$13,IF(OR(BP37&lt;BP$63,ISNUMBER(BP37)=FALSE),BP$64,BP37))))</f>
      </c>
      <c r="BQ89" s="9" t="str">
        <f>IF(ISBLANK(BQ37),"NO DATA",IF(ISNUMBER(FIND(CODES!$A$12,BQ37)),CODES!$A$12,IF(OR(ISNUMBER(FIND(CODES!$A$10,BQ37)),ISNUMBER(FIND(CODES!$A$11,BQ37))),CODES!$A$13,IF(OR(BQ37&lt;BQ$63,ISNUMBER(BQ37)=FALSE),BQ$64,BQ37))))</f>
      </c>
      <c r="BR89" s="9" t="str">
        <f>IF(ISBLANK(BR37),"NO DATA",IF(ISNUMBER(FIND(CODES!$A$12,BR37)),CODES!$A$12,IF(OR(ISNUMBER(FIND(CODES!$A$10,BR37)),ISNUMBER(FIND(CODES!$A$11,BR37))),CODES!$A$13,IF(OR(BR37&lt;BR$63,ISNUMBER(BR37)=FALSE),BR$64,BR37))))</f>
      </c>
      <c r="BS89" s="9" t="str">
        <f>IF(ISBLANK(BS37),"NO DATA",IF(ISNUMBER(FIND(CODES!$A$12,BS37)),CODES!$A$12,IF(OR(ISNUMBER(FIND(CODES!$A$10,BS37)),ISNUMBER(FIND(CODES!$A$11,BS37))),CODES!$A$13,IF(OR(BS37&lt;BS$63,ISNUMBER(BS37)=FALSE),BS$64,BS37))))</f>
      </c>
      <c r="BT89" s="9" t="str">
        <f>IF(ISBLANK(BT37),"NO DATA",IF(ISNUMBER(FIND(CODES!$A$12,BT37)),CODES!$A$12,IF(OR(ISNUMBER(FIND(CODES!$A$10,BT37)),ISNUMBER(FIND(CODES!$A$11,BT37))),CODES!$A$13,IF(OR(BT37&lt;BT$63,ISNUMBER(BT37)=FALSE),BT$64,BT37))))</f>
      </c>
      <c r="BU89" s="9" t="str">
        <f>IF(ISBLANK(BU37),"NO DATA",IF(ISNUMBER(FIND(CODES!$A$12,BU37)),CODES!$A$12,IF(OR(ISNUMBER(FIND(CODES!$A$10,BU37)),ISNUMBER(FIND(CODES!$A$11,BU37))),CODES!$A$13,IF(OR(BU37&lt;BU$63,ISNUMBER(BU37)=FALSE),BU$64,BU37))))</f>
      </c>
      <c r="BV89" s="9" t="str">
        <f>IF(ISBLANK(BV37),"NO DATA",IF(ISNUMBER(FIND(CODES!$A$12,BV37)),CODES!$A$12,IF(OR(ISNUMBER(FIND(CODES!$A$10,BV37)),ISNUMBER(FIND(CODES!$A$11,BV37))),CODES!$A$13,IF(OR(BV37&lt;BV$63,ISNUMBER(BV37)=FALSE),BV$64,BV37))))</f>
      </c>
      <c r="BW89" s="9" t="str">
        <f>IF(ISBLANK(BW37),"NO DATA",IF(ISNUMBER(FIND(CODES!$A$12,BW37)),CODES!$A$12,IF(OR(ISNUMBER(FIND(CODES!$A$10,BW37)),ISNUMBER(FIND(CODES!$A$11,BW37))),CODES!$A$13,IF(OR(BW37&lt;BW$63,ISNUMBER(BW37)=FALSE),BW$64,BW37))))</f>
      </c>
      <c r="BX89" s="9" t="str">
        <f>IF(ISBLANK(BX37),"NO DATA",IF(ISNUMBER(FIND(CODES!$A$12,BX37)),CODES!$A$12,IF(OR(ISNUMBER(FIND(CODES!$A$10,BX37)),ISNUMBER(FIND(CODES!$A$11,BX37))),CODES!$A$13,IF(OR(BX37&lt;BX$63,ISNUMBER(BX37)=FALSE),BX$64,BX37))))</f>
      </c>
      <c r="BY89" s="9" t="str">
        <f>IF(ISBLANK(BY37),"NO DATA",IF(ISNUMBER(FIND(CODES!$A$12,BY37)),CODES!$A$12,IF(OR(ISNUMBER(FIND(CODES!$A$10,BY37)),ISNUMBER(FIND(CODES!$A$11,BY37))),CODES!$A$13,IF(OR(BY37&lt;BY$63,ISNUMBER(BY37)=FALSE),BY$64,BY37))))</f>
      </c>
      <c r="BZ89" s="9" t="str">
        <f>IF(ISBLANK(BZ37),"NO DATA",IF(ISNUMBER(FIND(CODES!$A$12,BZ37)),CODES!$A$12,IF(OR(ISNUMBER(FIND(CODES!$A$10,BZ37)),ISNUMBER(FIND(CODES!$A$11,BZ37))),CODES!$A$13,IF(OR(BZ37&lt;BZ$63,ISNUMBER(BZ37)=FALSE),BZ$64,BZ37))))</f>
      </c>
      <c r="CA89" s="9" t="str">
        <f>IF(ISBLANK(CA37),"NO DATA",IF(ISNUMBER(FIND(CODES!$A$12,CA37)),CODES!$A$12,IF(OR(ISNUMBER(FIND(CODES!$A$10,CA37)),ISNUMBER(FIND(CODES!$A$11,CA37))),CODES!$A$13,IF(OR(CA37&lt;CA$63,ISNUMBER(CA37)=FALSE),CA$64,CA37))))</f>
      </c>
      <c r="CB89" s="9" t="str">
        <f>IF(ISBLANK(CB37),"NO DATA",IF(ISNUMBER(FIND(CODES!$A$12,CB37)),CODES!$A$12,IF(OR(ISNUMBER(FIND(CODES!$A$10,CB37)),ISNUMBER(FIND(CODES!$A$11,CB37))),CODES!$A$13,IF(OR(CB37&lt;CB$63,ISNUMBER(CB37)=FALSE),CB$64,CB37))))</f>
      </c>
      <c r="CC89" s="9" t="str">
        <f>IF(ISBLANK(CC37),"NO DATA",IF(ISNUMBER(FIND(CODES!$A$12,CC37)),CODES!$A$12,IF(OR(ISNUMBER(FIND(CODES!$A$10,CC37)),ISNUMBER(FIND(CODES!$A$11,CC37))),CODES!$A$13,IF(OR(CC37&lt;CC$63,ISNUMBER(CC37)=FALSE),CC$64,CC37))))</f>
      </c>
      <c r="CD89" s="9" t="str">
        <f>IF(ISBLANK(CD37),"NO DATA",IF(ISNUMBER(FIND(CODES!$A$12,CD37)),CODES!$A$12,IF(OR(ISNUMBER(FIND(CODES!$A$10,CD37)),ISNUMBER(FIND(CODES!$A$11,CD37))),CODES!$A$13,IF(OR(CD37&lt;CD$63,ISNUMBER(CD37)=FALSE),CD$64,CD37))))</f>
      </c>
      <c r="CE89" s="9" t="str">
        <f>IF(ISBLANK(CE37),"NO DATA",IF(ISNUMBER(FIND(CODES!$A$12,CE37)),CODES!$A$12,IF(OR(ISNUMBER(FIND(CODES!$A$10,CE37)),ISNUMBER(FIND(CODES!$A$11,CE37))),CODES!$A$13,IF(OR(CE37&lt;CE$63,ISNUMBER(CE37)=FALSE),CE$64,CE37))))</f>
      </c>
      <c r="CF89" s="9" t="str">
        <f>IF(ISBLANK(CF37),"NO DATA",IF(ISNUMBER(FIND(CODES!$A$12,CF37)),CODES!$A$12,IF(OR(ISNUMBER(FIND(CODES!$A$10,CF37)),ISNUMBER(FIND(CODES!$A$11,CF37))),CODES!$A$13,IF(OR(CF37&lt;CF$63,ISNUMBER(CF37)=FALSE),CF$64,CF37))))</f>
      </c>
      <c r="CG89" s="9" t="str">
        <f>IF(ISBLANK(CG37),"NO DATA",IF(ISNUMBER(FIND(CODES!$A$12,CG37)),CODES!$A$12,IF(OR(ISNUMBER(FIND(CODES!$A$10,CG37)),ISNUMBER(FIND(CODES!$A$11,CG37))),CODES!$A$13,IF(OR(CG37&lt;CG$63,ISNUMBER(CG37)=FALSE),CG$64,CG37))))</f>
      </c>
      <c r="CH89" s="9" t="str">
        <f>IF(ISBLANK(CH37),"NO DATA",IF(ISNUMBER(FIND(CODES!$A$12,CH37)),CODES!$A$12,IF(OR(ISNUMBER(FIND(CODES!$A$10,CH37)),ISNUMBER(FIND(CODES!$A$11,CH37))),CODES!$A$13,IF(OR(CH37&lt;CH$63,ISNUMBER(CH37)=FALSE),CH$64,CH37))))</f>
      </c>
      <c r="CI89" s="9" t="str">
        <f>IF(ISBLANK(CI37),"NO DATA",IF(ISNUMBER(FIND(CODES!$A$12,CI37)),CODES!$A$12,IF(OR(ISNUMBER(FIND(CODES!$A$10,CI37)),ISNUMBER(FIND(CODES!$A$11,CI37))),CODES!$A$13,IF(OR(CI37&lt;CI$63,ISNUMBER(CI37)=FALSE),CI$64,CI37))))</f>
      </c>
      <c r="CJ89" s="9" t="str">
        <f>IF(ISBLANK(CJ37),"NO DATA",IF(ISNUMBER(FIND(CODES!$A$12,CJ37)),CODES!$A$12,IF(OR(ISNUMBER(FIND(CODES!$A$10,CJ37)),ISNUMBER(FIND(CODES!$A$11,CJ37))),CODES!$A$13,IF(OR(CJ37&lt;CJ$63,ISNUMBER(CJ37)=FALSE),CJ$64,CJ37))))</f>
      </c>
      <c r="CK89" s="9" t="str">
        <f>IF(ISBLANK(CK37),"NO DATA",IF(ISNUMBER(FIND(CODES!$A$12,CK37)),CODES!$A$12,IF(OR(ISNUMBER(FIND(CODES!$A$10,CK37)),ISNUMBER(FIND(CODES!$A$11,CK37))),CODES!$A$13,IF(OR(CK37&lt;CK$63,ISNUMBER(CK37)=FALSE),CK$64,CK37))))</f>
      </c>
      <c r="CL89" s="9" t="str">
        <f>IF(ISBLANK(CL37),"NO DATA",IF(ISNUMBER(FIND(CODES!$A$12,CL37)),CODES!$A$12,IF(OR(ISNUMBER(FIND(CODES!$A$10,CL37)),ISNUMBER(FIND(CODES!$A$11,CL37))),CODES!$A$13,IF(OR(CL37&lt;CL$63,ISNUMBER(CL37)=FALSE),CL$64,CL37))))</f>
      </c>
      <c r="CM89" s="9" t="str">
        <f>IF(ISBLANK(CM37),"NO DATA",IF(ISNUMBER(FIND(CODES!$A$12,CM37)),CODES!$A$12,IF(OR(ISNUMBER(FIND(CODES!$A$10,CM37)),ISNUMBER(FIND(CODES!$A$11,CM37))),CODES!$A$13,IF(OR(CM37&lt;CM$63,ISNUMBER(CM37)=FALSE),CM$64,CM37))))</f>
      </c>
      <c r="CN89" s="9" t="str">
        <f>IF(ISBLANK(CN37),"NO DATA",IF(ISNUMBER(FIND(CODES!$A$12,CN37)),CODES!$A$12,IF(OR(ISNUMBER(FIND(CODES!$A$10,CN37)),ISNUMBER(FIND(CODES!$A$11,CN37))),CODES!$A$13,IF(OR(CN37&lt;CN$63,ISNUMBER(CN37)=FALSE),CN$64,CN37))))</f>
      </c>
      <c r="CO89" s="9" t="str">
        <f>IF(ISBLANK(CO37),"NO DATA",IF(ISNUMBER(FIND(CODES!$A$12,CO37)),CODES!$A$12,IF(OR(ISNUMBER(FIND(CODES!$A$10,CO37)),ISNUMBER(FIND(CODES!$A$11,CO37))),CODES!$A$13,IF(OR(CO37&lt;CO$63,ISNUMBER(CO37)=FALSE),CO$64,CO37))))</f>
      </c>
      <c r="CP89" s="9" t="str">
        <f>IF(ISBLANK(CP37),"NO DATA",IF(ISNUMBER(FIND(CODES!$A$12,CP37)),CODES!$A$12,IF(OR(ISNUMBER(FIND(CODES!$A$10,CP37)),ISNUMBER(FIND(CODES!$A$11,CP37))),CODES!$A$13,IF(OR(CP37&lt;CP$63,ISNUMBER(CP37)=FALSE),CP$64,CP37))))</f>
      </c>
      <c r="CQ89" s="9" t="str">
        <f>IF(ISBLANK(CQ37),"NO DATA",IF(ISNUMBER(FIND(CODES!$A$12,CQ37)),CODES!$A$12,IF(OR(ISNUMBER(FIND(CODES!$A$10,CQ37)),ISNUMBER(FIND(CODES!$A$11,CQ37))),CODES!$A$13,IF(OR(CQ37&lt;CQ$63,ISNUMBER(CQ37)=FALSE),CQ$64,CQ37))))</f>
      </c>
      <c r="CR89" s="9" t="str">
        <f>IF(ISBLANK(CR37),"NO DATA",IF(ISNUMBER(FIND(CODES!$A$12,CR37)),CODES!$A$12,IF(OR(ISNUMBER(FIND(CODES!$A$10,CR37)),ISNUMBER(FIND(CODES!$A$11,CR37))),CODES!$A$13,IF(OR(CR37&lt;CR$63,ISNUMBER(CR37)=FALSE),CR$64,CR37))))</f>
      </c>
      <c r="CS89" s="9" t="str">
        <f>IF(ISBLANK(CS37),"NO DATA",IF(ISNUMBER(FIND(CODES!$A$12,CS37)),CODES!$A$12,IF(OR(ISNUMBER(FIND(CODES!$A$10,CS37)),ISNUMBER(FIND(CODES!$A$11,CS37))),CODES!$A$13,IF(OR(CS37&lt;CS$63,ISNUMBER(CS37)=FALSE),CS$64,CS37))))</f>
      </c>
      <c r="CT89" s="9" t="str">
        <f>IF(ISBLANK(CT37),"NO DATA",IF(ISNUMBER(FIND(CODES!$A$12,CT37)),CODES!$A$12,IF(OR(ISNUMBER(FIND(CODES!$A$10,CT37)),ISNUMBER(FIND(CODES!$A$11,CT37))),CODES!$A$13,IF(OR(CT37&lt;CT$63,ISNUMBER(CT37)=FALSE),CT$64,CT37))))</f>
      </c>
      <c r="CU89" s="9" t="str">
        <f>IF(ISBLANK(CU37),"NO DATA",IF(ISNUMBER(FIND(CODES!$A$12,CU37)),CODES!$A$12,IF(OR(ISNUMBER(FIND(CODES!$A$10,CU37)),ISNUMBER(FIND(CODES!$A$11,CU37))),CODES!$A$13,IF(OR(CU37&lt;CU$63,ISNUMBER(CU37)=FALSE),CU$64,CU37))))</f>
      </c>
      <c r="CV89" s="9" t="str">
        <f>IF(ISBLANK(CV37),"NO DATA",IF(ISNUMBER(FIND(CODES!$A$12,CV37)),CODES!$A$12,IF(OR(ISNUMBER(FIND(CODES!$A$10,CV37)),ISNUMBER(FIND(CODES!$A$11,CV37))),CODES!$A$13,IF(OR(CV37&lt;CV$63,ISNUMBER(CV37)=FALSE),CV$64,CV37))))</f>
      </c>
      <c r="CW89" s="9" t="str">
        <f>IF(ISBLANK(CW37),"NO DATA",IF(ISNUMBER(FIND(CODES!$A$12,CW37)),CODES!$A$12,IF(OR(ISNUMBER(FIND(CODES!$A$10,CW37)),ISNUMBER(FIND(CODES!$A$11,CW37))),CODES!$A$13,IF(OR(CW37&lt;CW$63,ISNUMBER(CW37)=FALSE),CW$64,CW37))))</f>
      </c>
      <c r="CX89" s="9" t="str">
        <f>IF(ISBLANK(CX37),"NO DATA",IF(ISNUMBER(FIND(CODES!$A$12,CX37)),CODES!$A$12,IF(OR(ISNUMBER(FIND(CODES!$A$10,CX37)),ISNUMBER(FIND(CODES!$A$11,CX37))),CODES!$A$13,IF(OR(CX37&lt;CX$63,ISNUMBER(CX37)=FALSE),CX$64,CX37))))</f>
      </c>
      <c r="CY89" s="9" t="str">
        <f>IF(ISBLANK(CY37),"NO DATA",IF(ISNUMBER(FIND(CODES!$A$12,CY37)),CODES!$A$12,IF(OR(ISNUMBER(FIND(CODES!$A$10,CY37)),ISNUMBER(FIND(CODES!$A$11,CY37))),CODES!$A$13,IF(OR(CY37&lt;CY$63,ISNUMBER(CY37)=FALSE),CY$64,CY37))))</f>
      </c>
      <c r="CZ89" s="9" t="str">
        <f>IF(ISBLANK(CZ37),"NO DATA",IF(ISNUMBER(FIND(CODES!$A$12,CZ37)),CODES!$A$12,IF(OR(ISNUMBER(FIND(CODES!$A$10,CZ37)),ISNUMBER(FIND(CODES!$A$11,CZ37))),CODES!$A$13,IF(OR(CZ37&lt;CZ$63,ISNUMBER(CZ37)=FALSE),CZ$64,CZ37))))</f>
      </c>
      <c r="DA89" s="9" t="str">
        <f>IF(ISBLANK(DA37),"NO DATA",IF(ISNUMBER(FIND(CODES!$A$12,DA37)),CODES!$A$12,IF(OR(ISNUMBER(FIND(CODES!$A$10,DA37)),ISNUMBER(FIND(CODES!$A$11,DA37))),CODES!$A$13,IF(OR(DA37&lt;DA$63,ISNUMBER(DA37)=FALSE),DA$64,DA37))))</f>
      </c>
      <c r="DB89" s="9" t="str">
        <f>IF(ISBLANK(DB37),"NO DATA",IF(ISNUMBER(FIND(CODES!$A$12,DB37)),CODES!$A$12,IF(OR(ISNUMBER(FIND(CODES!$A$10,DB37)),ISNUMBER(FIND(CODES!$A$11,DB37))),CODES!$A$13,IF(OR(DB37&lt;DB$63,ISNUMBER(DB37)=FALSE),DB$64,DB37))))</f>
      </c>
      <c r="DC89" s="9" t="str">
        <f>IF(ISBLANK(DC37),"NO DATA",IF(ISNUMBER(FIND(CODES!$A$12,DC37)),CODES!$A$12,IF(OR(ISNUMBER(FIND(CODES!$A$10,DC37)),ISNUMBER(FIND(CODES!$A$11,DC37))),CODES!$A$13,IF(OR(DC37&lt;DC$63,ISNUMBER(DC37)=FALSE),DC$64,DC37))))</f>
      </c>
      <c r="DD89" s="9" t="str">
        <f>IF(ISBLANK(DD37),"NO DATA",IF(ISNUMBER(FIND(CODES!$A$12,DD37)),CODES!$A$12,IF(OR(ISNUMBER(FIND(CODES!$A$10,DD37)),ISNUMBER(FIND(CODES!$A$11,DD37))),CODES!$A$13,IF(OR(DD37&lt;DD$63,ISNUMBER(DD37)=FALSE),DD$64,DD37))))</f>
      </c>
      <c r="DE89" s="9" t="str">
        <f>IF(ISBLANK(DE37),"NO DATA",IF(ISNUMBER(FIND(CODES!$A$12,DE37)),CODES!$A$12,IF(OR(ISNUMBER(FIND(CODES!$A$10,DE37)),ISNUMBER(FIND(CODES!$A$11,DE37))),CODES!$A$13,IF(OR(DE37&lt;DE$63,ISNUMBER(DE37)=FALSE),DE$64,DE37))))</f>
      </c>
      <c r="DF89" s="9" t="str">
        <f>IF(ISBLANK(DF37),"NO DATA",IF(ISNUMBER(FIND(CODES!$A$12,DF37)),CODES!$A$12,IF(OR(ISNUMBER(FIND(CODES!$A$10,DF37)),ISNUMBER(FIND(CODES!$A$11,DF37))),CODES!$A$13,IF(OR(DF37&lt;DF$63,ISNUMBER(DF37)=FALSE),DF$64,DF37))))</f>
      </c>
      <c r="DG89" s="9" t="str">
        <f>IF(ISBLANK(DG37),"NO DATA",IF(ISNUMBER(FIND(CODES!$A$12,DG37)),CODES!$A$12,IF(OR(ISNUMBER(FIND(CODES!$A$10,DG37)),ISNUMBER(FIND(CODES!$A$11,DG37))),CODES!$A$13,IF(OR(DG37&lt;DG$63,ISNUMBER(DG37)=FALSE),DG$64,DG37))))</f>
      </c>
      <c r="DH89" s="9" t="str">
        <f>IF(ISBLANK(DH37),"NO DATA",IF(ISNUMBER(FIND(CODES!$A$12,DH37)),CODES!$A$12,IF(OR(ISNUMBER(FIND(CODES!$A$10,DH37)),ISNUMBER(FIND(CODES!$A$11,DH37))),CODES!$A$13,IF(OR(DH37&lt;DH$63,ISNUMBER(DH37)=FALSE),DH$64,DH37))))</f>
      </c>
      <c r="DI89" s="9" t="str">
        <f>IF(ISBLANK(DI37),"NO DATA",IF(ISNUMBER(FIND(CODES!$A$12,DI37)),CODES!$A$12,IF(OR(ISNUMBER(FIND(CODES!$A$10,DI37)),ISNUMBER(FIND(CODES!$A$11,DI37))),CODES!$A$13,IF(OR(DI37&lt;DI$63,ISNUMBER(DI37)=FALSE),DI$64,DI37))))</f>
      </c>
    </row>
    <row r="90" spans="1:113" x14ac:dyDescent="0.25">
      <c r="A90" s="20" t="str">
        <f t="shared" ref="A90:B109" si="5">A38</f>
      </c>
      <c r="B90" s="20">
        <f t="shared" si="5"/>
      </c>
      <c r="C90" s="9" t="str">
        <f>IF(ISBLANK(C38),"NO DATA",IF(ISNUMBER(FIND(CODES!$A$12,C38)),CODES!$A$12,IF(OR(ISNUMBER(FIND(CODES!$A$10,C38)),ISNUMBER(FIND(CODES!$A$11,C38))),CODES!$A$13,IF(OR(C38&lt;C$63,ISNUMBER(C38)=FALSE),C$64,C38))))</f>
      </c>
      <c r="D90" s="9" t="str">
        <f>IF(ISBLANK(D38),"NO DATA",IF(ISNUMBER(FIND(CODES!$A$12,D38)),CODES!$A$12,IF(OR(ISNUMBER(FIND(CODES!$A$10,D38)),ISNUMBER(FIND(CODES!$A$11,D38))),CODES!$A$13,IF(OR(D38&lt;D$63,ISNUMBER(D38)=FALSE),D$64,D38))))</f>
      </c>
      <c r="E90" s="9" t="str">
        <f>IF(ISBLANK(E38),"NO DATA",IF(ISNUMBER(FIND(CODES!$A$12,E38)),CODES!$A$12,IF(OR(ISNUMBER(FIND(CODES!$A$10,E38)),ISNUMBER(FIND(CODES!$A$11,E38))),CODES!$A$13,IF(OR(E38&lt;E$63,ISNUMBER(E38)=FALSE),E$64,E38))))</f>
      </c>
      <c r="F90" s="9" t="str">
        <f>IF(ISBLANK(F38),"NO DATA",IF(ISNUMBER(FIND(CODES!$A$12,F38)),CODES!$A$12,IF(OR(ISNUMBER(FIND(CODES!$A$10,F38)),ISNUMBER(FIND(CODES!$A$11,F38))),CODES!$A$13,IF(OR(F38&lt;F$63,ISNUMBER(F38)=FALSE),F$64,F38))))</f>
      </c>
      <c r="G90" s="9" t="str">
        <f>IF(ISBLANK(G38),"NO DATA",IF(ISNUMBER(FIND(CODES!$A$12,G38)),CODES!$A$12,IF(OR(ISNUMBER(FIND(CODES!$A$10,G38)),ISNUMBER(FIND(CODES!$A$11,G38))),CODES!$A$13,IF(OR(G38&lt;G$63,ISNUMBER(G38)=FALSE),G$64,G38))))</f>
      </c>
      <c r="H90" s="9" t="str">
        <f>IF(ISBLANK(H38),"NO DATA",IF(ISNUMBER(FIND(CODES!$A$12,H38)),CODES!$A$12,IF(OR(ISNUMBER(FIND(CODES!$A$10,H38)),ISNUMBER(FIND(CODES!$A$11,H38))),CODES!$A$13,IF(OR(H38&lt;H$63,ISNUMBER(H38)=FALSE),H$64,H38))))</f>
      </c>
      <c r="I90" s="9" t="str">
        <f>IF(ISBLANK(I38),"NO DATA",IF(ISNUMBER(FIND(CODES!$A$12,I38)),CODES!$A$12,IF(OR(ISNUMBER(FIND(CODES!$A$10,I38)),ISNUMBER(FIND(CODES!$A$11,I38))),CODES!$A$13,IF(OR(I38&lt;I$63,ISNUMBER(I38)=FALSE),I$64,I38))))</f>
      </c>
      <c r="J90" s="9" t="str">
        <f>IF(ISBLANK(J38),"NO DATA",IF(ISNUMBER(FIND(CODES!$A$12,J38)),CODES!$A$12,IF(OR(ISNUMBER(FIND(CODES!$A$10,J38)),ISNUMBER(FIND(CODES!$A$11,J38))),CODES!$A$13,IF(OR(J38&lt;J$63,ISNUMBER(J38)=FALSE),J$64,J38))))</f>
      </c>
      <c r="K90" s="9" t="str">
        <f>IF(ISBLANK(K38),"NO DATA",IF(ISNUMBER(FIND(CODES!$A$12,K38)),CODES!$A$12,IF(OR(ISNUMBER(FIND(CODES!$A$10,K38)),ISNUMBER(FIND(CODES!$A$11,K38))),CODES!$A$13,IF(OR(K38&lt;K$63,ISNUMBER(K38)=FALSE),K$64,K38))))</f>
      </c>
      <c r="L90" s="9" t="str">
        <f>IF(ISBLANK(L38),"NO DATA",IF(ISNUMBER(FIND(CODES!$A$12,L38)),CODES!$A$12,IF(OR(ISNUMBER(FIND(CODES!$A$10,L38)),ISNUMBER(FIND(CODES!$A$11,L38))),CODES!$A$13,IF(OR(L38&lt;L$63,ISNUMBER(L38)=FALSE),L$64,L38))))</f>
      </c>
      <c r="M90" s="9" t="str">
        <f>IF(ISBLANK(M38),"NO DATA",IF(ISNUMBER(FIND(CODES!$A$12,M38)),CODES!$A$12,IF(OR(ISNUMBER(FIND(CODES!$A$10,M38)),ISNUMBER(FIND(CODES!$A$11,M38))),CODES!$A$13,IF(OR(M38&lt;M$63,ISNUMBER(M38)=FALSE),M$64,M38))))</f>
      </c>
      <c r="N90" s="9" t="str">
        <f>IF(ISBLANK(N38),"NO DATA",IF(ISNUMBER(FIND(CODES!$A$12,N38)),CODES!$A$12,IF(OR(ISNUMBER(FIND(CODES!$A$10,N38)),ISNUMBER(FIND(CODES!$A$11,N38))),CODES!$A$13,IF(OR(N38&lt;N$63,ISNUMBER(N38)=FALSE),N$64,N38))))</f>
      </c>
      <c r="O90" s="9" t="str">
        <f>IF(ISBLANK(O38),"NO DATA",IF(ISNUMBER(FIND(CODES!$A$12,O38)),CODES!$A$12,IF(OR(ISNUMBER(FIND(CODES!$A$10,O38)),ISNUMBER(FIND(CODES!$A$11,O38))),CODES!$A$13,IF(OR(O38&lt;O$63,ISNUMBER(O38)=FALSE),O$64,O38))))</f>
      </c>
      <c r="P90" s="9" t="str">
        <f>IF(ISBLANK(P38),"NO DATA",IF(ISNUMBER(FIND(CODES!$A$12,P38)),CODES!$A$12,IF(OR(ISNUMBER(FIND(CODES!$A$10,P38)),ISNUMBER(FIND(CODES!$A$11,P38))),CODES!$A$13,IF(OR(P38&lt;P$63,ISNUMBER(P38)=FALSE),P$64,P38))))</f>
      </c>
      <c r="Q90" s="9" t="str">
        <f>IF(ISBLANK(Q38),"NO DATA",IF(ISNUMBER(FIND(CODES!$A$12,Q38)),CODES!$A$12,IF(OR(ISNUMBER(FIND(CODES!$A$10,Q38)),ISNUMBER(FIND(CODES!$A$11,Q38))),CODES!$A$13,IF(OR(Q38&lt;Q$63,ISNUMBER(Q38)=FALSE),Q$64,Q38))))</f>
      </c>
      <c r="R90" s="9" t="str">
        <f>IF(ISBLANK(R38),"NO DATA",IF(ISNUMBER(FIND(CODES!$A$12,R38)),CODES!$A$12,IF(OR(ISNUMBER(FIND(CODES!$A$10,R38)),ISNUMBER(FIND(CODES!$A$11,R38))),CODES!$A$13,IF(OR(R38&lt;R$63,ISNUMBER(R38)=FALSE),R$64,R38))))</f>
      </c>
      <c r="S90" s="9" t="str">
        <f>IF(ISBLANK(S38),"NO DATA",IF(ISNUMBER(FIND(CODES!$A$12,S38)),CODES!$A$12,IF(OR(ISNUMBER(FIND(CODES!$A$10,S38)),ISNUMBER(FIND(CODES!$A$11,S38))),CODES!$A$13,IF(OR(S38&lt;S$63,ISNUMBER(S38)=FALSE),S$64,S38))))</f>
      </c>
      <c r="T90" s="9" t="str">
        <f>IF(ISBLANK(T38),"NO DATA",IF(ISNUMBER(FIND(CODES!$A$12,T38)),CODES!$A$12,IF(OR(ISNUMBER(FIND(CODES!$A$10,T38)),ISNUMBER(FIND(CODES!$A$11,T38))),CODES!$A$13,IF(OR(T38&lt;T$63,ISNUMBER(T38)=FALSE),T$64,T38))))</f>
      </c>
      <c r="U90" s="9" t="str">
        <f>IF(ISBLANK(U38),"NO DATA",IF(ISNUMBER(FIND(CODES!$A$12,U38)),CODES!$A$12,IF(OR(ISNUMBER(FIND(CODES!$A$10,U38)),ISNUMBER(FIND(CODES!$A$11,U38))),CODES!$A$13,IF(OR(U38&lt;U$63,ISNUMBER(U38)=FALSE),U$64,U38))))</f>
      </c>
      <c r="V90" s="9" t="str">
        <f>IF(ISBLANK(V38),"NO DATA",IF(ISNUMBER(FIND(CODES!$A$12,V38)),CODES!$A$12,IF(OR(ISNUMBER(FIND(CODES!$A$10,V38)),ISNUMBER(FIND(CODES!$A$11,V38))),CODES!$A$13,IF(OR(V38&lt;V$63,ISNUMBER(V38)=FALSE),V$64,V38))))</f>
      </c>
      <c r="W90" s="9" t="str">
        <f>IF(ISBLANK(W38),"NO DATA",IF(ISNUMBER(FIND(CODES!$A$12,W38)),CODES!$A$12,IF(OR(ISNUMBER(FIND(CODES!$A$10,W38)),ISNUMBER(FIND(CODES!$A$11,W38))),CODES!$A$13,IF(OR(W38&lt;W$63,ISNUMBER(W38)=FALSE),W$64,W38))))</f>
      </c>
      <c r="X90" s="9" t="str">
        <f>IF(ISBLANK(X38),"NO DATA",IF(ISNUMBER(FIND(CODES!$A$12,X38)),CODES!$A$12,IF(OR(ISNUMBER(FIND(CODES!$A$10,X38)),ISNUMBER(FIND(CODES!$A$11,X38))),CODES!$A$13,IF(OR(X38&lt;X$63,ISNUMBER(X38)=FALSE),X$64,X38))))</f>
      </c>
      <c r="Y90" s="9" t="str">
        <f>IF(ISBLANK(Y38),"NO DATA",IF(ISNUMBER(FIND(CODES!$A$12,Y38)),CODES!$A$12,IF(OR(ISNUMBER(FIND(CODES!$A$10,Y38)),ISNUMBER(FIND(CODES!$A$11,Y38))),CODES!$A$13,IF(OR(Y38&lt;Y$63,ISNUMBER(Y38)=FALSE),Y$64,Y38))))</f>
      </c>
      <c r="Z90" s="9" t="str">
        <f>IF(ISBLANK(Z38),"NO DATA",IF(ISNUMBER(FIND(CODES!$A$12,Z38)),CODES!$A$12,IF(OR(ISNUMBER(FIND(CODES!$A$10,Z38)),ISNUMBER(FIND(CODES!$A$11,Z38))),CODES!$A$13,IF(OR(Z38&lt;Z$63,ISNUMBER(Z38)=FALSE),Z$64,Z38))))</f>
      </c>
      <c r="AA90" s="9" t="str">
        <f>IF(ISBLANK(AA38),"NO DATA",IF(ISNUMBER(FIND(CODES!$A$12,AA38)),CODES!$A$12,IF(OR(ISNUMBER(FIND(CODES!$A$10,AA38)),ISNUMBER(FIND(CODES!$A$11,AA38))),CODES!$A$13,IF(OR(AA38&lt;AA$63,ISNUMBER(AA38)=FALSE),AA$64,AA38))))</f>
      </c>
      <c r="AB90" s="9" t="str">
        <f>IF(ISBLANK(AB38),"NO DATA",IF(ISNUMBER(FIND(CODES!$A$12,AB38)),CODES!$A$12,IF(OR(ISNUMBER(FIND(CODES!$A$10,AB38)),ISNUMBER(FIND(CODES!$A$11,AB38))),CODES!$A$13,IF(OR(AB38&lt;AB$63,ISNUMBER(AB38)=FALSE),AB$64,AB38))))</f>
      </c>
      <c r="AC90" s="9" t="str">
        <f>IF(ISBLANK(AC38),"NO DATA",IF(ISNUMBER(FIND(CODES!$A$12,AC38)),CODES!$A$12,IF(OR(ISNUMBER(FIND(CODES!$A$10,AC38)),ISNUMBER(FIND(CODES!$A$11,AC38))),CODES!$A$13,IF(OR(AC38&lt;AC$63,ISNUMBER(AC38)=FALSE),AC$64,AC38))))</f>
      </c>
      <c r="AD90" s="9" t="str">
        <f>IF(ISBLANK(AD38),"NO DATA",IF(ISNUMBER(FIND(CODES!$A$12,AD38)),CODES!$A$12,IF(OR(ISNUMBER(FIND(CODES!$A$10,AD38)),ISNUMBER(FIND(CODES!$A$11,AD38))),CODES!$A$13,IF(OR(AD38&lt;AD$63,ISNUMBER(AD38)=FALSE),AD$64,AD38))))</f>
      </c>
      <c r="AE90" s="9" t="str">
        <f>IF(ISBLANK(AE38),"NO DATA",IF(ISNUMBER(FIND(CODES!$A$12,AE38)),CODES!$A$12,IF(OR(ISNUMBER(FIND(CODES!$A$10,AE38)),ISNUMBER(FIND(CODES!$A$11,AE38))),CODES!$A$13,IF(OR(AE38&lt;AE$63,ISNUMBER(AE38)=FALSE),AE$64,AE38))))</f>
      </c>
      <c r="AF90" s="9" t="str">
        <f>IF(ISBLANK(AF38),"NO DATA",IF(ISNUMBER(FIND(CODES!$A$12,AF38)),CODES!$A$12,IF(OR(ISNUMBER(FIND(CODES!$A$10,AF38)),ISNUMBER(FIND(CODES!$A$11,AF38))),CODES!$A$13,IF(OR(AF38&lt;AF$63,ISNUMBER(AF38)=FALSE),AF$64,AF38))))</f>
      </c>
      <c r="AG90" s="9" t="str">
        <f>IF(ISBLANK(AG38),"NO DATA",IF(ISNUMBER(FIND(CODES!$A$12,AG38)),CODES!$A$12,IF(OR(ISNUMBER(FIND(CODES!$A$10,AG38)),ISNUMBER(FIND(CODES!$A$11,AG38))),CODES!$A$13,IF(OR(AG38&lt;AG$63,ISNUMBER(AG38)=FALSE),AG$64,AG38))))</f>
      </c>
      <c r="AH90" s="9" t="str">
        <f>IF(ISBLANK(AH38),"NO DATA",IF(ISNUMBER(FIND(CODES!$A$12,AH38)),CODES!$A$12,IF(OR(ISNUMBER(FIND(CODES!$A$10,AH38)),ISNUMBER(FIND(CODES!$A$11,AH38))),CODES!$A$13,IF(OR(AH38&lt;AH$63,ISNUMBER(AH38)=FALSE),AH$64,AH38))))</f>
      </c>
      <c r="AI90" s="9" t="str">
        <f>IF(ISBLANK(AI38),"NO DATA",IF(ISNUMBER(FIND(CODES!$A$12,AI38)),CODES!$A$12,IF(OR(ISNUMBER(FIND(CODES!$A$10,AI38)),ISNUMBER(FIND(CODES!$A$11,AI38))),CODES!$A$13,IF(OR(AI38&lt;AI$63,ISNUMBER(AI38)=FALSE),AI$64,AI38))))</f>
      </c>
      <c r="AJ90" s="9" t="str">
        <f>IF(ISBLANK(AJ38),"NO DATA",IF(ISNUMBER(FIND(CODES!$A$12,AJ38)),CODES!$A$12,IF(OR(ISNUMBER(FIND(CODES!$A$10,AJ38)),ISNUMBER(FIND(CODES!$A$11,AJ38))),CODES!$A$13,IF(OR(AJ38&lt;AJ$63,ISNUMBER(AJ38)=FALSE),AJ$64,AJ38))))</f>
      </c>
      <c r="AK90" s="9" t="str">
        <f>IF(ISBLANK(AK38),"NO DATA",IF(ISNUMBER(FIND(CODES!$A$12,AK38)),CODES!$A$12,IF(OR(ISNUMBER(FIND(CODES!$A$10,AK38)),ISNUMBER(FIND(CODES!$A$11,AK38))),CODES!$A$13,IF(OR(AK38&lt;AK$63,ISNUMBER(AK38)=FALSE),AK$64,AK38))))</f>
      </c>
      <c r="AL90" s="9" t="str">
        <f>IF(ISBLANK(AL38),"NO DATA",IF(ISNUMBER(FIND(CODES!$A$12,AL38)),CODES!$A$12,IF(OR(ISNUMBER(FIND(CODES!$A$10,AL38)),ISNUMBER(FIND(CODES!$A$11,AL38))),CODES!$A$13,IF(OR(AL38&lt;AL$63,ISNUMBER(AL38)=FALSE),AL$64,AL38))))</f>
      </c>
      <c r="AM90" s="9" t="str">
        <f>IF(ISBLANK(AM38),"NO DATA",IF(ISNUMBER(FIND(CODES!$A$12,AM38)),CODES!$A$12,IF(OR(ISNUMBER(FIND(CODES!$A$10,AM38)),ISNUMBER(FIND(CODES!$A$11,AM38))),CODES!$A$13,IF(OR(AM38&lt;AM$63,ISNUMBER(AM38)=FALSE),AM$64,AM38))))</f>
      </c>
      <c r="AN90" s="9" t="str">
        <f>IF(ISBLANK(AN38),"NO DATA",IF(ISNUMBER(FIND(CODES!$A$12,AN38)),CODES!$A$12,IF(OR(ISNUMBER(FIND(CODES!$A$10,AN38)),ISNUMBER(FIND(CODES!$A$11,AN38))),CODES!$A$13,IF(OR(AN38&lt;AN$63,ISNUMBER(AN38)=FALSE),AN$64,AN38))))</f>
      </c>
      <c r="AO90" s="9" t="str">
        <f>IF(ISBLANK(AO38),"NO DATA",IF(ISNUMBER(FIND(CODES!$A$12,AO38)),CODES!$A$12,IF(OR(ISNUMBER(FIND(CODES!$A$10,AO38)),ISNUMBER(FIND(CODES!$A$11,AO38))),CODES!$A$13,IF(OR(AO38&lt;AO$63,ISNUMBER(AO38)=FALSE),AO$64,AO38))))</f>
      </c>
      <c r="AP90" s="9" t="str">
        <f>IF(ISBLANK(AP38),"NO DATA",IF(ISNUMBER(FIND(CODES!$A$12,AP38)),CODES!$A$12,IF(OR(ISNUMBER(FIND(CODES!$A$10,AP38)),ISNUMBER(FIND(CODES!$A$11,AP38))),CODES!$A$13,IF(OR(AP38&lt;AP$63,ISNUMBER(AP38)=FALSE),AP$64,AP38))))</f>
      </c>
      <c r="AQ90" s="9" t="str">
        <f>IF(ISBLANK(AQ38),"NO DATA",IF(ISNUMBER(FIND(CODES!$A$12,AQ38)),CODES!$A$12,IF(OR(ISNUMBER(FIND(CODES!$A$10,AQ38)),ISNUMBER(FIND(CODES!$A$11,AQ38))),CODES!$A$13,IF(OR(AQ38&lt;AQ$63,ISNUMBER(AQ38)=FALSE),AQ$64,AQ38))))</f>
      </c>
      <c r="AR90" s="9" t="str">
        <f>IF(ISBLANK(AR38),"NO DATA",IF(ISNUMBER(FIND(CODES!$A$12,AR38)),CODES!$A$12,IF(OR(ISNUMBER(FIND(CODES!$A$10,AR38)),ISNUMBER(FIND(CODES!$A$11,AR38))),CODES!$A$13,IF(OR(AR38&lt;AR$63,ISNUMBER(AR38)=FALSE),AR$64,AR38))))</f>
      </c>
      <c r="AS90" s="9" t="str">
        <f>IF(ISBLANK(AS38),"NO DATA",IF(ISNUMBER(FIND(CODES!$A$12,AS38)),CODES!$A$12,IF(OR(ISNUMBER(FIND(CODES!$A$10,AS38)),ISNUMBER(FIND(CODES!$A$11,AS38))),CODES!$A$13,IF(OR(AS38&lt;AS$63,ISNUMBER(AS38)=FALSE),AS$64,AS38))))</f>
      </c>
      <c r="AT90" s="9" t="str">
        <f>IF(ISBLANK(AT38),"NO DATA",IF(ISNUMBER(FIND(CODES!$A$12,AT38)),CODES!$A$12,IF(OR(ISNUMBER(FIND(CODES!$A$10,AT38)),ISNUMBER(FIND(CODES!$A$11,AT38))),CODES!$A$13,IF(OR(AT38&lt;AT$63,ISNUMBER(AT38)=FALSE),AT$64,AT38))))</f>
      </c>
      <c r="AU90" s="9" t="str">
        <f>IF(ISBLANK(AU38),"NO DATA",IF(ISNUMBER(FIND(CODES!$A$12,AU38)),CODES!$A$12,IF(OR(ISNUMBER(FIND(CODES!$A$10,AU38)),ISNUMBER(FIND(CODES!$A$11,AU38))),CODES!$A$13,IF(OR(AU38&lt;AU$63,ISNUMBER(AU38)=FALSE),AU$64,AU38))))</f>
      </c>
      <c r="AV90" s="9" t="str">
        <f>IF(ISBLANK(AV38),"NO DATA",IF(ISNUMBER(FIND(CODES!$A$12,AV38)),CODES!$A$12,IF(OR(ISNUMBER(FIND(CODES!$A$10,AV38)),ISNUMBER(FIND(CODES!$A$11,AV38))),CODES!$A$13,IF(OR(AV38&lt;AV$63,ISNUMBER(AV38)=FALSE),AV$64,AV38))))</f>
      </c>
      <c r="AW90" s="9" t="str">
        <f>IF(ISBLANK(AW38),"NO DATA",IF(ISNUMBER(FIND(CODES!$A$12,AW38)),CODES!$A$12,IF(OR(ISNUMBER(FIND(CODES!$A$10,AW38)),ISNUMBER(FIND(CODES!$A$11,AW38))),CODES!$A$13,IF(OR(AW38&lt;AW$63,ISNUMBER(AW38)=FALSE),AW$64,AW38))))</f>
      </c>
      <c r="AX90" s="9" t="str">
        <f>IF(ISBLANK(AX38),"NO DATA",IF(ISNUMBER(FIND(CODES!$A$12,AX38)),CODES!$A$12,IF(OR(ISNUMBER(FIND(CODES!$A$10,AX38)),ISNUMBER(FIND(CODES!$A$11,AX38))),CODES!$A$13,IF(OR(AX38&lt;AX$63,ISNUMBER(AX38)=FALSE),AX$64,AX38))))</f>
      </c>
      <c r="AY90" s="9" t="str">
        <f>IF(ISBLANK(AY38),"NO DATA",IF(ISNUMBER(FIND(CODES!$A$12,AY38)),CODES!$A$12,IF(OR(ISNUMBER(FIND(CODES!$A$10,AY38)),ISNUMBER(FIND(CODES!$A$11,AY38))),CODES!$A$13,IF(OR(AY38&lt;AY$63,ISNUMBER(AY38)=FALSE),AY$64,AY38))))</f>
      </c>
      <c r="AZ90" s="9" t="str">
        <f>IF(ISBLANK(AZ38),"NO DATA",IF(ISNUMBER(FIND(CODES!$A$12,AZ38)),CODES!$A$12,IF(OR(ISNUMBER(FIND(CODES!$A$10,AZ38)),ISNUMBER(FIND(CODES!$A$11,AZ38))),CODES!$A$13,IF(OR(AZ38&lt;AZ$63,ISNUMBER(AZ38)=FALSE),AZ$64,AZ38))))</f>
      </c>
      <c r="BA90" s="9" t="str">
        <f>IF(ISBLANK(BA38),"NO DATA",IF(ISNUMBER(FIND(CODES!$A$12,BA38)),CODES!$A$12,IF(OR(ISNUMBER(FIND(CODES!$A$10,BA38)),ISNUMBER(FIND(CODES!$A$11,BA38))),CODES!$A$13,IF(OR(BA38&lt;BA$63,ISNUMBER(BA38)=FALSE),BA$64,BA38))))</f>
      </c>
      <c r="BB90" s="9" t="str">
        <f>IF(ISBLANK(BB38),"NO DATA",IF(ISNUMBER(FIND(CODES!$A$12,BB38)),CODES!$A$12,IF(OR(ISNUMBER(FIND(CODES!$A$10,BB38)),ISNUMBER(FIND(CODES!$A$11,BB38))),CODES!$A$13,IF(OR(BB38&lt;BB$63,ISNUMBER(BB38)=FALSE),BB$64,BB38))))</f>
      </c>
      <c r="BC90" s="9" t="str">
        <f>IF(ISBLANK(BC38),"NO DATA",IF(ISNUMBER(FIND(CODES!$A$12,BC38)),CODES!$A$12,IF(OR(ISNUMBER(FIND(CODES!$A$10,BC38)),ISNUMBER(FIND(CODES!$A$11,BC38))),CODES!$A$13,IF(OR(BC38&lt;BC$63,ISNUMBER(BC38)=FALSE),BC$64,BC38))))</f>
      </c>
      <c r="BD90" s="9" t="str">
        <f>IF(ISBLANK(BD38),"NO DATA",IF(ISNUMBER(FIND(CODES!$A$12,BD38)),CODES!$A$12,IF(OR(ISNUMBER(FIND(CODES!$A$10,BD38)),ISNUMBER(FIND(CODES!$A$11,BD38))),CODES!$A$13,IF(OR(BD38&lt;BD$63,ISNUMBER(BD38)=FALSE),BD$64,BD38))))</f>
      </c>
      <c r="BE90" s="9" t="str">
        <f>IF(ISBLANK(BE38),"NO DATA",IF(ISNUMBER(FIND(CODES!$A$12,BE38)),CODES!$A$12,IF(OR(ISNUMBER(FIND(CODES!$A$10,BE38)),ISNUMBER(FIND(CODES!$A$11,BE38))),CODES!$A$13,IF(OR(BE38&lt;BE$63,ISNUMBER(BE38)=FALSE),BE$64,BE38))))</f>
      </c>
      <c r="BF90" s="9" t="str">
        <f>IF(ISBLANK(BF38),"NO DATA",IF(ISNUMBER(FIND(CODES!$A$12,BF38)),CODES!$A$12,IF(OR(ISNUMBER(FIND(CODES!$A$10,BF38)),ISNUMBER(FIND(CODES!$A$11,BF38))),CODES!$A$13,IF(OR(BF38&lt;BF$63,ISNUMBER(BF38)=FALSE),BF$64,BF38))))</f>
      </c>
      <c r="BG90" s="9" t="str">
        <f>IF(ISBLANK(BG38),"NO DATA",IF(ISNUMBER(FIND(CODES!$A$12,BG38)),CODES!$A$12,IF(OR(ISNUMBER(FIND(CODES!$A$10,BG38)),ISNUMBER(FIND(CODES!$A$11,BG38))),CODES!$A$13,IF(OR(BG38&lt;BG$63,ISNUMBER(BG38)=FALSE),BG$64,BG38))))</f>
      </c>
      <c r="BH90" s="9" t="str">
        <f>IF(ISBLANK(BH38),"NO DATA",IF(ISNUMBER(FIND(CODES!$A$12,BH38)),CODES!$A$12,IF(OR(ISNUMBER(FIND(CODES!$A$10,BH38)),ISNUMBER(FIND(CODES!$A$11,BH38))),CODES!$A$13,IF(OR(BH38&lt;BH$63,ISNUMBER(BH38)=FALSE),BH$64,BH38))))</f>
      </c>
      <c r="BI90" s="9" t="str">
        <f>IF(ISBLANK(BI38),"NO DATA",IF(ISNUMBER(FIND(CODES!$A$12,BI38)),CODES!$A$12,IF(OR(ISNUMBER(FIND(CODES!$A$10,BI38)),ISNUMBER(FIND(CODES!$A$11,BI38))),CODES!$A$13,IF(OR(BI38&lt;BI$63,ISNUMBER(BI38)=FALSE),BI$64,BI38))))</f>
      </c>
      <c r="BJ90" s="9" t="str">
        <f>IF(ISBLANK(BJ38),"NO DATA",IF(ISNUMBER(FIND(CODES!$A$12,BJ38)),CODES!$A$12,IF(OR(ISNUMBER(FIND(CODES!$A$10,BJ38)),ISNUMBER(FIND(CODES!$A$11,BJ38))),CODES!$A$13,IF(OR(BJ38&lt;BJ$63,ISNUMBER(BJ38)=FALSE),BJ$64,BJ38))))</f>
      </c>
      <c r="BK90" s="9" t="str">
        <f>IF(ISBLANK(BK38),"NO DATA",IF(ISNUMBER(FIND(CODES!$A$12,BK38)),CODES!$A$12,IF(OR(ISNUMBER(FIND(CODES!$A$10,BK38)),ISNUMBER(FIND(CODES!$A$11,BK38))),CODES!$A$13,IF(OR(BK38&lt;BK$63,ISNUMBER(BK38)=FALSE),BK$64,BK38))))</f>
      </c>
      <c r="BL90" s="9" t="str">
        <f>IF(ISBLANK(BL38),"NO DATA",IF(ISNUMBER(FIND(CODES!$A$12,BL38)),CODES!$A$12,IF(OR(ISNUMBER(FIND(CODES!$A$10,BL38)),ISNUMBER(FIND(CODES!$A$11,BL38))),CODES!$A$13,IF(OR(BL38&lt;BL$63,ISNUMBER(BL38)=FALSE),BL$64,BL38))))</f>
      </c>
      <c r="BM90" s="9" t="str">
        <f>IF(ISBLANK(BM38),"NO DATA",IF(ISNUMBER(FIND(CODES!$A$12,BM38)),CODES!$A$12,IF(OR(ISNUMBER(FIND(CODES!$A$10,BM38)),ISNUMBER(FIND(CODES!$A$11,BM38))),CODES!$A$13,IF(OR(BM38&lt;BM$63,ISNUMBER(BM38)=FALSE),BM$64,BM38))))</f>
      </c>
      <c r="BN90" s="9" t="str">
        <f>IF(ISBLANK(BN38),"NO DATA",IF(ISNUMBER(FIND(CODES!$A$12,BN38)),CODES!$A$12,IF(OR(ISNUMBER(FIND(CODES!$A$10,BN38)),ISNUMBER(FIND(CODES!$A$11,BN38))),CODES!$A$13,IF(OR(BN38&lt;BN$63,ISNUMBER(BN38)=FALSE),BN$64,BN38))))</f>
      </c>
      <c r="BO90" s="9" t="str">
        <f>IF(ISBLANK(BO38),"NO DATA",IF(ISNUMBER(FIND(CODES!$A$12,BO38)),CODES!$A$12,IF(OR(ISNUMBER(FIND(CODES!$A$10,BO38)),ISNUMBER(FIND(CODES!$A$11,BO38))),CODES!$A$13,IF(OR(BO38&lt;BO$63,ISNUMBER(BO38)=FALSE),BO$64,BO38))))</f>
      </c>
      <c r="BP90" s="9" t="str">
        <f>IF(ISBLANK(BP38),"NO DATA",IF(ISNUMBER(FIND(CODES!$A$12,BP38)),CODES!$A$12,IF(OR(ISNUMBER(FIND(CODES!$A$10,BP38)),ISNUMBER(FIND(CODES!$A$11,BP38))),CODES!$A$13,IF(OR(BP38&lt;BP$63,ISNUMBER(BP38)=FALSE),BP$64,BP38))))</f>
      </c>
      <c r="BQ90" s="9" t="str">
        <f>IF(ISBLANK(BQ38),"NO DATA",IF(ISNUMBER(FIND(CODES!$A$12,BQ38)),CODES!$A$12,IF(OR(ISNUMBER(FIND(CODES!$A$10,BQ38)),ISNUMBER(FIND(CODES!$A$11,BQ38))),CODES!$A$13,IF(OR(BQ38&lt;BQ$63,ISNUMBER(BQ38)=FALSE),BQ$64,BQ38))))</f>
      </c>
      <c r="BR90" s="9" t="str">
        <f>IF(ISBLANK(BR38),"NO DATA",IF(ISNUMBER(FIND(CODES!$A$12,BR38)),CODES!$A$12,IF(OR(ISNUMBER(FIND(CODES!$A$10,BR38)),ISNUMBER(FIND(CODES!$A$11,BR38))),CODES!$A$13,IF(OR(BR38&lt;BR$63,ISNUMBER(BR38)=FALSE),BR$64,BR38))))</f>
      </c>
      <c r="BS90" s="9" t="str">
        <f>IF(ISBLANK(BS38),"NO DATA",IF(ISNUMBER(FIND(CODES!$A$12,BS38)),CODES!$A$12,IF(OR(ISNUMBER(FIND(CODES!$A$10,BS38)),ISNUMBER(FIND(CODES!$A$11,BS38))),CODES!$A$13,IF(OR(BS38&lt;BS$63,ISNUMBER(BS38)=FALSE),BS$64,BS38))))</f>
      </c>
      <c r="BT90" s="9" t="str">
        <f>IF(ISBLANK(BT38),"NO DATA",IF(ISNUMBER(FIND(CODES!$A$12,BT38)),CODES!$A$12,IF(OR(ISNUMBER(FIND(CODES!$A$10,BT38)),ISNUMBER(FIND(CODES!$A$11,BT38))),CODES!$A$13,IF(OR(BT38&lt;BT$63,ISNUMBER(BT38)=FALSE),BT$64,BT38))))</f>
      </c>
      <c r="BU90" s="9" t="str">
        <f>IF(ISBLANK(BU38),"NO DATA",IF(ISNUMBER(FIND(CODES!$A$12,BU38)),CODES!$A$12,IF(OR(ISNUMBER(FIND(CODES!$A$10,BU38)),ISNUMBER(FIND(CODES!$A$11,BU38))),CODES!$A$13,IF(OR(BU38&lt;BU$63,ISNUMBER(BU38)=FALSE),BU$64,BU38))))</f>
      </c>
      <c r="BV90" s="9" t="str">
        <f>IF(ISBLANK(BV38),"NO DATA",IF(ISNUMBER(FIND(CODES!$A$12,BV38)),CODES!$A$12,IF(OR(ISNUMBER(FIND(CODES!$A$10,BV38)),ISNUMBER(FIND(CODES!$A$11,BV38))),CODES!$A$13,IF(OR(BV38&lt;BV$63,ISNUMBER(BV38)=FALSE),BV$64,BV38))))</f>
      </c>
      <c r="BW90" s="9" t="str">
        <f>IF(ISBLANK(BW38),"NO DATA",IF(ISNUMBER(FIND(CODES!$A$12,BW38)),CODES!$A$12,IF(OR(ISNUMBER(FIND(CODES!$A$10,BW38)),ISNUMBER(FIND(CODES!$A$11,BW38))),CODES!$A$13,IF(OR(BW38&lt;BW$63,ISNUMBER(BW38)=FALSE),BW$64,BW38))))</f>
      </c>
      <c r="BX90" s="9" t="str">
        <f>IF(ISBLANK(BX38),"NO DATA",IF(ISNUMBER(FIND(CODES!$A$12,BX38)),CODES!$A$12,IF(OR(ISNUMBER(FIND(CODES!$A$10,BX38)),ISNUMBER(FIND(CODES!$A$11,BX38))),CODES!$A$13,IF(OR(BX38&lt;BX$63,ISNUMBER(BX38)=FALSE),BX$64,BX38))))</f>
      </c>
      <c r="BY90" s="9" t="str">
        <f>IF(ISBLANK(BY38),"NO DATA",IF(ISNUMBER(FIND(CODES!$A$12,BY38)),CODES!$A$12,IF(OR(ISNUMBER(FIND(CODES!$A$10,BY38)),ISNUMBER(FIND(CODES!$A$11,BY38))),CODES!$A$13,IF(OR(BY38&lt;BY$63,ISNUMBER(BY38)=FALSE),BY$64,BY38))))</f>
      </c>
      <c r="BZ90" s="9" t="str">
        <f>IF(ISBLANK(BZ38),"NO DATA",IF(ISNUMBER(FIND(CODES!$A$12,BZ38)),CODES!$A$12,IF(OR(ISNUMBER(FIND(CODES!$A$10,BZ38)),ISNUMBER(FIND(CODES!$A$11,BZ38))),CODES!$A$13,IF(OR(BZ38&lt;BZ$63,ISNUMBER(BZ38)=FALSE),BZ$64,BZ38))))</f>
      </c>
      <c r="CA90" s="9" t="str">
        <f>IF(ISBLANK(CA38),"NO DATA",IF(ISNUMBER(FIND(CODES!$A$12,CA38)),CODES!$A$12,IF(OR(ISNUMBER(FIND(CODES!$A$10,CA38)),ISNUMBER(FIND(CODES!$A$11,CA38))),CODES!$A$13,IF(OR(CA38&lt;CA$63,ISNUMBER(CA38)=FALSE),CA$64,CA38))))</f>
      </c>
      <c r="CB90" s="9" t="str">
        <f>IF(ISBLANK(CB38),"NO DATA",IF(ISNUMBER(FIND(CODES!$A$12,CB38)),CODES!$A$12,IF(OR(ISNUMBER(FIND(CODES!$A$10,CB38)),ISNUMBER(FIND(CODES!$A$11,CB38))),CODES!$A$13,IF(OR(CB38&lt;CB$63,ISNUMBER(CB38)=FALSE),CB$64,CB38))))</f>
      </c>
      <c r="CC90" s="9" t="str">
        <f>IF(ISBLANK(CC38),"NO DATA",IF(ISNUMBER(FIND(CODES!$A$12,CC38)),CODES!$A$12,IF(OR(ISNUMBER(FIND(CODES!$A$10,CC38)),ISNUMBER(FIND(CODES!$A$11,CC38))),CODES!$A$13,IF(OR(CC38&lt;CC$63,ISNUMBER(CC38)=FALSE),CC$64,CC38))))</f>
      </c>
      <c r="CD90" s="9" t="str">
        <f>IF(ISBLANK(CD38),"NO DATA",IF(ISNUMBER(FIND(CODES!$A$12,CD38)),CODES!$A$12,IF(OR(ISNUMBER(FIND(CODES!$A$10,CD38)),ISNUMBER(FIND(CODES!$A$11,CD38))),CODES!$A$13,IF(OR(CD38&lt;CD$63,ISNUMBER(CD38)=FALSE),CD$64,CD38))))</f>
      </c>
      <c r="CE90" s="9" t="str">
        <f>IF(ISBLANK(CE38),"NO DATA",IF(ISNUMBER(FIND(CODES!$A$12,CE38)),CODES!$A$12,IF(OR(ISNUMBER(FIND(CODES!$A$10,CE38)),ISNUMBER(FIND(CODES!$A$11,CE38))),CODES!$A$13,IF(OR(CE38&lt;CE$63,ISNUMBER(CE38)=FALSE),CE$64,CE38))))</f>
      </c>
      <c r="CF90" s="9" t="str">
        <f>IF(ISBLANK(CF38),"NO DATA",IF(ISNUMBER(FIND(CODES!$A$12,CF38)),CODES!$A$12,IF(OR(ISNUMBER(FIND(CODES!$A$10,CF38)),ISNUMBER(FIND(CODES!$A$11,CF38))),CODES!$A$13,IF(OR(CF38&lt;CF$63,ISNUMBER(CF38)=FALSE),CF$64,CF38))))</f>
      </c>
      <c r="CG90" s="9" t="str">
        <f>IF(ISBLANK(CG38),"NO DATA",IF(ISNUMBER(FIND(CODES!$A$12,CG38)),CODES!$A$12,IF(OR(ISNUMBER(FIND(CODES!$A$10,CG38)),ISNUMBER(FIND(CODES!$A$11,CG38))),CODES!$A$13,IF(OR(CG38&lt;CG$63,ISNUMBER(CG38)=FALSE),CG$64,CG38))))</f>
      </c>
      <c r="CH90" s="9" t="str">
        <f>IF(ISBLANK(CH38),"NO DATA",IF(ISNUMBER(FIND(CODES!$A$12,CH38)),CODES!$A$12,IF(OR(ISNUMBER(FIND(CODES!$A$10,CH38)),ISNUMBER(FIND(CODES!$A$11,CH38))),CODES!$A$13,IF(OR(CH38&lt;CH$63,ISNUMBER(CH38)=FALSE),CH$64,CH38))))</f>
      </c>
      <c r="CI90" s="9" t="str">
        <f>IF(ISBLANK(CI38),"NO DATA",IF(ISNUMBER(FIND(CODES!$A$12,CI38)),CODES!$A$12,IF(OR(ISNUMBER(FIND(CODES!$A$10,CI38)),ISNUMBER(FIND(CODES!$A$11,CI38))),CODES!$A$13,IF(OR(CI38&lt;CI$63,ISNUMBER(CI38)=FALSE),CI$64,CI38))))</f>
      </c>
      <c r="CJ90" s="9" t="str">
        <f>IF(ISBLANK(CJ38),"NO DATA",IF(ISNUMBER(FIND(CODES!$A$12,CJ38)),CODES!$A$12,IF(OR(ISNUMBER(FIND(CODES!$A$10,CJ38)),ISNUMBER(FIND(CODES!$A$11,CJ38))),CODES!$A$13,IF(OR(CJ38&lt;CJ$63,ISNUMBER(CJ38)=FALSE),CJ$64,CJ38))))</f>
      </c>
      <c r="CK90" s="9" t="str">
        <f>IF(ISBLANK(CK38),"NO DATA",IF(ISNUMBER(FIND(CODES!$A$12,CK38)),CODES!$A$12,IF(OR(ISNUMBER(FIND(CODES!$A$10,CK38)),ISNUMBER(FIND(CODES!$A$11,CK38))),CODES!$A$13,IF(OR(CK38&lt;CK$63,ISNUMBER(CK38)=FALSE),CK$64,CK38))))</f>
      </c>
      <c r="CL90" s="9" t="str">
        <f>IF(ISBLANK(CL38),"NO DATA",IF(ISNUMBER(FIND(CODES!$A$12,CL38)),CODES!$A$12,IF(OR(ISNUMBER(FIND(CODES!$A$10,CL38)),ISNUMBER(FIND(CODES!$A$11,CL38))),CODES!$A$13,IF(OR(CL38&lt;CL$63,ISNUMBER(CL38)=FALSE),CL$64,CL38))))</f>
      </c>
      <c r="CM90" s="9" t="str">
        <f>IF(ISBLANK(CM38),"NO DATA",IF(ISNUMBER(FIND(CODES!$A$12,CM38)),CODES!$A$12,IF(OR(ISNUMBER(FIND(CODES!$A$10,CM38)),ISNUMBER(FIND(CODES!$A$11,CM38))),CODES!$A$13,IF(OR(CM38&lt;CM$63,ISNUMBER(CM38)=FALSE),CM$64,CM38))))</f>
      </c>
      <c r="CN90" s="9" t="str">
        <f>IF(ISBLANK(CN38),"NO DATA",IF(ISNUMBER(FIND(CODES!$A$12,CN38)),CODES!$A$12,IF(OR(ISNUMBER(FIND(CODES!$A$10,CN38)),ISNUMBER(FIND(CODES!$A$11,CN38))),CODES!$A$13,IF(OR(CN38&lt;CN$63,ISNUMBER(CN38)=FALSE),CN$64,CN38))))</f>
      </c>
      <c r="CO90" s="9" t="str">
        <f>IF(ISBLANK(CO38),"NO DATA",IF(ISNUMBER(FIND(CODES!$A$12,CO38)),CODES!$A$12,IF(OR(ISNUMBER(FIND(CODES!$A$10,CO38)),ISNUMBER(FIND(CODES!$A$11,CO38))),CODES!$A$13,IF(OR(CO38&lt;CO$63,ISNUMBER(CO38)=FALSE),CO$64,CO38))))</f>
      </c>
      <c r="CP90" s="9" t="str">
        <f>IF(ISBLANK(CP38),"NO DATA",IF(ISNUMBER(FIND(CODES!$A$12,CP38)),CODES!$A$12,IF(OR(ISNUMBER(FIND(CODES!$A$10,CP38)),ISNUMBER(FIND(CODES!$A$11,CP38))),CODES!$A$13,IF(OR(CP38&lt;CP$63,ISNUMBER(CP38)=FALSE),CP$64,CP38))))</f>
      </c>
      <c r="CQ90" s="9" t="str">
        <f>IF(ISBLANK(CQ38),"NO DATA",IF(ISNUMBER(FIND(CODES!$A$12,CQ38)),CODES!$A$12,IF(OR(ISNUMBER(FIND(CODES!$A$10,CQ38)),ISNUMBER(FIND(CODES!$A$11,CQ38))),CODES!$A$13,IF(OR(CQ38&lt;CQ$63,ISNUMBER(CQ38)=FALSE),CQ$64,CQ38))))</f>
      </c>
      <c r="CR90" s="9" t="str">
        <f>IF(ISBLANK(CR38),"NO DATA",IF(ISNUMBER(FIND(CODES!$A$12,CR38)),CODES!$A$12,IF(OR(ISNUMBER(FIND(CODES!$A$10,CR38)),ISNUMBER(FIND(CODES!$A$11,CR38))),CODES!$A$13,IF(OR(CR38&lt;CR$63,ISNUMBER(CR38)=FALSE),CR$64,CR38))))</f>
      </c>
      <c r="CS90" s="9" t="str">
        <f>IF(ISBLANK(CS38),"NO DATA",IF(ISNUMBER(FIND(CODES!$A$12,CS38)),CODES!$A$12,IF(OR(ISNUMBER(FIND(CODES!$A$10,CS38)),ISNUMBER(FIND(CODES!$A$11,CS38))),CODES!$A$13,IF(OR(CS38&lt;CS$63,ISNUMBER(CS38)=FALSE),CS$64,CS38))))</f>
      </c>
      <c r="CT90" s="9" t="str">
        <f>IF(ISBLANK(CT38),"NO DATA",IF(ISNUMBER(FIND(CODES!$A$12,CT38)),CODES!$A$12,IF(OR(ISNUMBER(FIND(CODES!$A$10,CT38)),ISNUMBER(FIND(CODES!$A$11,CT38))),CODES!$A$13,IF(OR(CT38&lt;CT$63,ISNUMBER(CT38)=FALSE),CT$64,CT38))))</f>
      </c>
      <c r="CU90" s="9" t="str">
        <f>IF(ISBLANK(CU38),"NO DATA",IF(ISNUMBER(FIND(CODES!$A$12,CU38)),CODES!$A$12,IF(OR(ISNUMBER(FIND(CODES!$A$10,CU38)),ISNUMBER(FIND(CODES!$A$11,CU38))),CODES!$A$13,IF(OR(CU38&lt;CU$63,ISNUMBER(CU38)=FALSE),CU$64,CU38))))</f>
      </c>
      <c r="CV90" s="9" t="str">
        <f>IF(ISBLANK(CV38),"NO DATA",IF(ISNUMBER(FIND(CODES!$A$12,CV38)),CODES!$A$12,IF(OR(ISNUMBER(FIND(CODES!$A$10,CV38)),ISNUMBER(FIND(CODES!$A$11,CV38))),CODES!$A$13,IF(OR(CV38&lt;CV$63,ISNUMBER(CV38)=FALSE),CV$64,CV38))))</f>
      </c>
      <c r="CW90" s="9" t="str">
        <f>IF(ISBLANK(CW38),"NO DATA",IF(ISNUMBER(FIND(CODES!$A$12,CW38)),CODES!$A$12,IF(OR(ISNUMBER(FIND(CODES!$A$10,CW38)),ISNUMBER(FIND(CODES!$A$11,CW38))),CODES!$A$13,IF(OR(CW38&lt;CW$63,ISNUMBER(CW38)=FALSE),CW$64,CW38))))</f>
      </c>
      <c r="CX90" s="9" t="str">
        <f>IF(ISBLANK(CX38),"NO DATA",IF(ISNUMBER(FIND(CODES!$A$12,CX38)),CODES!$A$12,IF(OR(ISNUMBER(FIND(CODES!$A$10,CX38)),ISNUMBER(FIND(CODES!$A$11,CX38))),CODES!$A$13,IF(OR(CX38&lt;CX$63,ISNUMBER(CX38)=FALSE),CX$64,CX38))))</f>
      </c>
      <c r="CY90" s="9" t="str">
        <f>IF(ISBLANK(CY38),"NO DATA",IF(ISNUMBER(FIND(CODES!$A$12,CY38)),CODES!$A$12,IF(OR(ISNUMBER(FIND(CODES!$A$10,CY38)),ISNUMBER(FIND(CODES!$A$11,CY38))),CODES!$A$13,IF(OR(CY38&lt;CY$63,ISNUMBER(CY38)=FALSE),CY$64,CY38))))</f>
      </c>
      <c r="CZ90" s="9" t="str">
        <f>IF(ISBLANK(CZ38),"NO DATA",IF(ISNUMBER(FIND(CODES!$A$12,CZ38)),CODES!$A$12,IF(OR(ISNUMBER(FIND(CODES!$A$10,CZ38)),ISNUMBER(FIND(CODES!$A$11,CZ38))),CODES!$A$13,IF(OR(CZ38&lt;CZ$63,ISNUMBER(CZ38)=FALSE),CZ$64,CZ38))))</f>
      </c>
      <c r="DA90" s="9" t="str">
        <f>IF(ISBLANK(DA38),"NO DATA",IF(ISNUMBER(FIND(CODES!$A$12,DA38)),CODES!$A$12,IF(OR(ISNUMBER(FIND(CODES!$A$10,DA38)),ISNUMBER(FIND(CODES!$A$11,DA38))),CODES!$A$13,IF(OR(DA38&lt;DA$63,ISNUMBER(DA38)=FALSE),DA$64,DA38))))</f>
      </c>
      <c r="DB90" s="9" t="str">
        <f>IF(ISBLANK(DB38),"NO DATA",IF(ISNUMBER(FIND(CODES!$A$12,DB38)),CODES!$A$12,IF(OR(ISNUMBER(FIND(CODES!$A$10,DB38)),ISNUMBER(FIND(CODES!$A$11,DB38))),CODES!$A$13,IF(OR(DB38&lt;DB$63,ISNUMBER(DB38)=FALSE),DB$64,DB38))))</f>
      </c>
      <c r="DC90" s="9" t="str">
        <f>IF(ISBLANK(DC38),"NO DATA",IF(ISNUMBER(FIND(CODES!$A$12,DC38)),CODES!$A$12,IF(OR(ISNUMBER(FIND(CODES!$A$10,DC38)),ISNUMBER(FIND(CODES!$A$11,DC38))),CODES!$A$13,IF(OR(DC38&lt;DC$63,ISNUMBER(DC38)=FALSE),DC$64,DC38))))</f>
      </c>
      <c r="DD90" s="9" t="str">
        <f>IF(ISBLANK(DD38),"NO DATA",IF(ISNUMBER(FIND(CODES!$A$12,DD38)),CODES!$A$12,IF(OR(ISNUMBER(FIND(CODES!$A$10,DD38)),ISNUMBER(FIND(CODES!$A$11,DD38))),CODES!$A$13,IF(OR(DD38&lt;DD$63,ISNUMBER(DD38)=FALSE),DD$64,DD38))))</f>
      </c>
      <c r="DE90" s="9" t="str">
        <f>IF(ISBLANK(DE38),"NO DATA",IF(ISNUMBER(FIND(CODES!$A$12,DE38)),CODES!$A$12,IF(OR(ISNUMBER(FIND(CODES!$A$10,DE38)),ISNUMBER(FIND(CODES!$A$11,DE38))),CODES!$A$13,IF(OR(DE38&lt;DE$63,ISNUMBER(DE38)=FALSE),DE$64,DE38))))</f>
      </c>
      <c r="DF90" s="9" t="str">
        <f>IF(ISBLANK(DF38),"NO DATA",IF(ISNUMBER(FIND(CODES!$A$12,DF38)),CODES!$A$12,IF(OR(ISNUMBER(FIND(CODES!$A$10,DF38)),ISNUMBER(FIND(CODES!$A$11,DF38))),CODES!$A$13,IF(OR(DF38&lt;DF$63,ISNUMBER(DF38)=FALSE),DF$64,DF38))))</f>
      </c>
      <c r="DG90" s="9" t="str">
        <f>IF(ISBLANK(DG38),"NO DATA",IF(ISNUMBER(FIND(CODES!$A$12,DG38)),CODES!$A$12,IF(OR(ISNUMBER(FIND(CODES!$A$10,DG38)),ISNUMBER(FIND(CODES!$A$11,DG38))),CODES!$A$13,IF(OR(DG38&lt;DG$63,ISNUMBER(DG38)=FALSE),DG$64,DG38))))</f>
      </c>
      <c r="DH90" s="9" t="str">
        <f>IF(ISBLANK(DH38),"NO DATA",IF(ISNUMBER(FIND(CODES!$A$12,DH38)),CODES!$A$12,IF(OR(ISNUMBER(FIND(CODES!$A$10,DH38)),ISNUMBER(FIND(CODES!$A$11,DH38))),CODES!$A$13,IF(OR(DH38&lt;DH$63,ISNUMBER(DH38)=FALSE),DH$64,DH38))))</f>
      </c>
      <c r="DI90" s="9" t="str">
        <f>IF(ISBLANK(DI38),"NO DATA",IF(ISNUMBER(FIND(CODES!$A$12,DI38)),CODES!$A$12,IF(OR(ISNUMBER(FIND(CODES!$A$10,DI38)),ISNUMBER(FIND(CODES!$A$11,DI38))),CODES!$A$13,IF(OR(DI38&lt;DI$63,ISNUMBER(DI38)=FALSE),DI$64,DI38))))</f>
      </c>
    </row>
    <row r="91" spans="1:113" x14ac:dyDescent="0.25">
      <c r="A91" s="20" t="str">
        <f t="shared" si="5"/>
      </c>
      <c r="B91" s="20">
        <f t="shared" si="5"/>
      </c>
      <c r="C91" s="9" t="str">
        <f>IF(ISBLANK(C39),"NO DATA",IF(ISNUMBER(FIND(CODES!$A$12,C39)),CODES!$A$12,IF(OR(ISNUMBER(FIND(CODES!$A$10,C39)),ISNUMBER(FIND(CODES!$A$11,C39))),CODES!$A$13,IF(OR(C39&lt;C$63,ISNUMBER(C39)=FALSE),C$64,C39))))</f>
      </c>
      <c r="D91" s="9" t="str">
        <f>IF(ISBLANK(D39),"NO DATA",IF(ISNUMBER(FIND(CODES!$A$12,D39)),CODES!$A$12,IF(OR(ISNUMBER(FIND(CODES!$A$10,D39)),ISNUMBER(FIND(CODES!$A$11,D39))),CODES!$A$13,IF(OR(D39&lt;D$63,ISNUMBER(D39)=FALSE),D$64,D39))))</f>
      </c>
      <c r="E91" s="9" t="str">
        <f>IF(ISBLANK(E39),"NO DATA",IF(ISNUMBER(FIND(CODES!$A$12,E39)),CODES!$A$12,IF(OR(ISNUMBER(FIND(CODES!$A$10,E39)),ISNUMBER(FIND(CODES!$A$11,E39))),CODES!$A$13,IF(OR(E39&lt;E$63,ISNUMBER(E39)=FALSE),E$64,E39))))</f>
      </c>
      <c r="F91" s="9" t="str">
        <f>IF(ISBLANK(F39),"NO DATA",IF(ISNUMBER(FIND(CODES!$A$12,F39)),CODES!$A$12,IF(OR(ISNUMBER(FIND(CODES!$A$10,F39)),ISNUMBER(FIND(CODES!$A$11,F39))),CODES!$A$13,IF(OR(F39&lt;F$63,ISNUMBER(F39)=FALSE),F$64,F39))))</f>
      </c>
      <c r="G91" s="9" t="str">
        <f>IF(ISBLANK(G39),"NO DATA",IF(ISNUMBER(FIND(CODES!$A$12,G39)),CODES!$A$12,IF(OR(ISNUMBER(FIND(CODES!$A$10,G39)),ISNUMBER(FIND(CODES!$A$11,G39))),CODES!$A$13,IF(OR(G39&lt;G$63,ISNUMBER(G39)=FALSE),G$64,G39))))</f>
      </c>
      <c r="H91" s="9" t="str">
        <f>IF(ISBLANK(H39),"NO DATA",IF(ISNUMBER(FIND(CODES!$A$12,H39)),CODES!$A$12,IF(OR(ISNUMBER(FIND(CODES!$A$10,H39)),ISNUMBER(FIND(CODES!$A$11,H39))),CODES!$A$13,IF(OR(H39&lt;H$63,ISNUMBER(H39)=FALSE),H$64,H39))))</f>
      </c>
      <c r="I91" s="9" t="str">
        <f>IF(ISBLANK(I39),"NO DATA",IF(ISNUMBER(FIND(CODES!$A$12,I39)),CODES!$A$12,IF(OR(ISNUMBER(FIND(CODES!$A$10,I39)),ISNUMBER(FIND(CODES!$A$11,I39))),CODES!$A$13,IF(OR(I39&lt;I$63,ISNUMBER(I39)=FALSE),I$64,I39))))</f>
      </c>
      <c r="J91" s="9" t="str">
        <f>IF(ISBLANK(J39),"NO DATA",IF(ISNUMBER(FIND(CODES!$A$12,J39)),CODES!$A$12,IF(OR(ISNUMBER(FIND(CODES!$A$10,J39)),ISNUMBER(FIND(CODES!$A$11,J39))),CODES!$A$13,IF(OR(J39&lt;J$63,ISNUMBER(J39)=FALSE),J$64,J39))))</f>
      </c>
      <c r="K91" s="9" t="str">
        <f>IF(ISBLANK(K39),"NO DATA",IF(ISNUMBER(FIND(CODES!$A$12,K39)),CODES!$A$12,IF(OR(ISNUMBER(FIND(CODES!$A$10,K39)),ISNUMBER(FIND(CODES!$A$11,K39))),CODES!$A$13,IF(OR(K39&lt;K$63,ISNUMBER(K39)=FALSE),K$64,K39))))</f>
      </c>
      <c r="L91" s="9" t="str">
        <f>IF(ISBLANK(L39),"NO DATA",IF(ISNUMBER(FIND(CODES!$A$12,L39)),CODES!$A$12,IF(OR(ISNUMBER(FIND(CODES!$A$10,L39)),ISNUMBER(FIND(CODES!$A$11,L39))),CODES!$A$13,IF(OR(L39&lt;L$63,ISNUMBER(L39)=FALSE),L$64,L39))))</f>
      </c>
      <c r="M91" s="9" t="str">
        <f>IF(ISBLANK(M39),"NO DATA",IF(ISNUMBER(FIND(CODES!$A$12,M39)),CODES!$A$12,IF(OR(ISNUMBER(FIND(CODES!$A$10,M39)),ISNUMBER(FIND(CODES!$A$11,M39))),CODES!$A$13,IF(OR(M39&lt;M$63,ISNUMBER(M39)=FALSE),M$64,M39))))</f>
      </c>
      <c r="N91" s="9" t="str">
        <f>IF(ISBLANK(N39),"NO DATA",IF(ISNUMBER(FIND(CODES!$A$12,N39)),CODES!$A$12,IF(OR(ISNUMBER(FIND(CODES!$A$10,N39)),ISNUMBER(FIND(CODES!$A$11,N39))),CODES!$A$13,IF(OR(N39&lt;N$63,ISNUMBER(N39)=FALSE),N$64,N39))))</f>
      </c>
      <c r="O91" s="9" t="str">
        <f>IF(ISBLANK(O39),"NO DATA",IF(ISNUMBER(FIND(CODES!$A$12,O39)),CODES!$A$12,IF(OR(ISNUMBER(FIND(CODES!$A$10,O39)),ISNUMBER(FIND(CODES!$A$11,O39))),CODES!$A$13,IF(OR(O39&lt;O$63,ISNUMBER(O39)=FALSE),O$64,O39))))</f>
      </c>
      <c r="P91" s="9" t="str">
        <f>IF(ISBLANK(P39),"NO DATA",IF(ISNUMBER(FIND(CODES!$A$12,P39)),CODES!$A$12,IF(OR(ISNUMBER(FIND(CODES!$A$10,P39)),ISNUMBER(FIND(CODES!$A$11,P39))),CODES!$A$13,IF(OR(P39&lt;P$63,ISNUMBER(P39)=FALSE),P$64,P39))))</f>
      </c>
      <c r="Q91" s="9" t="str">
        <f>IF(ISBLANK(Q39),"NO DATA",IF(ISNUMBER(FIND(CODES!$A$12,Q39)),CODES!$A$12,IF(OR(ISNUMBER(FIND(CODES!$A$10,Q39)),ISNUMBER(FIND(CODES!$A$11,Q39))),CODES!$A$13,IF(OR(Q39&lt;Q$63,ISNUMBER(Q39)=FALSE),Q$64,Q39))))</f>
      </c>
      <c r="R91" s="9" t="str">
        <f>IF(ISBLANK(R39),"NO DATA",IF(ISNUMBER(FIND(CODES!$A$12,R39)),CODES!$A$12,IF(OR(ISNUMBER(FIND(CODES!$A$10,R39)),ISNUMBER(FIND(CODES!$A$11,R39))),CODES!$A$13,IF(OR(R39&lt;R$63,ISNUMBER(R39)=FALSE),R$64,R39))))</f>
      </c>
      <c r="S91" s="9" t="str">
        <f>IF(ISBLANK(S39),"NO DATA",IF(ISNUMBER(FIND(CODES!$A$12,S39)),CODES!$A$12,IF(OR(ISNUMBER(FIND(CODES!$A$10,S39)),ISNUMBER(FIND(CODES!$A$11,S39))),CODES!$A$13,IF(OR(S39&lt;S$63,ISNUMBER(S39)=FALSE),S$64,S39))))</f>
      </c>
      <c r="T91" s="9" t="str">
        <f>IF(ISBLANK(T39),"NO DATA",IF(ISNUMBER(FIND(CODES!$A$12,T39)),CODES!$A$12,IF(OR(ISNUMBER(FIND(CODES!$A$10,T39)),ISNUMBER(FIND(CODES!$A$11,T39))),CODES!$A$13,IF(OR(T39&lt;T$63,ISNUMBER(T39)=FALSE),T$64,T39))))</f>
      </c>
      <c r="U91" s="9" t="str">
        <f>IF(ISBLANK(U39),"NO DATA",IF(ISNUMBER(FIND(CODES!$A$12,U39)),CODES!$A$12,IF(OR(ISNUMBER(FIND(CODES!$A$10,U39)),ISNUMBER(FIND(CODES!$A$11,U39))),CODES!$A$13,IF(OR(U39&lt;U$63,ISNUMBER(U39)=FALSE),U$64,U39))))</f>
      </c>
      <c r="V91" s="9" t="str">
        <f>IF(ISBLANK(V39),"NO DATA",IF(ISNUMBER(FIND(CODES!$A$12,V39)),CODES!$A$12,IF(OR(ISNUMBER(FIND(CODES!$A$10,V39)),ISNUMBER(FIND(CODES!$A$11,V39))),CODES!$A$13,IF(OR(V39&lt;V$63,ISNUMBER(V39)=FALSE),V$64,V39))))</f>
      </c>
      <c r="W91" s="9" t="str">
        <f>IF(ISBLANK(W39),"NO DATA",IF(ISNUMBER(FIND(CODES!$A$12,W39)),CODES!$A$12,IF(OR(ISNUMBER(FIND(CODES!$A$10,W39)),ISNUMBER(FIND(CODES!$A$11,W39))),CODES!$A$13,IF(OR(W39&lt;W$63,ISNUMBER(W39)=FALSE),W$64,W39))))</f>
      </c>
      <c r="X91" s="9" t="str">
        <f>IF(ISBLANK(X39),"NO DATA",IF(ISNUMBER(FIND(CODES!$A$12,X39)),CODES!$A$12,IF(OR(ISNUMBER(FIND(CODES!$A$10,X39)),ISNUMBER(FIND(CODES!$A$11,X39))),CODES!$A$13,IF(OR(X39&lt;X$63,ISNUMBER(X39)=FALSE),X$64,X39))))</f>
      </c>
      <c r="Y91" s="9" t="str">
        <f>IF(ISBLANK(Y39),"NO DATA",IF(ISNUMBER(FIND(CODES!$A$12,Y39)),CODES!$A$12,IF(OR(ISNUMBER(FIND(CODES!$A$10,Y39)),ISNUMBER(FIND(CODES!$A$11,Y39))),CODES!$A$13,IF(OR(Y39&lt;Y$63,ISNUMBER(Y39)=FALSE),Y$64,Y39))))</f>
      </c>
      <c r="Z91" s="9" t="str">
        <f>IF(ISBLANK(Z39),"NO DATA",IF(ISNUMBER(FIND(CODES!$A$12,Z39)),CODES!$A$12,IF(OR(ISNUMBER(FIND(CODES!$A$10,Z39)),ISNUMBER(FIND(CODES!$A$11,Z39))),CODES!$A$13,IF(OR(Z39&lt;Z$63,ISNUMBER(Z39)=FALSE),Z$64,Z39))))</f>
      </c>
      <c r="AA91" s="9" t="str">
        <f>IF(ISBLANK(AA39),"NO DATA",IF(ISNUMBER(FIND(CODES!$A$12,AA39)),CODES!$A$12,IF(OR(ISNUMBER(FIND(CODES!$A$10,AA39)),ISNUMBER(FIND(CODES!$A$11,AA39))),CODES!$A$13,IF(OR(AA39&lt;AA$63,ISNUMBER(AA39)=FALSE),AA$64,AA39))))</f>
      </c>
      <c r="AB91" s="9" t="str">
        <f>IF(ISBLANK(AB39),"NO DATA",IF(ISNUMBER(FIND(CODES!$A$12,AB39)),CODES!$A$12,IF(OR(ISNUMBER(FIND(CODES!$A$10,AB39)),ISNUMBER(FIND(CODES!$A$11,AB39))),CODES!$A$13,IF(OR(AB39&lt;AB$63,ISNUMBER(AB39)=FALSE),AB$64,AB39))))</f>
      </c>
      <c r="AC91" s="9" t="str">
        <f>IF(ISBLANK(AC39),"NO DATA",IF(ISNUMBER(FIND(CODES!$A$12,AC39)),CODES!$A$12,IF(OR(ISNUMBER(FIND(CODES!$A$10,AC39)),ISNUMBER(FIND(CODES!$A$11,AC39))),CODES!$A$13,IF(OR(AC39&lt;AC$63,ISNUMBER(AC39)=FALSE),AC$64,AC39))))</f>
      </c>
      <c r="AD91" s="9" t="str">
        <f>IF(ISBLANK(AD39),"NO DATA",IF(ISNUMBER(FIND(CODES!$A$12,AD39)),CODES!$A$12,IF(OR(ISNUMBER(FIND(CODES!$A$10,AD39)),ISNUMBER(FIND(CODES!$A$11,AD39))),CODES!$A$13,IF(OR(AD39&lt;AD$63,ISNUMBER(AD39)=FALSE),AD$64,AD39))))</f>
      </c>
      <c r="AE91" s="9" t="str">
        <f>IF(ISBLANK(AE39),"NO DATA",IF(ISNUMBER(FIND(CODES!$A$12,AE39)),CODES!$A$12,IF(OR(ISNUMBER(FIND(CODES!$A$10,AE39)),ISNUMBER(FIND(CODES!$A$11,AE39))),CODES!$A$13,IF(OR(AE39&lt;AE$63,ISNUMBER(AE39)=FALSE),AE$64,AE39))))</f>
      </c>
      <c r="AF91" s="9" t="str">
        <f>IF(ISBLANK(AF39),"NO DATA",IF(ISNUMBER(FIND(CODES!$A$12,AF39)),CODES!$A$12,IF(OR(ISNUMBER(FIND(CODES!$A$10,AF39)),ISNUMBER(FIND(CODES!$A$11,AF39))),CODES!$A$13,IF(OR(AF39&lt;AF$63,ISNUMBER(AF39)=FALSE),AF$64,AF39))))</f>
      </c>
      <c r="AG91" s="9" t="str">
        <f>IF(ISBLANK(AG39),"NO DATA",IF(ISNUMBER(FIND(CODES!$A$12,AG39)),CODES!$A$12,IF(OR(ISNUMBER(FIND(CODES!$A$10,AG39)),ISNUMBER(FIND(CODES!$A$11,AG39))),CODES!$A$13,IF(OR(AG39&lt;AG$63,ISNUMBER(AG39)=FALSE),AG$64,AG39))))</f>
      </c>
      <c r="AH91" s="9" t="str">
        <f>IF(ISBLANK(AH39),"NO DATA",IF(ISNUMBER(FIND(CODES!$A$12,AH39)),CODES!$A$12,IF(OR(ISNUMBER(FIND(CODES!$A$10,AH39)),ISNUMBER(FIND(CODES!$A$11,AH39))),CODES!$A$13,IF(OR(AH39&lt;AH$63,ISNUMBER(AH39)=FALSE),AH$64,AH39))))</f>
      </c>
      <c r="AI91" s="9" t="str">
        <f>IF(ISBLANK(AI39),"NO DATA",IF(ISNUMBER(FIND(CODES!$A$12,AI39)),CODES!$A$12,IF(OR(ISNUMBER(FIND(CODES!$A$10,AI39)),ISNUMBER(FIND(CODES!$A$11,AI39))),CODES!$A$13,IF(OR(AI39&lt;AI$63,ISNUMBER(AI39)=FALSE),AI$64,AI39))))</f>
      </c>
      <c r="AJ91" s="9" t="str">
        <f>IF(ISBLANK(AJ39),"NO DATA",IF(ISNUMBER(FIND(CODES!$A$12,AJ39)),CODES!$A$12,IF(OR(ISNUMBER(FIND(CODES!$A$10,AJ39)),ISNUMBER(FIND(CODES!$A$11,AJ39))),CODES!$A$13,IF(OR(AJ39&lt;AJ$63,ISNUMBER(AJ39)=FALSE),AJ$64,AJ39))))</f>
      </c>
      <c r="AK91" s="9" t="str">
        <f>IF(ISBLANK(AK39),"NO DATA",IF(ISNUMBER(FIND(CODES!$A$12,AK39)),CODES!$A$12,IF(OR(ISNUMBER(FIND(CODES!$A$10,AK39)),ISNUMBER(FIND(CODES!$A$11,AK39))),CODES!$A$13,IF(OR(AK39&lt;AK$63,ISNUMBER(AK39)=FALSE),AK$64,AK39))))</f>
      </c>
      <c r="AL91" s="9" t="str">
        <f>IF(ISBLANK(AL39),"NO DATA",IF(ISNUMBER(FIND(CODES!$A$12,AL39)),CODES!$A$12,IF(OR(ISNUMBER(FIND(CODES!$A$10,AL39)),ISNUMBER(FIND(CODES!$A$11,AL39))),CODES!$A$13,IF(OR(AL39&lt;AL$63,ISNUMBER(AL39)=FALSE),AL$64,AL39))))</f>
      </c>
      <c r="AM91" s="9" t="str">
        <f>IF(ISBLANK(AM39),"NO DATA",IF(ISNUMBER(FIND(CODES!$A$12,AM39)),CODES!$A$12,IF(OR(ISNUMBER(FIND(CODES!$A$10,AM39)),ISNUMBER(FIND(CODES!$A$11,AM39))),CODES!$A$13,IF(OR(AM39&lt;AM$63,ISNUMBER(AM39)=FALSE),AM$64,AM39))))</f>
      </c>
      <c r="AN91" s="9" t="str">
        <f>IF(ISBLANK(AN39),"NO DATA",IF(ISNUMBER(FIND(CODES!$A$12,AN39)),CODES!$A$12,IF(OR(ISNUMBER(FIND(CODES!$A$10,AN39)),ISNUMBER(FIND(CODES!$A$11,AN39))),CODES!$A$13,IF(OR(AN39&lt;AN$63,ISNUMBER(AN39)=FALSE),AN$64,AN39))))</f>
      </c>
      <c r="AO91" s="9" t="str">
        <f>IF(ISBLANK(AO39),"NO DATA",IF(ISNUMBER(FIND(CODES!$A$12,AO39)),CODES!$A$12,IF(OR(ISNUMBER(FIND(CODES!$A$10,AO39)),ISNUMBER(FIND(CODES!$A$11,AO39))),CODES!$A$13,IF(OR(AO39&lt;AO$63,ISNUMBER(AO39)=FALSE),AO$64,AO39))))</f>
      </c>
      <c r="AP91" s="9" t="str">
        <f>IF(ISBLANK(AP39),"NO DATA",IF(ISNUMBER(FIND(CODES!$A$12,AP39)),CODES!$A$12,IF(OR(ISNUMBER(FIND(CODES!$A$10,AP39)),ISNUMBER(FIND(CODES!$A$11,AP39))),CODES!$A$13,IF(OR(AP39&lt;AP$63,ISNUMBER(AP39)=FALSE),AP$64,AP39))))</f>
      </c>
      <c r="AQ91" s="9" t="str">
        <f>IF(ISBLANK(AQ39),"NO DATA",IF(ISNUMBER(FIND(CODES!$A$12,AQ39)),CODES!$A$12,IF(OR(ISNUMBER(FIND(CODES!$A$10,AQ39)),ISNUMBER(FIND(CODES!$A$11,AQ39))),CODES!$A$13,IF(OR(AQ39&lt;AQ$63,ISNUMBER(AQ39)=FALSE),AQ$64,AQ39))))</f>
      </c>
      <c r="AR91" s="9" t="str">
        <f>IF(ISBLANK(AR39),"NO DATA",IF(ISNUMBER(FIND(CODES!$A$12,AR39)),CODES!$A$12,IF(OR(ISNUMBER(FIND(CODES!$A$10,AR39)),ISNUMBER(FIND(CODES!$A$11,AR39))),CODES!$A$13,IF(OR(AR39&lt;AR$63,ISNUMBER(AR39)=FALSE),AR$64,AR39))))</f>
      </c>
      <c r="AS91" s="9" t="str">
        <f>IF(ISBLANK(AS39),"NO DATA",IF(ISNUMBER(FIND(CODES!$A$12,AS39)),CODES!$A$12,IF(OR(ISNUMBER(FIND(CODES!$A$10,AS39)),ISNUMBER(FIND(CODES!$A$11,AS39))),CODES!$A$13,IF(OR(AS39&lt;AS$63,ISNUMBER(AS39)=FALSE),AS$64,AS39))))</f>
      </c>
      <c r="AT91" s="9" t="str">
        <f>IF(ISBLANK(AT39),"NO DATA",IF(ISNUMBER(FIND(CODES!$A$12,AT39)),CODES!$A$12,IF(OR(ISNUMBER(FIND(CODES!$A$10,AT39)),ISNUMBER(FIND(CODES!$A$11,AT39))),CODES!$A$13,IF(OR(AT39&lt;AT$63,ISNUMBER(AT39)=FALSE),AT$64,AT39))))</f>
      </c>
      <c r="AU91" s="9" t="str">
        <f>IF(ISBLANK(AU39),"NO DATA",IF(ISNUMBER(FIND(CODES!$A$12,AU39)),CODES!$A$12,IF(OR(ISNUMBER(FIND(CODES!$A$10,AU39)),ISNUMBER(FIND(CODES!$A$11,AU39))),CODES!$A$13,IF(OR(AU39&lt;AU$63,ISNUMBER(AU39)=FALSE),AU$64,AU39))))</f>
      </c>
      <c r="AV91" s="9" t="str">
        <f>IF(ISBLANK(AV39),"NO DATA",IF(ISNUMBER(FIND(CODES!$A$12,AV39)),CODES!$A$12,IF(OR(ISNUMBER(FIND(CODES!$A$10,AV39)),ISNUMBER(FIND(CODES!$A$11,AV39))),CODES!$A$13,IF(OR(AV39&lt;AV$63,ISNUMBER(AV39)=FALSE),AV$64,AV39))))</f>
      </c>
      <c r="AW91" s="9" t="str">
        <f>IF(ISBLANK(AW39),"NO DATA",IF(ISNUMBER(FIND(CODES!$A$12,AW39)),CODES!$A$12,IF(OR(ISNUMBER(FIND(CODES!$A$10,AW39)),ISNUMBER(FIND(CODES!$A$11,AW39))),CODES!$A$13,IF(OR(AW39&lt;AW$63,ISNUMBER(AW39)=FALSE),AW$64,AW39))))</f>
      </c>
      <c r="AX91" s="9" t="str">
        <f>IF(ISBLANK(AX39),"NO DATA",IF(ISNUMBER(FIND(CODES!$A$12,AX39)),CODES!$A$12,IF(OR(ISNUMBER(FIND(CODES!$A$10,AX39)),ISNUMBER(FIND(CODES!$A$11,AX39))),CODES!$A$13,IF(OR(AX39&lt;AX$63,ISNUMBER(AX39)=FALSE),AX$64,AX39))))</f>
      </c>
      <c r="AY91" s="9" t="str">
        <f>IF(ISBLANK(AY39),"NO DATA",IF(ISNUMBER(FIND(CODES!$A$12,AY39)),CODES!$A$12,IF(OR(ISNUMBER(FIND(CODES!$A$10,AY39)),ISNUMBER(FIND(CODES!$A$11,AY39))),CODES!$A$13,IF(OR(AY39&lt;AY$63,ISNUMBER(AY39)=FALSE),AY$64,AY39))))</f>
      </c>
      <c r="AZ91" s="9" t="str">
        <f>IF(ISBLANK(AZ39),"NO DATA",IF(ISNUMBER(FIND(CODES!$A$12,AZ39)),CODES!$A$12,IF(OR(ISNUMBER(FIND(CODES!$A$10,AZ39)),ISNUMBER(FIND(CODES!$A$11,AZ39))),CODES!$A$13,IF(OR(AZ39&lt;AZ$63,ISNUMBER(AZ39)=FALSE),AZ$64,AZ39))))</f>
      </c>
      <c r="BA91" s="9" t="str">
        <f>IF(ISBLANK(BA39),"NO DATA",IF(ISNUMBER(FIND(CODES!$A$12,BA39)),CODES!$A$12,IF(OR(ISNUMBER(FIND(CODES!$A$10,BA39)),ISNUMBER(FIND(CODES!$A$11,BA39))),CODES!$A$13,IF(OR(BA39&lt;BA$63,ISNUMBER(BA39)=FALSE),BA$64,BA39))))</f>
      </c>
      <c r="BB91" s="9" t="str">
        <f>IF(ISBLANK(BB39),"NO DATA",IF(ISNUMBER(FIND(CODES!$A$12,BB39)),CODES!$A$12,IF(OR(ISNUMBER(FIND(CODES!$A$10,BB39)),ISNUMBER(FIND(CODES!$A$11,BB39))),CODES!$A$13,IF(OR(BB39&lt;BB$63,ISNUMBER(BB39)=FALSE),BB$64,BB39))))</f>
      </c>
      <c r="BC91" s="9" t="str">
        <f>IF(ISBLANK(BC39),"NO DATA",IF(ISNUMBER(FIND(CODES!$A$12,BC39)),CODES!$A$12,IF(OR(ISNUMBER(FIND(CODES!$A$10,BC39)),ISNUMBER(FIND(CODES!$A$11,BC39))),CODES!$A$13,IF(OR(BC39&lt;BC$63,ISNUMBER(BC39)=FALSE),BC$64,BC39))))</f>
      </c>
      <c r="BD91" s="9" t="str">
        <f>IF(ISBLANK(BD39),"NO DATA",IF(ISNUMBER(FIND(CODES!$A$12,BD39)),CODES!$A$12,IF(OR(ISNUMBER(FIND(CODES!$A$10,BD39)),ISNUMBER(FIND(CODES!$A$11,BD39))),CODES!$A$13,IF(OR(BD39&lt;BD$63,ISNUMBER(BD39)=FALSE),BD$64,BD39))))</f>
      </c>
      <c r="BE91" s="9" t="str">
        <f>IF(ISBLANK(BE39),"NO DATA",IF(ISNUMBER(FIND(CODES!$A$12,BE39)),CODES!$A$12,IF(OR(ISNUMBER(FIND(CODES!$A$10,BE39)),ISNUMBER(FIND(CODES!$A$11,BE39))),CODES!$A$13,IF(OR(BE39&lt;BE$63,ISNUMBER(BE39)=FALSE),BE$64,BE39))))</f>
      </c>
      <c r="BF91" s="9" t="str">
        <f>IF(ISBLANK(BF39),"NO DATA",IF(ISNUMBER(FIND(CODES!$A$12,BF39)),CODES!$A$12,IF(OR(ISNUMBER(FIND(CODES!$A$10,BF39)),ISNUMBER(FIND(CODES!$A$11,BF39))),CODES!$A$13,IF(OR(BF39&lt;BF$63,ISNUMBER(BF39)=FALSE),BF$64,BF39))))</f>
      </c>
      <c r="BG91" s="9" t="str">
        <f>IF(ISBLANK(BG39),"NO DATA",IF(ISNUMBER(FIND(CODES!$A$12,BG39)),CODES!$A$12,IF(OR(ISNUMBER(FIND(CODES!$A$10,BG39)),ISNUMBER(FIND(CODES!$A$11,BG39))),CODES!$A$13,IF(OR(BG39&lt;BG$63,ISNUMBER(BG39)=FALSE),BG$64,BG39))))</f>
      </c>
      <c r="BH91" s="9" t="str">
        <f>IF(ISBLANK(BH39),"NO DATA",IF(ISNUMBER(FIND(CODES!$A$12,BH39)),CODES!$A$12,IF(OR(ISNUMBER(FIND(CODES!$A$10,BH39)),ISNUMBER(FIND(CODES!$A$11,BH39))),CODES!$A$13,IF(OR(BH39&lt;BH$63,ISNUMBER(BH39)=FALSE),BH$64,BH39))))</f>
      </c>
      <c r="BI91" s="9" t="str">
        <f>IF(ISBLANK(BI39),"NO DATA",IF(ISNUMBER(FIND(CODES!$A$12,BI39)),CODES!$A$12,IF(OR(ISNUMBER(FIND(CODES!$A$10,BI39)),ISNUMBER(FIND(CODES!$A$11,BI39))),CODES!$A$13,IF(OR(BI39&lt;BI$63,ISNUMBER(BI39)=FALSE),BI$64,BI39))))</f>
      </c>
      <c r="BJ91" s="9" t="str">
        <f>IF(ISBLANK(BJ39),"NO DATA",IF(ISNUMBER(FIND(CODES!$A$12,BJ39)),CODES!$A$12,IF(OR(ISNUMBER(FIND(CODES!$A$10,BJ39)),ISNUMBER(FIND(CODES!$A$11,BJ39))),CODES!$A$13,IF(OR(BJ39&lt;BJ$63,ISNUMBER(BJ39)=FALSE),BJ$64,BJ39))))</f>
      </c>
      <c r="BK91" s="9" t="str">
        <f>IF(ISBLANK(BK39),"NO DATA",IF(ISNUMBER(FIND(CODES!$A$12,BK39)),CODES!$A$12,IF(OR(ISNUMBER(FIND(CODES!$A$10,BK39)),ISNUMBER(FIND(CODES!$A$11,BK39))),CODES!$A$13,IF(OR(BK39&lt;BK$63,ISNUMBER(BK39)=FALSE),BK$64,BK39))))</f>
      </c>
      <c r="BL91" s="9" t="str">
        <f>IF(ISBLANK(BL39),"NO DATA",IF(ISNUMBER(FIND(CODES!$A$12,BL39)),CODES!$A$12,IF(OR(ISNUMBER(FIND(CODES!$A$10,BL39)),ISNUMBER(FIND(CODES!$A$11,BL39))),CODES!$A$13,IF(OR(BL39&lt;BL$63,ISNUMBER(BL39)=FALSE),BL$64,BL39))))</f>
      </c>
      <c r="BM91" s="9" t="str">
        <f>IF(ISBLANK(BM39),"NO DATA",IF(ISNUMBER(FIND(CODES!$A$12,BM39)),CODES!$A$12,IF(OR(ISNUMBER(FIND(CODES!$A$10,BM39)),ISNUMBER(FIND(CODES!$A$11,BM39))),CODES!$A$13,IF(OR(BM39&lt;BM$63,ISNUMBER(BM39)=FALSE),BM$64,BM39))))</f>
      </c>
      <c r="BN91" s="9" t="str">
        <f>IF(ISBLANK(BN39),"NO DATA",IF(ISNUMBER(FIND(CODES!$A$12,BN39)),CODES!$A$12,IF(OR(ISNUMBER(FIND(CODES!$A$10,BN39)),ISNUMBER(FIND(CODES!$A$11,BN39))),CODES!$A$13,IF(OR(BN39&lt;BN$63,ISNUMBER(BN39)=FALSE),BN$64,BN39))))</f>
      </c>
      <c r="BO91" s="9" t="str">
        <f>IF(ISBLANK(BO39),"NO DATA",IF(ISNUMBER(FIND(CODES!$A$12,BO39)),CODES!$A$12,IF(OR(ISNUMBER(FIND(CODES!$A$10,BO39)),ISNUMBER(FIND(CODES!$A$11,BO39))),CODES!$A$13,IF(OR(BO39&lt;BO$63,ISNUMBER(BO39)=FALSE),BO$64,BO39))))</f>
      </c>
      <c r="BP91" s="9" t="str">
        <f>IF(ISBLANK(BP39),"NO DATA",IF(ISNUMBER(FIND(CODES!$A$12,BP39)),CODES!$A$12,IF(OR(ISNUMBER(FIND(CODES!$A$10,BP39)),ISNUMBER(FIND(CODES!$A$11,BP39))),CODES!$A$13,IF(OR(BP39&lt;BP$63,ISNUMBER(BP39)=FALSE),BP$64,BP39))))</f>
      </c>
      <c r="BQ91" s="9" t="str">
        <f>IF(ISBLANK(BQ39),"NO DATA",IF(ISNUMBER(FIND(CODES!$A$12,BQ39)),CODES!$A$12,IF(OR(ISNUMBER(FIND(CODES!$A$10,BQ39)),ISNUMBER(FIND(CODES!$A$11,BQ39))),CODES!$A$13,IF(OR(BQ39&lt;BQ$63,ISNUMBER(BQ39)=FALSE),BQ$64,BQ39))))</f>
      </c>
      <c r="BR91" s="9" t="str">
        <f>IF(ISBLANK(BR39),"NO DATA",IF(ISNUMBER(FIND(CODES!$A$12,BR39)),CODES!$A$12,IF(OR(ISNUMBER(FIND(CODES!$A$10,BR39)),ISNUMBER(FIND(CODES!$A$11,BR39))),CODES!$A$13,IF(OR(BR39&lt;BR$63,ISNUMBER(BR39)=FALSE),BR$64,BR39))))</f>
      </c>
      <c r="BS91" s="9" t="str">
        <f>IF(ISBLANK(BS39),"NO DATA",IF(ISNUMBER(FIND(CODES!$A$12,BS39)),CODES!$A$12,IF(OR(ISNUMBER(FIND(CODES!$A$10,BS39)),ISNUMBER(FIND(CODES!$A$11,BS39))),CODES!$A$13,IF(OR(BS39&lt;BS$63,ISNUMBER(BS39)=FALSE),BS$64,BS39))))</f>
      </c>
      <c r="BT91" s="9" t="str">
        <f>IF(ISBLANK(BT39),"NO DATA",IF(ISNUMBER(FIND(CODES!$A$12,BT39)),CODES!$A$12,IF(OR(ISNUMBER(FIND(CODES!$A$10,BT39)),ISNUMBER(FIND(CODES!$A$11,BT39))),CODES!$A$13,IF(OR(BT39&lt;BT$63,ISNUMBER(BT39)=FALSE),BT$64,BT39))))</f>
      </c>
      <c r="BU91" s="9" t="str">
        <f>IF(ISBLANK(BU39),"NO DATA",IF(ISNUMBER(FIND(CODES!$A$12,BU39)),CODES!$A$12,IF(OR(ISNUMBER(FIND(CODES!$A$10,BU39)),ISNUMBER(FIND(CODES!$A$11,BU39))),CODES!$A$13,IF(OR(BU39&lt;BU$63,ISNUMBER(BU39)=FALSE),BU$64,BU39))))</f>
      </c>
      <c r="BV91" s="9" t="str">
        <f>IF(ISBLANK(BV39),"NO DATA",IF(ISNUMBER(FIND(CODES!$A$12,BV39)),CODES!$A$12,IF(OR(ISNUMBER(FIND(CODES!$A$10,BV39)),ISNUMBER(FIND(CODES!$A$11,BV39))),CODES!$A$13,IF(OR(BV39&lt;BV$63,ISNUMBER(BV39)=FALSE),BV$64,BV39))))</f>
      </c>
      <c r="BW91" s="9" t="str">
        <f>IF(ISBLANK(BW39),"NO DATA",IF(ISNUMBER(FIND(CODES!$A$12,BW39)),CODES!$A$12,IF(OR(ISNUMBER(FIND(CODES!$A$10,BW39)),ISNUMBER(FIND(CODES!$A$11,BW39))),CODES!$A$13,IF(OR(BW39&lt;BW$63,ISNUMBER(BW39)=FALSE),BW$64,BW39))))</f>
      </c>
      <c r="BX91" s="9" t="str">
        <f>IF(ISBLANK(BX39),"NO DATA",IF(ISNUMBER(FIND(CODES!$A$12,BX39)),CODES!$A$12,IF(OR(ISNUMBER(FIND(CODES!$A$10,BX39)),ISNUMBER(FIND(CODES!$A$11,BX39))),CODES!$A$13,IF(OR(BX39&lt;BX$63,ISNUMBER(BX39)=FALSE),BX$64,BX39))))</f>
      </c>
      <c r="BY91" s="9" t="str">
        <f>IF(ISBLANK(BY39),"NO DATA",IF(ISNUMBER(FIND(CODES!$A$12,BY39)),CODES!$A$12,IF(OR(ISNUMBER(FIND(CODES!$A$10,BY39)),ISNUMBER(FIND(CODES!$A$11,BY39))),CODES!$A$13,IF(OR(BY39&lt;BY$63,ISNUMBER(BY39)=FALSE),BY$64,BY39))))</f>
      </c>
      <c r="BZ91" s="9" t="str">
        <f>IF(ISBLANK(BZ39),"NO DATA",IF(ISNUMBER(FIND(CODES!$A$12,BZ39)),CODES!$A$12,IF(OR(ISNUMBER(FIND(CODES!$A$10,BZ39)),ISNUMBER(FIND(CODES!$A$11,BZ39))),CODES!$A$13,IF(OR(BZ39&lt;BZ$63,ISNUMBER(BZ39)=FALSE),BZ$64,BZ39))))</f>
      </c>
      <c r="CA91" s="9" t="str">
        <f>IF(ISBLANK(CA39),"NO DATA",IF(ISNUMBER(FIND(CODES!$A$12,CA39)),CODES!$A$12,IF(OR(ISNUMBER(FIND(CODES!$A$10,CA39)),ISNUMBER(FIND(CODES!$A$11,CA39))),CODES!$A$13,IF(OR(CA39&lt;CA$63,ISNUMBER(CA39)=FALSE),CA$64,CA39))))</f>
      </c>
      <c r="CB91" s="9" t="str">
        <f>IF(ISBLANK(CB39),"NO DATA",IF(ISNUMBER(FIND(CODES!$A$12,CB39)),CODES!$A$12,IF(OR(ISNUMBER(FIND(CODES!$A$10,CB39)),ISNUMBER(FIND(CODES!$A$11,CB39))),CODES!$A$13,IF(OR(CB39&lt;CB$63,ISNUMBER(CB39)=FALSE),CB$64,CB39))))</f>
      </c>
      <c r="CC91" s="9" t="str">
        <f>IF(ISBLANK(CC39),"NO DATA",IF(ISNUMBER(FIND(CODES!$A$12,CC39)),CODES!$A$12,IF(OR(ISNUMBER(FIND(CODES!$A$10,CC39)),ISNUMBER(FIND(CODES!$A$11,CC39))),CODES!$A$13,IF(OR(CC39&lt;CC$63,ISNUMBER(CC39)=FALSE),CC$64,CC39))))</f>
      </c>
      <c r="CD91" s="9" t="str">
        <f>IF(ISBLANK(CD39),"NO DATA",IF(ISNUMBER(FIND(CODES!$A$12,CD39)),CODES!$A$12,IF(OR(ISNUMBER(FIND(CODES!$A$10,CD39)),ISNUMBER(FIND(CODES!$A$11,CD39))),CODES!$A$13,IF(OR(CD39&lt;CD$63,ISNUMBER(CD39)=FALSE),CD$64,CD39))))</f>
      </c>
      <c r="CE91" s="9" t="str">
        <f>IF(ISBLANK(CE39),"NO DATA",IF(ISNUMBER(FIND(CODES!$A$12,CE39)),CODES!$A$12,IF(OR(ISNUMBER(FIND(CODES!$A$10,CE39)),ISNUMBER(FIND(CODES!$A$11,CE39))),CODES!$A$13,IF(OR(CE39&lt;CE$63,ISNUMBER(CE39)=FALSE),CE$64,CE39))))</f>
      </c>
      <c r="CF91" s="9" t="str">
        <f>IF(ISBLANK(CF39),"NO DATA",IF(ISNUMBER(FIND(CODES!$A$12,CF39)),CODES!$A$12,IF(OR(ISNUMBER(FIND(CODES!$A$10,CF39)),ISNUMBER(FIND(CODES!$A$11,CF39))),CODES!$A$13,IF(OR(CF39&lt;CF$63,ISNUMBER(CF39)=FALSE),CF$64,CF39))))</f>
      </c>
      <c r="CG91" s="9" t="str">
        <f>IF(ISBLANK(CG39),"NO DATA",IF(ISNUMBER(FIND(CODES!$A$12,CG39)),CODES!$A$12,IF(OR(ISNUMBER(FIND(CODES!$A$10,CG39)),ISNUMBER(FIND(CODES!$A$11,CG39))),CODES!$A$13,IF(OR(CG39&lt;CG$63,ISNUMBER(CG39)=FALSE),CG$64,CG39))))</f>
      </c>
      <c r="CH91" s="9" t="str">
        <f>IF(ISBLANK(CH39),"NO DATA",IF(ISNUMBER(FIND(CODES!$A$12,CH39)),CODES!$A$12,IF(OR(ISNUMBER(FIND(CODES!$A$10,CH39)),ISNUMBER(FIND(CODES!$A$11,CH39))),CODES!$A$13,IF(OR(CH39&lt;CH$63,ISNUMBER(CH39)=FALSE),CH$64,CH39))))</f>
      </c>
      <c r="CI91" s="9" t="str">
        <f>IF(ISBLANK(CI39),"NO DATA",IF(ISNUMBER(FIND(CODES!$A$12,CI39)),CODES!$A$12,IF(OR(ISNUMBER(FIND(CODES!$A$10,CI39)),ISNUMBER(FIND(CODES!$A$11,CI39))),CODES!$A$13,IF(OR(CI39&lt;CI$63,ISNUMBER(CI39)=FALSE),CI$64,CI39))))</f>
      </c>
      <c r="CJ91" s="9" t="str">
        <f>IF(ISBLANK(CJ39),"NO DATA",IF(ISNUMBER(FIND(CODES!$A$12,CJ39)),CODES!$A$12,IF(OR(ISNUMBER(FIND(CODES!$A$10,CJ39)),ISNUMBER(FIND(CODES!$A$11,CJ39))),CODES!$A$13,IF(OR(CJ39&lt;CJ$63,ISNUMBER(CJ39)=FALSE),CJ$64,CJ39))))</f>
      </c>
      <c r="CK91" s="9" t="str">
        <f>IF(ISBLANK(CK39),"NO DATA",IF(ISNUMBER(FIND(CODES!$A$12,CK39)),CODES!$A$12,IF(OR(ISNUMBER(FIND(CODES!$A$10,CK39)),ISNUMBER(FIND(CODES!$A$11,CK39))),CODES!$A$13,IF(OR(CK39&lt;CK$63,ISNUMBER(CK39)=FALSE),CK$64,CK39))))</f>
      </c>
      <c r="CL91" s="9" t="str">
        <f>IF(ISBLANK(CL39),"NO DATA",IF(ISNUMBER(FIND(CODES!$A$12,CL39)),CODES!$A$12,IF(OR(ISNUMBER(FIND(CODES!$A$10,CL39)),ISNUMBER(FIND(CODES!$A$11,CL39))),CODES!$A$13,IF(OR(CL39&lt;CL$63,ISNUMBER(CL39)=FALSE),CL$64,CL39))))</f>
      </c>
      <c r="CM91" s="9" t="str">
        <f>IF(ISBLANK(CM39),"NO DATA",IF(ISNUMBER(FIND(CODES!$A$12,CM39)),CODES!$A$12,IF(OR(ISNUMBER(FIND(CODES!$A$10,CM39)),ISNUMBER(FIND(CODES!$A$11,CM39))),CODES!$A$13,IF(OR(CM39&lt;CM$63,ISNUMBER(CM39)=FALSE),CM$64,CM39))))</f>
      </c>
      <c r="CN91" s="9" t="str">
        <f>IF(ISBLANK(CN39),"NO DATA",IF(ISNUMBER(FIND(CODES!$A$12,CN39)),CODES!$A$12,IF(OR(ISNUMBER(FIND(CODES!$A$10,CN39)),ISNUMBER(FIND(CODES!$A$11,CN39))),CODES!$A$13,IF(OR(CN39&lt;CN$63,ISNUMBER(CN39)=FALSE),CN$64,CN39))))</f>
      </c>
      <c r="CO91" s="9" t="str">
        <f>IF(ISBLANK(CO39),"NO DATA",IF(ISNUMBER(FIND(CODES!$A$12,CO39)),CODES!$A$12,IF(OR(ISNUMBER(FIND(CODES!$A$10,CO39)),ISNUMBER(FIND(CODES!$A$11,CO39))),CODES!$A$13,IF(OR(CO39&lt;CO$63,ISNUMBER(CO39)=FALSE),CO$64,CO39))))</f>
      </c>
      <c r="CP91" s="9" t="str">
        <f>IF(ISBLANK(CP39),"NO DATA",IF(ISNUMBER(FIND(CODES!$A$12,CP39)),CODES!$A$12,IF(OR(ISNUMBER(FIND(CODES!$A$10,CP39)),ISNUMBER(FIND(CODES!$A$11,CP39))),CODES!$A$13,IF(OR(CP39&lt;CP$63,ISNUMBER(CP39)=FALSE),CP$64,CP39))))</f>
      </c>
      <c r="CQ91" s="9" t="str">
        <f>IF(ISBLANK(CQ39),"NO DATA",IF(ISNUMBER(FIND(CODES!$A$12,CQ39)),CODES!$A$12,IF(OR(ISNUMBER(FIND(CODES!$A$10,CQ39)),ISNUMBER(FIND(CODES!$A$11,CQ39))),CODES!$A$13,IF(OR(CQ39&lt;CQ$63,ISNUMBER(CQ39)=FALSE),CQ$64,CQ39))))</f>
      </c>
      <c r="CR91" s="9" t="str">
        <f>IF(ISBLANK(CR39),"NO DATA",IF(ISNUMBER(FIND(CODES!$A$12,CR39)),CODES!$A$12,IF(OR(ISNUMBER(FIND(CODES!$A$10,CR39)),ISNUMBER(FIND(CODES!$A$11,CR39))),CODES!$A$13,IF(OR(CR39&lt;CR$63,ISNUMBER(CR39)=FALSE),CR$64,CR39))))</f>
      </c>
      <c r="CS91" s="9" t="str">
        <f>IF(ISBLANK(CS39),"NO DATA",IF(ISNUMBER(FIND(CODES!$A$12,CS39)),CODES!$A$12,IF(OR(ISNUMBER(FIND(CODES!$A$10,CS39)),ISNUMBER(FIND(CODES!$A$11,CS39))),CODES!$A$13,IF(OR(CS39&lt;CS$63,ISNUMBER(CS39)=FALSE),CS$64,CS39))))</f>
      </c>
      <c r="CT91" s="9" t="str">
        <f>IF(ISBLANK(CT39),"NO DATA",IF(ISNUMBER(FIND(CODES!$A$12,CT39)),CODES!$A$12,IF(OR(ISNUMBER(FIND(CODES!$A$10,CT39)),ISNUMBER(FIND(CODES!$A$11,CT39))),CODES!$A$13,IF(OR(CT39&lt;CT$63,ISNUMBER(CT39)=FALSE),CT$64,CT39))))</f>
      </c>
      <c r="CU91" s="9" t="str">
        <f>IF(ISBLANK(CU39),"NO DATA",IF(ISNUMBER(FIND(CODES!$A$12,CU39)),CODES!$A$12,IF(OR(ISNUMBER(FIND(CODES!$A$10,CU39)),ISNUMBER(FIND(CODES!$A$11,CU39))),CODES!$A$13,IF(OR(CU39&lt;CU$63,ISNUMBER(CU39)=FALSE),CU$64,CU39))))</f>
      </c>
      <c r="CV91" s="9" t="str">
        <f>IF(ISBLANK(CV39),"NO DATA",IF(ISNUMBER(FIND(CODES!$A$12,CV39)),CODES!$A$12,IF(OR(ISNUMBER(FIND(CODES!$A$10,CV39)),ISNUMBER(FIND(CODES!$A$11,CV39))),CODES!$A$13,IF(OR(CV39&lt;CV$63,ISNUMBER(CV39)=FALSE),CV$64,CV39))))</f>
      </c>
      <c r="CW91" s="9" t="str">
        <f>IF(ISBLANK(CW39),"NO DATA",IF(ISNUMBER(FIND(CODES!$A$12,CW39)),CODES!$A$12,IF(OR(ISNUMBER(FIND(CODES!$A$10,CW39)),ISNUMBER(FIND(CODES!$A$11,CW39))),CODES!$A$13,IF(OR(CW39&lt;CW$63,ISNUMBER(CW39)=FALSE),CW$64,CW39))))</f>
      </c>
      <c r="CX91" s="9" t="str">
        <f>IF(ISBLANK(CX39),"NO DATA",IF(ISNUMBER(FIND(CODES!$A$12,CX39)),CODES!$A$12,IF(OR(ISNUMBER(FIND(CODES!$A$10,CX39)),ISNUMBER(FIND(CODES!$A$11,CX39))),CODES!$A$13,IF(OR(CX39&lt;CX$63,ISNUMBER(CX39)=FALSE),CX$64,CX39))))</f>
      </c>
      <c r="CY91" s="9" t="str">
        <f>IF(ISBLANK(CY39),"NO DATA",IF(ISNUMBER(FIND(CODES!$A$12,CY39)),CODES!$A$12,IF(OR(ISNUMBER(FIND(CODES!$A$10,CY39)),ISNUMBER(FIND(CODES!$A$11,CY39))),CODES!$A$13,IF(OR(CY39&lt;CY$63,ISNUMBER(CY39)=FALSE),CY$64,CY39))))</f>
      </c>
      <c r="CZ91" s="9" t="str">
        <f>IF(ISBLANK(CZ39),"NO DATA",IF(ISNUMBER(FIND(CODES!$A$12,CZ39)),CODES!$A$12,IF(OR(ISNUMBER(FIND(CODES!$A$10,CZ39)),ISNUMBER(FIND(CODES!$A$11,CZ39))),CODES!$A$13,IF(OR(CZ39&lt;CZ$63,ISNUMBER(CZ39)=FALSE),CZ$64,CZ39))))</f>
      </c>
      <c r="DA91" s="9" t="str">
        <f>IF(ISBLANK(DA39),"NO DATA",IF(ISNUMBER(FIND(CODES!$A$12,DA39)),CODES!$A$12,IF(OR(ISNUMBER(FIND(CODES!$A$10,DA39)),ISNUMBER(FIND(CODES!$A$11,DA39))),CODES!$A$13,IF(OR(DA39&lt;DA$63,ISNUMBER(DA39)=FALSE),DA$64,DA39))))</f>
      </c>
      <c r="DB91" s="9" t="str">
        <f>IF(ISBLANK(DB39),"NO DATA",IF(ISNUMBER(FIND(CODES!$A$12,DB39)),CODES!$A$12,IF(OR(ISNUMBER(FIND(CODES!$A$10,DB39)),ISNUMBER(FIND(CODES!$A$11,DB39))),CODES!$A$13,IF(OR(DB39&lt;DB$63,ISNUMBER(DB39)=FALSE),DB$64,DB39))))</f>
      </c>
      <c r="DC91" s="9" t="str">
        <f>IF(ISBLANK(DC39),"NO DATA",IF(ISNUMBER(FIND(CODES!$A$12,DC39)),CODES!$A$12,IF(OR(ISNUMBER(FIND(CODES!$A$10,DC39)),ISNUMBER(FIND(CODES!$A$11,DC39))),CODES!$A$13,IF(OR(DC39&lt;DC$63,ISNUMBER(DC39)=FALSE),DC$64,DC39))))</f>
      </c>
      <c r="DD91" s="9" t="str">
        <f>IF(ISBLANK(DD39),"NO DATA",IF(ISNUMBER(FIND(CODES!$A$12,DD39)),CODES!$A$12,IF(OR(ISNUMBER(FIND(CODES!$A$10,DD39)),ISNUMBER(FIND(CODES!$A$11,DD39))),CODES!$A$13,IF(OR(DD39&lt;DD$63,ISNUMBER(DD39)=FALSE),DD$64,DD39))))</f>
      </c>
      <c r="DE91" s="9" t="str">
        <f>IF(ISBLANK(DE39),"NO DATA",IF(ISNUMBER(FIND(CODES!$A$12,DE39)),CODES!$A$12,IF(OR(ISNUMBER(FIND(CODES!$A$10,DE39)),ISNUMBER(FIND(CODES!$A$11,DE39))),CODES!$A$13,IF(OR(DE39&lt;DE$63,ISNUMBER(DE39)=FALSE),DE$64,DE39))))</f>
      </c>
      <c r="DF91" s="9" t="str">
        <f>IF(ISBLANK(DF39),"NO DATA",IF(ISNUMBER(FIND(CODES!$A$12,DF39)),CODES!$A$12,IF(OR(ISNUMBER(FIND(CODES!$A$10,DF39)),ISNUMBER(FIND(CODES!$A$11,DF39))),CODES!$A$13,IF(OR(DF39&lt;DF$63,ISNUMBER(DF39)=FALSE),DF$64,DF39))))</f>
      </c>
      <c r="DG91" s="9" t="str">
        <f>IF(ISBLANK(DG39),"NO DATA",IF(ISNUMBER(FIND(CODES!$A$12,DG39)),CODES!$A$12,IF(OR(ISNUMBER(FIND(CODES!$A$10,DG39)),ISNUMBER(FIND(CODES!$A$11,DG39))),CODES!$A$13,IF(OR(DG39&lt;DG$63,ISNUMBER(DG39)=FALSE),DG$64,DG39))))</f>
      </c>
      <c r="DH91" s="9" t="str">
        <f>IF(ISBLANK(DH39),"NO DATA",IF(ISNUMBER(FIND(CODES!$A$12,DH39)),CODES!$A$12,IF(OR(ISNUMBER(FIND(CODES!$A$10,DH39)),ISNUMBER(FIND(CODES!$A$11,DH39))),CODES!$A$13,IF(OR(DH39&lt;DH$63,ISNUMBER(DH39)=FALSE),DH$64,DH39))))</f>
      </c>
      <c r="DI91" s="9" t="str">
        <f>IF(ISBLANK(DI39),"NO DATA",IF(ISNUMBER(FIND(CODES!$A$12,DI39)),CODES!$A$12,IF(OR(ISNUMBER(FIND(CODES!$A$10,DI39)),ISNUMBER(FIND(CODES!$A$11,DI39))),CODES!$A$13,IF(OR(DI39&lt;DI$63,ISNUMBER(DI39)=FALSE),DI$64,DI39))))</f>
      </c>
    </row>
    <row r="92" spans="1:113" x14ac:dyDescent="0.25">
      <c r="A92" s="20" t="str">
        <f t="shared" si="5"/>
      </c>
      <c r="B92" s="20">
        <f t="shared" si="5"/>
      </c>
      <c r="C92" s="9" t="str">
        <f>IF(ISBLANK(C40),"NO DATA",IF(ISNUMBER(FIND(CODES!$A$12,C40)),CODES!$A$12,IF(OR(ISNUMBER(FIND(CODES!$A$10,C40)),ISNUMBER(FIND(CODES!$A$11,C40))),CODES!$A$13,IF(OR(C40&lt;C$63,ISNUMBER(C40)=FALSE),C$64,C40))))</f>
      </c>
      <c r="D92" s="9" t="str">
        <f>IF(ISBLANK(D40),"NO DATA",IF(ISNUMBER(FIND(CODES!$A$12,D40)),CODES!$A$12,IF(OR(ISNUMBER(FIND(CODES!$A$10,D40)),ISNUMBER(FIND(CODES!$A$11,D40))),CODES!$A$13,IF(OR(D40&lt;D$63,ISNUMBER(D40)=FALSE),D$64,D40))))</f>
      </c>
      <c r="E92" s="9" t="str">
        <f>IF(ISBLANK(E40),"NO DATA",IF(ISNUMBER(FIND(CODES!$A$12,E40)),CODES!$A$12,IF(OR(ISNUMBER(FIND(CODES!$A$10,E40)),ISNUMBER(FIND(CODES!$A$11,E40))),CODES!$A$13,IF(OR(E40&lt;E$63,ISNUMBER(E40)=FALSE),E$64,E40))))</f>
      </c>
      <c r="F92" s="9" t="str">
        <f>IF(ISBLANK(F40),"NO DATA",IF(ISNUMBER(FIND(CODES!$A$12,F40)),CODES!$A$12,IF(OR(ISNUMBER(FIND(CODES!$A$10,F40)),ISNUMBER(FIND(CODES!$A$11,F40))),CODES!$A$13,IF(OR(F40&lt;F$63,ISNUMBER(F40)=FALSE),F$64,F40))))</f>
      </c>
      <c r="G92" s="9" t="str">
        <f>IF(ISBLANK(G40),"NO DATA",IF(ISNUMBER(FIND(CODES!$A$12,G40)),CODES!$A$12,IF(OR(ISNUMBER(FIND(CODES!$A$10,G40)),ISNUMBER(FIND(CODES!$A$11,G40))),CODES!$A$13,IF(OR(G40&lt;G$63,ISNUMBER(G40)=FALSE),G$64,G40))))</f>
      </c>
      <c r="H92" s="9" t="str">
        <f>IF(ISBLANK(H40),"NO DATA",IF(ISNUMBER(FIND(CODES!$A$12,H40)),CODES!$A$12,IF(OR(ISNUMBER(FIND(CODES!$A$10,H40)),ISNUMBER(FIND(CODES!$A$11,H40))),CODES!$A$13,IF(OR(H40&lt;H$63,ISNUMBER(H40)=FALSE),H$64,H40))))</f>
      </c>
      <c r="I92" s="9" t="str">
        <f>IF(ISBLANK(I40),"NO DATA",IF(ISNUMBER(FIND(CODES!$A$12,I40)),CODES!$A$12,IF(OR(ISNUMBER(FIND(CODES!$A$10,I40)),ISNUMBER(FIND(CODES!$A$11,I40))),CODES!$A$13,IF(OR(I40&lt;I$63,ISNUMBER(I40)=FALSE),I$64,I40))))</f>
      </c>
      <c r="J92" s="9" t="str">
        <f>IF(ISBLANK(J40),"NO DATA",IF(ISNUMBER(FIND(CODES!$A$12,J40)),CODES!$A$12,IF(OR(ISNUMBER(FIND(CODES!$A$10,J40)),ISNUMBER(FIND(CODES!$A$11,J40))),CODES!$A$13,IF(OR(J40&lt;J$63,ISNUMBER(J40)=FALSE),J$64,J40))))</f>
      </c>
      <c r="K92" s="9" t="str">
        <f>IF(ISBLANK(K40),"NO DATA",IF(ISNUMBER(FIND(CODES!$A$12,K40)),CODES!$A$12,IF(OR(ISNUMBER(FIND(CODES!$A$10,K40)),ISNUMBER(FIND(CODES!$A$11,K40))),CODES!$A$13,IF(OR(K40&lt;K$63,ISNUMBER(K40)=FALSE),K$64,K40))))</f>
      </c>
      <c r="L92" s="9" t="str">
        <f>IF(ISBLANK(L40),"NO DATA",IF(ISNUMBER(FIND(CODES!$A$12,L40)),CODES!$A$12,IF(OR(ISNUMBER(FIND(CODES!$A$10,L40)),ISNUMBER(FIND(CODES!$A$11,L40))),CODES!$A$13,IF(OR(L40&lt;L$63,ISNUMBER(L40)=FALSE),L$64,L40))))</f>
      </c>
      <c r="M92" s="9" t="str">
        <f>IF(ISBLANK(M40),"NO DATA",IF(ISNUMBER(FIND(CODES!$A$12,M40)),CODES!$A$12,IF(OR(ISNUMBER(FIND(CODES!$A$10,M40)),ISNUMBER(FIND(CODES!$A$11,M40))),CODES!$A$13,IF(OR(M40&lt;M$63,ISNUMBER(M40)=FALSE),M$64,M40))))</f>
      </c>
      <c r="N92" s="9" t="str">
        <f>IF(ISBLANK(N40),"NO DATA",IF(ISNUMBER(FIND(CODES!$A$12,N40)),CODES!$A$12,IF(OR(ISNUMBER(FIND(CODES!$A$10,N40)),ISNUMBER(FIND(CODES!$A$11,N40))),CODES!$A$13,IF(OR(N40&lt;N$63,ISNUMBER(N40)=FALSE),N$64,N40))))</f>
      </c>
      <c r="O92" s="9" t="str">
        <f>IF(ISBLANK(O40),"NO DATA",IF(ISNUMBER(FIND(CODES!$A$12,O40)),CODES!$A$12,IF(OR(ISNUMBER(FIND(CODES!$A$10,O40)),ISNUMBER(FIND(CODES!$A$11,O40))),CODES!$A$13,IF(OR(O40&lt;O$63,ISNUMBER(O40)=FALSE),O$64,O40))))</f>
      </c>
      <c r="P92" s="9" t="str">
        <f>IF(ISBLANK(P40),"NO DATA",IF(ISNUMBER(FIND(CODES!$A$12,P40)),CODES!$A$12,IF(OR(ISNUMBER(FIND(CODES!$A$10,P40)),ISNUMBER(FIND(CODES!$A$11,P40))),CODES!$A$13,IF(OR(P40&lt;P$63,ISNUMBER(P40)=FALSE),P$64,P40))))</f>
      </c>
      <c r="Q92" s="9" t="str">
        <f>IF(ISBLANK(Q40),"NO DATA",IF(ISNUMBER(FIND(CODES!$A$12,Q40)),CODES!$A$12,IF(OR(ISNUMBER(FIND(CODES!$A$10,Q40)),ISNUMBER(FIND(CODES!$A$11,Q40))),CODES!$A$13,IF(OR(Q40&lt;Q$63,ISNUMBER(Q40)=FALSE),Q$64,Q40))))</f>
      </c>
      <c r="R92" s="9" t="str">
        <f>IF(ISBLANK(R40),"NO DATA",IF(ISNUMBER(FIND(CODES!$A$12,R40)),CODES!$A$12,IF(OR(ISNUMBER(FIND(CODES!$A$10,R40)),ISNUMBER(FIND(CODES!$A$11,R40))),CODES!$A$13,IF(OR(R40&lt;R$63,ISNUMBER(R40)=FALSE),R$64,R40))))</f>
      </c>
      <c r="S92" s="9" t="str">
        <f>IF(ISBLANK(S40),"NO DATA",IF(ISNUMBER(FIND(CODES!$A$12,S40)),CODES!$A$12,IF(OR(ISNUMBER(FIND(CODES!$A$10,S40)),ISNUMBER(FIND(CODES!$A$11,S40))),CODES!$A$13,IF(OR(S40&lt;S$63,ISNUMBER(S40)=FALSE),S$64,S40))))</f>
      </c>
      <c r="T92" s="9" t="str">
        <f>IF(ISBLANK(T40),"NO DATA",IF(ISNUMBER(FIND(CODES!$A$12,T40)),CODES!$A$12,IF(OR(ISNUMBER(FIND(CODES!$A$10,T40)),ISNUMBER(FIND(CODES!$A$11,T40))),CODES!$A$13,IF(OR(T40&lt;T$63,ISNUMBER(T40)=FALSE),T$64,T40))))</f>
      </c>
      <c r="U92" s="9" t="str">
        <f>IF(ISBLANK(U40),"NO DATA",IF(ISNUMBER(FIND(CODES!$A$12,U40)),CODES!$A$12,IF(OR(ISNUMBER(FIND(CODES!$A$10,U40)),ISNUMBER(FIND(CODES!$A$11,U40))),CODES!$A$13,IF(OR(U40&lt;U$63,ISNUMBER(U40)=FALSE),U$64,U40))))</f>
      </c>
      <c r="V92" s="9" t="str">
        <f>IF(ISBLANK(V40),"NO DATA",IF(ISNUMBER(FIND(CODES!$A$12,V40)),CODES!$A$12,IF(OR(ISNUMBER(FIND(CODES!$A$10,V40)),ISNUMBER(FIND(CODES!$A$11,V40))),CODES!$A$13,IF(OR(V40&lt;V$63,ISNUMBER(V40)=FALSE),V$64,V40))))</f>
      </c>
      <c r="W92" s="9" t="str">
        <f>IF(ISBLANK(W40),"NO DATA",IF(ISNUMBER(FIND(CODES!$A$12,W40)),CODES!$A$12,IF(OR(ISNUMBER(FIND(CODES!$A$10,W40)),ISNUMBER(FIND(CODES!$A$11,W40))),CODES!$A$13,IF(OR(W40&lt;W$63,ISNUMBER(W40)=FALSE),W$64,W40))))</f>
      </c>
      <c r="X92" s="9" t="str">
        <f>IF(ISBLANK(X40),"NO DATA",IF(ISNUMBER(FIND(CODES!$A$12,X40)),CODES!$A$12,IF(OR(ISNUMBER(FIND(CODES!$A$10,X40)),ISNUMBER(FIND(CODES!$A$11,X40))),CODES!$A$13,IF(OR(X40&lt;X$63,ISNUMBER(X40)=FALSE),X$64,X40))))</f>
      </c>
      <c r="Y92" s="9" t="str">
        <f>IF(ISBLANK(Y40),"NO DATA",IF(ISNUMBER(FIND(CODES!$A$12,Y40)),CODES!$A$12,IF(OR(ISNUMBER(FIND(CODES!$A$10,Y40)),ISNUMBER(FIND(CODES!$A$11,Y40))),CODES!$A$13,IF(OR(Y40&lt;Y$63,ISNUMBER(Y40)=FALSE),Y$64,Y40))))</f>
      </c>
      <c r="Z92" s="9" t="str">
        <f>IF(ISBLANK(Z40),"NO DATA",IF(ISNUMBER(FIND(CODES!$A$12,Z40)),CODES!$A$12,IF(OR(ISNUMBER(FIND(CODES!$A$10,Z40)),ISNUMBER(FIND(CODES!$A$11,Z40))),CODES!$A$13,IF(OR(Z40&lt;Z$63,ISNUMBER(Z40)=FALSE),Z$64,Z40))))</f>
      </c>
      <c r="AA92" s="9" t="str">
        <f>IF(ISBLANK(AA40),"NO DATA",IF(ISNUMBER(FIND(CODES!$A$12,AA40)),CODES!$A$12,IF(OR(ISNUMBER(FIND(CODES!$A$10,AA40)),ISNUMBER(FIND(CODES!$A$11,AA40))),CODES!$A$13,IF(OR(AA40&lt;AA$63,ISNUMBER(AA40)=FALSE),AA$64,AA40))))</f>
      </c>
      <c r="AB92" s="9" t="str">
        <f>IF(ISBLANK(AB40),"NO DATA",IF(ISNUMBER(FIND(CODES!$A$12,AB40)),CODES!$A$12,IF(OR(ISNUMBER(FIND(CODES!$A$10,AB40)),ISNUMBER(FIND(CODES!$A$11,AB40))),CODES!$A$13,IF(OR(AB40&lt;AB$63,ISNUMBER(AB40)=FALSE),AB$64,AB40))))</f>
      </c>
      <c r="AC92" s="9" t="str">
        <f>IF(ISBLANK(AC40),"NO DATA",IF(ISNUMBER(FIND(CODES!$A$12,AC40)),CODES!$A$12,IF(OR(ISNUMBER(FIND(CODES!$A$10,AC40)),ISNUMBER(FIND(CODES!$A$11,AC40))),CODES!$A$13,IF(OR(AC40&lt;AC$63,ISNUMBER(AC40)=FALSE),AC$64,AC40))))</f>
      </c>
      <c r="AD92" s="9" t="str">
        <f>IF(ISBLANK(AD40),"NO DATA",IF(ISNUMBER(FIND(CODES!$A$12,AD40)),CODES!$A$12,IF(OR(ISNUMBER(FIND(CODES!$A$10,AD40)),ISNUMBER(FIND(CODES!$A$11,AD40))),CODES!$A$13,IF(OR(AD40&lt;AD$63,ISNUMBER(AD40)=FALSE),AD$64,AD40))))</f>
      </c>
      <c r="AE92" s="9" t="str">
        <f>IF(ISBLANK(AE40),"NO DATA",IF(ISNUMBER(FIND(CODES!$A$12,AE40)),CODES!$A$12,IF(OR(ISNUMBER(FIND(CODES!$A$10,AE40)),ISNUMBER(FIND(CODES!$A$11,AE40))),CODES!$A$13,IF(OR(AE40&lt;AE$63,ISNUMBER(AE40)=FALSE),AE$64,AE40))))</f>
      </c>
      <c r="AF92" s="9" t="str">
        <f>IF(ISBLANK(AF40),"NO DATA",IF(ISNUMBER(FIND(CODES!$A$12,AF40)),CODES!$A$12,IF(OR(ISNUMBER(FIND(CODES!$A$10,AF40)),ISNUMBER(FIND(CODES!$A$11,AF40))),CODES!$A$13,IF(OR(AF40&lt;AF$63,ISNUMBER(AF40)=FALSE),AF$64,AF40))))</f>
      </c>
      <c r="AG92" s="9" t="str">
        <f>IF(ISBLANK(AG40),"NO DATA",IF(ISNUMBER(FIND(CODES!$A$12,AG40)),CODES!$A$12,IF(OR(ISNUMBER(FIND(CODES!$A$10,AG40)),ISNUMBER(FIND(CODES!$A$11,AG40))),CODES!$A$13,IF(OR(AG40&lt;AG$63,ISNUMBER(AG40)=FALSE),AG$64,AG40))))</f>
      </c>
      <c r="AH92" s="9" t="str">
        <f>IF(ISBLANK(AH40),"NO DATA",IF(ISNUMBER(FIND(CODES!$A$12,AH40)),CODES!$A$12,IF(OR(ISNUMBER(FIND(CODES!$A$10,AH40)),ISNUMBER(FIND(CODES!$A$11,AH40))),CODES!$A$13,IF(OR(AH40&lt;AH$63,ISNUMBER(AH40)=FALSE),AH$64,AH40))))</f>
      </c>
      <c r="AI92" s="9" t="str">
        <f>IF(ISBLANK(AI40),"NO DATA",IF(ISNUMBER(FIND(CODES!$A$12,AI40)),CODES!$A$12,IF(OR(ISNUMBER(FIND(CODES!$A$10,AI40)),ISNUMBER(FIND(CODES!$A$11,AI40))),CODES!$A$13,IF(OR(AI40&lt;AI$63,ISNUMBER(AI40)=FALSE),AI$64,AI40))))</f>
      </c>
      <c r="AJ92" s="9" t="str">
        <f>IF(ISBLANK(AJ40),"NO DATA",IF(ISNUMBER(FIND(CODES!$A$12,AJ40)),CODES!$A$12,IF(OR(ISNUMBER(FIND(CODES!$A$10,AJ40)),ISNUMBER(FIND(CODES!$A$11,AJ40))),CODES!$A$13,IF(OR(AJ40&lt;AJ$63,ISNUMBER(AJ40)=FALSE),AJ$64,AJ40))))</f>
      </c>
      <c r="AK92" s="9" t="str">
        <f>IF(ISBLANK(AK40),"NO DATA",IF(ISNUMBER(FIND(CODES!$A$12,AK40)),CODES!$A$12,IF(OR(ISNUMBER(FIND(CODES!$A$10,AK40)),ISNUMBER(FIND(CODES!$A$11,AK40))),CODES!$A$13,IF(OR(AK40&lt;AK$63,ISNUMBER(AK40)=FALSE),AK$64,AK40))))</f>
      </c>
      <c r="AL92" s="9" t="str">
        <f>IF(ISBLANK(AL40),"NO DATA",IF(ISNUMBER(FIND(CODES!$A$12,AL40)),CODES!$A$12,IF(OR(ISNUMBER(FIND(CODES!$A$10,AL40)),ISNUMBER(FIND(CODES!$A$11,AL40))),CODES!$A$13,IF(OR(AL40&lt;AL$63,ISNUMBER(AL40)=FALSE),AL$64,AL40))))</f>
      </c>
      <c r="AM92" s="9" t="str">
        <f>IF(ISBLANK(AM40),"NO DATA",IF(ISNUMBER(FIND(CODES!$A$12,AM40)),CODES!$A$12,IF(OR(ISNUMBER(FIND(CODES!$A$10,AM40)),ISNUMBER(FIND(CODES!$A$11,AM40))),CODES!$A$13,IF(OR(AM40&lt;AM$63,ISNUMBER(AM40)=FALSE),AM$64,AM40))))</f>
      </c>
      <c r="AN92" s="9" t="str">
        <f>IF(ISBLANK(AN40),"NO DATA",IF(ISNUMBER(FIND(CODES!$A$12,AN40)),CODES!$A$12,IF(OR(ISNUMBER(FIND(CODES!$A$10,AN40)),ISNUMBER(FIND(CODES!$A$11,AN40))),CODES!$A$13,IF(OR(AN40&lt;AN$63,ISNUMBER(AN40)=FALSE),AN$64,AN40))))</f>
      </c>
      <c r="AO92" s="9" t="str">
        <f>IF(ISBLANK(AO40),"NO DATA",IF(ISNUMBER(FIND(CODES!$A$12,AO40)),CODES!$A$12,IF(OR(ISNUMBER(FIND(CODES!$A$10,AO40)),ISNUMBER(FIND(CODES!$A$11,AO40))),CODES!$A$13,IF(OR(AO40&lt;AO$63,ISNUMBER(AO40)=FALSE),AO$64,AO40))))</f>
      </c>
      <c r="AP92" s="9" t="str">
        <f>IF(ISBLANK(AP40),"NO DATA",IF(ISNUMBER(FIND(CODES!$A$12,AP40)),CODES!$A$12,IF(OR(ISNUMBER(FIND(CODES!$A$10,AP40)),ISNUMBER(FIND(CODES!$A$11,AP40))),CODES!$A$13,IF(OR(AP40&lt;AP$63,ISNUMBER(AP40)=FALSE),AP$64,AP40))))</f>
      </c>
      <c r="AQ92" s="9" t="str">
        <f>IF(ISBLANK(AQ40),"NO DATA",IF(ISNUMBER(FIND(CODES!$A$12,AQ40)),CODES!$A$12,IF(OR(ISNUMBER(FIND(CODES!$A$10,AQ40)),ISNUMBER(FIND(CODES!$A$11,AQ40))),CODES!$A$13,IF(OR(AQ40&lt;AQ$63,ISNUMBER(AQ40)=FALSE),AQ$64,AQ40))))</f>
      </c>
      <c r="AR92" s="9" t="str">
        <f>IF(ISBLANK(AR40),"NO DATA",IF(ISNUMBER(FIND(CODES!$A$12,AR40)),CODES!$A$12,IF(OR(ISNUMBER(FIND(CODES!$A$10,AR40)),ISNUMBER(FIND(CODES!$A$11,AR40))),CODES!$A$13,IF(OR(AR40&lt;AR$63,ISNUMBER(AR40)=FALSE),AR$64,AR40))))</f>
      </c>
      <c r="AS92" s="9" t="str">
        <f>IF(ISBLANK(AS40),"NO DATA",IF(ISNUMBER(FIND(CODES!$A$12,AS40)),CODES!$A$12,IF(OR(ISNUMBER(FIND(CODES!$A$10,AS40)),ISNUMBER(FIND(CODES!$A$11,AS40))),CODES!$A$13,IF(OR(AS40&lt;AS$63,ISNUMBER(AS40)=FALSE),AS$64,AS40))))</f>
      </c>
      <c r="AT92" s="9" t="str">
        <f>IF(ISBLANK(AT40),"NO DATA",IF(ISNUMBER(FIND(CODES!$A$12,AT40)),CODES!$A$12,IF(OR(ISNUMBER(FIND(CODES!$A$10,AT40)),ISNUMBER(FIND(CODES!$A$11,AT40))),CODES!$A$13,IF(OR(AT40&lt;AT$63,ISNUMBER(AT40)=FALSE),AT$64,AT40))))</f>
      </c>
      <c r="AU92" s="9" t="str">
        <f>IF(ISBLANK(AU40),"NO DATA",IF(ISNUMBER(FIND(CODES!$A$12,AU40)),CODES!$A$12,IF(OR(ISNUMBER(FIND(CODES!$A$10,AU40)),ISNUMBER(FIND(CODES!$A$11,AU40))),CODES!$A$13,IF(OR(AU40&lt;AU$63,ISNUMBER(AU40)=FALSE),AU$64,AU40))))</f>
      </c>
      <c r="AV92" s="9" t="str">
        <f>IF(ISBLANK(AV40),"NO DATA",IF(ISNUMBER(FIND(CODES!$A$12,AV40)),CODES!$A$12,IF(OR(ISNUMBER(FIND(CODES!$A$10,AV40)),ISNUMBER(FIND(CODES!$A$11,AV40))),CODES!$A$13,IF(OR(AV40&lt;AV$63,ISNUMBER(AV40)=FALSE),AV$64,AV40))))</f>
      </c>
      <c r="AW92" s="9" t="str">
        <f>IF(ISBLANK(AW40),"NO DATA",IF(ISNUMBER(FIND(CODES!$A$12,AW40)),CODES!$A$12,IF(OR(ISNUMBER(FIND(CODES!$A$10,AW40)),ISNUMBER(FIND(CODES!$A$11,AW40))),CODES!$A$13,IF(OR(AW40&lt;AW$63,ISNUMBER(AW40)=FALSE),AW$64,AW40))))</f>
      </c>
      <c r="AX92" s="9" t="str">
        <f>IF(ISBLANK(AX40),"NO DATA",IF(ISNUMBER(FIND(CODES!$A$12,AX40)),CODES!$A$12,IF(OR(ISNUMBER(FIND(CODES!$A$10,AX40)),ISNUMBER(FIND(CODES!$A$11,AX40))),CODES!$A$13,IF(OR(AX40&lt;AX$63,ISNUMBER(AX40)=FALSE),AX$64,AX40))))</f>
      </c>
      <c r="AY92" s="9" t="str">
        <f>IF(ISBLANK(AY40),"NO DATA",IF(ISNUMBER(FIND(CODES!$A$12,AY40)),CODES!$A$12,IF(OR(ISNUMBER(FIND(CODES!$A$10,AY40)),ISNUMBER(FIND(CODES!$A$11,AY40))),CODES!$A$13,IF(OR(AY40&lt;AY$63,ISNUMBER(AY40)=FALSE),AY$64,AY40))))</f>
      </c>
      <c r="AZ92" s="9" t="str">
        <f>IF(ISBLANK(AZ40),"NO DATA",IF(ISNUMBER(FIND(CODES!$A$12,AZ40)),CODES!$A$12,IF(OR(ISNUMBER(FIND(CODES!$A$10,AZ40)),ISNUMBER(FIND(CODES!$A$11,AZ40))),CODES!$A$13,IF(OR(AZ40&lt;AZ$63,ISNUMBER(AZ40)=FALSE),AZ$64,AZ40))))</f>
      </c>
      <c r="BA92" s="9" t="str">
        <f>IF(ISBLANK(BA40),"NO DATA",IF(ISNUMBER(FIND(CODES!$A$12,BA40)),CODES!$A$12,IF(OR(ISNUMBER(FIND(CODES!$A$10,BA40)),ISNUMBER(FIND(CODES!$A$11,BA40))),CODES!$A$13,IF(OR(BA40&lt;BA$63,ISNUMBER(BA40)=FALSE),BA$64,BA40))))</f>
      </c>
      <c r="BB92" s="9" t="str">
        <f>IF(ISBLANK(BB40),"NO DATA",IF(ISNUMBER(FIND(CODES!$A$12,BB40)),CODES!$A$12,IF(OR(ISNUMBER(FIND(CODES!$A$10,BB40)),ISNUMBER(FIND(CODES!$A$11,BB40))),CODES!$A$13,IF(OR(BB40&lt;BB$63,ISNUMBER(BB40)=FALSE),BB$64,BB40))))</f>
      </c>
      <c r="BC92" s="9" t="str">
        <f>IF(ISBLANK(BC40),"NO DATA",IF(ISNUMBER(FIND(CODES!$A$12,BC40)),CODES!$A$12,IF(OR(ISNUMBER(FIND(CODES!$A$10,BC40)),ISNUMBER(FIND(CODES!$A$11,BC40))),CODES!$A$13,IF(OR(BC40&lt;BC$63,ISNUMBER(BC40)=FALSE),BC$64,BC40))))</f>
      </c>
      <c r="BD92" s="9" t="str">
        <f>IF(ISBLANK(BD40),"NO DATA",IF(ISNUMBER(FIND(CODES!$A$12,BD40)),CODES!$A$12,IF(OR(ISNUMBER(FIND(CODES!$A$10,BD40)),ISNUMBER(FIND(CODES!$A$11,BD40))),CODES!$A$13,IF(OR(BD40&lt;BD$63,ISNUMBER(BD40)=FALSE),BD$64,BD40))))</f>
      </c>
      <c r="BE92" s="9" t="str">
        <f>IF(ISBLANK(BE40),"NO DATA",IF(ISNUMBER(FIND(CODES!$A$12,BE40)),CODES!$A$12,IF(OR(ISNUMBER(FIND(CODES!$A$10,BE40)),ISNUMBER(FIND(CODES!$A$11,BE40))),CODES!$A$13,IF(OR(BE40&lt;BE$63,ISNUMBER(BE40)=FALSE),BE$64,BE40))))</f>
      </c>
      <c r="BF92" s="9" t="str">
        <f>IF(ISBLANK(BF40),"NO DATA",IF(ISNUMBER(FIND(CODES!$A$12,BF40)),CODES!$A$12,IF(OR(ISNUMBER(FIND(CODES!$A$10,BF40)),ISNUMBER(FIND(CODES!$A$11,BF40))),CODES!$A$13,IF(OR(BF40&lt;BF$63,ISNUMBER(BF40)=FALSE),BF$64,BF40))))</f>
      </c>
      <c r="BG92" s="9" t="str">
        <f>IF(ISBLANK(BG40),"NO DATA",IF(ISNUMBER(FIND(CODES!$A$12,BG40)),CODES!$A$12,IF(OR(ISNUMBER(FIND(CODES!$A$10,BG40)),ISNUMBER(FIND(CODES!$A$11,BG40))),CODES!$A$13,IF(OR(BG40&lt;BG$63,ISNUMBER(BG40)=FALSE),BG$64,BG40))))</f>
      </c>
      <c r="BH92" s="9" t="str">
        <f>IF(ISBLANK(BH40),"NO DATA",IF(ISNUMBER(FIND(CODES!$A$12,BH40)),CODES!$A$12,IF(OR(ISNUMBER(FIND(CODES!$A$10,BH40)),ISNUMBER(FIND(CODES!$A$11,BH40))),CODES!$A$13,IF(OR(BH40&lt;BH$63,ISNUMBER(BH40)=FALSE),BH$64,BH40))))</f>
      </c>
      <c r="BI92" s="9" t="str">
        <f>IF(ISBLANK(BI40),"NO DATA",IF(ISNUMBER(FIND(CODES!$A$12,BI40)),CODES!$A$12,IF(OR(ISNUMBER(FIND(CODES!$A$10,BI40)),ISNUMBER(FIND(CODES!$A$11,BI40))),CODES!$A$13,IF(OR(BI40&lt;BI$63,ISNUMBER(BI40)=FALSE),BI$64,BI40))))</f>
      </c>
      <c r="BJ92" s="9" t="str">
        <f>IF(ISBLANK(BJ40),"NO DATA",IF(ISNUMBER(FIND(CODES!$A$12,BJ40)),CODES!$A$12,IF(OR(ISNUMBER(FIND(CODES!$A$10,BJ40)),ISNUMBER(FIND(CODES!$A$11,BJ40))),CODES!$A$13,IF(OR(BJ40&lt;BJ$63,ISNUMBER(BJ40)=FALSE),BJ$64,BJ40))))</f>
      </c>
      <c r="BK92" s="9" t="str">
        <f>IF(ISBLANK(BK40),"NO DATA",IF(ISNUMBER(FIND(CODES!$A$12,BK40)),CODES!$A$12,IF(OR(ISNUMBER(FIND(CODES!$A$10,BK40)),ISNUMBER(FIND(CODES!$A$11,BK40))),CODES!$A$13,IF(OR(BK40&lt;BK$63,ISNUMBER(BK40)=FALSE),BK$64,BK40))))</f>
      </c>
      <c r="BL92" s="9" t="str">
        <f>IF(ISBLANK(BL40),"NO DATA",IF(ISNUMBER(FIND(CODES!$A$12,BL40)),CODES!$A$12,IF(OR(ISNUMBER(FIND(CODES!$A$10,BL40)),ISNUMBER(FIND(CODES!$A$11,BL40))),CODES!$A$13,IF(OR(BL40&lt;BL$63,ISNUMBER(BL40)=FALSE),BL$64,BL40))))</f>
      </c>
      <c r="BM92" s="9" t="str">
        <f>IF(ISBLANK(BM40),"NO DATA",IF(ISNUMBER(FIND(CODES!$A$12,BM40)),CODES!$A$12,IF(OR(ISNUMBER(FIND(CODES!$A$10,BM40)),ISNUMBER(FIND(CODES!$A$11,BM40))),CODES!$A$13,IF(OR(BM40&lt;BM$63,ISNUMBER(BM40)=FALSE),BM$64,BM40))))</f>
      </c>
      <c r="BN92" s="9" t="str">
        <f>IF(ISBLANK(BN40),"NO DATA",IF(ISNUMBER(FIND(CODES!$A$12,BN40)),CODES!$A$12,IF(OR(ISNUMBER(FIND(CODES!$A$10,BN40)),ISNUMBER(FIND(CODES!$A$11,BN40))),CODES!$A$13,IF(OR(BN40&lt;BN$63,ISNUMBER(BN40)=FALSE),BN$64,BN40))))</f>
      </c>
      <c r="BO92" s="9" t="str">
        <f>IF(ISBLANK(BO40),"NO DATA",IF(ISNUMBER(FIND(CODES!$A$12,BO40)),CODES!$A$12,IF(OR(ISNUMBER(FIND(CODES!$A$10,BO40)),ISNUMBER(FIND(CODES!$A$11,BO40))),CODES!$A$13,IF(OR(BO40&lt;BO$63,ISNUMBER(BO40)=FALSE),BO$64,BO40))))</f>
      </c>
      <c r="BP92" s="9" t="str">
        <f>IF(ISBLANK(BP40),"NO DATA",IF(ISNUMBER(FIND(CODES!$A$12,BP40)),CODES!$A$12,IF(OR(ISNUMBER(FIND(CODES!$A$10,BP40)),ISNUMBER(FIND(CODES!$A$11,BP40))),CODES!$A$13,IF(OR(BP40&lt;BP$63,ISNUMBER(BP40)=FALSE),BP$64,BP40))))</f>
      </c>
      <c r="BQ92" s="9" t="str">
        <f>IF(ISBLANK(BQ40),"NO DATA",IF(ISNUMBER(FIND(CODES!$A$12,BQ40)),CODES!$A$12,IF(OR(ISNUMBER(FIND(CODES!$A$10,BQ40)),ISNUMBER(FIND(CODES!$A$11,BQ40))),CODES!$A$13,IF(OR(BQ40&lt;BQ$63,ISNUMBER(BQ40)=FALSE),BQ$64,BQ40))))</f>
      </c>
      <c r="BR92" s="9" t="str">
        <f>IF(ISBLANK(BR40),"NO DATA",IF(ISNUMBER(FIND(CODES!$A$12,BR40)),CODES!$A$12,IF(OR(ISNUMBER(FIND(CODES!$A$10,BR40)),ISNUMBER(FIND(CODES!$A$11,BR40))),CODES!$A$13,IF(OR(BR40&lt;BR$63,ISNUMBER(BR40)=FALSE),BR$64,BR40))))</f>
      </c>
      <c r="BS92" s="9" t="str">
        <f>IF(ISBLANK(BS40),"NO DATA",IF(ISNUMBER(FIND(CODES!$A$12,BS40)),CODES!$A$12,IF(OR(ISNUMBER(FIND(CODES!$A$10,BS40)),ISNUMBER(FIND(CODES!$A$11,BS40))),CODES!$A$13,IF(OR(BS40&lt;BS$63,ISNUMBER(BS40)=FALSE),BS$64,BS40))))</f>
      </c>
      <c r="BT92" s="9" t="str">
        <f>IF(ISBLANK(BT40),"NO DATA",IF(ISNUMBER(FIND(CODES!$A$12,BT40)),CODES!$A$12,IF(OR(ISNUMBER(FIND(CODES!$A$10,BT40)),ISNUMBER(FIND(CODES!$A$11,BT40))),CODES!$A$13,IF(OR(BT40&lt;BT$63,ISNUMBER(BT40)=FALSE),BT$64,BT40))))</f>
      </c>
      <c r="BU92" s="9" t="str">
        <f>IF(ISBLANK(BU40),"NO DATA",IF(ISNUMBER(FIND(CODES!$A$12,BU40)),CODES!$A$12,IF(OR(ISNUMBER(FIND(CODES!$A$10,BU40)),ISNUMBER(FIND(CODES!$A$11,BU40))),CODES!$A$13,IF(OR(BU40&lt;BU$63,ISNUMBER(BU40)=FALSE),BU$64,BU40))))</f>
      </c>
      <c r="BV92" s="9" t="str">
        <f>IF(ISBLANK(BV40),"NO DATA",IF(ISNUMBER(FIND(CODES!$A$12,BV40)),CODES!$A$12,IF(OR(ISNUMBER(FIND(CODES!$A$10,BV40)),ISNUMBER(FIND(CODES!$A$11,BV40))),CODES!$A$13,IF(OR(BV40&lt;BV$63,ISNUMBER(BV40)=FALSE),BV$64,BV40))))</f>
      </c>
      <c r="BW92" s="9" t="str">
        <f>IF(ISBLANK(BW40),"NO DATA",IF(ISNUMBER(FIND(CODES!$A$12,BW40)),CODES!$A$12,IF(OR(ISNUMBER(FIND(CODES!$A$10,BW40)),ISNUMBER(FIND(CODES!$A$11,BW40))),CODES!$A$13,IF(OR(BW40&lt;BW$63,ISNUMBER(BW40)=FALSE),BW$64,BW40))))</f>
      </c>
      <c r="BX92" s="9" t="str">
        <f>IF(ISBLANK(BX40),"NO DATA",IF(ISNUMBER(FIND(CODES!$A$12,BX40)),CODES!$A$12,IF(OR(ISNUMBER(FIND(CODES!$A$10,BX40)),ISNUMBER(FIND(CODES!$A$11,BX40))),CODES!$A$13,IF(OR(BX40&lt;BX$63,ISNUMBER(BX40)=FALSE),BX$64,BX40))))</f>
      </c>
      <c r="BY92" s="9" t="str">
        <f>IF(ISBLANK(BY40),"NO DATA",IF(ISNUMBER(FIND(CODES!$A$12,BY40)),CODES!$A$12,IF(OR(ISNUMBER(FIND(CODES!$A$10,BY40)),ISNUMBER(FIND(CODES!$A$11,BY40))),CODES!$A$13,IF(OR(BY40&lt;BY$63,ISNUMBER(BY40)=FALSE),BY$64,BY40))))</f>
      </c>
      <c r="BZ92" s="9" t="str">
        <f>IF(ISBLANK(BZ40),"NO DATA",IF(ISNUMBER(FIND(CODES!$A$12,BZ40)),CODES!$A$12,IF(OR(ISNUMBER(FIND(CODES!$A$10,BZ40)),ISNUMBER(FIND(CODES!$A$11,BZ40))),CODES!$A$13,IF(OR(BZ40&lt;BZ$63,ISNUMBER(BZ40)=FALSE),BZ$64,BZ40))))</f>
      </c>
      <c r="CA92" s="9" t="str">
        <f>IF(ISBLANK(CA40),"NO DATA",IF(ISNUMBER(FIND(CODES!$A$12,CA40)),CODES!$A$12,IF(OR(ISNUMBER(FIND(CODES!$A$10,CA40)),ISNUMBER(FIND(CODES!$A$11,CA40))),CODES!$A$13,IF(OR(CA40&lt;CA$63,ISNUMBER(CA40)=FALSE),CA$64,CA40))))</f>
      </c>
      <c r="CB92" s="9" t="str">
        <f>IF(ISBLANK(CB40),"NO DATA",IF(ISNUMBER(FIND(CODES!$A$12,CB40)),CODES!$A$12,IF(OR(ISNUMBER(FIND(CODES!$A$10,CB40)),ISNUMBER(FIND(CODES!$A$11,CB40))),CODES!$A$13,IF(OR(CB40&lt;CB$63,ISNUMBER(CB40)=FALSE),CB$64,CB40))))</f>
      </c>
      <c r="CC92" s="9" t="str">
        <f>IF(ISBLANK(CC40),"NO DATA",IF(ISNUMBER(FIND(CODES!$A$12,CC40)),CODES!$A$12,IF(OR(ISNUMBER(FIND(CODES!$A$10,CC40)),ISNUMBER(FIND(CODES!$A$11,CC40))),CODES!$A$13,IF(OR(CC40&lt;CC$63,ISNUMBER(CC40)=FALSE),CC$64,CC40))))</f>
      </c>
      <c r="CD92" s="9" t="str">
        <f>IF(ISBLANK(CD40),"NO DATA",IF(ISNUMBER(FIND(CODES!$A$12,CD40)),CODES!$A$12,IF(OR(ISNUMBER(FIND(CODES!$A$10,CD40)),ISNUMBER(FIND(CODES!$A$11,CD40))),CODES!$A$13,IF(OR(CD40&lt;CD$63,ISNUMBER(CD40)=FALSE),CD$64,CD40))))</f>
      </c>
      <c r="CE92" s="9" t="str">
        <f>IF(ISBLANK(CE40),"NO DATA",IF(ISNUMBER(FIND(CODES!$A$12,CE40)),CODES!$A$12,IF(OR(ISNUMBER(FIND(CODES!$A$10,CE40)),ISNUMBER(FIND(CODES!$A$11,CE40))),CODES!$A$13,IF(OR(CE40&lt;CE$63,ISNUMBER(CE40)=FALSE),CE$64,CE40))))</f>
      </c>
      <c r="CF92" s="9" t="str">
        <f>IF(ISBLANK(CF40),"NO DATA",IF(ISNUMBER(FIND(CODES!$A$12,CF40)),CODES!$A$12,IF(OR(ISNUMBER(FIND(CODES!$A$10,CF40)),ISNUMBER(FIND(CODES!$A$11,CF40))),CODES!$A$13,IF(OR(CF40&lt;CF$63,ISNUMBER(CF40)=FALSE),CF$64,CF40))))</f>
      </c>
      <c r="CG92" s="9" t="str">
        <f>IF(ISBLANK(CG40),"NO DATA",IF(ISNUMBER(FIND(CODES!$A$12,CG40)),CODES!$A$12,IF(OR(ISNUMBER(FIND(CODES!$A$10,CG40)),ISNUMBER(FIND(CODES!$A$11,CG40))),CODES!$A$13,IF(OR(CG40&lt;CG$63,ISNUMBER(CG40)=FALSE),CG$64,CG40))))</f>
      </c>
      <c r="CH92" s="9" t="str">
        <f>IF(ISBLANK(CH40),"NO DATA",IF(ISNUMBER(FIND(CODES!$A$12,CH40)),CODES!$A$12,IF(OR(ISNUMBER(FIND(CODES!$A$10,CH40)),ISNUMBER(FIND(CODES!$A$11,CH40))),CODES!$A$13,IF(OR(CH40&lt;CH$63,ISNUMBER(CH40)=FALSE),CH$64,CH40))))</f>
      </c>
      <c r="CI92" s="9" t="str">
        <f>IF(ISBLANK(CI40),"NO DATA",IF(ISNUMBER(FIND(CODES!$A$12,CI40)),CODES!$A$12,IF(OR(ISNUMBER(FIND(CODES!$A$10,CI40)),ISNUMBER(FIND(CODES!$A$11,CI40))),CODES!$A$13,IF(OR(CI40&lt;CI$63,ISNUMBER(CI40)=FALSE),CI$64,CI40))))</f>
      </c>
      <c r="CJ92" s="9" t="str">
        <f>IF(ISBLANK(CJ40),"NO DATA",IF(ISNUMBER(FIND(CODES!$A$12,CJ40)),CODES!$A$12,IF(OR(ISNUMBER(FIND(CODES!$A$10,CJ40)),ISNUMBER(FIND(CODES!$A$11,CJ40))),CODES!$A$13,IF(OR(CJ40&lt;CJ$63,ISNUMBER(CJ40)=FALSE),CJ$64,CJ40))))</f>
      </c>
      <c r="CK92" s="9" t="str">
        <f>IF(ISBLANK(CK40),"NO DATA",IF(ISNUMBER(FIND(CODES!$A$12,CK40)),CODES!$A$12,IF(OR(ISNUMBER(FIND(CODES!$A$10,CK40)),ISNUMBER(FIND(CODES!$A$11,CK40))),CODES!$A$13,IF(OR(CK40&lt;CK$63,ISNUMBER(CK40)=FALSE),CK$64,CK40))))</f>
      </c>
      <c r="CL92" s="9" t="str">
        <f>IF(ISBLANK(CL40),"NO DATA",IF(ISNUMBER(FIND(CODES!$A$12,CL40)),CODES!$A$12,IF(OR(ISNUMBER(FIND(CODES!$A$10,CL40)),ISNUMBER(FIND(CODES!$A$11,CL40))),CODES!$A$13,IF(OR(CL40&lt;CL$63,ISNUMBER(CL40)=FALSE),CL$64,CL40))))</f>
      </c>
      <c r="CM92" s="9" t="str">
        <f>IF(ISBLANK(CM40),"NO DATA",IF(ISNUMBER(FIND(CODES!$A$12,CM40)),CODES!$A$12,IF(OR(ISNUMBER(FIND(CODES!$A$10,CM40)),ISNUMBER(FIND(CODES!$A$11,CM40))),CODES!$A$13,IF(OR(CM40&lt;CM$63,ISNUMBER(CM40)=FALSE),CM$64,CM40))))</f>
      </c>
      <c r="CN92" s="9" t="str">
        <f>IF(ISBLANK(CN40),"NO DATA",IF(ISNUMBER(FIND(CODES!$A$12,CN40)),CODES!$A$12,IF(OR(ISNUMBER(FIND(CODES!$A$10,CN40)),ISNUMBER(FIND(CODES!$A$11,CN40))),CODES!$A$13,IF(OR(CN40&lt;CN$63,ISNUMBER(CN40)=FALSE),CN$64,CN40))))</f>
      </c>
      <c r="CO92" s="9" t="str">
        <f>IF(ISBLANK(CO40),"NO DATA",IF(ISNUMBER(FIND(CODES!$A$12,CO40)),CODES!$A$12,IF(OR(ISNUMBER(FIND(CODES!$A$10,CO40)),ISNUMBER(FIND(CODES!$A$11,CO40))),CODES!$A$13,IF(OR(CO40&lt;CO$63,ISNUMBER(CO40)=FALSE),CO$64,CO40))))</f>
      </c>
      <c r="CP92" s="9" t="str">
        <f>IF(ISBLANK(CP40),"NO DATA",IF(ISNUMBER(FIND(CODES!$A$12,CP40)),CODES!$A$12,IF(OR(ISNUMBER(FIND(CODES!$A$10,CP40)),ISNUMBER(FIND(CODES!$A$11,CP40))),CODES!$A$13,IF(OR(CP40&lt;CP$63,ISNUMBER(CP40)=FALSE),CP$64,CP40))))</f>
      </c>
      <c r="CQ92" s="9" t="str">
        <f>IF(ISBLANK(CQ40),"NO DATA",IF(ISNUMBER(FIND(CODES!$A$12,CQ40)),CODES!$A$12,IF(OR(ISNUMBER(FIND(CODES!$A$10,CQ40)),ISNUMBER(FIND(CODES!$A$11,CQ40))),CODES!$A$13,IF(OR(CQ40&lt;CQ$63,ISNUMBER(CQ40)=FALSE),CQ$64,CQ40))))</f>
      </c>
      <c r="CR92" s="9" t="str">
        <f>IF(ISBLANK(CR40),"NO DATA",IF(ISNUMBER(FIND(CODES!$A$12,CR40)),CODES!$A$12,IF(OR(ISNUMBER(FIND(CODES!$A$10,CR40)),ISNUMBER(FIND(CODES!$A$11,CR40))),CODES!$A$13,IF(OR(CR40&lt;CR$63,ISNUMBER(CR40)=FALSE),CR$64,CR40))))</f>
      </c>
      <c r="CS92" s="9" t="str">
        <f>IF(ISBLANK(CS40),"NO DATA",IF(ISNUMBER(FIND(CODES!$A$12,CS40)),CODES!$A$12,IF(OR(ISNUMBER(FIND(CODES!$A$10,CS40)),ISNUMBER(FIND(CODES!$A$11,CS40))),CODES!$A$13,IF(OR(CS40&lt;CS$63,ISNUMBER(CS40)=FALSE),CS$64,CS40))))</f>
      </c>
      <c r="CT92" s="9" t="str">
        <f>IF(ISBLANK(CT40),"NO DATA",IF(ISNUMBER(FIND(CODES!$A$12,CT40)),CODES!$A$12,IF(OR(ISNUMBER(FIND(CODES!$A$10,CT40)),ISNUMBER(FIND(CODES!$A$11,CT40))),CODES!$A$13,IF(OR(CT40&lt;CT$63,ISNUMBER(CT40)=FALSE),CT$64,CT40))))</f>
      </c>
      <c r="CU92" s="9" t="str">
        <f>IF(ISBLANK(CU40),"NO DATA",IF(ISNUMBER(FIND(CODES!$A$12,CU40)),CODES!$A$12,IF(OR(ISNUMBER(FIND(CODES!$A$10,CU40)),ISNUMBER(FIND(CODES!$A$11,CU40))),CODES!$A$13,IF(OR(CU40&lt;CU$63,ISNUMBER(CU40)=FALSE),CU$64,CU40))))</f>
      </c>
      <c r="CV92" s="9" t="str">
        <f>IF(ISBLANK(CV40),"NO DATA",IF(ISNUMBER(FIND(CODES!$A$12,CV40)),CODES!$A$12,IF(OR(ISNUMBER(FIND(CODES!$A$10,CV40)),ISNUMBER(FIND(CODES!$A$11,CV40))),CODES!$A$13,IF(OR(CV40&lt;CV$63,ISNUMBER(CV40)=FALSE),CV$64,CV40))))</f>
      </c>
      <c r="CW92" s="9" t="str">
        <f>IF(ISBLANK(CW40),"NO DATA",IF(ISNUMBER(FIND(CODES!$A$12,CW40)),CODES!$A$12,IF(OR(ISNUMBER(FIND(CODES!$A$10,CW40)),ISNUMBER(FIND(CODES!$A$11,CW40))),CODES!$A$13,IF(OR(CW40&lt;CW$63,ISNUMBER(CW40)=FALSE),CW$64,CW40))))</f>
      </c>
      <c r="CX92" s="9" t="str">
        <f>IF(ISBLANK(CX40),"NO DATA",IF(ISNUMBER(FIND(CODES!$A$12,CX40)),CODES!$A$12,IF(OR(ISNUMBER(FIND(CODES!$A$10,CX40)),ISNUMBER(FIND(CODES!$A$11,CX40))),CODES!$A$13,IF(OR(CX40&lt;CX$63,ISNUMBER(CX40)=FALSE),CX$64,CX40))))</f>
      </c>
      <c r="CY92" s="9" t="str">
        <f>IF(ISBLANK(CY40),"NO DATA",IF(ISNUMBER(FIND(CODES!$A$12,CY40)),CODES!$A$12,IF(OR(ISNUMBER(FIND(CODES!$A$10,CY40)),ISNUMBER(FIND(CODES!$A$11,CY40))),CODES!$A$13,IF(OR(CY40&lt;CY$63,ISNUMBER(CY40)=FALSE),CY$64,CY40))))</f>
      </c>
      <c r="CZ92" s="9" t="str">
        <f>IF(ISBLANK(CZ40),"NO DATA",IF(ISNUMBER(FIND(CODES!$A$12,CZ40)),CODES!$A$12,IF(OR(ISNUMBER(FIND(CODES!$A$10,CZ40)),ISNUMBER(FIND(CODES!$A$11,CZ40))),CODES!$A$13,IF(OR(CZ40&lt;CZ$63,ISNUMBER(CZ40)=FALSE),CZ$64,CZ40))))</f>
      </c>
      <c r="DA92" s="9" t="str">
        <f>IF(ISBLANK(DA40),"NO DATA",IF(ISNUMBER(FIND(CODES!$A$12,DA40)),CODES!$A$12,IF(OR(ISNUMBER(FIND(CODES!$A$10,DA40)),ISNUMBER(FIND(CODES!$A$11,DA40))),CODES!$A$13,IF(OR(DA40&lt;DA$63,ISNUMBER(DA40)=FALSE),DA$64,DA40))))</f>
      </c>
      <c r="DB92" s="9" t="str">
        <f>IF(ISBLANK(DB40),"NO DATA",IF(ISNUMBER(FIND(CODES!$A$12,DB40)),CODES!$A$12,IF(OR(ISNUMBER(FIND(CODES!$A$10,DB40)),ISNUMBER(FIND(CODES!$A$11,DB40))),CODES!$A$13,IF(OR(DB40&lt;DB$63,ISNUMBER(DB40)=FALSE),DB$64,DB40))))</f>
      </c>
      <c r="DC92" s="9" t="str">
        <f>IF(ISBLANK(DC40),"NO DATA",IF(ISNUMBER(FIND(CODES!$A$12,DC40)),CODES!$A$12,IF(OR(ISNUMBER(FIND(CODES!$A$10,DC40)),ISNUMBER(FIND(CODES!$A$11,DC40))),CODES!$A$13,IF(OR(DC40&lt;DC$63,ISNUMBER(DC40)=FALSE),DC$64,DC40))))</f>
      </c>
      <c r="DD92" s="9" t="str">
        <f>IF(ISBLANK(DD40),"NO DATA",IF(ISNUMBER(FIND(CODES!$A$12,DD40)),CODES!$A$12,IF(OR(ISNUMBER(FIND(CODES!$A$10,DD40)),ISNUMBER(FIND(CODES!$A$11,DD40))),CODES!$A$13,IF(OR(DD40&lt;DD$63,ISNUMBER(DD40)=FALSE),DD$64,DD40))))</f>
      </c>
      <c r="DE92" s="9" t="str">
        <f>IF(ISBLANK(DE40),"NO DATA",IF(ISNUMBER(FIND(CODES!$A$12,DE40)),CODES!$A$12,IF(OR(ISNUMBER(FIND(CODES!$A$10,DE40)),ISNUMBER(FIND(CODES!$A$11,DE40))),CODES!$A$13,IF(OR(DE40&lt;DE$63,ISNUMBER(DE40)=FALSE),DE$64,DE40))))</f>
      </c>
      <c r="DF92" s="9" t="str">
        <f>IF(ISBLANK(DF40),"NO DATA",IF(ISNUMBER(FIND(CODES!$A$12,DF40)),CODES!$A$12,IF(OR(ISNUMBER(FIND(CODES!$A$10,DF40)),ISNUMBER(FIND(CODES!$A$11,DF40))),CODES!$A$13,IF(OR(DF40&lt;DF$63,ISNUMBER(DF40)=FALSE),DF$64,DF40))))</f>
      </c>
      <c r="DG92" s="9" t="str">
        <f>IF(ISBLANK(DG40),"NO DATA",IF(ISNUMBER(FIND(CODES!$A$12,DG40)),CODES!$A$12,IF(OR(ISNUMBER(FIND(CODES!$A$10,DG40)),ISNUMBER(FIND(CODES!$A$11,DG40))),CODES!$A$13,IF(OR(DG40&lt;DG$63,ISNUMBER(DG40)=FALSE),DG$64,DG40))))</f>
      </c>
      <c r="DH92" s="9" t="str">
        <f>IF(ISBLANK(DH40),"NO DATA",IF(ISNUMBER(FIND(CODES!$A$12,DH40)),CODES!$A$12,IF(OR(ISNUMBER(FIND(CODES!$A$10,DH40)),ISNUMBER(FIND(CODES!$A$11,DH40))),CODES!$A$13,IF(OR(DH40&lt;DH$63,ISNUMBER(DH40)=FALSE),DH$64,DH40))))</f>
      </c>
      <c r="DI92" s="9" t="str">
        <f>IF(ISBLANK(DI40),"NO DATA",IF(ISNUMBER(FIND(CODES!$A$12,DI40)),CODES!$A$12,IF(OR(ISNUMBER(FIND(CODES!$A$10,DI40)),ISNUMBER(FIND(CODES!$A$11,DI40))),CODES!$A$13,IF(OR(DI40&lt;DI$63,ISNUMBER(DI40)=FALSE),DI$64,DI40))))</f>
      </c>
    </row>
    <row r="93" spans="1:113" x14ac:dyDescent="0.25">
      <c r="A93" s="20" t="str">
        <f t="shared" si="5"/>
      </c>
      <c r="B93" s="20">
        <f t="shared" si="5"/>
      </c>
      <c r="C93" s="9" t="str">
        <f>IF(ISBLANK(C41),"NO DATA",IF(ISNUMBER(FIND(CODES!$A$12,C41)),CODES!$A$12,IF(OR(ISNUMBER(FIND(CODES!$A$10,C41)),ISNUMBER(FIND(CODES!$A$11,C41))),CODES!$A$13,IF(OR(C41&lt;C$63,ISNUMBER(C41)=FALSE),C$64,C41))))</f>
      </c>
      <c r="D93" s="9" t="str">
        <f>IF(ISBLANK(D41),"NO DATA",IF(ISNUMBER(FIND(CODES!$A$12,D41)),CODES!$A$12,IF(OR(ISNUMBER(FIND(CODES!$A$10,D41)),ISNUMBER(FIND(CODES!$A$11,D41))),CODES!$A$13,IF(OR(D41&lt;D$63,ISNUMBER(D41)=FALSE),D$64,D41))))</f>
      </c>
      <c r="E93" s="9" t="str">
        <f>IF(ISBLANK(E41),"NO DATA",IF(ISNUMBER(FIND(CODES!$A$12,E41)),CODES!$A$12,IF(OR(ISNUMBER(FIND(CODES!$A$10,E41)),ISNUMBER(FIND(CODES!$A$11,E41))),CODES!$A$13,IF(OR(E41&lt;E$63,ISNUMBER(E41)=FALSE),E$64,E41))))</f>
      </c>
      <c r="F93" s="9" t="str">
        <f>IF(ISBLANK(F41),"NO DATA",IF(ISNUMBER(FIND(CODES!$A$12,F41)),CODES!$A$12,IF(OR(ISNUMBER(FIND(CODES!$A$10,F41)),ISNUMBER(FIND(CODES!$A$11,F41))),CODES!$A$13,IF(OR(F41&lt;F$63,ISNUMBER(F41)=FALSE),F$64,F41))))</f>
      </c>
      <c r="G93" s="9" t="str">
        <f>IF(ISBLANK(G41),"NO DATA",IF(ISNUMBER(FIND(CODES!$A$12,G41)),CODES!$A$12,IF(OR(ISNUMBER(FIND(CODES!$A$10,G41)),ISNUMBER(FIND(CODES!$A$11,G41))),CODES!$A$13,IF(OR(G41&lt;G$63,ISNUMBER(G41)=FALSE),G$64,G41))))</f>
      </c>
      <c r="H93" s="9" t="str">
        <f>IF(ISBLANK(H41),"NO DATA",IF(ISNUMBER(FIND(CODES!$A$12,H41)),CODES!$A$12,IF(OR(ISNUMBER(FIND(CODES!$A$10,H41)),ISNUMBER(FIND(CODES!$A$11,H41))),CODES!$A$13,IF(OR(H41&lt;H$63,ISNUMBER(H41)=FALSE),H$64,H41))))</f>
      </c>
      <c r="I93" s="9" t="str">
        <f>IF(ISBLANK(I41),"NO DATA",IF(ISNUMBER(FIND(CODES!$A$12,I41)),CODES!$A$12,IF(OR(ISNUMBER(FIND(CODES!$A$10,I41)),ISNUMBER(FIND(CODES!$A$11,I41))),CODES!$A$13,IF(OR(I41&lt;I$63,ISNUMBER(I41)=FALSE),I$64,I41))))</f>
      </c>
      <c r="J93" s="9" t="str">
        <f>IF(ISBLANK(J41),"NO DATA",IF(ISNUMBER(FIND(CODES!$A$12,J41)),CODES!$A$12,IF(OR(ISNUMBER(FIND(CODES!$A$10,J41)),ISNUMBER(FIND(CODES!$A$11,J41))),CODES!$A$13,IF(OR(J41&lt;J$63,ISNUMBER(J41)=FALSE),J$64,J41))))</f>
      </c>
      <c r="K93" s="9" t="str">
        <f>IF(ISBLANK(K41),"NO DATA",IF(ISNUMBER(FIND(CODES!$A$12,K41)),CODES!$A$12,IF(OR(ISNUMBER(FIND(CODES!$A$10,K41)),ISNUMBER(FIND(CODES!$A$11,K41))),CODES!$A$13,IF(OR(K41&lt;K$63,ISNUMBER(K41)=FALSE),K$64,K41))))</f>
      </c>
      <c r="L93" s="9" t="str">
        <f>IF(ISBLANK(L41),"NO DATA",IF(ISNUMBER(FIND(CODES!$A$12,L41)),CODES!$A$12,IF(OR(ISNUMBER(FIND(CODES!$A$10,L41)),ISNUMBER(FIND(CODES!$A$11,L41))),CODES!$A$13,IF(OR(L41&lt;L$63,ISNUMBER(L41)=FALSE),L$64,L41))))</f>
      </c>
      <c r="M93" s="9" t="str">
        <f>IF(ISBLANK(M41),"NO DATA",IF(ISNUMBER(FIND(CODES!$A$12,M41)),CODES!$A$12,IF(OR(ISNUMBER(FIND(CODES!$A$10,M41)),ISNUMBER(FIND(CODES!$A$11,M41))),CODES!$A$13,IF(OR(M41&lt;M$63,ISNUMBER(M41)=FALSE),M$64,M41))))</f>
      </c>
      <c r="N93" s="9" t="str">
        <f>IF(ISBLANK(N41),"NO DATA",IF(ISNUMBER(FIND(CODES!$A$12,N41)),CODES!$A$12,IF(OR(ISNUMBER(FIND(CODES!$A$10,N41)),ISNUMBER(FIND(CODES!$A$11,N41))),CODES!$A$13,IF(OR(N41&lt;N$63,ISNUMBER(N41)=FALSE),N$64,N41))))</f>
      </c>
      <c r="O93" s="9" t="str">
        <f>IF(ISBLANK(O41),"NO DATA",IF(ISNUMBER(FIND(CODES!$A$12,O41)),CODES!$A$12,IF(OR(ISNUMBER(FIND(CODES!$A$10,O41)),ISNUMBER(FIND(CODES!$A$11,O41))),CODES!$A$13,IF(OR(O41&lt;O$63,ISNUMBER(O41)=FALSE),O$64,O41))))</f>
      </c>
      <c r="P93" s="9" t="str">
        <f>IF(ISBLANK(P41),"NO DATA",IF(ISNUMBER(FIND(CODES!$A$12,P41)),CODES!$A$12,IF(OR(ISNUMBER(FIND(CODES!$A$10,P41)),ISNUMBER(FIND(CODES!$A$11,P41))),CODES!$A$13,IF(OR(P41&lt;P$63,ISNUMBER(P41)=FALSE),P$64,P41))))</f>
      </c>
      <c r="Q93" s="9" t="str">
        <f>IF(ISBLANK(Q41),"NO DATA",IF(ISNUMBER(FIND(CODES!$A$12,Q41)),CODES!$A$12,IF(OR(ISNUMBER(FIND(CODES!$A$10,Q41)),ISNUMBER(FIND(CODES!$A$11,Q41))),CODES!$A$13,IF(OR(Q41&lt;Q$63,ISNUMBER(Q41)=FALSE),Q$64,Q41))))</f>
      </c>
      <c r="R93" s="9" t="str">
        <f>IF(ISBLANK(R41),"NO DATA",IF(ISNUMBER(FIND(CODES!$A$12,R41)),CODES!$A$12,IF(OR(ISNUMBER(FIND(CODES!$A$10,R41)),ISNUMBER(FIND(CODES!$A$11,R41))),CODES!$A$13,IF(OR(R41&lt;R$63,ISNUMBER(R41)=FALSE),R$64,R41))))</f>
      </c>
      <c r="S93" s="9" t="str">
        <f>IF(ISBLANK(S41),"NO DATA",IF(ISNUMBER(FIND(CODES!$A$12,S41)),CODES!$A$12,IF(OR(ISNUMBER(FIND(CODES!$A$10,S41)),ISNUMBER(FIND(CODES!$A$11,S41))),CODES!$A$13,IF(OR(S41&lt;S$63,ISNUMBER(S41)=FALSE),S$64,S41))))</f>
      </c>
      <c r="T93" s="9" t="str">
        <f>IF(ISBLANK(T41),"NO DATA",IF(ISNUMBER(FIND(CODES!$A$12,T41)),CODES!$A$12,IF(OR(ISNUMBER(FIND(CODES!$A$10,T41)),ISNUMBER(FIND(CODES!$A$11,T41))),CODES!$A$13,IF(OR(T41&lt;T$63,ISNUMBER(T41)=FALSE),T$64,T41))))</f>
      </c>
      <c r="U93" s="9" t="str">
        <f>IF(ISBLANK(U41),"NO DATA",IF(ISNUMBER(FIND(CODES!$A$12,U41)),CODES!$A$12,IF(OR(ISNUMBER(FIND(CODES!$A$10,U41)),ISNUMBER(FIND(CODES!$A$11,U41))),CODES!$A$13,IF(OR(U41&lt;U$63,ISNUMBER(U41)=FALSE),U$64,U41))))</f>
      </c>
      <c r="V93" s="9" t="str">
        <f>IF(ISBLANK(V41),"NO DATA",IF(ISNUMBER(FIND(CODES!$A$12,V41)),CODES!$A$12,IF(OR(ISNUMBER(FIND(CODES!$A$10,V41)),ISNUMBER(FIND(CODES!$A$11,V41))),CODES!$A$13,IF(OR(V41&lt;V$63,ISNUMBER(V41)=FALSE),V$64,V41))))</f>
      </c>
      <c r="W93" s="9" t="str">
        <f>IF(ISBLANK(W41),"NO DATA",IF(ISNUMBER(FIND(CODES!$A$12,W41)),CODES!$A$12,IF(OR(ISNUMBER(FIND(CODES!$A$10,W41)),ISNUMBER(FIND(CODES!$A$11,W41))),CODES!$A$13,IF(OR(W41&lt;W$63,ISNUMBER(W41)=FALSE),W$64,W41))))</f>
      </c>
      <c r="X93" s="9" t="str">
        <f>IF(ISBLANK(X41),"NO DATA",IF(ISNUMBER(FIND(CODES!$A$12,X41)),CODES!$A$12,IF(OR(ISNUMBER(FIND(CODES!$A$10,X41)),ISNUMBER(FIND(CODES!$A$11,X41))),CODES!$A$13,IF(OR(X41&lt;X$63,ISNUMBER(X41)=FALSE),X$64,X41))))</f>
      </c>
      <c r="Y93" s="9" t="str">
        <f>IF(ISBLANK(Y41),"NO DATA",IF(ISNUMBER(FIND(CODES!$A$12,Y41)),CODES!$A$12,IF(OR(ISNUMBER(FIND(CODES!$A$10,Y41)),ISNUMBER(FIND(CODES!$A$11,Y41))),CODES!$A$13,IF(OR(Y41&lt;Y$63,ISNUMBER(Y41)=FALSE),Y$64,Y41))))</f>
      </c>
      <c r="Z93" s="9" t="str">
        <f>IF(ISBLANK(Z41),"NO DATA",IF(ISNUMBER(FIND(CODES!$A$12,Z41)),CODES!$A$12,IF(OR(ISNUMBER(FIND(CODES!$A$10,Z41)),ISNUMBER(FIND(CODES!$A$11,Z41))),CODES!$A$13,IF(OR(Z41&lt;Z$63,ISNUMBER(Z41)=FALSE),Z$64,Z41))))</f>
      </c>
      <c r="AA93" s="9" t="str">
        <f>IF(ISBLANK(AA41),"NO DATA",IF(ISNUMBER(FIND(CODES!$A$12,AA41)),CODES!$A$12,IF(OR(ISNUMBER(FIND(CODES!$A$10,AA41)),ISNUMBER(FIND(CODES!$A$11,AA41))),CODES!$A$13,IF(OR(AA41&lt;AA$63,ISNUMBER(AA41)=FALSE),AA$64,AA41))))</f>
      </c>
      <c r="AB93" s="9" t="str">
        <f>IF(ISBLANK(AB41),"NO DATA",IF(ISNUMBER(FIND(CODES!$A$12,AB41)),CODES!$A$12,IF(OR(ISNUMBER(FIND(CODES!$A$10,AB41)),ISNUMBER(FIND(CODES!$A$11,AB41))),CODES!$A$13,IF(OR(AB41&lt;AB$63,ISNUMBER(AB41)=FALSE),AB$64,AB41))))</f>
      </c>
      <c r="AC93" s="9" t="str">
        <f>IF(ISBLANK(AC41),"NO DATA",IF(ISNUMBER(FIND(CODES!$A$12,AC41)),CODES!$A$12,IF(OR(ISNUMBER(FIND(CODES!$A$10,AC41)),ISNUMBER(FIND(CODES!$A$11,AC41))),CODES!$A$13,IF(OR(AC41&lt;AC$63,ISNUMBER(AC41)=FALSE),AC$64,AC41))))</f>
      </c>
      <c r="AD93" s="9" t="str">
        <f>IF(ISBLANK(AD41),"NO DATA",IF(ISNUMBER(FIND(CODES!$A$12,AD41)),CODES!$A$12,IF(OR(ISNUMBER(FIND(CODES!$A$10,AD41)),ISNUMBER(FIND(CODES!$A$11,AD41))),CODES!$A$13,IF(OR(AD41&lt;AD$63,ISNUMBER(AD41)=FALSE),AD$64,AD41))))</f>
      </c>
      <c r="AE93" s="9" t="str">
        <f>IF(ISBLANK(AE41),"NO DATA",IF(ISNUMBER(FIND(CODES!$A$12,AE41)),CODES!$A$12,IF(OR(ISNUMBER(FIND(CODES!$A$10,AE41)),ISNUMBER(FIND(CODES!$A$11,AE41))),CODES!$A$13,IF(OR(AE41&lt;AE$63,ISNUMBER(AE41)=FALSE),AE$64,AE41))))</f>
      </c>
      <c r="AF93" s="9" t="str">
        <f>IF(ISBLANK(AF41),"NO DATA",IF(ISNUMBER(FIND(CODES!$A$12,AF41)),CODES!$A$12,IF(OR(ISNUMBER(FIND(CODES!$A$10,AF41)),ISNUMBER(FIND(CODES!$A$11,AF41))),CODES!$A$13,IF(OR(AF41&lt;AF$63,ISNUMBER(AF41)=FALSE),AF$64,AF41))))</f>
      </c>
      <c r="AG93" s="9" t="str">
        <f>IF(ISBLANK(AG41),"NO DATA",IF(ISNUMBER(FIND(CODES!$A$12,AG41)),CODES!$A$12,IF(OR(ISNUMBER(FIND(CODES!$A$10,AG41)),ISNUMBER(FIND(CODES!$A$11,AG41))),CODES!$A$13,IF(OR(AG41&lt;AG$63,ISNUMBER(AG41)=FALSE),AG$64,AG41))))</f>
      </c>
      <c r="AH93" s="9" t="str">
        <f>IF(ISBLANK(AH41),"NO DATA",IF(ISNUMBER(FIND(CODES!$A$12,AH41)),CODES!$A$12,IF(OR(ISNUMBER(FIND(CODES!$A$10,AH41)),ISNUMBER(FIND(CODES!$A$11,AH41))),CODES!$A$13,IF(OR(AH41&lt;AH$63,ISNUMBER(AH41)=FALSE),AH$64,AH41))))</f>
      </c>
      <c r="AI93" s="9" t="str">
        <f>IF(ISBLANK(AI41),"NO DATA",IF(ISNUMBER(FIND(CODES!$A$12,AI41)),CODES!$A$12,IF(OR(ISNUMBER(FIND(CODES!$A$10,AI41)),ISNUMBER(FIND(CODES!$A$11,AI41))),CODES!$A$13,IF(OR(AI41&lt;AI$63,ISNUMBER(AI41)=FALSE),AI$64,AI41))))</f>
      </c>
      <c r="AJ93" s="9" t="str">
        <f>IF(ISBLANK(AJ41),"NO DATA",IF(ISNUMBER(FIND(CODES!$A$12,AJ41)),CODES!$A$12,IF(OR(ISNUMBER(FIND(CODES!$A$10,AJ41)),ISNUMBER(FIND(CODES!$A$11,AJ41))),CODES!$A$13,IF(OR(AJ41&lt;AJ$63,ISNUMBER(AJ41)=FALSE),AJ$64,AJ41))))</f>
      </c>
      <c r="AK93" s="9" t="str">
        <f>IF(ISBLANK(AK41),"NO DATA",IF(ISNUMBER(FIND(CODES!$A$12,AK41)),CODES!$A$12,IF(OR(ISNUMBER(FIND(CODES!$A$10,AK41)),ISNUMBER(FIND(CODES!$A$11,AK41))),CODES!$A$13,IF(OR(AK41&lt;AK$63,ISNUMBER(AK41)=FALSE),AK$64,AK41))))</f>
      </c>
      <c r="AL93" s="9" t="str">
        <f>IF(ISBLANK(AL41),"NO DATA",IF(ISNUMBER(FIND(CODES!$A$12,AL41)),CODES!$A$12,IF(OR(ISNUMBER(FIND(CODES!$A$10,AL41)),ISNUMBER(FIND(CODES!$A$11,AL41))),CODES!$A$13,IF(OR(AL41&lt;AL$63,ISNUMBER(AL41)=FALSE),AL$64,AL41))))</f>
      </c>
      <c r="AM93" s="9" t="str">
        <f>IF(ISBLANK(AM41),"NO DATA",IF(ISNUMBER(FIND(CODES!$A$12,AM41)),CODES!$A$12,IF(OR(ISNUMBER(FIND(CODES!$A$10,AM41)),ISNUMBER(FIND(CODES!$A$11,AM41))),CODES!$A$13,IF(OR(AM41&lt;AM$63,ISNUMBER(AM41)=FALSE),AM$64,AM41))))</f>
      </c>
      <c r="AN93" s="9" t="str">
        <f>IF(ISBLANK(AN41),"NO DATA",IF(ISNUMBER(FIND(CODES!$A$12,AN41)),CODES!$A$12,IF(OR(ISNUMBER(FIND(CODES!$A$10,AN41)),ISNUMBER(FIND(CODES!$A$11,AN41))),CODES!$A$13,IF(OR(AN41&lt;AN$63,ISNUMBER(AN41)=FALSE),AN$64,AN41))))</f>
      </c>
      <c r="AO93" s="9" t="str">
        <f>IF(ISBLANK(AO41),"NO DATA",IF(ISNUMBER(FIND(CODES!$A$12,AO41)),CODES!$A$12,IF(OR(ISNUMBER(FIND(CODES!$A$10,AO41)),ISNUMBER(FIND(CODES!$A$11,AO41))),CODES!$A$13,IF(OR(AO41&lt;AO$63,ISNUMBER(AO41)=FALSE),AO$64,AO41))))</f>
      </c>
      <c r="AP93" s="9" t="str">
        <f>IF(ISBLANK(AP41),"NO DATA",IF(ISNUMBER(FIND(CODES!$A$12,AP41)),CODES!$A$12,IF(OR(ISNUMBER(FIND(CODES!$A$10,AP41)),ISNUMBER(FIND(CODES!$A$11,AP41))),CODES!$A$13,IF(OR(AP41&lt;AP$63,ISNUMBER(AP41)=FALSE),AP$64,AP41))))</f>
      </c>
      <c r="AQ93" s="9" t="str">
        <f>IF(ISBLANK(AQ41),"NO DATA",IF(ISNUMBER(FIND(CODES!$A$12,AQ41)),CODES!$A$12,IF(OR(ISNUMBER(FIND(CODES!$A$10,AQ41)),ISNUMBER(FIND(CODES!$A$11,AQ41))),CODES!$A$13,IF(OR(AQ41&lt;AQ$63,ISNUMBER(AQ41)=FALSE),AQ$64,AQ41))))</f>
      </c>
      <c r="AR93" s="9" t="str">
        <f>IF(ISBLANK(AR41),"NO DATA",IF(ISNUMBER(FIND(CODES!$A$12,AR41)),CODES!$A$12,IF(OR(ISNUMBER(FIND(CODES!$A$10,AR41)),ISNUMBER(FIND(CODES!$A$11,AR41))),CODES!$A$13,IF(OR(AR41&lt;AR$63,ISNUMBER(AR41)=FALSE),AR$64,AR41))))</f>
      </c>
      <c r="AS93" s="9" t="str">
        <f>IF(ISBLANK(AS41),"NO DATA",IF(ISNUMBER(FIND(CODES!$A$12,AS41)),CODES!$A$12,IF(OR(ISNUMBER(FIND(CODES!$A$10,AS41)),ISNUMBER(FIND(CODES!$A$11,AS41))),CODES!$A$13,IF(OR(AS41&lt;AS$63,ISNUMBER(AS41)=FALSE),AS$64,AS41))))</f>
      </c>
      <c r="AT93" s="9" t="str">
        <f>IF(ISBLANK(AT41),"NO DATA",IF(ISNUMBER(FIND(CODES!$A$12,AT41)),CODES!$A$12,IF(OR(ISNUMBER(FIND(CODES!$A$10,AT41)),ISNUMBER(FIND(CODES!$A$11,AT41))),CODES!$A$13,IF(OR(AT41&lt;AT$63,ISNUMBER(AT41)=FALSE),AT$64,AT41))))</f>
      </c>
      <c r="AU93" s="9" t="str">
        <f>IF(ISBLANK(AU41),"NO DATA",IF(ISNUMBER(FIND(CODES!$A$12,AU41)),CODES!$A$12,IF(OR(ISNUMBER(FIND(CODES!$A$10,AU41)),ISNUMBER(FIND(CODES!$A$11,AU41))),CODES!$A$13,IF(OR(AU41&lt;AU$63,ISNUMBER(AU41)=FALSE),AU$64,AU41))))</f>
      </c>
      <c r="AV93" s="9" t="str">
        <f>IF(ISBLANK(AV41),"NO DATA",IF(ISNUMBER(FIND(CODES!$A$12,AV41)),CODES!$A$12,IF(OR(ISNUMBER(FIND(CODES!$A$10,AV41)),ISNUMBER(FIND(CODES!$A$11,AV41))),CODES!$A$13,IF(OR(AV41&lt;AV$63,ISNUMBER(AV41)=FALSE),AV$64,AV41))))</f>
      </c>
      <c r="AW93" s="9" t="str">
        <f>IF(ISBLANK(AW41),"NO DATA",IF(ISNUMBER(FIND(CODES!$A$12,AW41)),CODES!$A$12,IF(OR(ISNUMBER(FIND(CODES!$A$10,AW41)),ISNUMBER(FIND(CODES!$A$11,AW41))),CODES!$A$13,IF(OR(AW41&lt;AW$63,ISNUMBER(AW41)=FALSE),AW$64,AW41))))</f>
      </c>
      <c r="AX93" s="9" t="str">
        <f>IF(ISBLANK(AX41),"NO DATA",IF(ISNUMBER(FIND(CODES!$A$12,AX41)),CODES!$A$12,IF(OR(ISNUMBER(FIND(CODES!$A$10,AX41)),ISNUMBER(FIND(CODES!$A$11,AX41))),CODES!$A$13,IF(OR(AX41&lt;AX$63,ISNUMBER(AX41)=FALSE),AX$64,AX41))))</f>
      </c>
      <c r="AY93" s="9" t="str">
        <f>IF(ISBLANK(AY41),"NO DATA",IF(ISNUMBER(FIND(CODES!$A$12,AY41)),CODES!$A$12,IF(OR(ISNUMBER(FIND(CODES!$A$10,AY41)),ISNUMBER(FIND(CODES!$A$11,AY41))),CODES!$A$13,IF(OR(AY41&lt;AY$63,ISNUMBER(AY41)=FALSE),AY$64,AY41))))</f>
      </c>
      <c r="AZ93" s="9" t="str">
        <f>IF(ISBLANK(AZ41),"NO DATA",IF(ISNUMBER(FIND(CODES!$A$12,AZ41)),CODES!$A$12,IF(OR(ISNUMBER(FIND(CODES!$A$10,AZ41)),ISNUMBER(FIND(CODES!$A$11,AZ41))),CODES!$A$13,IF(OR(AZ41&lt;AZ$63,ISNUMBER(AZ41)=FALSE),AZ$64,AZ41))))</f>
      </c>
      <c r="BA93" s="9" t="str">
        <f>IF(ISBLANK(BA41),"NO DATA",IF(ISNUMBER(FIND(CODES!$A$12,BA41)),CODES!$A$12,IF(OR(ISNUMBER(FIND(CODES!$A$10,BA41)),ISNUMBER(FIND(CODES!$A$11,BA41))),CODES!$A$13,IF(OR(BA41&lt;BA$63,ISNUMBER(BA41)=FALSE),BA$64,BA41))))</f>
      </c>
      <c r="BB93" s="9" t="str">
        <f>IF(ISBLANK(BB41),"NO DATA",IF(ISNUMBER(FIND(CODES!$A$12,BB41)),CODES!$A$12,IF(OR(ISNUMBER(FIND(CODES!$A$10,BB41)),ISNUMBER(FIND(CODES!$A$11,BB41))),CODES!$A$13,IF(OR(BB41&lt;BB$63,ISNUMBER(BB41)=FALSE),BB$64,BB41))))</f>
      </c>
      <c r="BC93" s="9" t="str">
        <f>IF(ISBLANK(BC41),"NO DATA",IF(ISNUMBER(FIND(CODES!$A$12,BC41)),CODES!$A$12,IF(OR(ISNUMBER(FIND(CODES!$A$10,BC41)),ISNUMBER(FIND(CODES!$A$11,BC41))),CODES!$A$13,IF(OR(BC41&lt;BC$63,ISNUMBER(BC41)=FALSE),BC$64,BC41))))</f>
      </c>
      <c r="BD93" s="9" t="str">
        <f>IF(ISBLANK(BD41),"NO DATA",IF(ISNUMBER(FIND(CODES!$A$12,BD41)),CODES!$A$12,IF(OR(ISNUMBER(FIND(CODES!$A$10,BD41)),ISNUMBER(FIND(CODES!$A$11,BD41))),CODES!$A$13,IF(OR(BD41&lt;BD$63,ISNUMBER(BD41)=FALSE),BD$64,BD41))))</f>
      </c>
      <c r="BE93" s="9" t="str">
        <f>IF(ISBLANK(BE41),"NO DATA",IF(ISNUMBER(FIND(CODES!$A$12,BE41)),CODES!$A$12,IF(OR(ISNUMBER(FIND(CODES!$A$10,BE41)),ISNUMBER(FIND(CODES!$A$11,BE41))),CODES!$A$13,IF(OR(BE41&lt;BE$63,ISNUMBER(BE41)=FALSE),BE$64,BE41))))</f>
      </c>
      <c r="BF93" s="9" t="str">
        <f>IF(ISBLANK(BF41),"NO DATA",IF(ISNUMBER(FIND(CODES!$A$12,BF41)),CODES!$A$12,IF(OR(ISNUMBER(FIND(CODES!$A$10,BF41)),ISNUMBER(FIND(CODES!$A$11,BF41))),CODES!$A$13,IF(OR(BF41&lt;BF$63,ISNUMBER(BF41)=FALSE),BF$64,BF41))))</f>
      </c>
      <c r="BG93" s="9" t="str">
        <f>IF(ISBLANK(BG41),"NO DATA",IF(ISNUMBER(FIND(CODES!$A$12,BG41)),CODES!$A$12,IF(OR(ISNUMBER(FIND(CODES!$A$10,BG41)),ISNUMBER(FIND(CODES!$A$11,BG41))),CODES!$A$13,IF(OR(BG41&lt;BG$63,ISNUMBER(BG41)=FALSE),BG$64,BG41))))</f>
      </c>
      <c r="BH93" s="9" t="str">
        <f>IF(ISBLANK(BH41),"NO DATA",IF(ISNUMBER(FIND(CODES!$A$12,BH41)),CODES!$A$12,IF(OR(ISNUMBER(FIND(CODES!$A$10,BH41)),ISNUMBER(FIND(CODES!$A$11,BH41))),CODES!$A$13,IF(OR(BH41&lt;BH$63,ISNUMBER(BH41)=FALSE),BH$64,BH41))))</f>
      </c>
      <c r="BI93" s="9" t="str">
        <f>IF(ISBLANK(BI41),"NO DATA",IF(ISNUMBER(FIND(CODES!$A$12,BI41)),CODES!$A$12,IF(OR(ISNUMBER(FIND(CODES!$A$10,BI41)),ISNUMBER(FIND(CODES!$A$11,BI41))),CODES!$A$13,IF(OR(BI41&lt;BI$63,ISNUMBER(BI41)=FALSE),BI$64,BI41))))</f>
      </c>
      <c r="BJ93" s="9" t="str">
        <f>IF(ISBLANK(BJ41),"NO DATA",IF(ISNUMBER(FIND(CODES!$A$12,BJ41)),CODES!$A$12,IF(OR(ISNUMBER(FIND(CODES!$A$10,BJ41)),ISNUMBER(FIND(CODES!$A$11,BJ41))),CODES!$A$13,IF(OR(BJ41&lt;BJ$63,ISNUMBER(BJ41)=FALSE),BJ$64,BJ41))))</f>
      </c>
      <c r="BK93" s="9" t="str">
        <f>IF(ISBLANK(BK41),"NO DATA",IF(ISNUMBER(FIND(CODES!$A$12,BK41)),CODES!$A$12,IF(OR(ISNUMBER(FIND(CODES!$A$10,BK41)),ISNUMBER(FIND(CODES!$A$11,BK41))),CODES!$A$13,IF(OR(BK41&lt;BK$63,ISNUMBER(BK41)=FALSE),BK$64,BK41))))</f>
      </c>
      <c r="BL93" s="9" t="str">
        <f>IF(ISBLANK(BL41),"NO DATA",IF(ISNUMBER(FIND(CODES!$A$12,BL41)),CODES!$A$12,IF(OR(ISNUMBER(FIND(CODES!$A$10,BL41)),ISNUMBER(FIND(CODES!$A$11,BL41))),CODES!$A$13,IF(OR(BL41&lt;BL$63,ISNUMBER(BL41)=FALSE),BL$64,BL41))))</f>
      </c>
      <c r="BM93" s="9" t="str">
        <f>IF(ISBLANK(BM41),"NO DATA",IF(ISNUMBER(FIND(CODES!$A$12,BM41)),CODES!$A$12,IF(OR(ISNUMBER(FIND(CODES!$A$10,BM41)),ISNUMBER(FIND(CODES!$A$11,BM41))),CODES!$A$13,IF(OR(BM41&lt;BM$63,ISNUMBER(BM41)=FALSE),BM$64,BM41))))</f>
      </c>
      <c r="BN93" s="9" t="str">
        <f>IF(ISBLANK(BN41),"NO DATA",IF(ISNUMBER(FIND(CODES!$A$12,BN41)),CODES!$A$12,IF(OR(ISNUMBER(FIND(CODES!$A$10,BN41)),ISNUMBER(FIND(CODES!$A$11,BN41))),CODES!$A$13,IF(OR(BN41&lt;BN$63,ISNUMBER(BN41)=FALSE),BN$64,BN41))))</f>
      </c>
      <c r="BO93" s="9" t="str">
        <f>IF(ISBLANK(BO41),"NO DATA",IF(ISNUMBER(FIND(CODES!$A$12,BO41)),CODES!$A$12,IF(OR(ISNUMBER(FIND(CODES!$A$10,BO41)),ISNUMBER(FIND(CODES!$A$11,BO41))),CODES!$A$13,IF(OR(BO41&lt;BO$63,ISNUMBER(BO41)=FALSE),BO$64,BO41))))</f>
      </c>
      <c r="BP93" s="9" t="str">
        <f>IF(ISBLANK(BP41),"NO DATA",IF(ISNUMBER(FIND(CODES!$A$12,BP41)),CODES!$A$12,IF(OR(ISNUMBER(FIND(CODES!$A$10,BP41)),ISNUMBER(FIND(CODES!$A$11,BP41))),CODES!$A$13,IF(OR(BP41&lt;BP$63,ISNUMBER(BP41)=FALSE),BP$64,BP41))))</f>
      </c>
      <c r="BQ93" s="9" t="str">
        <f>IF(ISBLANK(BQ41),"NO DATA",IF(ISNUMBER(FIND(CODES!$A$12,BQ41)),CODES!$A$12,IF(OR(ISNUMBER(FIND(CODES!$A$10,BQ41)),ISNUMBER(FIND(CODES!$A$11,BQ41))),CODES!$A$13,IF(OR(BQ41&lt;BQ$63,ISNUMBER(BQ41)=FALSE),BQ$64,BQ41))))</f>
      </c>
      <c r="BR93" s="9" t="str">
        <f>IF(ISBLANK(BR41),"NO DATA",IF(ISNUMBER(FIND(CODES!$A$12,BR41)),CODES!$A$12,IF(OR(ISNUMBER(FIND(CODES!$A$10,BR41)),ISNUMBER(FIND(CODES!$A$11,BR41))),CODES!$A$13,IF(OR(BR41&lt;BR$63,ISNUMBER(BR41)=FALSE),BR$64,BR41))))</f>
      </c>
      <c r="BS93" s="9" t="str">
        <f>IF(ISBLANK(BS41),"NO DATA",IF(ISNUMBER(FIND(CODES!$A$12,BS41)),CODES!$A$12,IF(OR(ISNUMBER(FIND(CODES!$A$10,BS41)),ISNUMBER(FIND(CODES!$A$11,BS41))),CODES!$A$13,IF(OR(BS41&lt;BS$63,ISNUMBER(BS41)=FALSE),BS$64,BS41))))</f>
      </c>
      <c r="BT93" s="9" t="str">
        <f>IF(ISBLANK(BT41),"NO DATA",IF(ISNUMBER(FIND(CODES!$A$12,BT41)),CODES!$A$12,IF(OR(ISNUMBER(FIND(CODES!$A$10,BT41)),ISNUMBER(FIND(CODES!$A$11,BT41))),CODES!$A$13,IF(OR(BT41&lt;BT$63,ISNUMBER(BT41)=FALSE),BT$64,BT41))))</f>
      </c>
      <c r="BU93" s="9" t="str">
        <f>IF(ISBLANK(BU41),"NO DATA",IF(ISNUMBER(FIND(CODES!$A$12,BU41)),CODES!$A$12,IF(OR(ISNUMBER(FIND(CODES!$A$10,BU41)),ISNUMBER(FIND(CODES!$A$11,BU41))),CODES!$A$13,IF(OR(BU41&lt;BU$63,ISNUMBER(BU41)=FALSE),BU$64,BU41))))</f>
      </c>
      <c r="BV93" s="9" t="str">
        <f>IF(ISBLANK(BV41),"NO DATA",IF(ISNUMBER(FIND(CODES!$A$12,BV41)),CODES!$A$12,IF(OR(ISNUMBER(FIND(CODES!$A$10,BV41)),ISNUMBER(FIND(CODES!$A$11,BV41))),CODES!$A$13,IF(OR(BV41&lt;BV$63,ISNUMBER(BV41)=FALSE),BV$64,BV41))))</f>
      </c>
      <c r="BW93" s="9" t="str">
        <f>IF(ISBLANK(BW41),"NO DATA",IF(ISNUMBER(FIND(CODES!$A$12,BW41)),CODES!$A$12,IF(OR(ISNUMBER(FIND(CODES!$A$10,BW41)),ISNUMBER(FIND(CODES!$A$11,BW41))),CODES!$A$13,IF(OR(BW41&lt;BW$63,ISNUMBER(BW41)=FALSE),BW$64,BW41))))</f>
      </c>
      <c r="BX93" s="9" t="str">
        <f>IF(ISBLANK(BX41),"NO DATA",IF(ISNUMBER(FIND(CODES!$A$12,BX41)),CODES!$A$12,IF(OR(ISNUMBER(FIND(CODES!$A$10,BX41)),ISNUMBER(FIND(CODES!$A$11,BX41))),CODES!$A$13,IF(OR(BX41&lt;BX$63,ISNUMBER(BX41)=FALSE),BX$64,BX41))))</f>
      </c>
      <c r="BY93" s="9" t="str">
        <f>IF(ISBLANK(BY41),"NO DATA",IF(ISNUMBER(FIND(CODES!$A$12,BY41)),CODES!$A$12,IF(OR(ISNUMBER(FIND(CODES!$A$10,BY41)),ISNUMBER(FIND(CODES!$A$11,BY41))),CODES!$A$13,IF(OR(BY41&lt;BY$63,ISNUMBER(BY41)=FALSE),BY$64,BY41))))</f>
      </c>
      <c r="BZ93" s="9" t="str">
        <f>IF(ISBLANK(BZ41),"NO DATA",IF(ISNUMBER(FIND(CODES!$A$12,BZ41)),CODES!$A$12,IF(OR(ISNUMBER(FIND(CODES!$A$10,BZ41)),ISNUMBER(FIND(CODES!$A$11,BZ41))),CODES!$A$13,IF(OR(BZ41&lt;BZ$63,ISNUMBER(BZ41)=FALSE),BZ$64,BZ41))))</f>
      </c>
      <c r="CA93" s="9" t="str">
        <f>IF(ISBLANK(CA41),"NO DATA",IF(ISNUMBER(FIND(CODES!$A$12,CA41)),CODES!$A$12,IF(OR(ISNUMBER(FIND(CODES!$A$10,CA41)),ISNUMBER(FIND(CODES!$A$11,CA41))),CODES!$A$13,IF(OR(CA41&lt;CA$63,ISNUMBER(CA41)=FALSE),CA$64,CA41))))</f>
      </c>
      <c r="CB93" s="9" t="str">
        <f>IF(ISBLANK(CB41),"NO DATA",IF(ISNUMBER(FIND(CODES!$A$12,CB41)),CODES!$A$12,IF(OR(ISNUMBER(FIND(CODES!$A$10,CB41)),ISNUMBER(FIND(CODES!$A$11,CB41))),CODES!$A$13,IF(OR(CB41&lt;CB$63,ISNUMBER(CB41)=FALSE),CB$64,CB41))))</f>
      </c>
      <c r="CC93" s="9" t="str">
        <f>IF(ISBLANK(CC41),"NO DATA",IF(ISNUMBER(FIND(CODES!$A$12,CC41)),CODES!$A$12,IF(OR(ISNUMBER(FIND(CODES!$A$10,CC41)),ISNUMBER(FIND(CODES!$A$11,CC41))),CODES!$A$13,IF(OR(CC41&lt;CC$63,ISNUMBER(CC41)=FALSE),CC$64,CC41))))</f>
      </c>
      <c r="CD93" s="9" t="str">
        <f>IF(ISBLANK(CD41),"NO DATA",IF(ISNUMBER(FIND(CODES!$A$12,CD41)),CODES!$A$12,IF(OR(ISNUMBER(FIND(CODES!$A$10,CD41)),ISNUMBER(FIND(CODES!$A$11,CD41))),CODES!$A$13,IF(OR(CD41&lt;CD$63,ISNUMBER(CD41)=FALSE),CD$64,CD41))))</f>
      </c>
      <c r="CE93" s="9" t="str">
        <f>IF(ISBLANK(CE41),"NO DATA",IF(ISNUMBER(FIND(CODES!$A$12,CE41)),CODES!$A$12,IF(OR(ISNUMBER(FIND(CODES!$A$10,CE41)),ISNUMBER(FIND(CODES!$A$11,CE41))),CODES!$A$13,IF(OR(CE41&lt;CE$63,ISNUMBER(CE41)=FALSE),CE$64,CE41))))</f>
      </c>
      <c r="CF93" s="9" t="str">
        <f>IF(ISBLANK(CF41),"NO DATA",IF(ISNUMBER(FIND(CODES!$A$12,CF41)),CODES!$A$12,IF(OR(ISNUMBER(FIND(CODES!$A$10,CF41)),ISNUMBER(FIND(CODES!$A$11,CF41))),CODES!$A$13,IF(OR(CF41&lt;CF$63,ISNUMBER(CF41)=FALSE),CF$64,CF41))))</f>
      </c>
      <c r="CG93" s="9" t="str">
        <f>IF(ISBLANK(CG41),"NO DATA",IF(ISNUMBER(FIND(CODES!$A$12,CG41)),CODES!$A$12,IF(OR(ISNUMBER(FIND(CODES!$A$10,CG41)),ISNUMBER(FIND(CODES!$A$11,CG41))),CODES!$A$13,IF(OR(CG41&lt;CG$63,ISNUMBER(CG41)=FALSE),CG$64,CG41))))</f>
      </c>
      <c r="CH93" s="9" t="str">
        <f>IF(ISBLANK(CH41),"NO DATA",IF(ISNUMBER(FIND(CODES!$A$12,CH41)),CODES!$A$12,IF(OR(ISNUMBER(FIND(CODES!$A$10,CH41)),ISNUMBER(FIND(CODES!$A$11,CH41))),CODES!$A$13,IF(OR(CH41&lt;CH$63,ISNUMBER(CH41)=FALSE),CH$64,CH41))))</f>
      </c>
      <c r="CI93" s="9" t="str">
        <f>IF(ISBLANK(CI41),"NO DATA",IF(ISNUMBER(FIND(CODES!$A$12,CI41)),CODES!$A$12,IF(OR(ISNUMBER(FIND(CODES!$A$10,CI41)),ISNUMBER(FIND(CODES!$A$11,CI41))),CODES!$A$13,IF(OR(CI41&lt;CI$63,ISNUMBER(CI41)=FALSE),CI$64,CI41))))</f>
      </c>
      <c r="CJ93" s="9" t="str">
        <f>IF(ISBLANK(CJ41),"NO DATA",IF(ISNUMBER(FIND(CODES!$A$12,CJ41)),CODES!$A$12,IF(OR(ISNUMBER(FIND(CODES!$A$10,CJ41)),ISNUMBER(FIND(CODES!$A$11,CJ41))),CODES!$A$13,IF(OR(CJ41&lt;CJ$63,ISNUMBER(CJ41)=FALSE),CJ$64,CJ41))))</f>
      </c>
      <c r="CK93" s="9" t="str">
        <f>IF(ISBLANK(CK41),"NO DATA",IF(ISNUMBER(FIND(CODES!$A$12,CK41)),CODES!$A$12,IF(OR(ISNUMBER(FIND(CODES!$A$10,CK41)),ISNUMBER(FIND(CODES!$A$11,CK41))),CODES!$A$13,IF(OR(CK41&lt;CK$63,ISNUMBER(CK41)=FALSE),CK$64,CK41))))</f>
      </c>
      <c r="CL93" s="9" t="str">
        <f>IF(ISBLANK(CL41),"NO DATA",IF(ISNUMBER(FIND(CODES!$A$12,CL41)),CODES!$A$12,IF(OR(ISNUMBER(FIND(CODES!$A$10,CL41)),ISNUMBER(FIND(CODES!$A$11,CL41))),CODES!$A$13,IF(OR(CL41&lt;CL$63,ISNUMBER(CL41)=FALSE),CL$64,CL41))))</f>
      </c>
      <c r="CM93" s="9" t="str">
        <f>IF(ISBLANK(CM41),"NO DATA",IF(ISNUMBER(FIND(CODES!$A$12,CM41)),CODES!$A$12,IF(OR(ISNUMBER(FIND(CODES!$A$10,CM41)),ISNUMBER(FIND(CODES!$A$11,CM41))),CODES!$A$13,IF(OR(CM41&lt;CM$63,ISNUMBER(CM41)=FALSE),CM$64,CM41))))</f>
      </c>
      <c r="CN93" s="9" t="str">
        <f>IF(ISBLANK(CN41),"NO DATA",IF(ISNUMBER(FIND(CODES!$A$12,CN41)),CODES!$A$12,IF(OR(ISNUMBER(FIND(CODES!$A$10,CN41)),ISNUMBER(FIND(CODES!$A$11,CN41))),CODES!$A$13,IF(OR(CN41&lt;CN$63,ISNUMBER(CN41)=FALSE),CN$64,CN41))))</f>
      </c>
      <c r="CO93" s="9" t="str">
        <f>IF(ISBLANK(CO41),"NO DATA",IF(ISNUMBER(FIND(CODES!$A$12,CO41)),CODES!$A$12,IF(OR(ISNUMBER(FIND(CODES!$A$10,CO41)),ISNUMBER(FIND(CODES!$A$11,CO41))),CODES!$A$13,IF(OR(CO41&lt;CO$63,ISNUMBER(CO41)=FALSE),CO$64,CO41))))</f>
      </c>
      <c r="CP93" s="9" t="str">
        <f>IF(ISBLANK(CP41),"NO DATA",IF(ISNUMBER(FIND(CODES!$A$12,CP41)),CODES!$A$12,IF(OR(ISNUMBER(FIND(CODES!$A$10,CP41)),ISNUMBER(FIND(CODES!$A$11,CP41))),CODES!$A$13,IF(OR(CP41&lt;CP$63,ISNUMBER(CP41)=FALSE),CP$64,CP41))))</f>
      </c>
      <c r="CQ93" s="9" t="str">
        <f>IF(ISBLANK(CQ41),"NO DATA",IF(ISNUMBER(FIND(CODES!$A$12,CQ41)),CODES!$A$12,IF(OR(ISNUMBER(FIND(CODES!$A$10,CQ41)),ISNUMBER(FIND(CODES!$A$11,CQ41))),CODES!$A$13,IF(OR(CQ41&lt;CQ$63,ISNUMBER(CQ41)=FALSE),CQ$64,CQ41))))</f>
      </c>
      <c r="CR93" s="9" t="str">
        <f>IF(ISBLANK(CR41),"NO DATA",IF(ISNUMBER(FIND(CODES!$A$12,CR41)),CODES!$A$12,IF(OR(ISNUMBER(FIND(CODES!$A$10,CR41)),ISNUMBER(FIND(CODES!$A$11,CR41))),CODES!$A$13,IF(OR(CR41&lt;CR$63,ISNUMBER(CR41)=FALSE),CR$64,CR41))))</f>
      </c>
      <c r="CS93" s="9" t="str">
        <f>IF(ISBLANK(CS41),"NO DATA",IF(ISNUMBER(FIND(CODES!$A$12,CS41)),CODES!$A$12,IF(OR(ISNUMBER(FIND(CODES!$A$10,CS41)),ISNUMBER(FIND(CODES!$A$11,CS41))),CODES!$A$13,IF(OR(CS41&lt;CS$63,ISNUMBER(CS41)=FALSE),CS$64,CS41))))</f>
      </c>
      <c r="CT93" s="9" t="str">
        <f>IF(ISBLANK(CT41),"NO DATA",IF(ISNUMBER(FIND(CODES!$A$12,CT41)),CODES!$A$12,IF(OR(ISNUMBER(FIND(CODES!$A$10,CT41)),ISNUMBER(FIND(CODES!$A$11,CT41))),CODES!$A$13,IF(OR(CT41&lt;CT$63,ISNUMBER(CT41)=FALSE),CT$64,CT41))))</f>
      </c>
      <c r="CU93" s="9" t="str">
        <f>IF(ISBLANK(CU41),"NO DATA",IF(ISNUMBER(FIND(CODES!$A$12,CU41)),CODES!$A$12,IF(OR(ISNUMBER(FIND(CODES!$A$10,CU41)),ISNUMBER(FIND(CODES!$A$11,CU41))),CODES!$A$13,IF(OR(CU41&lt;CU$63,ISNUMBER(CU41)=FALSE),CU$64,CU41))))</f>
      </c>
      <c r="CV93" s="9" t="str">
        <f>IF(ISBLANK(CV41),"NO DATA",IF(ISNUMBER(FIND(CODES!$A$12,CV41)),CODES!$A$12,IF(OR(ISNUMBER(FIND(CODES!$A$10,CV41)),ISNUMBER(FIND(CODES!$A$11,CV41))),CODES!$A$13,IF(OR(CV41&lt;CV$63,ISNUMBER(CV41)=FALSE),CV$64,CV41))))</f>
      </c>
      <c r="CW93" s="9" t="str">
        <f>IF(ISBLANK(CW41),"NO DATA",IF(ISNUMBER(FIND(CODES!$A$12,CW41)),CODES!$A$12,IF(OR(ISNUMBER(FIND(CODES!$A$10,CW41)),ISNUMBER(FIND(CODES!$A$11,CW41))),CODES!$A$13,IF(OR(CW41&lt;CW$63,ISNUMBER(CW41)=FALSE),CW$64,CW41))))</f>
      </c>
      <c r="CX93" s="9" t="str">
        <f>IF(ISBLANK(CX41),"NO DATA",IF(ISNUMBER(FIND(CODES!$A$12,CX41)),CODES!$A$12,IF(OR(ISNUMBER(FIND(CODES!$A$10,CX41)),ISNUMBER(FIND(CODES!$A$11,CX41))),CODES!$A$13,IF(OR(CX41&lt;CX$63,ISNUMBER(CX41)=FALSE),CX$64,CX41))))</f>
      </c>
      <c r="CY93" s="9" t="str">
        <f>IF(ISBLANK(CY41),"NO DATA",IF(ISNUMBER(FIND(CODES!$A$12,CY41)),CODES!$A$12,IF(OR(ISNUMBER(FIND(CODES!$A$10,CY41)),ISNUMBER(FIND(CODES!$A$11,CY41))),CODES!$A$13,IF(OR(CY41&lt;CY$63,ISNUMBER(CY41)=FALSE),CY$64,CY41))))</f>
      </c>
      <c r="CZ93" s="9" t="str">
        <f>IF(ISBLANK(CZ41),"NO DATA",IF(ISNUMBER(FIND(CODES!$A$12,CZ41)),CODES!$A$12,IF(OR(ISNUMBER(FIND(CODES!$A$10,CZ41)),ISNUMBER(FIND(CODES!$A$11,CZ41))),CODES!$A$13,IF(OR(CZ41&lt;CZ$63,ISNUMBER(CZ41)=FALSE),CZ$64,CZ41))))</f>
      </c>
      <c r="DA93" s="9" t="str">
        <f>IF(ISBLANK(DA41),"NO DATA",IF(ISNUMBER(FIND(CODES!$A$12,DA41)),CODES!$A$12,IF(OR(ISNUMBER(FIND(CODES!$A$10,DA41)),ISNUMBER(FIND(CODES!$A$11,DA41))),CODES!$A$13,IF(OR(DA41&lt;DA$63,ISNUMBER(DA41)=FALSE),DA$64,DA41))))</f>
      </c>
      <c r="DB93" s="9" t="str">
        <f>IF(ISBLANK(DB41),"NO DATA",IF(ISNUMBER(FIND(CODES!$A$12,DB41)),CODES!$A$12,IF(OR(ISNUMBER(FIND(CODES!$A$10,DB41)),ISNUMBER(FIND(CODES!$A$11,DB41))),CODES!$A$13,IF(OR(DB41&lt;DB$63,ISNUMBER(DB41)=FALSE),DB$64,DB41))))</f>
      </c>
      <c r="DC93" s="9" t="str">
        <f>IF(ISBLANK(DC41),"NO DATA",IF(ISNUMBER(FIND(CODES!$A$12,DC41)),CODES!$A$12,IF(OR(ISNUMBER(FIND(CODES!$A$10,DC41)),ISNUMBER(FIND(CODES!$A$11,DC41))),CODES!$A$13,IF(OR(DC41&lt;DC$63,ISNUMBER(DC41)=FALSE),DC$64,DC41))))</f>
      </c>
      <c r="DD93" s="9" t="str">
        <f>IF(ISBLANK(DD41),"NO DATA",IF(ISNUMBER(FIND(CODES!$A$12,DD41)),CODES!$A$12,IF(OR(ISNUMBER(FIND(CODES!$A$10,DD41)),ISNUMBER(FIND(CODES!$A$11,DD41))),CODES!$A$13,IF(OR(DD41&lt;DD$63,ISNUMBER(DD41)=FALSE),DD$64,DD41))))</f>
      </c>
      <c r="DE93" s="9" t="str">
        <f>IF(ISBLANK(DE41),"NO DATA",IF(ISNUMBER(FIND(CODES!$A$12,DE41)),CODES!$A$12,IF(OR(ISNUMBER(FIND(CODES!$A$10,DE41)),ISNUMBER(FIND(CODES!$A$11,DE41))),CODES!$A$13,IF(OR(DE41&lt;DE$63,ISNUMBER(DE41)=FALSE),DE$64,DE41))))</f>
      </c>
      <c r="DF93" s="9" t="str">
        <f>IF(ISBLANK(DF41),"NO DATA",IF(ISNUMBER(FIND(CODES!$A$12,DF41)),CODES!$A$12,IF(OR(ISNUMBER(FIND(CODES!$A$10,DF41)),ISNUMBER(FIND(CODES!$A$11,DF41))),CODES!$A$13,IF(OR(DF41&lt;DF$63,ISNUMBER(DF41)=FALSE),DF$64,DF41))))</f>
      </c>
      <c r="DG93" s="9" t="str">
        <f>IF(ISBLANK(DG41),"NO DATA",IF(ISNUMBER(FIND(CODES!$A$12,DG41)),CODES!$A$12,IF(OR(ISNUMBER(FIND(CODES!$A$10,DG41)),ISNUMBER(FIND(CODES!$A$11,DG41))),CODES!$A$13,IF(OR(DG41&lt;DG$63,ISNUMBER(DG41)=FALSE),DG$64,DG41))))</f>
      </c>
      <c r="DH93" s="9" t="str">
        <f>IF(ISBLANK(DH41),"NO DATA",IF(ISNUMBER(FIND(CODES!$A$12,DH41)),CODES!$A$12,IF(OR(ISNUMBER(FIND(CODES!$A$10,DH41)),ISNUMBER(FIND(CODES!$A$11,DH41))),CODES!$A$13,IF(OR(DH41&lt;DH$63,ISNUMBER(DH41)=FALSE),DH$64,DH41))))</f>
      </c>
      <c r="DI93" s="9" t="str">
        <f>IF(ISBLANK(DI41),"NO DATA",IF(ISNUMBER(FIND(CODES!$A$12,DI41)),CODES!$A$12,IF(OR(ISNUMBER(FIND(CODES!$A$10,DI41)),ISNUMBER(FIND(CODES!$A$11,DI41))),CODES!$A$13,IF(OR(DI41&lt;DI$63,ISNUMBER(DI41)=FALSE),DI$64,DI41))))</f>
      </c>
    </row>
    <row r="94" spans="1:113" x14ac:dyDescent="0.25">
      <c r="A94" s="20" t="str">
        <f t="shared" si="5"/>
      </c>
      <c r="B94" s="20">
        <f t="shared" si="5"/>
      </c>
      <c r="C94" s="9" t="str">
        <f>IF(ISBLANK(C42),"NO DATA",IF(ISNUMBER(FIND(CODES!$A$12,C42)),CODES!$A$12,IF(OR(ISNUMBER(FIND(CODES!$A$10,C42)),ISNUMBER(FIND(CODES!$A$11,C42))),CODES!$A$13,IF(OR(C42&lt;C$63,ISNUMBER(C42)=FALSE),C$64,C42))))</f>
      </c>
      <c r="D94" s="9" t="str">
        <f>IF(ISBLANK(D42),"NO DATA",IF(ISNUMBER(FIND(CODES!$A$12,D42)),CODES!$A$12,IF(OR(ISNUMBER(FIND(CODES!$A$10,D42)),ISNUMBER(FIND(CODES!$A$11,D42))),CODES!$A$13,IF(OR(D42&lt;D$63,ISNUMBER(D42)=FALSE),D$64,D42))))</f>
      </c>
      <c r="E94" s="9" t="str">
        <f>IF(ISBLANK(E42),"NO DATA",IF(ISNUMBER(FIND(CODES!$A$12,E42)),CODES!$A$12,IF(OR(ISNUMBER(FIND(CODES!$A$10,E42)),ISNUMBER(FIND(CODES!$A$11,E42))),CODES!$A$13,IF(OR(E42&lt;E$63,ISNUMBER(E42)=FALSE),E$64,E42))))</f>
      </c>
      <c r="F94" s="9" t="str">
        <f>IF(ISBLANK(F42),"NO DATA",IF(ISNUMBER(FIND(CODES!$A$12,F42)),CODES!$A$12,IF(OR(ISNUMBER(FIND(CODES!$A$10,F42)),ISNUMBER(FIND(CODES!$A$11,F42))),CODES!$A$13,IF(OR(F42&lt;F$63,ISNUMBER(F42)=FALSE),F$64,F42))))</f>
      </c>
      <c r="G94" s="9" t="str">
        <f>IF(ISBLANK(G42),"NO DATA",IF(ISNUMBER(FIND(CODES!$A$12,G42)),CODES!$A$12,IF(OR(ISNUMBER(FIND(CODES!$A$10,G42)),ISNUMBER(FIND(CODES!$A$11,G42))),CODES!$A$13,IF(OR(G42&lt;G$63,ISNUMBER(G42)=FALSE),G$64,G42))))</f>
      </c>
      <c r="H94" s="9" t="str">
        <f>IF(ISBLANK(H42),"NO DATA",IF(ISNUMBER(FIND(CODES!$A$12,H42)),CODES!$A$12,IF(OR(ISNUMBER(FIND(CODES!$A$10,H42)),ISNUMBER(FIND(CODES!$A$11,H42))),CODES!$A$13,IF(OR(H42&lt;H$63,ISNUMBER(H42)=FALSE),H$64,H42))))</f>
      </c>
      <c r="I94" s="9" t="str">
        <f>IF(ISBLANK(I42),"NO DATA",IF(ISNUMBER(FIND(CODES!$A$12,I42)),CODES!$A$12,IF(OR(ISNUMBER(FIND(CODES!$A$10,I42)),ISNUMBER(FIND(CODES!$A$11,I42))),CODES!$A$13,IF(OR(I42&lt;I$63,ISNUMBER(I42)=FALSE),I$64,I42))))</f>
      </c>
      <c r="J94" s="9" t="str">
        <f>IF(ISBLANK(J42),"NO DATA",IF(ISNUMBER(FIND(CODES!$A$12,J42)),CODES!$A$12,IF(OR(ISNUMBER(FIND(CODES!$A$10,J42)),ISNUMBER(FIND(CODES!$A$11,J42))),CODES!$A$13,IF(OR(J42&lt;J$63,ISNUMBER(J42)=FALSE),J$64,J42))))</f>
      </c>
      <c r="K94" s="9" t="str">
        <f>IF(ISBLANK(K42),"NO DATA",IF(ISNUMBER(FIND(CODES!$A$12,K42)),CODES!$A$12,IF(OR(ISNUMBER(FIND(CODES!$A$10,K42)),ISNUMBER(FIND(CODES!$A$11,K42))),CODES!$A$13,IF(OR(K42&lt;K$63,ISNUMBER(K42)=FALSE),K$64,K42))))</f>
      </c>
      <c r="L94" s="9" t="str">
        <f>IF(ISBLANK(L42),"NO DATA",IF(ISNUMBER(FIND(CODES!$A$12,L42)),CODES!$A$12,IF(OR(ISNUMBER(FIND(CODES!$A$10,L42)),ISNUMBER(FIND(CODES!$A$11,L42))),CODES!$A$13,IF(OR(L42&lt;L$63,ISNUMBER(L42)=FALSE),L$64,L42))))</f>
      </c>
      <c r="M94" s="9" t="str">
        <f>IF(ISBLANK(M42),"NO DATA",IF(ISNUMBER(FIND(CODES!$A$12,M42)),CODES!$A$12,IF(OR(ISNUMBER(FIND(CODES!$A$10,M42)),ISNUMBER(FIND(CODES!$A$11,M42))),CODES!$A$13,IF(OR(M42&lt;M$63,ISNUMBER(M42)=FALSE),M$64,M42))))</f>
      </c>
      <c r="N94" s="9" t="str">
        <f>IF(ISBLANK(N42),"NO DATA",IF(ISNUMBER(FIND(CODES!$A$12,N42)),CODES!$A$12,IF(OR(ISNUMBER(FIND(CODES!$A$10,N42)),ISNUMBER(FIND(CODES!$A$11,N42))),CODES!$A$13,IF(OR(N42&lt;N$63,ISNUMBER(N42)=FALSE),N$64,N42))))</f>
      </c>
      <c r="O94" s="9" t="str">
        <f>IF(ISBLANK(O42),"NO DATA",IF(ISNUMBER(FIND(CODES!$A$12,O42)),CODES!$A$12,IF(OR(ISNUMBER(FIND(CODES!$A$10,O42)),ISNUMBER(FIND(CODES!$A$11,O42))),CODES!$A$13,IF(OR(O42&lt;O$63,ISNUMBER(O42)=FALSE),O$64,O42))))</f>
      </c>
      <c r="P94" s="9" t="str">
        <f>IF(ISBLANK(P42),"NO DATA",IF(ISNUMBER(FIND(CODES!$A$12,P42)),CODES!$A$12,IF(OR(ISNUMBER(FIND(CODES!$A$10,P42)),ISNUMBER(FIND(CODES!$A$11,P42))),CODES!$A$13,IF(OR(P42&lt;P$63,ISNUMBER(P42)=FALSE),P$64,P42))))</f>
      </c>
      <c r="Q94" s="9" t="str">
        <f>IF(ISBLANK(Q42),"NO DATA",IF(ISNUMBER(FIND(CODES!$A$12,Q42)),CODES!$A$12,IF(OR(ISNUMBER(FIND(CODES!$A$10,Q42)),ISNUMBER(FIND(CODES!$A$11,Q42))),CODES!$A$13,IF(OR(Q42&lt;Q$63,ISNUMBER(Q42)=FALSE),Q$64,Q42))))</f>
      </c>
      <c r="R94" s="9" t="str">
        <f>IF(ISBLANK(R42),"NO DATA",IF(ISNUMBER(FIND(CODES!$A$12,R42)),CODES!$A$12,IF(OR(ISNUMBER(FIND(CODES!$A$10,R42)),ISNUMBER(FIND(CODES!$A$11,R42))),CODES!$A$13,IF(OR(R42&lt;R$63,ISNUMBER(R42)=FALSE),R$64,R42))))</f>
      </c>
      <c r="S94" s="9" t="str">
        <f>IF(ISBLANK(S42),"NO DATA",IF(ISNUMBER(FIND(CODES!$A$12,S42)),CODES!$A$12,IF(OR(ISNUMBER(FIND(CODES!$A$10,S42)),ISNUMBER(FIND(CODES!$A$11,S42))),CODES!$A$13,IF(OR(S42&lt;S$63,ISNUMBER(S42)=FALSE),S$64,S42))))</f>
      </c>
      <c r="T94" s="9" t="str">
        <f>IF(ISBLANK(T42),"NO DATA",IF(ISNUMBER(FIND(CODES!$A$12,T42)),CODES!$A$12,IF(OR(ISNUMBER(FIND(CODES!$A$10,T42)),ISNUMBER(FIND(CODES!$A$11,T42))),CODES!$A$13,IF(OR(T42&lt;T$63,ISNUMBER(T42)=FALSE),T$64,T42))))</f>
      </c>
      <c r="U94" s="9" t="str">
        <f>IF(ISBLANK(U42),"NO DATA",IF(ISNUMBER(FIND(CODES!$A$12,U42)),CODES!$A$12,IF(OR(ISNUMBER(FIND(CODES!$A$10,U42)),ISNUMBER(FIND(CODES!$A$11,U42))),CODES!$A$13,IF(OR(U42&lt;U$63,ISNUMBER(U42)=FALSE),U$64,U42))))</f>
      </c>
      <c r="V94" s="9" t="str">
        <f>IF(ISBLANK(V42),"NO DATA",IF(ISNUMBER(FIND(CODES!$A$12,V42)),CODES!$A$12,IF(OR(ISNUMBER(FIND(CODES!$A$10,V42)),ISNUMBER(FIND(CODES!$A$11,V42))),CODES!$A$13,IF(OR(V42&lt;V$63,ISNUMBER(V42)=FALSE),V$64,V42))))</f>
      </c>
      <c r="W94" s="9" t="str">
        <f>IF(ISBLANK(W42),"NO DATA",IF(ISNUMBER(FIND(CODES!$A$12,W42)),CODES!$A$12,IF(OR(ISNUMBER(FIND(CODES!$A$10,W42)),ISNUMBER(FIND(CODES!$A$11,W42))),CODES!$A$13,IF(OR(W42&lt;W$63,ISNUMBER(W42)=FALSE),W$64,W42))))</f>
      </c>
      <c r="X94" s="9" t="str">
        <f>IF(ISBLANK(X42),"NO DATA",IF(ISNUMBER(FIND(CODES!$A$12,X42)),CODES!$A$12,IF(OR(ISNUMBER(FIND(CODES!$A$10,X42)),ISNUMBER(FIND(CODES!$A$11,X42))),CODES!$A$13,IF(OR(X42&lt;X$63,ISNUMBER(X42)=FALSE),X$64,X42))))</f>
      </c>
      <c r="Y94" s="9" t="str">
        <f>IF(ISBLANK(Y42),"NO DATA",IF(ISNUMBER(FIND(CODES!$A$12,Y42)),CODES!$A$12,IF(OR(ISNUMBER(FIND(CODES!$A$10,Y42)),ISNUMBER(FIND(CODES!$A$11,Y42))),CODES!$A$13,IF(OR(Y42&lt;Y$63,ISNUMBER(Y42)=FALSE),Y$64,Y42))))</f>
      </c>
      <c r="Z94" s="9" t="str">
        <f>IF(ISBLANK(Z42),"NO DATA",IF(ISNUMBER(FIND(CODES!$A$12,Z42)),CODES!$A$12,IF(OR(ISNUMBER(FIND(CODES!$A$10,Z42)),ISNUMBER(FIND(CODES!$A$11,Z42))),CODES!$A$13,IF(OR(Z42&lt;Z$63,ISNUMBER(Z42)=FALSE),Z$64,Z42))))</f>
      </c>
      <c r="AA94" s="9" t="str">
        <f>IF(ISBLANK(AA42),"NO DATA",IF(ISNUMBER(FIND(CODES!$A$12,AA42)),CODES!$A$12,IF(OR(ISNUMBER(FIND(CODES!$A$10,AA42)),ISNUMBER(FIND(CODES!$A$11,AA42))),CODES!$A$13,IF(OR(AA42&lt;AA$63,ISNUMBER(AA42)=FALSE),AA$64,AA42))))</f>
      </c>
      <c r="AB94" s="9" t="str">
        <f>IF(ISBLANK(AB42),"NO DATA",IF(ISNUMBER(FIND(CODES!$A$12,AB42)),CODES!$A$12,IF(OR(ISNUMBER(FIND(CODES!$A$10,AB42)),ISNUMBER(FIND(CODES!$A$11,AB42))),CODES!$A$13,IF(OR(AB42&lt;AB$63,ISNUMBER(AB42)=FALSE),AB$64,AB42))))</f>
      </c>
      <c r="AC94" s="9" t="str">
        <f>IF(ISBLANK(AC42),"NO DATA",IF(ISNUMBER(FIND(CODES!$A$12,AC42)),CODES!$A$12,IF(OR(ISNUMBER(FIND(CODES!$A$10,AC42)),ISNUMBER(FIND(CODES!$A$11,AC42))),CODES!$A$13,IF(OR(AC42&lt;AC$63,ISNUMBER(AC42)=FALSE),AC$64,AC42))))</f>
      </c>
      <c r="AD94" s="9" t="str">
        <f>IF(ISBLANK(AD42),"NO DATA",IF(ISNUMBER(FIND(CODES!$A$12,AD42)),CODES!$A$12,IF(OR(ISNUMBER(FIND(CODES!$A$10,AD42)),ISNUMBER(FIND(CODES!$A$11,AD42))),CODES!$A$13,IF(OR(AD42&lt;AD$63,ISNUMBER(AD42)=FALSE),AD$64,AD42))))</f>
      </c>
      <c r="AE94" s="9" t="str">
        <f>IF(ISBLANK(AE42),"NO DATA",IF(ISNUMBER(FIND(CODES!$A$12,AE42)),CODES!$A$12,IF(OR(ISNUMBER(FIND(CODES!$A$10,AE42)),ISNUMBER(FIND(CODES!$A$11,AE42))),CODES!$A$13,IF(OR(AE42&lt;AE$63,ISNUMBER(AE42)=FALSE),AE$64,AE42))))</f>
      </c>
      <c r="AF94" s="9" t="str">
        <f>IF(ISBLANK(AF42),"NO DATA",IF(ISNUMBER(FIND(CODES!$A$12,AF42)),CODES!$A$12,IF(OR(ISNUMBER(FIND(CODES!$A$10,AF42)),ISNUMBER(FIND(CODES!$A$11,AF42))),CODES!$A$13,IF(OR(AF42&lt;AF$63,ISNUMBER(AF42)=FALSE),AF$64,AF42))))</f>
      </c>
      <c r="AG94" s="9" t="str">
        <f>IF(ISBLANK(AG42),"NO DATA",IF(ISNUMBER(FIND(CODES!$A$12,AG42)),CODES!$A$12,IF(OR(ISNUMBER(FIND(CODES!$A$10,AG42)),ISNUMBER(FIND(CODES!$A$11,AG42))),CODES!$A$13,IF(OR(AG42&lt;AG$63,ISNUMBER(AG42)=FALSE),AG$64,AG42))))</f>
      </c>
      <c r="AH94" s="9" t="str">
        <f>IF(ISBLANK(AH42),"NO DATA",IF(ISNUMBER(FIND(CODES!$A$12,AH42)),CODES!$A$12,IF(OR(ISNUMBER(FIND(CODES!$A$10,AH42)),ISNUMBER(FIND(CODES!$A$11,AH42))),CODES!$A$13,IF(OR(AH42&lt;AH$63,ISNUMBER(AH42)=FALSE),AH$64,AH42))))</f>
      </c>
      <c r="AI94" s="9" t="str">
        <f>IF(ISBLANK(AI42),"NO DATA",IF(ISNUMBER(FIND(CODES!$A$12,AI42)),CODES!$A$12,IF(OR(ISNUMBER(FIND(CODES!$A$10,AI42)),ISNUMBER(FIND(CODES!$A$11,AI42))),CODES!$A$13,IF(OR(AI42&lt;AI$63,ISNUMBER(AI42)=FALSE),AI$64,AI42))))</f>
      </c>
      <c r="AJ94" s="9" t="str">
        <f>IF(ISBLANK(AJ42),"NO DATA",IF(ISNUMBER(FIND(CODES!$A$12,AJ42)),CODES!$A$12,IF(OR(ISNUMBER(FIND(CODES!$A$10,AJ42)),ISNUMBER(FIND(CODES!$A$11,AJ42))),CODES!$A$13,IF(OR(AJ42&lt;AJ$63,ISNUMBER(AJ42)=FALSE),AJ$64,AJ42))))</f>
      </c>
      <c r="AK94" s="9" t="str">
        <f>IF(ISBLANK(AK42),"NO DATA",IF(ISNUMBER(FIND(CODES!$A$12,AK42)),CODES!$A$12,IF(OR(ISNUMBER(FIND(CODES!$A$10,AK42)),ISNUMBER(FIND(CODES!$A$11,AK42))),CODES!$A$13,IF(OR(AK42&lt;AK$63,ISNUMBER(AK42)=FALSE),AK$64,AK42))))</f>
      </c>
      <c r="AL94" s="9" t="str">
        <f>IF(ISBLANK(AL42),"NO DATA",IF(ISNUMBER(FIND(CODES!$A$12,AL42)),CODES!$A$12,IF(OR(ISNUMBER(FIND(CODES!$A$10,AL42)),ISNUMBER(FIND(CODES!$A$11,AL42))),CODES!$A$13,IF(OR(AL42&lt;AL$63,ISNUMBER(AL42)=FALSE),AL$64,AL42))))</f>
      </c>
      <c r="AM94" s="9" t="str">
        <f>IF(ISBLANK(AM42),"NO DATA",IF(ISNUMBER(FIND(CODES!$A$12,AM42)),CODES!$A$12,IF(OR(ISNUMBER(FIND(CODES!$A$10,AM42)),ISNUMBER(FIND(CODES!$A$11,AM42))),CODES!$A$13,IF(OR(AM42&lt;AM$63,ISNUMBER(AM42)=FALSE),AM$64,AM42))))</f>
      </c>
      <c r="AN94" s="9" t="str">
        <f>IF(ISBLANK(AN42),"NO DATA",IF(ISNUMBER(FIND(CODES!$A$12,AN42)),CODES!$A$12,IF(OR(ISNUMBER(FIND(CODES!$A$10,AN42)),ISNUMBER(FIND(CODES!$A$11,AN42))),CODES!$A$13,IF(OR(AN42&lt;AN$63,ISNUMBER(AN42)=FALSE),AN$64,AN42))))</f>
      </c>
      <c r="AO94" s="9" t="str">
        <f>IF(ISBLANK(AO42),"NO DATA",IF(ISNUMBER(FIND(CODES!$A$12,AO42)),CODES!$A$12,IF(OR(ISNUMBER(FIND(CODES!$A$10,AO42)),ISNUMBER(FIND(CODES!$A$11,AO42))),CODES!$A$13,IF(OR(AO42&lt;AO$63,ISNUMBER(AO42)=FALSE),AO$64,AO42))))</f>
      </c>
      <c r="AP94" s="9" t="str">
        <f>IF(ISBLANK(AP42),"NO DATA",IF(ISNUMBER(FIND(CODES!$A$12,AP42)),CODES!$A$12,IF(OR(ISNUMBER(FIND(CODES!$A$10,AP42)),ISNUMBER(FIND(CODES!$A$11,AP42))),CODES!$A$13,IF(OR(AP42&lt;AP$63,ISNUMBER(AP42)=FALSE),AP$64,AP42))))</f>
      </c>
      <c r="AQ94" s="9" t="str">
        <f>IF(ISBLANK(AQ42),"NO DATA",IF(ISNUMBER(FIND(CODES!$A$12,AQ42)),CODES!$A$12,IF(OR(ISNUMBER(FIND(CODES!$A$10,AQ42)),ISNUMBER(FIND(CODES!$A$11,AQ42))),CODES!$A$13,IF(OR(AQ42&lt;AQ$63,ISNUMBER(AQ42)=FALSE),AQ$64,AQ42))))</f>
      </c>
      <c r="AR94" s="9" t="str">
        <f>IF(ISBLANK(AR42),"NO DATA",IF(ISNUMBER(FIND(CODES!$A$12,AR42)),CODES!$A$12,IF(OR(ISNUMBER(FIND(CODES!$A$10,AR42)),ISNUMBER(FIND(CODES!$A$11,AR42))),CODES!$A$13,IF(OR(AR42&lt;AR$63,ISNUMBER(AR42)=FALSE),AR$64,AR42))))</f>
      </c>
      <c r="AS94" s="9" t="str">
        <f>IF(ISBLANK(AS42),"NO DATA",IF(ISNUMBER(FIND(CODES!$A$12,AS42)),CODES!$A$12,IF(OR(ISNUMBER(FIND(CODES!$A$10,AS42)),ISNUMBER(FIND(CODES!$A$11,AS42))),CODES!$A$13,IF(OR(AS42&lt;AS$63,ISNUMBER(AS42)=FALSE),AS$64,AS42))))</f>
      </c>
      <c r="AT94" s="9" t="str">
        <f>IF(ISBLANK(AT42),"NO DATA",IF(ISNUMBER(FIND(CODES!$A$12,AT42)),CODES!$A$12,IF(OR(ISNUMBER(FIND(CODES!$A$10,AT42)),ISNUMBER(FIND(CODES!$A$11,AT42))),CODES!$A$13,IF(OR(AT42&lt;AT$63,ISNUMBER(AT42)=FALSE),AT$64,AT42))))</f>
      </c>
      <c r="AU94" s="9" t="str">
        <f>IF(ISBLANK(AU42),"NO DATA",IF(ISNUMBER(FIND(CODES!$A$12,AU42)),CODES!$A$12,IF(OR(ISNUMBER(FIND(CODES!$A$10,AU42)),ISNUMBER(FIND(CODES!$A$11,AU42))),CODES!$A$13,IF(OR(AU42&lt;AU$63,ISNUMBER(AU42)=FALSE),AU$64,AU42))))</f>
      </c>
      <c r="AV94" s="9" t="str">
        <f>IF(ISBLANK(AV42),"NO DATA",IF(ISNUMBER(FIND(CODES!$A$12,AV42)),CODES!$A$12,IF(OR(ISNUMBER(FIND(CODES!$A$10,AV42)),ISNUMBER(FIND(CODES!$A$11,AV42))),CODES!$A$13,IF(OR(AV42&lt;AV$63,ISNUMBER(AV42)=FALSE),AV$64,AV42))))</f>
      </c>
      <c r="AW94" s="9" t="str">
        <f>IF(ISBLANK(AW42),"NO DATA",IF(ISNUMBER(FIND(CODES!$A$12,AW42)),CODES!$A$12,IF(OR(ISNUMBER(FIND(CODES!$A$10,AW42)),ISNUMBER(FIND(CODES!$A$11,AW42))),CODES!$A$13,IF(OR(AW42&lt;AW$63,ISNUMBER(AW42)=FALSE),AW$64,AW42))))</f>
      </c>
      <c r="AX94" s="9" t="str">
        <f>IF(ISBLANK(AX42),"NO DATA",IF(ISNUMBER(FIND(CODES!$A$12,AX42)),CODES!$A$12,IF(OR(ISNUMBER(FIND(CODES!$A$10,AX42)),ISNUMBER(FIND(CODES!$A$11,AX42))),CODES!$A$13,IF(OR(AX42&lt;AX$63,ISNUMBER(AX42)=FALSE),AX$64,AX42))))</f>
      </c>
      <c r="AY94" s="9" t="str">
        <f>IF(ISBLANK(AY42),"NO DATA",IF(ISNUMBER(FIND(CODES!$A$12,AY42)),CODES!$A$12,IF(OR(ISNUMBER(FIND(CODES!$A$10,AY42)),ISNUMBER(FIND(CODES!$A$11,AY42))),CODES!$A$13,IF(OR(AY42&lt;AY$63,ISNUMBER(AY42)=FALSE),AY$64,AY42))))</f>
      </c>
      <c r="AZ94" s="9" t="str">
        <f>IF(ISBLANK(AZ42),"NO DATA",IF(ISNUMBER(FIND(CODES!$A$12,AZ42)),CODES!$A$12,IF(OR(ISNUMBER(FIND(CODES!$A$10,AZ42)),ISNUMBER(FIND(CODES!$A$11,AZ42))),CODES!$A$13,IF(OR(AZ42&lt;AZ$63,ISNUMBER(AZ42)=FALSE),AZ$64,AZ42))))</f>
      </c>
      <c r="BA94" s="9" t="str">
        <f>IF(ISBLANK(BA42),"NO DATA",IF(ISNUMBER(FIND(CODES!$A$12,BA42)),CODES!$A$12,IF(OR(ISNUMBER(FIND(CODES!$A$10,BA42)),ISNUMBER(FIND(CODES!$A$11,BA42))),CODES!$A$13,IF(OR(BA42&lt;BA$63,ISNUMBER(BA42)=FALSE),BA$64,BA42))))</f>
      </c>
      <c r="BB94" s="9" t="str">
        <f>IF(ISBLANK(BB42),"NO DATA",IF(ISNUMBER(FIND(CODES!$A$12,BB42)),CODES!$A$12,IF(OR(ISNUMBER(FIND(CODES!$A$10,BB42)),ISNUMBER(FIND(CODES!$A$11,BB42))),CODES!$A$13,IF(OR(BB42&lt;BB$63,ISNUMBER(BB42)=FALSE),BB$64,BB42))))</f>
      </c>
      <c r="BC94" s="9" t="str">
        <f>IF(ISBLANK(BC42),"NO DATA",IF(ISNUMBER(FIND(CODES!$A$12,BC42)),CODES!$A$12,IF(OR(ISNUMBER(FIND(CODES!$A$10,BC42)),ISNUMBER(FIND(CODES!$A$11,BC42))),CODES!$A$13,IF(OR(BC42&lt;BC$63,ISNUMBER(BC42)=FALSE),BC$64,BC42))))</f>
      </c>
      <c r="BD94" s="9" t="str">
        <f>IF(ISBLANK(BD42),"NO DATA",IF(ISNUMBER(FIND(CODES!$A$12,BD42)),CODES!$A$12,IF(OR(ISNUMBER(FIND(CODES!$A$10,BD42)),ISNUMBER(FIND(CODES!$A$11,BD42))),CODES!$A$13,IF(OR(BD42&lt;BD$63,ISNUMBER(BD42)=FALSE),BD$64,BD42))))</f>
      </c>
      <c r="BE94" s="9" t="str">
        <f>IF(ISBLANK(BE42),"NO DATA",IF(ISNUMBER(FIND(CODES!$A$12,BE42)),CODES!$A$12,IF(OR(ISNUMBER(FIND(CODES!$A$10,BE42)),ISNUMBER(FIND(CODES!$A$11,BE42))),CODES!$A$13,IF(OR(BE42&lt;BE$63,ISNUMBER(BE42)=FALSE),BE$64,BE42))))</f>
      </c>
      <c r="BF94" s="9" t="str">
        <f>IF(ISBLANK(BF42),"NO DATA",IF(ISNUMBER(FIND(CODES!$A$12,BF42)),CODES!$A$12,IF(OR(ISNUMBER(FIND(CODES!$A$10,BF42)),ISNUMBER(FIND(CODES!$A$11,BF42))),CODES!$A$13,IF(OR(BF42&lt;BF$63,ISNUMBER(BF42)=FALSE),BF$64,BF42))))</f>
      </c>
      <c r="BG94" s="9" t="str">
        <f>IF(ISBLANK(BG42),"NO DATA",IF(ISNUMBER(FIND(CODES!$A$12,BG42)),CODES!$A$12,IF(OR(ISNUMBER(FIND(CODES!$A$10,BG42)),ISNUMBER(FIND(CODES!$A$11,BG42))),CODES!$A$13,IF(OR(BG42&lt;BG$63,ISNUMBER(BG42)=FALSE),BG$64,BG42))))</f>
      </c>
      <c r="BH94" s="9" t="str">
        <f>IF(ISBLANK(BH42),"NO DATA",IF(ISNUMBER(FIND(CODES!$A$12,BH42)),CODES!$A$12,IF(OR(ISNUMBER(FIND(CODES!$A$10,BH42)),ISNUMBER(FIND(CODES!$A$11,BH42))),CODES!$A$13,IF(OR(BH42&lt;BH$63,ISNUMBER(BH42)=FALSE),BH$64,BH42))))</f>
      </c>
      <c r="BI94" s="9" t="str">
        <f>IF(ISBLANK(BI42),"NO DATA",IF(ISNUMBER(FIND(CODES!$A$12,BI42)),CODES!$A$12,IF(OR(ISNUMBER(FIND(CODES!$A$10,BI42)),ISNUMBER(FIND(CODES!$A$11,BI42))),CODES!$A$13,IF(OR(BI42&lt;BI$63,ISNUMBER(BI42)=FALSE),BI$64,BI42))))</f>
      </c>
      <c r="BJ94" s="9" t="str">
        <f>IF(ISBLANK(BJ42),"NO DATA",IF(ISNUMBER(FIND(CODES!$A$12,BJ42)),CODES!$A$12,IF(OR(ISNUMBER(FIND(CODES!$A$10,BJ42)),ISNUMBER(FIND(CODES!$A$11,BJ42))),CODES!$A$13,IF(OR(BJ42&lt;BJ$63,ISNUMBER(BJ42)=FALSE),BJ$64,BJ42))))</f>
      </c>
      <c r="BK94" s="9" t="str">
        <f>IF(ISBLANK(BK42),"NO DATA",IF(ISNUMBER(FIND(CODES!$A$12,BK42)),CODES!$A$12,IF(OR(ISNUMBER(FIND(CODES!$A$10,BK42)),ISNUMBER(FIND(CODES!$A$11,BK42))),CODES!$A$13,IF(OR(BK42&lt;BK$63,ISNUMBER(BK42)=FALSE),BK$64,BK42))))</f>
      </c>
      <c r="BL94" s="9" t="str">
        <f>IF(ISBLANK(BL42),"NO DATA",IF(ISNUMBER(FIND(CODES!$A$12,BL42)),CODES!$A$12,IF(OR(ISNUMBER(FIND(CODES!$A$10,BL42)),ISNUMBER(FIND(CODES!$A$11,BL42))),CODES!$A$13,IF(OR(BL42&lt;BL$63,ISNUMBER(BL42)=FALSE),BL$64,BL42))))</f>
      </c>
      <c r="BM94" s="9" t="str">
        <f>IF(ISBLANK(BM42),"NO DATA",IF(ISNUMBER(FIND(CODES!$A$12,BM42)),CODES!$A$12,IF(OR(ISNUMBER(FIND(CODES!$A$10,BM42)),ISNUMBER(FIND(CODES!$A$11,BM42))),CODES!$A$13,IF(OR(BM42&lt;BM$63,ISNUMBER(BM42)=FALSE),BM$64,BM42))))</f>
      </c>
      <c r="BN94" s="9" t="str">
        <f>IF(ISBLANK(BN42),"NO DATA",IF(ISNUMBER(FIND(CODES!$A$12,BN42)),CODES!$A$12,IF(OR(ISNUMBER(FIND(CODES!$A$10,BN42)),ISNUMBER(FIND(CODES!$A$11,BN42))),CODES!$A$13,IF(OR(BN42&lt;BN$63,ISNUMBER(BN42)=FALSE),BN$64,BN42))))</f>
      </c>
      <c r="BO94" s="9" t="str">
        <f>IF(ISBLANK(BO42),"NO DATA",IF(ISNUMBER(FIND(CODES!$A$12,BO42)),CODES!$A$12,IF(OR(ISNUMBER(FIND(CODES!$A$10,BO42)),ISNUMBER(FIND(CODES!$A$11,BO42))),CODES!$A$13,IF(OR(BO42&lt;BO$63,ISNUMBER(BO42)=FALSE),BO$64,BO42))))</f>
      </c>
      <c r="BP94" s="9" t="str">
        <f>IF(ISBLANK(BP42),"NO DATA",IF(ISNUMBER(FIND(CODES!$A$12,BP42)),CODES!$A$12,IF(OR(ISNUMBER(FIND(CODES!$A$10,BP42)),ISNUMBER(FIND(CODES!$A$11,BP42))),CODES!$A$13,IF(OR(BP42&lt;BP$63,ISNUMBER(BP42)=FALSE),BP$64,BP42))))</f>
      </c>
      <c r="BQ94" s="9" t="str">
        <f>IF(ISBLANK(BQ42),"NO DATA",IF(ISNUMBER(FIND(CODES!$A$12,BQ42)),CODES!$A$12,IF(OR(ISNUMBER(FIND(CODES!$A$10,BQ42)),ISNUMBER(FIND(CODES!$A$11,BQ42))),CODES!$A$13,IF(OR(BQ42&lt;BQ$63,ISNUMBER(BQ42)=FALSE),BQ$64,BQ42))))</f>
      </c>
      <c r="BR94" s="9" t="str">
        <f>IF(ISBLANK(BR42),"NO DATA",IF(ISNUMBER(FIND(CODES!$A$12,BR42)),CODES!$A$12,IF(OR(ISNUMBER(FIND(CODES!$A$10,BR42)),ISNUMBER(FIND(CODES!$A$11,BR42))),CODES!$A$13,IF(OR(BR42&lt;BR$63,ISNUMBER(BR42)=FALSE),BR$64,BR42))))</f>
      </c>
      <c r="BS94" s="9" t="str">
        <f>IF(ISBLANK(BS42),"NO DATA",IF(ISNUMBER(FIND(CODES!$A$12,BS42)),CODES!$A$12,IF(OR(ISNUMBER(FIND(CODES!$A$10,BS42)),ISNUMBER(FIND(CODES!$A$11,BS42))),CODES!$A$13,IF(OR(BS42&lt;BS$63,ISNUMBER(BS42)=FALSE),BS$64,BS42))))</f>
      </c>
      <c r="BT94" s="9" t="str">
        <f>IF(ISBLANK(BT42),"NO DATA",IF(ISNUMBER(FIND(CODES!$A$12,BT42)),CODES!$A$12,IF(OR(ISNUMBER(FIND(CODES!$A$10,BT42)),ISNUMBER(FIND(CODES!$A$11,BT42))),CODES!$A$13,IF(OR(BT42&lt;BT$63,ISNUMBER(BT42)=FALSE),BT$64,BT42))))</f>
      </c>
      <c r="BU94" s="9" t="str">
        <f>IF(ISBLANK(BU42),"NO DATA",IF(ISNUMBER(FIND(CODES!$A$12,BU42)),CODES!$A$12,IF(OR(ISNUMBER(FIND(CODES!$A$10,BU42)),ISNUMBER(FIND(CODES!$A$11,BU42))),CODES!$A$13,IF(OR(BU42&lt;BU$63,ISNUMBER(BU42)=FALSE),BU$64,BU42))))</f>
      </c>
      <c r="BV94" s="9" t="str">
        <f>IF(ISBLANK(BV42),"NO DATA",IF(ISNUMBER(FIND(CODES!$A$12,BV42)),CODES!$A$12,IF(OR(ISNUMBER(FIND(CODES!$A$10,BV42)),ISNUMBER(FIND(CODES!$A$11,BV42))),CODES!$A$13,IF(OR(BV42&lt;BV$63,ISNUMBER(BV42)=FALSE),BV$64,BV42))))</f>
      </c>
      <c r="BW94" s="9" t="str">
        <f>IF(ISBLANK(BW42),"NO DATA",IF(ISNUMBER(FIND(CODES!$A$12,BW42)),CODES!$A$12,IF(OR(ISNUMBER(FIND(CODES!$A$10,BW42)),ISNUMBER(FIND(CODES!$A$11,BW42))),CODES!$A$13,IF(OR(BW42&lt;BW$63,ISNUMBER(BW42)=FALSE),BW$64,BW42))))</f>
      </c>
      <c r="BX94" s="9" t="str">
        <f>IF(ISBLANK(BX42),"NO DATA",IF(ISNUMBER(FIND(CODES!$A$12,BX42)),CODES!$A$12,IF(OR(ISNUMBER(FIND(CODES!$A$10,BX42)),ISNUMBER(FIND(CODES!$A$11,BX42))),CODES!$A$13,IF(OR(BX42&lt;BX$63,ISNUMBER(BX42)=FALSE),BX$64,BX42))))</f>
      </c>
      <c r="BY94" s="9" t="str">
        <f>IF(ISBLANK(BY42),"NO DATA",IF(ISNUMBER(FIND(CODES!$A$12,BY42)),CODES!$A$12,IF(OR(ISNUMBER(FIND(CODES!$A$10,BY42)),ISNUMBER(FIND(CODES!$A$11,BY42))),CODES!$A$13,IF(OR(BY42&lt;BY$63,ISNUMBER(BY42)=FALSE),BY$64,BY42))))</f>
      </c>
      <c r="BZ94" s="9" t="str">
        <f>IF(ISBLANK(BZ42),"NO DATA",IF(ISNUMBER(FIND(CODES!$A$12,BZ42)),CODES!$A$12,IF(OR(ISNUMBER(FIND(CODES!$A$10,BZ42)),ISNUMBER(FIND(CODES!$A$11,BZ42))),CODES!$A$13,IF(OR(BZ42&lt;BZ$63,ISNUMBER(BZ42)=FALSE),BZ$64,BZ42))))</f>
      </c>
      <c r="CA94" s="9" t="str">
        <f>IF(ISBLANK(CA42),"NO DATA",IF(ISNUMBER(FIND(CODES!$A$12,CA42)),CODES!$A$12,IF(OR(ISNUMBER(FIND(CODES!$A$10,CA42)),ISNUMBER(FIND(CODES!$A$11,CA42))),CODES!$A$13,IF(OR(CA42&lt;CA$63,ISNUMBER(CA42)=FALSE),CA$64,CA42))))</f>
      </c>
      <c r="CB94" s="9" t="str">
        <f>IF(ISBLANK(CB42),"NO DATA",IF(ISNUMBER(FIND(CODES!$A$12,CB42)),CODES!$A$12,IF(OR(ISNUMBER(FIND(CODES!$A$10,CB42)),ISNUMBER(FIND(CODES!$A$11,CB42))),CODES!$A$13,IF(OR(CB42&lt;CB$63,ISNUMBER(CB42)=FALSE),CB$64,CB42))))</f>
      </c>
      <c r="CC94" s="9" t="str">
        <f>IF(ISBLANK(CC42),"NO DATA",IF(ISNUMBER(FIND(CODES!$A$12,CC42)),CODES!$A$12,IF(OR(ISNUMBER(FIND(CODES!$A$10,CC42)),ISNUMBER(FIND(CODES!$A$11,CC42))),CODES!$A$13,IF(OR(CC42&lt;CC$63,ISNUMBER(CC42)=FALSE),CC$64,CC42))))</f>
      </c>
      <c r="CD94" s="9" t="str">
        <f>IF(ISBLANK(CD42),"NO DATA",IF(ISNUMBER(FIND(CODES!$A$12,CD42)),CODES!$A$12,IF(OR(ISNUMBER(FIND(CODES!$A$10,CD42)),ISNUMBER(FIND(CODES!$A$11,CD42))),CODES!$A$13,IF(OR(CD42&lt;CD$63,ISNUMBER(CD42)=FALSE),CD$64,CD42))))</f>
      </c>
      <c r="CE94" s="9" t="str">
        <f>IF(ISBLANK(CE42),"NO DATA",IF(ISNUMBER(FIND(CODES!$A$12,CE42)),CODES!$A$12,IF(OR(ISNUMBER(FIND(CODES!$A$10,CE42)),ISNUMBER(FIND(CODES!$A$11,CE42))),CODES!$A$13,IF(OR(CE42&lt;CE$63,ISNUMBER(CE42)=FALSE),CE$64,CE42))))</f>
      </c>
      <c r="CF94" s="9" t="str">
        <f>IF(ISBLANK(CF42),"NO DATA",IF(ISNUMBER(FIND(CODES!$A$12,CF42)),CODES!$A$12,IF(OR(ISNUMBER(FIND(CODES!$A$10,CF42)),ISNUMBER(FIND(CODES!$A$11,CF42))),CODES!$A$13,IF(OR(CF42&lt;CF$63,ISNUMBER(CF42)=FALSE),CF$64,CF42))))</f>
      </c>
      <c r="CG94" s="9" t="str">
        <f>IF(ISBLANK(CG42),"NO DATA",IF(ISNUMBER(FIND(CODES!$A$12,CG42)),CODES!$A$12,IF(OR(ISNUMBER(FIND(CODES!$A$10,CG42)),ISNUMBER(FIND(CODES!$A$11,CG42))),CODES!$A$13,IF(OR(CG42&lt;CG$63,ISNUMBER(CG42)=FALSE),CG$64,CG42))))</f>
      </c>
      <c r="CH94" s="9" t="str">
        <f>IF(ISBLANK(CH42),"NO DATA",IF(ISNUMBER(FIND(CODES!$A$12,CH42)),CODES!$A$12,IF(OR(ISNUMBER(FIND(CODES!$A$10,CH42)),ISNUMBER(FIND(CODES!$A$11,CH42))),CODES!$A$13,IF(OR(CH42&lt;CH$63,ISNUMBER(CH42)=FALSE),CH$64,CH42))))</f>
      </c>
      <c r="CI94" s="9" t="str">
        <f>IF(ISBLANK(CI42),"NO DATA",IF(ISNUMBER(FIND(CODES!$A$12,CI42)),CODES!$A$12,IF(OR(ISNUMBER(FIND(CODES!$A$10,CI42)),ISNUMBER(FIND(CODES!$A$11,CI42))),CODES!$A$13,IF(OR(CI42&lt;CI$63,ISNUMBER(CI42)=FALSE),CI$64,CI42))))</f>
      </c>
      <c r="CJ94" s="9" t="str">
        <f>IF(ISBLANK(CJ42),"NO DATA",IF(ISNUMBER(FIND(CODES!$A$12,CJ42)),CODES!$A$12,IF(OR(ISNUMBER(FIND(CODES!$A$10,CJ42)),ISNUMBER(FIND(CODES!$A$11,CJ42))),CODES!$A$13,IF(OR(CJ42&lt;CJ$63,ISNUMBER(CJ42)=FALSE),CJ$64,CJ42))))</f>
      </c>
      <c r="CK94" s="9" t="str">
        <f>IF(ISBLANK(CK42),"NO DATA",IF(ISNUMBER(FIND(CODES!$A$12,CK42)),CODES!$A$12,IF(OR(ISNUMBER(FIND(CODES!$A$10,CK42)),ISNUMBER(FIND(CODES!$A$11,CK42))),CODES!$A$13,IF(OR(CK42&lt;CK$63,ISNUMBER(CK42)=FALSE),CK$64,CK42))))</f>
      </c>
      <c r="CL94" s="9" t="str">
        <f>IF(ISBLANK(CL42),"NO DATA",IF(ISNUMBER(FIND(CODES!$A$12,CL42)),CODES!$A$12,IF(OR(ISNUMBER(FIND(CODES!$A$10,CL42)),ISNUMBER(FIND(CODES!$A$11,CL42))),CODES!$A$13,IF(OR(CL42&lt;CL$63,ISNUMBER(CL42)=FALSE),CL$64,CL42))))</f>
      </c>
      <c r="CM94" s="9" t="str">
        <f>IF(ISBLANK(CM42),"NO DATA",IF(ISNUMBER(FIND(CODES!$A$12,CM42)),CODES!$A$12,IF(OR(ISNUMBER(FIND(CODES!$A$10,CM42)),ISNUMBER(FIND(CODES!$A$11,CM42))),CODES!$A$13,IF(OR(CM42&lt;CM$63,ISNUMBER(CM42)=FALSE),CM$64,CM42))))</f>
      </c>
      <c r="CN94" s="9" t="str">
        <f>IF(ISBLANK(CN42),"NO DATA",IF(ISNUMBER(FIND(CODES!$A$12,CN42)),CODES!$A$12,IF(OR(ISNUMBER(FIND(CODES!$A$10,CN42)),ISNUMBER(FIND(CODES!$A$11,CN42))),CODES!$A$13,IF(OR(CN42&lt;CN$63,ISNUMBER(CN42)=FALSE),CN$64,CN42))))</f>
      </c>
      <c r="CO94" s="9" t="str">
        <f>IF(ISBLANK(CO42),"NO DATA",IF(ISNUMBER(FIND(CODES!$A$12,CO42)),CODES!$A$12,IF(OR(ISNUMBER(FIND(CODES!$A$10,CO42)),ISNUMBER(FIND(CODES!$A$11,CO42))),CODES!$A$13,IF(OR(CO42&lt;CO$63,ISNUMBER(CO42)=FALSE),CO$64,CO42))))</f>
      </c>
      <c r="CP94" s="9" t="str">
        <f>IF(ISBLANK(CP42),"NO DATA",IF(ISNUMBER(FIND(CODES!$A$12,CP42)),CODES!$A$12,IF(OR(ISNUMBER(FIND(CODES!$A$10,CP42)),ISNUMBER(FIND(CODES!$A$11,CP42))),CODES!$A$13,IF(OR(CP42&lt;CP$63,ISNUMBER(CP42)=FALSE),CP$64,CP42))))</f>
      </c>
      <c r="CQ94" s="9" t="str">
        <f>IF(ISBLANK(CQ42),"NO DATA",IF(ISNUMBER(FIND(CODES!$A$12,CQ42)),CODES!$A$12,IF(OR(ISNUMBER(FIND(CODES!$A$10,CQ42)),ISNUMBER(FIND(CODES!$A$11,CQ42))),CODES!$A$13,IF(OR(CQ42&lt;CQ$63,ISNUMBER(CQ42)=FALSE),CQ$64,CQ42))))</f>
      </c>
      <c r="CR94" s="9" t="str">
        <f>IF(ISBLANK(CR42),"NO DATA",IF(ISNUMBER(FIND(CODES!$A$12,CR42)),CODES!$A$12,IF(OR(ISNUMBER(FIND(CODES!$A$10,CR42)),ISNUMBER(FIND(CODES!$A$11,CR42))),CODES!$A$13,IF(OR(CR42&lt;CR$63,ISNUMBER(CR42)=FALSE),CR$64,CR42))))</f>
      </c>
      <c r="CS94" s="9" t="str">
        <f>IF(ISBLANK(CS42),"NO DATA",IF(ISNUMBER(FIND(CODES!$A$12,CS42)),CODES!$A$12,IF(OR(ISNUMBER(FIND(CODES!$A$10,CS42)),ISNUMBER(FIND(CODES!$A$11,CS42))),CODES!$A$13,IF(OR(CS42&lt;CS$63,ISNUMBER(CS42)=FALSE),CS$64,CS42))))</f>
      </c>
      <c r="CT94" s="9" t="str">
        <f>IF(ISBLANK(CT42),"NO DATA",IF(ISNUMBER(FIND(CODES!$A$12,CT42)),CODES!$A$12,IF(OR(ISNUMBER(FIND(CODES!$A$10,CT42)),ISNUMBER(FIND(CODES!$A$11,CT42))),CODES!$A$13,IF(OR(CT42&lt;CT$63,ISNUMBER(CT42)=FALSE),CT$64,CT42))))</f>
      </c>
      <c r="CU94" s="9" t="str">
        <f>IF(ISBLANK(CU42),"NO DATA",IF(ISNUMBER(FIND(CODES!$A$12,CU42)),CODES!$A$12,IF(OR(ISNUMBER(FIND(CODES!$A$10,CU42)),ISNUMBER(FIND(CODES!$A$11,CU42))),CODES!$A$13,IF(OR(CU42&lt;CU$63,ISNUMBER(CU42)=FALSE),CU$64,CU42))))</f>
      </c>
      <c r="CV94" s="9" t="str">
        <f>IF(ISBLANK(CV42),"NO DATA",IF(ISNUMBER(FIND(CODES!$A$12,CV42)),CODES!$A$12,IF(OR(ISNUMBER(FIND(CODES!$A$10,CV42)),ISNUMBER(FIND(CODES!$A$11,CV42))),CODES!$A$13,IF(OR(CV42&lt;CV$63,ISNUMBER(CV42)=FALSE),CV$64,CV42))))</f>
      </c>
      <c r="CW94" s="9" t="str">
        <f>IF(ISBLANK(CW42),"NO DATA",IF(ISNUMBER(FIND(CODES!$A$12,CW42)),CODES!$A$12,IF(OR(ISNUMBER(FIND(CODES!$A$10,CW42)),ISNUMBER(FIND(CODES!$A$11,CW42))),CODES!$A$13,IF(OR(CW42&lt;CW$63,ISNUMBER(CW42)=FALSE),CW$64,CW42))))</f>
      </c>
      <c r="CX94" s="9" t="str">
        <f>IF(ISBLANK(CX42),"NO DATA",IF(ISNUMBER(FIND(CODES!$A$12,CX42)),CODES!$A$12,IF(OR(ISNUMBER(FIND(CODES!$A$10,CX42)),ISNUMBER(FIND(CODES!$A$11,CX42))),CODES!$A$13,IF(OR(CX42&lt;CX$63,ISNUMBER(CX42)=FALSE),CX$64,CX42))))</f>
      </c>
      <c r="CY94" s="9" t="str">
        <f>IF(ISBLANK(CY42),"NO DATA",IF(ISNUMBER(FIND(CODES!$A$12,CY42)),CODES!$A$12,IF(OR(ISNUMBER(FIND(CODES!$A$10,CY42)),ISNUMBER(FIND(CODES!$A$11,CY42))),CODES!$A$13,IF(OR(CY42&lt;CY$63,ISNUMBER(CY42)=FALSE),CY$64,CY42))))</f>
      </c>
      <c r="CZ94" s="9" t="str">
        <f>IF(ISBLANK(CZ42),"NO DATA",IF(ISNUMBER(FIND(CODES!$A$12,CZ42)),CODES!$A$12,IF(OR(ISNUMBER(FIND(CODES!$A$10,CZ42)),ISNUMBER(FIND(CODES!$A$11,CZ42))),CODES!$A$13,IF(OR(CZ42&lt;CZ$63,ISNUMBER(CZ42)=FALSE),CZ$64,CZ42))))</f>
      </c>
      <c r="DA94" s="9" t="str">
        <f>IF(ISBLANK(DA42),"NO DATA",IF(ISNUMBER(FIND(CODES!$A$12,DA42)),CODES!$A$12,IF(OR(ISNUMBER(FIND(CODES!$A$10,DA42)),ISNUMBER(FIND(CODES!$A$11,DA42))),CODES!$A$13,IF(OR(DA42&lt;DA$63,ISNUMBER(DA42)=FALSE),DA$64,DA42))))</f>
      </c>
      <c r="DB94" s="9" t="str">
        <f>IF(ISBLANK(DB42),"NO DATA",IF(ISNUMBER(FIND(CODES!$A$12,DB42)),CODES!$A$12,IF(OR(ISNUMBER(FIND(CODES!$A$10,DB42)),ISNUMBER(FIND(CODES!$A$11,DB42))),CODES!$A$13,IF(OR(DB42&lt;DB$63,ISNUMBER(DB42)=FALSE),DB$64,DB42))))</f>
      </c>
      <c r="DC94" s="9" t="str">
        <f>IF(ISBLANK(DC42),"NO DATA",IF(ISNUMBER(FIND(CODES!$A$12,DC42)),CODES!$A$12,IF(OR(ISNUMBER(FIND(CODES!$A$10,DC42)),ISNUMBER(FIND(CODES!$A$11,DC42))),CODES!$A$13,IF(OR(DC42&lt;DC$63,ISNUMBER(DC42)=FALSE),DC$64,DC42))))</f>
      </c>
      <c r="DD94" s="9" t="str">
        <f>IF(ISBLANK(DD42),"NO DATA",IF(ISNUMBER(FIND(CODES!$A$12,DD42)),CODES!$A$12,IF(OR(ISNUMBER(FIND(CODES!$A$10,DD42)),ISNUMBER(FIND(CODES!$A$11,DD42))),CODES!$A$13,IF(OR(DD42&lt;DD$63,ISNUMBER(DD42)=FALSE),DD$64,DD42))))</f>
      </c>
      <c r="DE94" s="9" t="str">
        <f>IF(ISBLANK(DE42),"NO DATA",IF(ISNUMBER(FIND(CODES!$A$12,DE42)),CODES!$A$12,IF(OR(ISNUMBER(FIND(CODES!$A$10,DE42)),ISNUMBER(FIND(CODES!$A$11,DE42))),CODES!$A$13,IF(OR(DE42&lt;DE$63,ISNUMBER(DE42)=FALSE),DE$64,DE42))))</f>
      </c>
      <c r="DF94" s="9" t="str">
        <f>IF(ISBLANK(DF42),"NO DATA",IF(ISNUMBER(FIND(CODES!$A$12,DF42)),CODES!$A$12,IF(OR(ISNUMBER(FIND(CODES!$A$10,DF42)),ISNUMBER(FIND(CODES!$A$11,DF42))),CODES!$A$13,IF(OR(DF42&lt;DF$63,ISNUMBER(DF42)=FALSE),DF$64,DF42))))</f>
      </c>
      <c r="DG94" s="9" t="str">
        <f>IF(ISBLANK(DG42),"NO DATA",IF(ISNUMBER(FIND(CODES!$A$12,DG42)),CODES!$A$12,IF(OR(ISNUMBER(FIND(CODES!$A$10,DG42)),ISNUMBER(FIND(CODES!$A$11,DG42))),CODES!$A$13,IF(OR(DG42&lt;DG$63,ISNUMBER(DG42)=FALSE),DG$64,DG42))))</f>
      </c>
      <c r="DH94" s="9" t="str">
        <f>IF(ISBLANK(DH42),"NO DATA",IF(ISNUMBER(FIND(CODES!$A$12,DH42)),CODES!$A$12,IF(OR(ISNUMBER(FIND(CODES!$A$10,DH42)),ISNUMBER(FIND(CODES!$A$11,DH42))),CODES!$A$13,IF(OR(DH42&lt;DH$63,ISNUMBER(DH42)=FALSE),DH$64,DH42))))</f>
      </c>
      <c r="DI94" s="9" t="str">
        <f>IF(ISBLANK(DI42),"NO DATA",IF(ISNUMBER(FIND(CODES!$A$12,DI42)),CODES!$A$12,IF(OR(ISNUMBER(FIND(CODES!$A$10,DI42)),ISNUMBER(FIND(CODES!$A$11,DI42))),CODES!$A$13,IF(OR(DI42&lt;DI$63,ISNUMBER(DI42)=FALSE),DI$64,DI42))))</f>
      </c>
    </row>
    <row r="95" spans="1:113" x14ac:dyDescent="0.25">
      <c r="A95" s="20" t="str">
        <f t="shared" si="5"/>
      </c>
      <c r="B95" s="20">
        <f t="shared" si="5"/>
      </c>
      <c r="C95" s="9" t="str">
        <f>IF(ISBLANK(C43),"NO DATA",IF(ISNUMBER(FIND(CODES!$A$12,C43)),CODES!$A$12,IF(OR(ISNUMBER(FIND(CODES!$A$10,C43)),ISNUMBER(FIND(CODES!$A$11,C43))),CODES!$A$13,IF(OR(C43&lt;C$63,ISNUMBER(C43)=FALSE),C$64,C43))))</f>
      </c>
      <c r="D95" s="9" t="str">
        <f>IF(ISBLANK(D43),"NO DATA",IF(ISNUMBER(FIND(CODES!$A$12,D43)),CODES!$A$12,IF(OR(ISNUMBER(FIND(CODES!$A$10,D43)),ISNUMBER(FIND(CODES!$A$11,D43))),CODES!$A$13,IF(OR(D43&lt;D$63,ISNUMBER(D43)=FALSE),D$64,D43))))</f>
      </c>
      <c r="E95" s="9" t="str">
        <f>IF(ISBLANK(E43),"NO DATA",IF(ISNUMBER(FIND(CODES!$A$12,E43)),CODES!$A$12,IF(OR(ISNUMBER(FIND(CODES!$A$10,E43)),ISNUMBER(FIND(CODES!$A$11,E43))),CODES!$A$13,IF(OR(E43&lt;E$63,ISNUMBER(E43)=FALSE),E$64,E43))))</f>
      </c>
      <c r="F95" s="9" t="str">
        <f>IF(ISBLANK(F43),"NO DATA",IF(ISNUMBER(FIND(CODES!$A$12,F43)),CODES!$A$12,IF(OR(ISNUMBER(FIND(CODES!$A$10,F43)),ISNUMBER(FIND(CODES!$A$11,F43))),CODES!$A$13,IF(OR(F43&lt;F$63,ISNUMBER(F43)=FALSE),F$64,F43))))</f>
      </c>
      <c r="G95" s="9" t="str">
        <f>IF(ISBLANK(G43),"NO DATA",IF(ISNUMBER(FIND(CODES!$A$12,G43)),CODES!$A$12,IF(OR(ISNUMBER(FIND(CODES!$A$10,G43)),ISNUMBER(FIND(CODES!$A$11,G43))),CODES!$A$13,IF(OR(G43&lt;G$63,ISNUMBER(G43)=FALSE),G$64,G43))))</f>
      </c>
      <c r="H95" s="9" t="str">
        <f>IF(ISBLANK(H43),"NO DATA",IF(ISNUMBER(FIND(CODES!$A$12,H43)),CODES!$A$12,IF(OR(ISNUMBER(FIND(CODES!$A$10,H43)),ISNUMBER(FIND(CODES!$A$11,H43))),CODES!$A$13,IF(OR(H43&lt;H$63,ISNUMBER(H43)=FALSE),H$64,H43))))</f>
      </c>
      <c r="I95" s="9" t="str">
        <f>IF(ISBLANK(I43),"NO DATA",IF(ISNUMBER(FIND(CODES!$A$12,I43)),CODES!$A$12,IF(OR(ISNUMBER(FIND(CODES!$A$10,I43)),ISNUMBER(FIND(CODES!$A$11,I43))),CODES!$A$13,IF(OR(I43&lt;I$63,ISNUMBER(I43)=FALSE),I$64,I43))))</f>
      </c>
      <c r="J95" s="9" t="str">
        <f>IF(ISBLANK(J43),"NO DATA",IF(ISNUMBER(FIND(CODES!$A$12,J43)),CODES!$A$12,IF(OR(ISNUMBER(FIND(CODES!$A$10,J43)),ISNUMBER(FIND(CODES!$A$11,J43))),CODES!$A$13,IF(OR(J43&lt;J$63,ISNUMBER(J43)=FALSE),J$64,J43))))</f>
      </c>
      <c r="K95" s="9" t="str">
        <f>IF(ISBLANK(K43),"NO DATA",IF(ISNUMBER(FIND(CODES!$A$12,K43)),CODES!$A$12,IF(OR(ISNUMBER(FIND(CODES!$A$10,K43)),ISNUMBER(FIND(CODES!$A$11,K43))),CODES!$A$13,IF(OR(K43&lt;K$63,ISNUMBER(K43)=FALSE),K$64,K43))))</f>
      </c>
      <c r="L95" s="9" t="str">
        <f>IF(ISBLANK(L43),"NO DATA",IF(ISNUMBER(FIND(CODES!$A$12,L43)),CODES!$A$12,IF(OR(ISNUMBER(FIND(CODES!$A$10,L43)),ISNUMBER(FIND(CODES!$A$11,L43))),CODES!$A$13,IF(OR(L43&lt;L$63,ISNUMBER(L43)=FALSE),L$64,L43))))</f>
      </c>
      <c r="M95" s="9" t="str">
        <f>IF(ISBLANK(M43),"NO DATA",IF(ISNUMBER(FIND(CODES!$A$12,M43)),CODES!$A$12,IF(OR(ISNUMBER(FIND(CODES!$A$10,M43)),ISNUMBER(FIND(CODES!$A$11,M43))),CODES!$A$13,IF(OR(M43&lt;M$63,ISNUMBER(M43)=FALSE),M$64,M43))))</f>
      </c>
      <c r="N95" s="9" t="str">
        <f>IF(ISBLANK(N43),"NO DATA",IF(ISNUMBER(FIND(CODES!$A$12,N43)),CODES!$A$12,IF(OR(ISNUMBER(FIND(CODES!$A$10,N43)),ISNUMBER(FIND(CODES!$A$11,N43))),CODES!$A$13,IF(OR(N43&lt;N$63,ISNUMBER(N43)=FALSE),N$64,N43))))</f>
      </c>
      <c r="O95" s="9" t="str">
        <f>IF(ISBLANK(O43),"NO DATA",IF(ISNUMBER(FIND(CODES!$A$12,O43)),CODES!$A$12,IF(OR(ISNUMBER(FIND(CODES!$A$10,O43)),ISNUMBER(FIND(CODES!$A$11,O43))),CODES!$A$13,IF(OR(O43&lt;O$63,ISNUMBER(O43)=FALSE),O$64,O43))))</f>
      </c>
      <c r="P95" s="9" t="str">
        <f>IF(ISBLANK(P43),"NO DATA",IF(ISNUMBER(FIND(CODES!$A$12,P43)),CODES!$A$12,IF(OR(ISNUMBER(FIND(CODES!$A$10,P43)),ISNUMBER(FIND(CODES!$A$11,P43))),CODES!$A$13,IF(OR(P43&lt;P$63,ISNUMBER(P43)=FALSE),P$64,P43))))</f>
      </c>
      <c r="Q95" s="9" t="str">
        <f>IF(ISBLANK(Q43),"NO DATA",IF(ISNUMBER(FIND(CODES!$A$12,Q43)),CODES!$A$12,IF(OR(ISNUMBER(FIND(CODES!$A$10,Q43)),ISNUMBER(FIND(CODES!$A$11,Q43))),CODES!$A$13,IF(OR(Q43&lt;Q$63,ISNUMBER(Q43)=FALSE),Q$64,Q43))))</f>
      </c>
      <c r="R95" s="9" t="str">
        <f>IF(ISBLANK(R43),"NO DATA",IF(ISNUMBER(FIND(CODES!$A$12,R43)),CODES!$A$12,IF(OR(ISNUMBER(FIND(CODES!$A$10,R43)),ISNUMBER(FIND(CODES!$A$11,R43))),CODES!$A$13,IF(OR(R43&lt;R$63,ISNUMBER(R43)=FALSE),R$64,R43))))</f>
      </c>
      <c r="S95" s="9" t="str">
        <f>IF(ISBLANK(S43),"NO DATA",IF(ISNUMBER(FIND(CODES!$A$12,S43)),CODES!$A$12,IF(OR(ISNUMBER(FIND(CODES!$A$10,S43)),ISNUMBER(FIND(CODES!$A$11,S43))),CODES!$A$13,IF(OR(S43&lt;S$63,ISNUMBER(S43)=FALSE),S$64,S43))))</f>
      </c>
      <c r="T95" s="9" t="str">
        <f>IF(ISBLANK(T43),"NO DATA",IF(ISNUMBER(FIND(CODES!$A$12,T43)),CODES!$A$12,IF(OR(ISNUMBER(FIND(CODES!$A$10,T43)),ISNUMBER(FIND(CODES!$A$11,T43))),CODES!$A$13,IF(OR(T43&lt;T$63,ISNUMBER(T43)=FALSE),T$64,T43))))</f>
      </c>
      <c r="U95" s="9" t="str">
        <f>IF(ISBLANK(U43),"NO DATA",IF(ISNUMBER(FIND(CODES!$A$12,U43)),CODES!$A$12,IF(OR(ISNUMBER(FIND(CODES!$A$10,U43)),ISNUMBER(FIND(CODES!$A$11,U43))),CODES!$A$13,IF(OR(U43&lt;U$63,ISNUMBER(U43)=FALSE),U$64,U43))))</f>
      </c>
      <c r="V95" s="9" t="str">
        <f>IF(ISBLANK(V43),"NO DATA",IF(ISNUMBER(FIND(CODES!$A$12,V43)),CODES!$A$12,IF(OR(ISNUMBER(FIND(CODES!$A$10,V43)),ISNUMBER(FIND(CODES!$A$11,V43))),CODES!$A$13,IF(OR(V43&lt;V$63,ISNUMBER(V43)=FALSE),V$64,V43))))</f>
      </c>
      <c r="W95" s="9" t="str">
        <f>IF(ISBLANK(W43),"NO DATA",IF(ISNUMBER(FIND(CODES!$A$12,W43)),CODES!$A$12,IF(OR(ISNUMBER(FIND(CODES!$A$10,W43)),ISNUMBER(FIND(CODES!$A$11,W43))),CODES!$A$13,IF(OR(W43&lt;W$63,ISNUMBER(W43)=FALSE),W$64,W43))))</f>
      </c>
      <c r="X95" s="9" t="str">
        <f>IF(ISBLANK(X43),"NO DATA",IF(ISNUMBER(FIND(CODES!$A$12,X43)),CODES!$A$12,IF(OR(ISNUMBER(FIND(CODES!$A$10,X43)),ISNUMBER(FIND(CODES!$A$11,X43))),CODES!$A$13,IF(OR(X43&lt;X$63,ISNUMBER(X43)=FALSE),X$64,X43))))</f>
      </c>
      <c r="Y95" s="9" t="str">
        <f>IF(ISBLANK(Y43),"NO DATA",IF(ISNUMBER(FIND(CODES!$A$12,Y43)),CODES!$A$12,IF(OR(ISNUMBER(FIND(CODES!$A$10,Y43)),ISNUMBER(FIND(CODES!$A$11,Y43))),CODES!$A$13,IF(OR(Y43&lt;Y$63,ISNUMBER(Y43)=FALSE),Y$64,Y43))))</f>
      </c>
      <c r="Z95" s="9" t="str">
        <f>IF(ISBLANK(Z43),"NO DATA",IF(ISNUMBER(FIND(CODES!$A$12,Z43)),CODES!$A$12,IF(OR(ISNUMBER(FIND(CODES!$A$10,Z43)),ISNUMBER(FIND(CODES!$A$11,Z43))),CODES!$A$13,IF(OR(Z43&lt;Z$63,ISNUMBER(Z43)=FALSE),Z$64,Z43))))</f>
      </c>
      <c r="AA95" s="9" t="str">
        <f>IF(ISBLANK(AA43),"NO DATA",IF(ISNUMBER(FIND(CODES!$A$12,AA43)),CODES!$A$12,IF(OR(ISNUMBER(FIND(CODES!$A$10,AA43)),ISNUMBER(FIND(CODES!$A$11,AA43))),CODES!$A$13,IF(OR(AA43&lt;AA$63,ISNUMBER(AA43)=FALSE),AA$64,AA43))))</f>
      </c>
      <c r="AB95" s="9" t="str">
        <f>IF(ISBLANK(AB43),"NO DATA",IF(ISNUMBER(FIND(CODES!$A$12,AB43)),CODES!$A$12,IF(OR(ISNUMBER(FIND(CODES!$A$10,AB43)),ISNUMBER(FIND(CODES!$A$11,AB43))),CODES!$A$13,IF(OR(AB43&lt;AB$63,ISNUMBER(AB43)=FALSE),AB$64,AB43))))</f>
      </c>
      <c r="AC95" s="9" t="str">
        <f>IF(ISBLANK(AC43),"NO DATA",IF(ISNUMBER(FIND(CODES!$A$12,AC43)),CODES!$A$12,IF(OR(ISNUMBER(FIND(CODES!$A$10,AC43)),ISNUMBER(FIND(CODES!$A$11,AC43))),CODES!$A$13,IF(OR(AC43&lt;AC$63,ISNUMBER(AC43)=FALSE),AC$64,AC43))))</f>
      </c>
      <c r="AD95" s="9" t="str">
        <f>IF(ISBLANK(AD43),"NO DATA",IF(ISNUMBER(FIND(CODES!$A$12,AD43)),CODES!$A$12,IF(OR(ISNUMBER(FIND(CODES!$A$10,AD43)),ISNUMBER(FIND(CODES!$A$11,AD43))),CODES!$A$13,IF(OR(AD43&lt;AD$63,ISNUMBER(AD43)=FALSE),AD$64,AD43))))</f>
      </c>
      <c r="AE95" s="9" t="str">
        <f>IF(ISBLANK(AE43),"NO DATA",IF(ISNUMBER(FIND(CODES!$A$12,AE43)),CODES!$A$12,IF(OR(ISNUMBER(FIND(CODES!$A$10,AE43)),ISNUMBER(FIND(CODES!$A$11,AE43))),CODES!$A$13,IF(OR(AE43&lt;AE$63,ISNUMBER(AE43)=FALSE),AE$64,AE43))))</f>
      </c>
      <c r="AF95" s="9" t="str">
        <f>IF(ISBLANK(AF43),"NO DATA",IF(ISNUMBER(FIND(CODES!$A$12,AF43)),CODES!$A$12,IF(OR(ISNUMBER(FIND(CODES!$A$10,AF43)),ISNUMBER(FIND(CODES!$A$11,AF43))),CODES!$A$13,IF(OR(AF43&lt;AF$63,ISNUMBER(AF43)=FALSE),AF$64,AF43))))</f>
      </c>
      <c r="AG95" s="9" t="str">
        <f>IF(ISBLANK(AG43),"NO DATA",IF(ISNUMBER(FIND(CODES!$A$12,AG43)),CODES!$A$12,IF(OR(ISNUMBER(FIND(CODES!$A$10,AG43)),ISNUMBER(FIND(CODES!$A$11,AG43))),CODES!$A$13,IF(OR(AG43&lt;AG$63,ISNUMBER(AG43)=FALSE),AG$64,AG43))))</f>
      </c>
      <c r="AH95" s="9" t="str">
        <f>IF(ISBLANK(AH43),"NO DATA",IF(ISNUMBER(FIND(CODES!$A$12,AH43)),CODES!$A$12,IF(OR(ISNUMBER(FIND(CODES!$A$10,AH43)),ISNUMBER(FIND(CODES!$A$11,AH43))),CODES!$A$13,IF(OR(AH43&lt;AH$63,ISNUMBER(AH43)=FALSE),AH$64,AH43))))</f>
      </c>
      <c r="AI95" s="9" t="str">
        <f>IF(ISBLANK(AI43),"NO DATA",IF(ISNUMBER(FIND(CODES!$A$12,AI43)),CODES!$A$12,IF(OR(ISNUMBER(FIND(CODES!$A$10,AI43)),ISNUMBER(FIND(CODES!$A$11,AI43))),CODES!$A$13,IF(OR(AI43&lt;AI$63,ISNUMBER(AI43)=FALSE),AI$64,AI43))))</f>
      </c>
      <c r="AJ95" s="9" t="str">
        <f>IF(ISBLANK(AJ43),"NO DATA",IF(ISNUMBER(FIND(CODES!$A$12,AJ43)),CODES!$A$12,IF(OR(ISNUMBER(FIND(CODES!$A$10,AJ43)),ISNUMBER(FIND(CODES!$A$11,AJ43))),CODES!$A$13,IF(OR(AJ43&lt;AJ$63,ISNUMBER(AJ43)=FALSE),AJ$64,AJ43))))</f>
      </c>
      <c r="AK95" s="9" t="str">
        <f>IF(ISBLANK(AK43),"NO DATA",IF(ISNUMBER(FIND(CODES!$A$12,AK43)),CODES!$A$12,IF(OR(ISNUMBER(FIND(CODES!$A$10,AK43)),ISNUMBER(FIND(CODES!$A$11,AK43))),CODES!$A$13,IF(OR(AK43&lt;AK$63,ISNUMBER(AK43)=FALSE),AK$64,AK43))))</f>
      </c>
      <c r="AL95" s="9" t="str">
        <f>IF(ISBLANK(AL43),"NO DATA",IF(ISNUMBER(FIND(CODES!$A$12,AL43)),CODES!$A$12,IF(OR(ISNUMBER(FIND(CODES!$A$10,AL43)),ISNUMBER(FIND(CODES!$A$11,AL43))),CODES!$A$13,IF(OR(AL43&lt;AL$63,ISNUMBER(AL43)=FALSE),AL$64,AL43))))</f>
      </c>
      <c r="AM95" s="9" t="str">
        <f>IF(ISBLANK(AM43),"NO DATA",IF(ISNUMBER(FIND(CODES!$A$12,AM43)),CODES!$A$12,IF(OR(ISNUMBER(FIND(CODES!$A$10,AM43)),ISNUMBER(FIND(CODES!$A$11,AM43))),CODES!$A$13,IF(OR(AM43&lt;AM$63,ISNUMBER(AM43)=FALSE),AM$64,AM43))))</f>
      </c>
      <c r="AN95" s="9" t="str">
        <f>IF(ISBLANK(AN43),"NO DATA",IF(ISNUMBER(FIND(CODES!$A$12,AN43)),CODES!$A$12,IF(OR(ISNUMBER(FIND(CODES!$A$10,AN43)),ISNUMBER(FIND(CODES!$A$11,AN43))),CODES!$A$13,IF(OR(AN43&lt;AN$63,ISNUMBER(AN43)=FALSE),AN$64,AN43))))</f>
      </c>
      <c r="AO95" s="9" t="str">
        <f>IF(ISBLANK(AO43),"NO DATA",IF(ISNUMBER(FIND(CODES!$A$12,AO43)),CODES!$A$12,IF(OR(ISNUMBER(FIND(CODES!$A$10,AO43)),ISNUMBER(FIND(CODES!$A$11,AO43))),CODES!$A$13,IF(OR(AO43&lt;AO$63,ISNUMBER(AO43)=FALSE),AO$64,AO43))))</f>
      </c>
      <c r="AP95" s="9" t="str">
        <f>IF(ISBLANK(AP43),"NO DATA",IF(ISNUMBER(FIND(CODES!$A$12,AP43)),CODES!$A$12,IF(OR(ISNUMBER(FIND(CODES!$A$10,AP43)),ISNUMBER(FIND(CODES!$A$11,AP43))),CODES!$A$13,IF(OR(AP43&lt;AP$63,ISNUMBER(AP43)=FALSE),AP$64,AP43))))</f>
      </c>
      <c r="AQ95" s="9" t="str">
        <f>IF(ISBLANK(AQ43),"NO DATA",IF(ISNUMBER(FIND(CODES!$A$12,AQ43)),CODES!$A$12,IF(OR(ISNUMBER(FIND(CODES!$A$10,AQ43)),ISNUMBER(FIND(CODES!$A$11,AQ43))),CODES!$A$13,IF(OR(AQ43&lt;AQ$63,ISNUMBER(AQ43)=FALSE),AQ$64,AQ43))))</f>
      </c>
      <c r="AR95" s="9" t="str">
        <f>IF(ISBLANK(AR43),"NO DATA",IF(ISNUMBER(FIND(CODES!$A$12,AR43)),CODES!$A$12,IF(OR(ISNUMBER(FIND(CODES!$A$10,AR43)),ISNUMBER(FIND(CODES!$A$11,AR43))),CODES!$A$13,IF(OR(AR43&lt;AR$63,ISNUMBER(AR43)=FALSE),AR$64,AR43))))</f>
      </c>
      <c r="AS95" s="9" t="str">
        <f>IF(ISBLANK(AS43),"NO DATA",IF(ISNUMBER(FIND(CODES!$A$12,AS43)),CODES!$A$12,IF(OR(ISNUMBER(FIND(CODES!$A$10,AS43)),ISNUMBER(FIND(CODES!$A$11,AS43))),CODES!$A$13,IF(OR(AS43&lt;AS$63,ISNUMBER(AS43)=FALSE),AS$64,AS43))))</f>
      </c>
      <c r="AT95" s="9" t="str">
        <f>IF(ISBLANK(AT43),"NO DATA",IF(ISNUMBER(FIND(CODES!$A$12,AT43)),CODES!$A$12,IF(OR(ISNUMBER(FIND(CODES!$A$10,AT43)),ISNUMBER(FIND(CODES!$A$11,AT43))),CODES!$A$13,IF(OR(AT43&lt;AT$63,ISNUMBER(AT43)=FALSE),AT$64,AT43))))</f>
      </c>
      <c r="AU95" s="9" t="str">
        <f>IF(ISBLANK(AU43),"NO DATA",IF(ISNUMBER(FIND(CODES!$A$12,AU43)),CODES!$A$12,IF(OR(ISNUMBER(FIND(CODES!$A$10,AU43)),ISNUMBER(FIND(CODES!$A$11,AU43))),CODES!$A$13,IF(OR(AU43&lt;AU$63,ISNUMBER(AU43)=FALSE),AU$64,AU43))))</f>
      </c>
      <c r="AV95" s="9" t="str">
        <f>IF(ISBLANK(AV43),"NO DATA",IF(ISNUMBER(FIND(CODES!$A$12,AV43)),CODES!$A$12,IF(OR(ISNUMBER(FIND(CODES!$A$10,AV43)),ISNUMBER(FIND(CODES!$A$11,AV43))),CODES!$A$13,IF(OR(AV43&lt;AV$63,ISNUMBER(AV43)=FALSE),AV$64,AV43))))</f>
      </c>
      <c r="AW95" s="9" t="str">
        <f>IF(ISBLANK(AW43),"NO DATA",IF(ISNUMBER(FIND(CODES!$A$12,AW43)),CODES!$A$12,IF(OR(ISNUMBER(FIND(CODES!$A$10,AW43)),ISNUMBER(FIND(CODES!$A$11,AW43))),CODES!$A$13,IF(OR(AW43&lt;AW$63,ISNUMBER(AW43)=FALSE),AW$64,AW43))))</f>
      </c>
      <c r="AX95" s="9" t="str">
        <f>IF(ISBLANK(AX43),"NO DATA",IF(ISNUMBER(FIND(CODES!$A$12,AX43)),CODES!$A$12,IF(OR(ISNUMBER(FIND(CODES!$A$10,AX43)),ISNUMBER(FIND(CODES!$A$11,AX43))),CODES!$A$13,IF(OR(AX43&lt;AX$63,ISNUMBER(AX43)=FALSE),AX$64,AX43))))</f>
      </c>
      <c r="AY95" s="9" t="str">
        <f>IF(ISBLANK(AY43),"NO DATA",IF(ISNUMBER(FIND(CODES!$A$12,AY43)),CODES!$A$12,IF(OR(ISNUMBER(FIND(CODES!$A$10,AY43)),ISNUMBER(FIND(CODES!$A$11,AY43))),CODES!$A$13,IF(OR(AY43&lt;AY$63,ISNUMBER(AY43)=FALSE),AY$64,AY43))))</f>
      </c>
      <c r="AZ95" s="9" t="str">
        <f>IF(ISBLANK(AZ43),"NO DATA",IF(ISNUMBER(FIND(CODES!$A$12,AZ43)),CODES!$A$12,IF(OR(ISNUMBER(FIND(CODES!$A$10,AZ43)),ISNUMBER(FIND(CODES!$A$11,AZ43))),CODES!$A$13,IF(OR(AZ43&lt;AZ$63,ISNUMBER(AZ43)=FALSE),AZ$64,AZ43))))</f>
      </c>
      <c r="BA95" s="9" t="str">
        <f>IF(ISBLANK(BA43),"NO DATA",IF(ISNUMBER(FIND(CODES!$A$12,BA43)),CODES!$A$12,IF(OR(ISNUMBER(FIND(CODES!$A$10,BA43)),ISNUMBER(FIND(CODES!$A$11,BA43))),CODES!$A$13,IF(OR(BA43&lt;BA$63,ISNUMBER(BA43)=FALSE),BA$64,BA43))))</f>
      </c>
      <c r="BB95" s="9" t="str">
        <f>IF(ISBLANK(BB43),"NO DATA",IF(ISNUMBER(FIND(CODES!$A$12,BB43)),CODES!$A$12,IF(OR(ISNUMBER(FIND(CODES!$A$10,BB43)),ISNUMBER(FIND(CODES!$A$11,BB43))),CODES!$A$13,IF(OR(BB43&lt;BB$63,ISNUMBER(BB43)=FALSE),BB$64,BB43))))</f>
      </c>
      <c r="BC95" s="9" t="str">
        <f>IF(ISBLANK(BC43),"NO DATA",IF(ISNUMBER(FIND(CODES!$A$12,BC43)),CODES!$A$12,IF(OR(ISNUMBER(FIND(CODES!$A$10,BC43)),ISNUMBER(FIND(CODES!$A$11,BC43))),CODES!$A$13,IF(OR(BC43&lt;BC$63,ISNUMBER(BC43)=FALSE),BC$64,BC43))))</f>
      </c>
      <c r="BD95" s="9" t="str">
        <f>IF(ISBLANK(BD43),"NO DATA",IF(ISNUMBER(FIND(CODES!$A$12,BD43)),CODES!$A$12,IF(OR(ISNUMBER(FIND(CODES!$A$10,BD43)),ISNUMBER(FIND(CODES!$A$11,BD43))),CODES!$A$13,IF(OR(BD43&lt;BD$63,ISNUMBER(BD43)=FALSE),BD$64,BD43))))</f>
      </c>
      <c r="BE95" s="9" t="str">
        <f>IF(ISBLANK(BE43),"NO DATA",IF(ISNUMBER(FIND(CODES!$A$12,BE43)),CODES!$A$12,IF(OR(ISNUMBER(FIND(CODES!$A$10,BE43)),ISNUMBER(FIND(CODES!$A$11,BE43))),CODES!$A$13,IF(OR(BE43&lt;BE$63,ISNUMBER(BE43)=FALSE),BE$64,BE43))))</f>
      </c>
      <c r="BF95" s="9" t="str">
        <f>IF(ISBLANK(BF43),"NO DATA",IF(ISNUMBER(FIND(CODES!$A$12,BF43)),CODES!$A$12,IF(OR(ISNUMBER(FIND(CODES!$A$10,BF43)),ISNUMBER(FIND(CODES!$A$11,BF43))),CODES!$A$13,IF(OR(BF43&lt;BF$63,ISNUMBER(BF43)=FALSE),BF$64,BF43))))</f>
      </c>
      <c r="BG95" s="9" t="str">
        <f>IF(ISBLANK(BG43),"NO DATA",IF(ISNUMBER(FIND(CODES!$A$12,BG43)),CODES!$A$12,IF(OR(ISNUMBER(FIND(CODES!$A$10,BG43)),ISNUMBER(FIND(CODES!$A$11,BG43))),CODES!$A$13,IF(OR(BG43&lt;BG$63,ISNUMBER(BG43)=FALSE),BG$64,BG43))))</f>
      </c>
      <c r="BH95" s="9" t="str">
        <f>IF(ISBLANK(BH43),"NO DATA",IF(ISNUMBER(FIND(CODES!$A$12,BH43)),CODES!$A$12,IF(OR(ISNUMBER(FIND(CODES!$A$10,BH43)),ISNUMBER(FIND(CODES!$A$11,BH43))),CODES!$A$13,IF(OR(BH43&lt;BH$63,ISNUMBER(BH43)=FALSE),BH$64,BH43))))</f>
      </c>
      <c r="BI95" s="9" t="str">
        <f>IF(ISBLANK(BI43),"NO DATA",IF(ISNUMBER(FIND(CODES!$A$12,BI43)),CODES!$A$12,IF(OR(ISNUMBER(FIND(CODES!$A$10,BI43)),ISNUMBER(FIND(CODES!$A$11,BI43))),CODES!$A$13,IF(OR(BI43&lt;BI$63,ISNUMBER(BI43)=FALSE),BI$64,BI43))))</f>
      </c>
      <c r="BJ95" s="9" t="str">
        <f>IF(ISBLANK(BJ43),"NO DATA",IF(ISNUMBER(FIND(CODES!$A$12,BJ43)),CODES!$A$12,IF(OR(ISNUMBER(FIND(CODES!$A$10,BJ43)),ISNUMBER(FIND(CODES!$A$11,BJ43))),CODES!$A$13,IF(OR(BJ43&lt;BJ$63,ISNUMBER(BJ43)=FALSE),BJ$64,BJ43))))</f>
      </c>
      <c r="BK95" s="9" t="str">
        <f>IF(ISBLANK(BK43),"NO DATA",IF(ISNUMBER(FIND(CODES!$A$12,BK43)),CODES!$A$12,IF(OR(ISNUMBER(FIND(CODES!$A$10,BK43)),ISNUMBER(FIND(CODES!$A$11,BK43))),CODES!$A$13,IF(OR(BK43&lt;BK$63,ISNUMBER(BK43)=FALSE),BK$64,BK43))))</f>
      </c>
      <c r="BL95" s="9" t="str">
        <f>IF(ISBLANK(BL43),"NO DATA",IF(ISNUMBER(FIND(CODES!$A$12,BL43)),CODES!$A$12,IF(OR(ISNUMBER(FIND(CODES!$A$10,BL43)),ISNUMBER(FIND(CODES!$A$11,BL43))),CODES!$A$13,IF(OR(BL43&lt;BL$63,ISNUMBER(BL43)=FALSE),BL$64,BL43))))</f>
      </c>
      <c r="BM95" s="9" t="str">
        <f>IF(ISBLANK(BM43),"NO DATA",IF(ISNUMBER(FIND(CODES!$A$12,BM43)),CODES!$A$12,IF(OR(ISNUMBER(FIND(CODES!$A$10,BM43)),ISNUMBER(FIND(CODES!$A$11,BM43))),CODES!$A$13,IF(OR(BM43&lt;BM$63,ISNUMBER(BM43)=FALSE),BM$64,BM43))))</f>
      </c>
      <c r="BN95" s="9" t="str">
        <f>IF(ISBLANK(BN43),"NO DATA",IF(ISNUMBER(FIND(CODES!$A$12,BN43)),CODES!$A$12,IF(OR(ISNUMBER(FIND(CODES!$A$10,BN43)),ISNUMBER(FIND(CODES!$A$11,BN43))),CODES!$A$13,IF(OR(BN43&lt;BN$63,ISNUMBER(BN43)=FALSE),BN$64,BN43))))</f>
      </c>
      <c r="BO95" s="9" t="str">
        <f>IF(ISBLANK(BO43),"NO DATA",IF(ISNUMBER(FIND(CODES!$A$12,BO43)),CODES!$A$12,IF(OR(ISNUMBER(FIND(CODES!$A$10,BO43)),ISNUMBER(FIND(CODES!$A$11,BO43))),CODES!$A$13,IF(OR(BO43&lt;BO$63,ISNUMBER(BO43)=FALSE),BO$64,BO43))))</f>
      </c>
      <c r="BP95" s="9" t="str">
        <f>IF(ISBLANK(BP43),"NO DATA",IF(ISNUMBER(FIND(CODES!$A$12,BP43)),CODES!$A$12,IF(OR(ISNUMBER(FIND(CODES!$A$10,BP43)),ISNUMBER(FIND(CODES!$A$11,BP43))),CODES!$A$13,IF(OR(BP43&lt;BP$63,ISNUMBER(BP43)=FALSE),BP$64,BP43))))</f>
      </c>
      <c r="BQ95" s="9" t="str">
        <f>IF(ISBLANK(BQ43),"NO DATA",IF(ISNUMBER(FIND(CODES!$A$12,BQ43)),CODES!$A$12,IF(OR(ISNUMBER(FIND(CODES!$A$10,BQ43)),ISNUMBER(FIND(CODES!$A$11,BQ43))),CODES!$A$13,IF(OR(BQ43&lt;BQ$63,ISNUMBER(BQ43)=FALSE),BQ$64,BQ43))))</f>
      </c>
      <c r="BR95" s="9" t="str">
        <f>IF(ISBLANK(BR43),"NO DATA",IF(ISNUMBER(FIND(CODES!$A$12,BR43)),CODES!$A$12,IF(OR(ISNUMBER(FIND(CODES!$A$10,BR43)),ISNUMBER(FIND(CODES!$A$11,BR43))),CODES!$A$13,IF(OR(BR43&lt;BR$63,ISNUMBER(BR43)=FALSE),BR$64,BR43))))</f>
      </c>
      <c r="BS95" s="9" t="str">
        <f>IF(ISBLANK(BS43),"NO DATA",IF(ISNUMBER(FIND(CODES!$A$12,BS43)),CODES!$A$12,IF(OR(ISNUMBER(FIND(CODES!$A$10,BS43)),ISNUMBER(FIND(CODES!$A$11,BS43))),CODES!$A$13,IF(OR(BS43&lt;BS$63,ISNUMBER(BS43)=FALSE),BS$64,BS43))))</f>
      </c>
      <c r="BT95" s="9" t="str">
        <f>IF(ISBLANK(BT43),"NO DATA",IF(ISNUMBER(FIND(CODES!$A$12,BT43)),CODES!$A$12,IF(OR(ISNUMBER(FIND(CODES!$A$10,BT43)),ISNUMBER(FIND(CODES!$A$11,BT43))),CODES!$A$13,IF(OR(BT43&lt;BT$63,ISNUMBER(BT43)=FALSE),BT$64,BT43))))</f>
      </c>
      <c r="BU95" s="9" t="str">
        <f>IF(ISBLANK(BU43),"NO DATA",IF(ISNUMBER(FIND(CODES!$A$12,BU43)),CODES!$A$12,IF(OR(ISNUMBER(FIND(CODES!$A$10,BU43)),ISNUMBER(FIND(CODES!$A$11,BU43))),CODES!$A$13,IF(OR(BU43&lt;BU$63,ISNUMBER(BU43)=FALSE),BU$64,BU43))))</f>
      </c>
      <c r="BV95" s="9" t="str">
        <f>IF(ISBLANK(BV43),"NO DATA",IF(ISNUMBER(FIND(CODES!$A$12,BV43)),CODES!$A$12,IF(OR(ISNUMBER(FIND(CODES!$A$10,BV43)),ISNUMBER(FIND(CODES!$A$11,BV43))),CODES!$A$13,IF(OR(BV43&lt;BV$63,ISNUMBER(BV43)=FALSE),BV$64,BV43))))</f>
      </c>
      <c r="BW95" s="9" t="str">
        <f>IF(ISBLANK(BW43),"NO DATA",IF(ISNUMBER(FIND(CODES!$A$12,BW43)),CODES!$A$12,IF(OR(ISNUMBER(FIND(CODES!$A$10,BW43)),ISNUMBER(FIND(CODES!$A$11,BW43))),CODES!$A$13,IF(OR(BW43&lt;BW$63,ISNUMBER(BW43)=FALSE),BW$64,BW43))))</f>
      </c>
      <c r="BX95" s="9" t="str">
        <f>IF(ISBLANK(BX43),"NO DATA",IF(ISNUMBER(FIND(CODES!$A$12,BX43)),CODES!$A$12,IF(OR(ISNUMBER(FIND(CODES!$A$10,BX43)),ISNUMBER(FIND(CODES!$A$11,BX43))),CODES!$A$13,IF(OR(BX43&lt;BX$63,ISNUMBER(BX43)=FALSE),BX$64,BX43))))</f>
      </c>
      <c r="BY95" s="9" t="str">
        <f>IF(ISBLANK(BY43),"NO DATA",IF(ISNUMBER(FIND(CODES!$A$12,BY43)),CODES!$A$12,IF(OR(ISNUMBER(FIND(CODES!$A$10,BY43)),ISNUMBER(FIND(CODES!$A$11,BY43))),CODES!$A$13,IF(OR(BY43&lt;BY$63,ISNUMBER(BY43)=FALSE),BY$64,BY43))))</f>
      </c>
      <c r="BZ95" s="9" t="str">
        <f>IF(ISBLANK(BZ43),"NO DATA",IF(ISNUMBER(FIND(CODES!$A$12,BZ43)),CODES!$A$12,IF(OR(ISNUMBER(FIND(CODES!$A$10,BZ43)),ISNUMBER(FIND(CODES!$A$11,BZ43))),CODES!$A$13,IF(OR(BZ43&lt;BZ$63,ISNUMBER(BZ43)=FALSE),BZ$64,BZ43))))</f>
      </c>
      <c r="CA95" s="9" t="str">
        <f>IF(ISBLANK(CA43),"NO DATA",IF(ISNUMBER(FIND(CODES!$A$12,CA43)),CODES!$A$12,IF(OR(ISNUMBER(FIND(CODES!$A$10,CA43)),ISNUMBER(FIND(CODES!$A$11,CA43))),CODES!$A$13,IF(OR(CA43&lt;CA$63,ISNUMBER(CA43)=FALSE),CA$64,CA43))))</f>
      </c>
      <c r="CB95" s="9" t="str">
        <f>IF(ISBLANK(CB43),"NO DATA",IF(ISNUMBER(FIND(CODES!$A$12,CB43)),CODES!$A$12,IF(OR(ISNUMBER(FIND(CODES!$A$10,CB43)),ISNUMBER(FIND(CODES!$A$11,CB43))),CODES!$A$13,IF(OR(CB43&lt;CB$63,ISNUMBER(CB43)=FALSE),CB$64,CB43))))</f>
      </c>
      <c r="CC95" s="9" t="str">
        <f>IF(ISBLANK(CC43),"NO DATA",IF(ISNUMBER(FIND(CODES!$A$12,CC43)),CODES!$A$12,IF(OR(ISNUMBER(FIND(CODES!$A$10,CC43)),ISNUMBER(FIND(CODES!$A$11,CC43))),CODES!$A$13,IF(OR(CC43&lt;CC$63,ISNUMBER(CC43)=FALSE),CC$64,CC43))))</f>
      </c>
      <c r="CD95" s="9" t="str">
        <f>IF(ISBLANK(CD43),"NO DATA",IF(ISNUMBER(FIND(CODES!$A$12,CD43)),CODES!$A$12,IF(OR(ISNUMBER(FIND(CODES!$A$10,CD43)),ISNUMBER(FIND(CODES!$A$11,CD43))),CODES!$A$13,IF(OR(CD43&lt;CD$63,ISNUMBER(CD43)=FALSE),CD$64,CD43))))</f>
      </c>
      <c r="CE95" s="9" t="str">
        <f>IF(ISBLANK(CE43),"NO DATA",IF(ISNUMBER(FIND(CODES!$A$12,CE43)),CODES!$A$12,IF(OR(ISNUMBER(FIND(CODES!$A$10,CE43)),ISNUMBER(FIND(CODES!$A$11,CE43))),CODES!$A$13,IF(OR(CE43&lt;CE$63,ISNUMBER(CE43)=FALSE),CE$64,CE43))))</f>
      </c>
      <c r="CF95" s="9" t="str">
        <f>IF(ISBLANK(CF43),"NO DATA",IF(ISNUMBER(FIND(CODES!$A$12,CF43)),CODES!$A$12,IF(OR(ISNUMBER(FIND(CODES!$A$10,CF43)),ISNUMBER(FIND(CODES!$A$11,CF43))),CODES!$A$13,IF(OR(CF43&lt;CF$63,ISNUMBER(CF43)=FALSE),CF$64,CF43))))</f>
      </c>
      <c r="CG95" s="9" t="str">
        <f>IF(ISBLANK(CG43),"NO DATA",IF(ISNUMBER(FIND(CODES!$A$12,CG43)),CODES!$A$12,IF(OR(ISNUMBER(FIND(CODES!$A$10,CG43)),ISNUMBER(FIND(CODES!$A$11,CG43))),CODES!$A$13,IF(OR(CG43&lt;CG$63,ISNUMBER(CG43)=FALSE),CG$64,CG43))))</f>
      </c>
      <c r="CH95" s="9" t="str">
        <f>IF(ISBLANK(CH43),"NO DATA",IF(ISNUMBER(FIND(CODES!$A$12,CH43)),CODES!$A$12,IF(OR(ISNUMBER(FIND(CODES!$A$10,CH43)),ISNUMBER(FIND(CODES!$A$11,CH43))),CODES!$A$13,IF(OR(CH43&lt;CH$63,ISNUMBER(CH43)=FALSE),CH$64,CH43))))</f>
      </c>
      <c r="CI95" s="9" t="str">
        <f>IF(ISBLANK(CI43),"NO DATA",IF(ISNUMBER(FIND(CODES!$A$12,CI43)),CODES!$A$12,IF(OR(ISNUMBER(FIND(CODES!$A$10,CI43)),ISNUMBER(FIND(CODES!$A$11,CI43))),CODES!$A$13,IF(OR(CI43&lt;CI$63,ISNUMBER(CI43)=FALSE),CI$64,CI43))))</f>
      </c>
      <c r="CJ95" s="9" t="str">
        <f>IF(ISBLANK(CJ43),"NO DATA",IF(ISNUMBER(FIND(CODES!$A$12,CJ43)),CODES!$A$12,IF(OR(ISNUMBER(FIND(CODES!$A$10,CJ43)),ISNUMBER(FIND(CODES!$A$11,CJ43))),CODES!$A$13,IF(OR(CJ43&lt;CJ$63,ISNUMBER(CJ43)=FALSE),CJ$64,CJ43))))</f>
      </c>
      <c r="CK95" s="9" t="str">
        <f>IF(ISBLANK(CK43),"NO DATA",IF(ISNUMBER(FIND(CODES!$A$12,CK43)),CODES!$A$12,IF(OR(ISNUMBER(FIND(CODES!$A$10,CK43)),ISNUMBER(FIND(CODES!$A$11,CK43))),CODES!$A$13,IF(OR(CK43&lt;CK$63,ISNUMBER(CK43)=FALSE),CK$64,CK43))))</f>
      </c>
      <c r="CL95" s="9" t="str">
        <f>IF(ISBLANK(CL43),"NO DATA",IF(ISNUMBER(FIND(CODES!$A$12,CL43)),CODES!$A$12,IF(OR(ISNUMBER(FIND(CODES!$A$10,CL43)),ISNUMBER(FIND(CODES!$A$11,CL43))),CODES!$A$13,IF(OR(CL43&lt;CL$63,ISNUMBER(CL43)=FALSE),CL$64,CL43))))</f>
      </c>
      <c r="CM95" s="9" t="str">
        <f>IF(ISBLANK(CM43),"NO DATA",IF(ISNUMBER(FIND(CODES!$A$12,CM43)),CODES!$A$12,IF(OR(ISNUMBER(FIND(CODES!$A$10,CM43)),ISNUMBER(FIND(CODES!$A$11,CM43))),CODES!$A$13,IF(OR(CM43&lt;CM$63,ISNUMBER(CM43)=FALSE),CM$64,CM43))))</f>
      </c>
      <c r="CN95" s="9" t="str">
        <f>IF(ISBLANK(CN43),"NO DATA",IF(ISNUMBER(FIND(CODES!$A$12,CN43)),CODES!$A$12,IF(OR(ISNUMBER(FIND(CODES!$A$10,CN43)),ISNUMBER(FIND(CODES!$A$11,CN43))),CODES!$A$13,IF(OR(CN43&lt;CN$63,ISNUMBER(CN43)=FALSE),CN$64,CN43))))</f>
      </c>
      <c r="CO95" s="9" t="str">
        <f>IF(ISBLANK(CO43),"NO DATA",IF(ISNUMBER(FIND(CODES!$A$12,CO43)),CODES!$A$12,IF(OR(ISNUMBER(FIND(CODES!$A$10,CO43)),ISNUMBER(FIND(CODES!$A$11,CO43))),CODES!$A$13,IF(OR(CO43&lt;CO$63,ISNUMBER(CO43)=FALSE),CO$64,CO43))))</f>
      </c>
      <c r="CP95" s="9" t="str">
        <f>IF(ISBLANK(CP43),"NO DATA",IF(ISNUMBER(FIND(CODES!$A$12,CP43)),CODES!$A$12,IF(OR(ISNUMBER(FIND(CODES!$A$10,CP43)),ISNUMBER(FIND(CODES!$A$11,CP43))),CODES!$A$13,IF(OR(CP43&lt;CP$63,ISNUMBER(CP43)=FALSE),CP$64,CP43))))</f>
      </c>
      <c r="CQ95" s="9" t="str">
        <f>IF(ISBLANK(CQ43),"NO DATA",IF(ISNUMBER(FIND(CODES!$A$12,CQ43)),CODES!$A$12,IF(OR(ISNUMBER(FIND(CODES!$A$10,CQ43)),ISNUMBER(FIND(CODES!$A$11,CQ43))),CODES!$A$13,IF(OR(CQ43&lt;CQ$63,ISNUMBER(CQ43)=FALSE),CQ$64,CQ43))))</f>
      </c>
      <c r="CR95" s="9" t="str">
        <f>IF(ISBLANK(CR43),"NO DATA",IF(ISNUMBER(FIND(CODES!$A$12,CR43)),CODES!$A$12,IF(OR(ISNUMBER(FIND(CODES!$A$10,CR43)),ISNUMBER(FIND(CODES!$A$11,CR43))),CODES!$A$13,IF(OR(CR43&lt;CR$63,ISNUMBER(CR43)=FALSE),CR$64,CR43))))</f>
      </c>
      <c r="CS95" s="9" t="str">
        <f>IF(ISBLANK(CS43),"NO DATA",IF(ISNUMBER(FIND(CODES!$A$12,CS43)),CODES!$A$12,IF(OR(ISNUMBER(FIND(CODES!$A$10,CS43)),ISNUMBER(FIND(CODES!$A$11,CS43))),CODES!$A$13,IF(OR(CS43&lt;CS$63,ISNUMBER(CS43)=FALSE),CS$64,CS43))))</f>
      </c>
      <c r="CT95" s="9" t="str">
        <f>IF(ISBLANK(CT43),"NO DATA",IF(ISNUMBER(FIND(CODES!$A$12,CT43)),CODES!$A$12,IF(OR(ISNUMBER(FIND(CODES!$A$10,CT43)),ISNUMBER(FIND(CODES!$A$11,CT43))),CODES!$A$13,IF(OR(CT43&lt;CT$63,ISNUMBER(CT43)=FALSE),CT$64,CT43))))</f>
      </c>
      <c r="CU95" s="9" t="str">
        <f>IF(ISBLANK(CU43),"NO DATA",IF(ISNUMBER(FIND(CODES!$A$12,CU43)),CODES!$A$12,IF(OR(ISNUMBER(FIND(CODES!$A$10,CU43)),ISNUMBER(FIND(CODES!$A$11,CU43))),CODES!$A$13,IF(OR(CU43&lt;CU$63,ISNUMBER(CU43)=FALSE),CU$64,CU43))))</f>
      </c>
      <c r="CV95" s="9" t="str">
        <f>IF(ISBLANK(CV43),"NO DATA",IF(ISNUMBER(FIND(CODES!$A$12,CV43)),CODES!$A$12,IF(OR(ISNUMBER(FIND(CODES!$A$10,CV43)),ISNUMBER(FIND(CODES!$A$11,CV43))),CODES!$A$13,IF(OR(CV43&lt;CV$63,ISNUMBER(CV43)=FALSE),CV$64,CV43))))</f>
      </c>
      <c r="CW95" s="9" t="str">
        <f>IF(ISBLANK(CW43),"NO DATA",IF(ISNUMBER(FIND(CODES!$A$12,CW43)),CODES!$A$12,IF(OR(ISNUMBER(FIND(CODES!$A$10,CW43)),ISNUMBER(FIND(CODES!$A$11,CW43))),CODES!$A$13,IF(OR(CW43&lt;CW$63,ISNUMBER(CW43)=FALSE),CW$64,CW43))))</f>
      </c>
      <c r="CX95" s="9" t="str">
        <f>IF(ISBLANK(CX43),"NO DATA",IF(ISNUMBER(FIND(CODES!$A$12,CX43)),CODES!$A$12,IF(OR(ISNUMBER(FIND(CODES!$A$10,CX43)),ISNUMBER(FIND(CODES!$A$11,CX43))),CODES!$A$13,IF(OR(CX43&lt;CX$63,ISNUMBER(CX43)=FALSE),CX$64,CX43))))</f>
      </c>
      <c r="CY95" s="9" t="str">
        <f>IF(ISBLANK(CY43),"NO DATA",IF(ISNUMBER(FIND(CODES!$A$12,CY43)),CODES!$A$12,IF(OR(ISNUMBER(FIND(CODES!$A$10,CY43)),ISNUMBER(FIND(CODES!$A$11,CY43))),CODES!$A$13,IF(OR(CY43&lt;CY$63,ISNUMBER(CY43)=FALSE),CY$64,CY43))))</f>
      </c>
      <c r="CZ95" s="9" t="str">
        <f>IF(ISBLANK(CZ43),"NO DATA",IF(ISNUMBER(FIND(CODES!$A$12,CZ43)),CODES!$A$12,IF(OR(ISNUMBER(FIND(CODES!$A$10,CZ43)),ISNUMBER(FIND(CODES!$A$11,CZ43))),CODES!$A$13,IF(OR(CZ43&lt;CZ$63,ISNUMBER(CZ43)=FALSE),CZ$64,CZ43))))</f>
      </c>
      <c r="DA95" s="9" t="str">
        <f>IF(ISBLANK(DA43),"NO DATA",IF(ISNUMBER(FIND(CODES!$A$12,DA43)),CODES!$A$12,IF(OR(ISNUMBER(FIND(CODES!$A$10,DA43)),ISNUMBER(FIND(CODES!$A$11,DA43))),CODES!$A$13,IF(OR(DA43&lt;DA$63,ISNUMBER(DA43)=FALSE),DA$64,DA43))))</f>
      </c>
      <c r="DB95" s="9" t="str">
        <f>IF(ISBLANK(DB43),"NO DATA",IF(ISNUMBER(FIND(CODES!$A$12,DB43)),CODES!$A$12,IF(OR(ISNUMBER(FIND(CODES!$A$10,DB43)),ISNUMBER(FIND(CODES!$A$11,DB43))),CODES!$A$13,IF(OR(DB43&lt;DB$63,ISNUMBER(DB43)=FALSE),DB$64,DB43))))</f>
      </c>
      <c r="DC95" s="9" t="str">
        <f>IF(ISBLANK(DC43),"NO DATA",IF(ISNUMBER(FIND(CODES!$A$12,DC43)),CODES!$A$12,IF(OR(ISNUMBER(FIND(CODES!$A$10,DC43)),ISNUMBER(FIND(CODES!$A$11,DC43))),CODES!$A$13,IF(OR(DC43&lt;DC$63,ISNUMBER(DC43)=FALSE),DC$64,DC43))))</f>
      </c>
      <c r="DD95" s="9" t="str">
        <f>IF(ISBLANK(DD43),"NO DATA",IF(ISNUMBER(FIND(CODES!$A$12,DD43)),CODES!$A$12,IF(OR(ISNUMBER(FIND(CODES!$A$10,DD43)),ISNUMBER(FIND(CODES!$A$11,DD43))),CODES!$A$13,IF(OR(DD43&lt;DD$63,ISNUMBER(DD43)=FALSE),DD$64,DD43))))</f>
      </c>
      <c r="DE95" s="9" t="str">
        <f>IF(ISBLANK(DE43),"NO DATA",IF(ISNUMBER(FIND(CODES!$A$12,DE43)),CODES!$A$12,IF(OR(ISNUMBER(FIND(CODES!$A$10,DE43)),ISNUMBER(FIND(CODES!$A$11,DE43))),CODES!$A$13,IF(OR(DE43&lt;DE$63,ISNUMBER(DE43)=FALSE),DE$64,DE43))))</f>
      </c>
      <c r="DF95" s="9" t="str">
        <f>IF(ISBLANK(DF43),"NO DATA",IF(ISNUMBER(FIND(CODES!$A$12,DF43)),CODES!$A$12,IF(OR(ISNUMBER(FIND(CODES!$A$10,DF43)),ISNUMBER(FIND(CODES!$A$11,DF43))),CODES!$A$13,IF(OR(DF43&lt;DF$63,ISNUMBER(DF43)=FALSE),DF$64,DF43))))</f>
      </c>
      <c r="DG95" s="9" t="str">
        <f>IF(ISBLANK(DG43),"NO DATA",IF(ISNUMBER(FIND(CODES!$A$12,DG43)),CODES!$A$12,IF(OR(ISNUMBER(FIND(CODES!$A$10,DG43)),ISNUMBER(FIND(CODES!$A$11,DG43))),CODES!$A$13,IF(OR(DG43&lt;DG$63,ISNUMBER(DG43)=FALSE),DG$64,DG43))))</f>
      </c>
      <c r="DH95" s="9" t="str">
        <f>IF(ISBLANK(DH43),"NO DATA",IF(ISNUMBER(FIND(CODES!$A$12,DH43)),CODES!$A$12,IF(OR(ISNUMBER(FIND(CODES!$A$10,DH43)),ISNUMBER(FIND(CODES!$A$11,DH43))),CODES!$A$13,IF(OR(DH43&lt;DH$63,ISNUMBER(DH43)=FALSE),DH$64,DH43))))</f>
      </c>
      <c r="DI95" s="9" t="str">
        <f>IF(ISBLANK(DI43),"NO DATA",IF(ISNUMBER(FIND(CODES!$A$12,DI43)),CODES!$A$12,IF(OR(ISNUMBER(FIND(CODES!$A$10,DI43)),ISNUMBER(FIND(CODES!$A$11,DI43))),CODES!$A$13,IF(OR(DI43&lt;DI$63,ISNUMBER(DI43)=FALSE),DI$64,DI43))))</f>
      </c>
    </row>
    <row r="96" spans="1:113" x14ac:dyDescent="0.25">
      <c r="A96" s="20" t="str">
        <f t="shared" si="5"/>
      </c>
      <c r="B96" s="20">
        <f t="shared" si="5"/>
      </c>
      <c r="C96" s="9" t="str">
        <f>IF(ISBLANK(C44),"NO DATA",IF(ISNUMBER(FIND(CODES!$A$12,C44)),CODES!$A$12,IF(OR(ISNUMBER(FIND(CODES!$A$10,C44)),ISNUMBER(FIND(CODES!$A$11,C44))),CODES!$A$13,IF(OR(C44&lt;C$63,ISNUMBER(C44)=FALSE),C$64,C44))))</f>
      </c>
      <c r="D96" s="9" t="str">
        <f>IF(ISBLANK(D44),"NO DATA",IF(ISNUMBER(FIND(CODES!$A$12,D44)),CODES!$A$12,IF(OR(ISNUMBER(FIND(CODES!$A$10,D44)),ISNUMBER(FIND(CODES!$A$11,D44))),CODES!$A$13,IF(OR(D44&lt;D$63,ISNUMBER(D44)=FALSE),D$64,D44))))</f>
      </c>
      <c r="E96" s="9" t="str">
        <f>IF(ISBLANK(E44),"NO DATA",IF(ISNUMBER(FIND(CODES!$A$12,E44)),CODES!$A$12,IF(OR(ISNUMBER(FIND(CODES!$A$10,E44)),ISNUMBER(FIND(CODES!$A$11,E44))),CODES!$A$13,IF(OR(E44&lt;E$63,ISNUMBER(E44)=FALSE),E$64,E44))))</f>
      </c>
      <c r="F96" s="9" t="str">
        <f>IF(ISBLANK(F44),"NO DATA",IF(ISNUMBER(FIND(CODES!$A$12,F44)),CODES!$A$12,IF(OR(ISNUMBER(FIND(CODES!$A$10,F44)),ISNUMBER(FIND(CODES!$A$11,F44))),CODES!$A$13,IF(OR(F44&lt;F$63,ISNUMBER(F44)=FALSE),F$64,F44))))</f>
      </c>
      <c r="G96" s="9" t="str">
        <f>IF(ISBLANK(G44),"NO DATA",IF(ISNUMBER(FIND(CODES!$A$12,G44)),CODES!$A$12,IF(OR(ISNUMBER(FIND(CODES!$A$10,G44)),ISNUMBER(FIND(CODES!$A$11,G44))),CODES!$A$13,IF(OR(G44&lt;G$63,ISNUMBER(G44)=FALSE),G$64,G44))))</f>
      </c>
      <c r="H96" s="9" t="str">
        <f>IF(ISBLANK(H44),"NO DATA",IF(ISNUMBER(FIND(CODES!$A$12,H44)),CODES!$A$12,IF(OR(ISNUMBER(FIND(CODES!$A$10,H44)),ISNUMBER(FIND(CODES!$A$11,H44))),CODES!$A$13,IF(OR(H44&lt;H$63,ISNUMBER(H44)=FALSE),H$64,H44))))</f>
      </c>
      <c r="I96" s="9" t="str">
        <f>IF(ISBLANK(I44),"NO DATA",IF(ISNUMBER(FIND(CODES!$A$12,I44)),CODES!$A$12,IF(OR(ISNUMBER(FIND(CODES!$A$10,I44)),ISNUMBER(FIND(CODES!$A$11,I44))),CODES!$A$13,IF(OR(I44&lt;I$63,ISNUMBER(I44)=FALSE),I$64,I44))))</f>
      </c>
      <c r="J96" s="9" t="str">
        <f>IF(ISBLANK(J44),"NO DATA",IF(ISNUMBER(FIND(CODES!$A$12,J44)),CODES!$A$12,IF(OR(ISNUMBER(FIND(CODES!$A$10,J44)),ISNUMBER(FIND(CODES!$A$11,J44))),CODES!$A$13,IF(OR(J44&lt;J$63,ISNUMBER(J44)=FALSE),J$64,J44))))</f>
      </c>
      <c r="K96" s="9" t="str">
        <f>IF(ISBLANK(K44),"NO DATA",IF(ISNUMBER(FIND(CODES!$A$12,K44)),CODES!$A$12,IF(OR(ISNUMBER(FIND(CODES!$A$10,K44)),ISNUMBER(FIND(CODES!$A$11,K44))),CODES!$A$13,IF(OR(K44&lt;K$63,ISNUMBER(K44)=FALSE),K$64,K44))))</f>
      </c>
      <c r="L96" s="9" t="str">
        <f>IF(ISBLANK(L44),"NO DATA",IF(ISNUMBER(FIND(CODES!$A$12,L44)),CODES!$A$12,IF(OR(ISNUMBER(FIND(CODES!$A$10,L44)),ISNUMBER(FIND(CODES!$A$11,L44))),CODES!$A$13,IF(OR(L44&lt;L$63,ISNUMBER(L44)=FALSE),L$64,L44))))</f>
      </c>
      <c r="M96" s="9" t="str">
        <f>IF(ISBLANK(M44),"NO DATA",IF(ISNUMBER(FIND(CODES!$A$12,M44)),CODES!$A$12,IF(OR(ISNUMBER(FIND(CODES!$A$10,M44)),ISNUMBER(FIND(CODES!$A$11,M44))),CODES!$A$13,IF(OR(M44&lt;M$63,ISNUMBER(M44)=FALSE),M$64,M44))))</f>
      </c>
      <c r="N96" s="9" t="str">
        <f>IF(ISBLANK(N44),"NO DATA",IF(ISNUMBER(FIND(CODES!$A$12,N44)),CODES!$A$12,IF(OR(ISNUMBER(FIND(CODES!$A$10,N44)),ISNUMBER(FIND(CODES!$A$11,N44))),CODES!$A$13,IF(OR(N44&lt;N$63,ISNUMBER(N44)=FALSE),N$64,N44))))</f>
      </c>
      <c r="O96" s="9" t="str">
        <f>IF(ISBLANK(O44),"NO DATA",IF(ISNUMBER(FIND(CODES!$A$12,O44)),CODES!$A$12,IF(OR(ISNUMBER(FIND(CODES!$A$10,O44)),ISNUMBER(FIND(CODES!$A$11,O44))),CODES!$A$13,IF(OR(O44&lt;O$63,ISNUMBER(O44)=FALSE),O$64,O44))))</f>
      </c>
      <c r="P96" s="9" t="str">
        <f>IF(ISBLANK(P44),"NO DATA",IF(ISNUMBER(FIND(CODES!$A$12,P44)),CODES!$A$12,IF(OR(ISNUMBER(FIND(CODES!$A$10,P44)),ISNUMBER(FIND(CODES!$A$11,P44))),CODES!$A$13,IF(OR(P44&lt;P$63,ISNUMBER(P44)=FALSE),P$64,P44))))</f>
      </c>
      <c r="Q96" s="9" t="str">
        <f>IF(ISBLANK(Q44),"NO DATA",IF(ISNUMBER(FIND(CODES!$A$12,Q44)),CODES!$A$12,IF(OR(ISNUMBER(FIND(CODES!$A$10,Q44)),ISNUMBER(FIND(CODES!$A$11,Q44))),CODES!$A$13,IF(OR(Q44&lt;Q$63,ISNUMBER(Q44)=FALSE),Q$64,Q44))))</f>
      </c>
      <c r="R96" s="9" t="str">
        <f>IF(ISBLANK(R44),"NO DATA",IF(ISNUMBER(FIND(CODES!$A$12,R44)),CODES!$A$12,IF(OR(ISNUMBER(FIND(CODES!$A$10,R44)),ISNUMBER(FIND(CODES!$A$11,R44))),CODES!$A$13,IF(OR(R44&lt;R$63,ISNUMBER(R44)=FALSE),R$64,R44))))</f>
      </c>
      <c r="S96" s="9" t="str">
        <f>IF(ISBLANK(S44),"NO DATA",IF(ISNUMBER(FIND(CODES!$A$12,S44)),CODES!$A$12,IF(OR(ISNUMBER(FIND(CODES!$A$10,S44)),ISNUMBER(FIND(CODES!$A$11,S44))),CODES!$A$13,IF(OR(S44&lt;S$63,ISNUMBER(S44)=FALSE),S$64,S44))))</f>
      </c>
      <c r="T96" s="9" t="str">
        <f>IF(ISBLANK(T44),"NO DATA",IF(ISNUMBER(FIND(CODES!$A$12,T44)),CODES!$A$12,IF(OR(ISNUMBER(FIND(CODES!$A$10,T44)),ISNUMBER(FIND(CODES!$A$11,T44))),CODES!$A$13,IF(OR(T44&lt;T$63,ISNUMBER(T44)=FALSE),T$64,T44))))</f>
      </c>
      <c r="U96" s="9" t="str">
        <f>IF(ISBLANK(U44),"NO DATA",IF(ISNUMBER(FIND(CODES!$A$12,U44)),CODES!$A$12,IF(OR(ISNUMBER(FIND(CODES!$A$10,U44)),ISNUMBER(FIND(CODES!$A$11,U44))),CODES!$A$13,IF(OR(U44&lt;U$63,ISNUMBER(U44)=FALSE),U$64,U44))))</f>
      </c>
      <c r="V96" s="9" t="str">
        <f>IF(ISBLANK(V44),"NO DATA",IF(ISNUMBER(FIND(CODES!$A$12,V44)),CODES!$A$12,IF(OR(ISNUMBER(FIND(CODES!$A$10,V44)),ISNUMBER(FIND(CODES!$A$11,V44))),CODES!$A$13,IF(OR(V44&lt;V$63,ISNUMBER(V44)=FALSE),V$64,V44))))</f>
      </c>
      <c r="W96" s="9" t="str">
        <f>IF(ISBLANK(W44),"NO DATA",IF(ISNUMBER(FIND(CODES!$A$12,W44)),CODES!$A$12,IF(OR(ISNUMBER(FIND(CODES!$A$10,W44)),ISNUMBER(FIND(CODES!$A$11,W44))),CODES!$A$13,IF(OR(W44&lt;W$63,ISNUMBER(W44)=FALSE),W$64,W44))))</f>
      </c>
      <c r="X96" s="9" t="str">
        <f>IF(ISBLANK(X44),"NO DATA",IF(ISNUMBER(FIND(CODES!$A$12,X44)),CODES!$A$12,IF(OR(ISNUMBER(FIND(CODES!$A$10,X44)),ISNUMBER(FIND(CODES!$A$11,X44))),CODES!$A$13,IF(OR(X44&lt;X$63,ISNUMBER(X44)=FALSE),X$64,X44))))</f>
      </c>
      <c r="Y96" s="9" t="str">
        <f>IF(ISBLANK(Y44),"NO DATA",IF(ISNUMBER(FIND(CODES!$A$12,Y44)),CODES!$A$12,IF(OR(ISNUMBER(FIND(CODES!$A$10,Y44)),ISNUMBER(FIND(CODES!$A$11,Y44))),CODES!$A$13,IF(OR(Y44&lt;Y$63,ISNUMBER(Y44)=FALSE),Y$64,Y44))))</f>
      </c>
      <c r="Z96" s="9" t="str">
        <f>IF(ISBLANK(Z44),"NO DATA",IF(ISNUMBER(FIND(CODES!$A$12,Z44)),CODES!$A$12,IF(OR(ISNUMBER(FIND(CODES!$A$10,Z44)),ISNUMBER(FIND(CODES!$A$11,Z44))),CODES!$A$13,IF(OR(Z44&lt;Z$63,ISNUMBER(Z44)=FALSE),Z$64,Z44))))</f>
      </c>
      <c r="AA96" s="9" t="str">
        <f>IF(ISBLANK(AA44),"NO DATA",IF(ISNUMBER(FIND(CODES!$A$12,AA44)),CODES!$A$12,IF(OR(ISNUMBER(FIND(CODES!$A$10,AA44)),ISNUMBER(FIND(CODES!$A$11,AA44))),CODES!$A$13,IF(OR(AA44&lt;AA$63,ISNUMBER(AA44)=FALSE),AA$64,AA44))))</f>
      </c>
      <c r="AB96" s="9" t="str">
        <f>IF(ISBLANK(AB44),"NO DATA",IF(ISNUMBER(FIND(CODES!$A$12,AB44)),CODES!$A$12,IF(OR(ISNUMBER(FIND(CODES!$A$10,AB44)),ISNUMBER(FIND(CODES!$A$11,AB44))),CODES!$A$13,IF(OR(AB44&lt;AB$63,ISNUMBER(AB44)=FALSE),AB$64,AB44))))</f>
      </c>
      <c r="AC96" s="9" t="str">
        <f>IF(ISBLANK(AC44),"NO DATA",IF(ISNUMBER(FIND(CODES!$A$12,AC44)),CODES!$A$12,IF(OR(ISNUMBER(FIND(CODES!$A$10,AC44)),ISNUMBER(FIND(CODES!$A$11,AC44))),CODES!$A$13,IF(OR(AC44&lt;AC$63,ISNUMBER(AC44)=FALSE),AC$64,AC44))))</f>
      </c>
      <c r="AD96" s="9" t="str">
        <f>IF(ISBLANK(AD44),"NO DATA",IF(ISNUMBER(FIND(CODES!$A$12,AD44)),CODES!$A$12,IF(OR(ISNUMBER(FIND(CODES!$A$10,AD44)),ISNUMBER(FIND(CODES!$A$11,AD44))),CODES!$A$13,IF(OR(AD44&lt;AD$63,ISNUMBER(AD44)=FALSE),AD$64,AD44))))</f>
      </c>
      <c r="AE96" s="9" t="str">
        <f>IF(ISBLANK(AE44),"NO DATA",IF(ISNUMBER(FIND(CODES!$A$12,AE44)),CODES!$A$12,IF(OR(ISNUMBER(FIND(CODES!$A$10,AE44)),ISNUMBER(FIND(CODES!$A$11,AE44))),CODES!$A$13,IF(OR(AE44&lt;AE$63,ISNUMBER(AE44)=FALSE),AE$64,AE44))))</f>
      </c>
      <c r="AF96" s="9" t="str">
        <f>IF(ISBLANK(AF44),"NO DATA",IF(ISNUMBER(FIND(CODES!$A$12,AF44)),CODES!$A$12,IF(OR(ISNUMBER(FIND(CODES!$A$10,AF44)),ISNUMBER(FIND(CODES!$A$11,AF44))),CODES!$A$13,IF(OR(AF44&lt;AF$63,ISNUMBER(AF44)=FALSE),AF$64,AF44))))</f>
      </c>
      <c r="AG96" s="9" t="str">
        <f>IF(ISBLANK(AG44),"NO DATA",IF(ISNUMBER(FIND(CODES!$A$12,AG44)),CODES!$A$12,IF(OR(ISNUMBER(FIND(CODES!$A$10,AG44)),ISNUMBER(FIND(CODES!$A$11,AG44))),CODES!$A$13,IF(OR(AG44&lt;AG$63,ISNUMBER(AG44)=FALSE),AG$64,AG44))))</f>
      </c>
      <c r="AH96" s="9" t="str">
        <f>IF(ISBLANK(AH44),"NO DATA",IF(ISNUMBER(FIND(CODES!$A$12,AH44)),CODES!$A$12,IF(OR(ISNUMBER(FIND(CODES!$A$10,AH44)),ISNUMBER(FIND(CODES!$A$11,AH44))),CODES!$A$13,IF(OR(AH44&lt;AH$63,ISNUMBER(AH44)=FALSE),AH$64,AH44))))</f>
      </c>
      <c r="AI96" s="9" t="str">
        <f>IF(ISBLANK(AI44),"NO DATA",IF(ISNUMBER(FIND(CODES!$A$12,AI44)),CODES!$A$12,IF(OR(ISNUMBER(FIND(CODES!$A$10,AI44)),ISNUMBER(FIND(CODES!$A$11,AI44))),CODES!$A$13,IF(OR(AI44&lt;AI$63,ISNUMBER(AI44)=FALSE),AI$64,AI44))))</f>
      </c>
      <c r="AJ96" s="9" t="str">
        <f>IF(ISBLANK(AJ44),"NO DATA",IF(ISNUMBER(FIND(CODES!$A$12,AJ44)),CODES!$A$12,IF(OR(ISNUMBER(FIND(CODES!$A$10,AJ44)),ISNUMBER(FIND(CODES!$A$11,AJ44))),CODES!$A$13,IF(OR(AJ44&lt;AJ$63,ISNUMBER(AJ44)=FALSE),AJ$64,AJ44))))</f>
      </c>
      <c r="AK96" s="9" t="str">
        <f>IF(ISBLANK(AK44),"NO DATA",IF(ISNUMBER(FIND(CODES!$A$12,AK44)),CODES!$A$12,IF(OR(ISNUMBER(FIND(CODES!$A$10,AK44)),ISNUMBER(FIND(CODES!$A$11,AK44))),CODES!$A$13,IF(OR(AK44&lt;AK$63,ISNUMBER(AK44)=FALSE),AK$64,AK44))))</f>
      </c>
      <c r="AL96" s="9" t="str">
        <f>IF(ISBLANK(AL44),"NO DATA",IF(ISNUMBER(FIND(CODES!$A$12,AL44)),CODES!$A$12,IF(OR(ISNUMBER(FIND(CODES!$A$10,AL44)),ISNUMBER(FIND(CODES!$A$11,AL44))),CODES!$A$13,IF(OR(AL44&lt;AL$63,ISNUMBER(AL44)=FALSE),AL$64,AL44))))</f>
      </c>
      <c r="AM96" s="9" t="str">
        <f>IF(ISBLANK(AM44),"NO DATA",IF(ISNUMBER(FIND(CODES!$A$12,AM44)),CODES!$A$12,IF(OR(ISNUMBER(FIND(CODES!$A$10,AM44)),ISNUMBER(FIND(CODES!$A$11,AM44))),CODES!$A$13,IF(OR(AM44&lt;AM$63,ISNUMBER(AM44)=FALSE),AM$64,AM44))))</f>
      </c>
      <c r="AN96" s="9" t="str">
        <f>IF(ISBLANK(AN44),"NO DATA",IF(ISNUMBER(FIND(CODES!$A$12,AN44)),CODES!$A$12,IF(OR(ISNUMBER(FIND(CODES!$A$10,AN44)),ISNUMBER(FIND(CODES!$A$11,AN44))),CODES!$A$13,IF(OR(AN44&lt;AN$63,ISNUMBER(AN44)=FALSE),AN$64,AN44))))</f>
      </c>
      <c r="AO96" s="9" t="str">
        <f>IF(ISBLANK(AO44),"NO DATA",IF(ISNUMBER(FIND(CODES!$A$12,AO44)),CODES!$A$12,IF(OR(ISNUMBER(FIND(CODES!$A$10,AO44)),ISNUMBER(FIND(CODES!$A$11,AO44))),CODES!$A$13,IF(OR(AO44&lt;AO$63,ISNUMBER(AO44)=FALSE),AO$64,AO44))))</f>
      </c>
      <c r="AP96" s="9" t="str">
        <f>IF(ISBLANK(AP44),"NO DATA",IF(ISNUMBER(FIND(CODES!$A$12,AP44)),CODES!$A$12,IF(OR(ISNUMBER(FIND(CODES!$A$10,AP44)),ISNUMBER(FIND(CODES!$A$11,AP44))),CODES!$A$13,IF(OR(AP44&lt;AP$63,ISNUMBER(AP44)=FALSE),AP$64,AP44))))</f>
      </c>
      <c r="AQ96" s="9" t="str">
        <f>IF(ISBLANK(AQ44),"NO DATA",IF(ISNUMBER(FIND(CODES!$A$12,AQ44)),CODES!$A$12,IF(OR(ISNUMBER(FIND(CODES!$A$10,AQ44)),ISNUMBER(FIND(CODES!$A$11,AQ44))),CODES!$A$13,IF(OR(AQ44&lt;AQ$63,ISNUMBER(AQ44)=FALSE),AQ$64,AQ44))))</f>
      </c>
      <c r="AR96" s="9" t="str">
        <f>IF(ISBLANK(AR44),"NO DATA",IF(ISNUMBER(FIND(CODES!$A$12,AR44)),CODES!$A$12,IF(OR(ISNUMBER(FIND(CODES!$A$10,AR44)),ISNUMBER(FIND(CODES!$A$11,AR44))),CODES!$A$13,IF(OR(AR44&lt;AR$63,ISNUMBER(AR44)=FALSE),AR$64,AR44))))</f>
      </c>
      <c r="AS96" s="9" t="str">
        <f>IF(ISBLANK(AS44),"NO DATA",IF(ISNUMBER(FIND(CODES!$A$12,AS44)),CODES!$A$12,IF(OR(ISNUMBER(FIND(CODES!$A$10,AS44)),ISNUMBER(FIND(CODES!$A$11,AS44))),CODES!$A$13,IF(OR(AS44&lt;AS$63,ISNUMBER(AS44)=FALSE),AS$64,AS44))))</f>
      </c>
      <c r="AT96" s="9" t="str">
        <f>IF(ISBLANK(AT44),"NO DATA",IF(ISNUMBER(FIND(CODES!$A$12,AT44)),CODES!$A$12,IF(OR(ISNUMBER(FIND(CODES!$A$10,AT44)),ISNUMBER(FIND(CODES!$A$11,AT44))),CODES!$A$13,IF(OR(AT44&lt;AT$63,ISNUMBER(AT44)=FALSE),AT$64,AT44))))</f>
      </c>
      <c r="AU96" s="9" t="str">
        <f>IF(ISBLANK(AU44),"NO DATA",IF(ISNUMBER(FIND(CODES!$A$12,AU44)),CODES!$A$12,IF(OR(ISNUMBER(FIND(CODES!$A$10,AU44)),ISNUMBER(FIND(CODES!$A$11,AU44))),CODES!$A$13,IF(OR(AU44&lt;AU$63,ISNUMBER(AU44)=FALSE),AU$64,AU44))))</f>
      </c>
      <c r="AV96" s="9" t="str">
        <f>IF(ISBLANK(AV44),"NO DATA",IF(ISNUMBER(FIND(CODES!$A$12,AV44)),CODES!$A$12,IF(OR(ISNUMBER(FIND(CODES!$A$10,AV44)),ISNUMBER(FIND(CODES!$A$11,AV44))),CODES!$A$13,IF(OR(AV44&lt;AV$63,ISNUMBER(AV44)=FALSE),AV$64,AV44))))</f>
      </c>
      <c r="AW96" s="9" t="str">
        <f>IF(ISBLANK(AW44),"NO DATA",IF(ISNUMBER(FIND(CODES!$A$12,AW44)),CODES!$A$12,IF(OR(ISNUMBER(FIND(CODES!$A$10,AW44)),ISNUMBER(FIND(CODES!$A$11,AW44))),CODES!$A$13,IF(OR(AW44&lt;AW$63,ISNUMBER(AW44)=FALSE),AW$64,AW44))))</f>
      </c>
      <c r="AX96" s="9" t="str">
        <f>IF(ISBLANK(AX44),"NO DATA",IF(ISNUMBER(FIND(CODES!$A$12,AX44)),CODES!$A$12,IF(OR(ISNUMBER(FIND(CODES!$A$10,AX44)),ISNUMBER(FIND(CODES!$A$11,AX44))),CODES!$A$13,IF(OR(AX44&lt;AX$63,ISNUMBER(AX44)=FALSE),AX$64,AX44))))</f>
      </c>
      <c r="AY96" s="9" t="str">
        <f>IF(ISBLANK(AY44),"NO DATA",IF(ISNUMBER(FIND(CODES!$A$12,AY44)),CODES!$A$12,IF(OR(ISNUMBER(FIND(CODES!$A$10,AY44)),ISNUMBER(FIND(CODES!$A$11,AY44))),CODES!$A$13,IF(OR(AY44&lt;AY$63,ISNUMBER(AY44)=FALSE),AY$64,AY44))))</f>
      </c>
      <c r="AZ96" s="9" t="str">
        <f>IF(ISBLANK(AZ44),"NO DATA",IF(ISNUMBER(FIND(CODES!$A$12,AZ44)),CODES!$A$12,IF(OR(ISNUMBER(FIND(CODES!$A$10,AZ44)),ISNUMBER(FIND(CODES!$A$11,AZ44))),CODES!$A$13,IF(OR(AZ44&lt;AZ$63,ISNUMBER(AZ44)=FALSE),AZ$64,AZ44))))</f>
      </c>
      <c r="BA96" s="9" t="str">
        <f>IF(ISBLANK(BA44),"NO DATA",IF(ISNUMBER(FIND(CODES!$A$12,BA44)),CODES!$A$12,IF(OR(ISNUMBER(FIND(CODES!$A$10,BA44)),ISNUMBER(FIND(CODES!$A$11,BA44))),CODES!$A$13,IF(OR(BA44&lt;BA$63,ISNUMBER(BA44)=FALSE),BA$64,BA44))))</f>
      </c>
      <c r="BB96" s="9" t="str">
        <f>IF(ISBLANK(BB44),"NO DATA",IF(ISNUMBER(FIND(CODES!$A$12,BB44)),CODES!$A$12,IF(OR(ISNUMBER(FIND(CODES!$A$10,BB44)),ISNUMBER(FIND(CODES!$A$11,BB44))),CODES!$A$13,IF(OR(BB44&lt;BB$63,ISNUMBER(BB44)=FALSE),BB$64,BB44))))</f>
      </c>
      <c r="BC96" s="9" t="str">
        <f>IF(ISBLANK(BC44),"NO DATA",IF(ISNUMBER(FIND(CODES!$A$12,BC44)),CODES!$A$12,IF(OR(ISNUMBER(FIND(CODES!$A$10,BC44)),ISNUMBER(FIND(CODES!$A$11,BC44))),CODES!$A$13,IF(OR(BC44&lt;BC$63,ISNUMBER(BC44)=FALSE),BC$64,BC44))))</f>
      </c>
      <c r="BD96" s="9" t="str">
        <f>IF(ISBLANK(BD44),"NO DATA",IF(ISNUMBER(FIND(CODES!$A$12,BD44)),CODES!$A$12,IF(OR(ISNUMBER(FIND(CODES!$A$10,BD44)),ISNUMBER(FIND(CODES!$A$11,BD44))),CODES!$A$13,IF(OR(BD44&lt;BD$63,ISNUMBER(BD44)=FALSE),BD$64,BD44))))</f>
      </c>
      <c r="BE96" s="9" t="str">
        <f>IF(ISBLANK(BE44),"NO DATA",IF(ISNUMBER(FIND(CODES!$A$12,BE44)),CODES!$A$12,IF(OR(ISNUMBER(FIND(CODES!$A$10,BE44)),ISNUMBER(FIND(CODES!$A$11,BE44))),CODES!$A$13,IF(OR(BE44&lt;BE$63,ISNUMBER(BE44)=FALSE),BE$64,BE44))))</f>
      </c>
      <c r="BF96" s="9" t="str">
        <f>IF(ISBLANK(BF44),"NO DATA",IF(ISNUMBER(FIND(CODES!$A$12,BF44)),CODES!$A$12,IF(OR(ISNUMBER(FIND(CODES!$A$10,BF44)),ISNUMBER(FIND(CODES!$A$11,BF44))),CODES!$A$13,IF(OR(BF44&lt;BF$63,ISNUMBER(BF44)=FALSE),BF$64,BF44))))</f>
      </c>
      <c r="BG96" s="9" t="str">
        <f>IF(ISBLANK(BG44),"NO DATA",IF(ISNUMBER(FIND(CODES!$A$12,BG44)),CODES!$A$12,IF(OR(ISNUMBER(FIND(CODES!$A$10,BG44)),ISNUMBER(FIND(CODES!$A$11,BG44))),CODES!$A$13,IF(OR(BG44&lt;BG$63,ISNUMBER(BG44)=FALSE),BG$64,BG44))))</f>
      </c>
      <c r="BH96" s="9" t="str">
        <f>IF(ISBLANK(BH44),"NO DATA",IF(ISNUMBER(FIND(CODES!$A$12,BH44)),CODES!$A$12,IF(OR(ISNUMBER(FIND(CODES!$A$10,BH44)),ISNUMBER(FIND(CODES!$A$11,BH44))),CODES!$A$13,IF(OR(BH44&lt;BH$63,ISNUMBER(BH44)=FALSE),BH$64,BH44))))</f>
      </c>
      <c r="BI96" s="9" t="str">
        <f>IF(ISBLANK(BI44),"NO DATA",IF(ISNUMBER(FIND(CODES!$A$12,BI44)),CODES!$A$12,IF(OR(ISNUMBER(FIND(CODES!$A$10,BI44)),ISNUMBER(FIND(CODES!$A$11,BI44))),CODES!$A$13,IF(OR(BI44&lt;BI$63,ISNUMBER(BI44)=FALSE),BI$64,BI44))))</f>
      </c>
      <c r="BJ96" s="9" t="str">
        <f>IF(ISBLANK(BJ44),"NO DATA",IF(ISNUMBER(FIND(CODES!$A$12,BJ44)),CODES!$A$12,IF(OR(ISNUMBER(FIND(CODES!$A$10,BJ44)),ISNUMBER(FIND(CODES!$A$11,BJ44))),CODES!$A$13,IF(OR(BJ44&lt;BJ$63,ISNUMBER(BJ44)=FALSE),BJ$64,BJ44))))</f>
      </c>
      <c r="BK96" s="9" t="str">
        <f>IF(ISBLANK(BK44),"NO DATA",IF(ISNUMBER(FIND(CODES!$A$12,BK44)),CODES!$A$12,IF(OR(ISNUMBER(FIND(CODES!$A$10,BK44)),ISNUMBER(FIND(CODES!$A$11,BK44))),CODES!$A$13,IF(OR(BK44&lt;BK$63,ISNUMBER(BK44)=FALSE),BK$64,BK44))))</f>
      </c>
      <c r="BL96" s="9" t="str">
        <f>IF(ISBLANK(BL44),"NO DATA",IF(ISNUMBER(FIND(CODES!$A$12,BL44)),CODES!$A$12,IF(OR(ISNUMBER(FIND(CODES!$A$10,BL44)),ISNUMBER(FIND(CODES!$A$11,BL44))),CODES!$A$13,IF(OR(BL44&lt;BL$63,ISNUMBER(BL44)=FALSE),BL$64,BL44))))</f>
      </c>
      <c r="BM96" s="9" t="str">
        <f>IF(ISBLANK(BM44),"NO DATA",IF(ISNUMBER(FIND(CODES!$A$12,BM44)),CODES!$A$12,IF(OR(ISNUMBER(FIND(CODES!$A$10,BM44)),ISNUMBER(FIND(CODES!$A$11,BM44))),CODES!$A$13,IF(OR(BM44&lt;BM$63,ISNUMBER(BM44)=FALSE),BM$64,BM44))))</f>
      </c>
      <c r="BN96" s="9" t="str">
        <f>IF(ISBLANK(BN44),"NO DATA",IF(ISNUMBER(FIND(CODES!$A$12,BN44)),CODES!$A$12,IF(OR(ISNUMBER(FIND(CODES!$A$10,BN44)),ISNUMBER(FIND(CODES!$A$11,BN44))),CODES!$A$13,IF(OR(BN44&lt;BN$63,ISNUMBER(BN44)=FALSE),BN$64,BN44))))</f>
      </c>
      <c r="BO96" s="9" t="str">
        <f>IF(ISBLANK(BO44),"NO DATA",IF(ISNUMBER(FIND(CODES!$A$12,BO44)),CODES!$A$12,IF(OR(ISNUMBER(FIND(CODES!$A$10,BO44)),ISNUMBER(FIND(CODES!$A$11,BO44))),CODES!$A$13,IF(OR(BO44&lt;BO$63,ISNUMBER(BO44)=FALSE),BO$64,BO44))))</f>
      </c>
      <c r="BP96" s="9" t="str">
        <f>IF(ISBLANK(BP44),"NO DATA",IF(ISNUMBER(FIND(CODES!$A$12,BP44)),CODES!$A$12,IF(OR(ISNUMBER(FIND(CODES!$A$10,BP44)),ISNUMBER(FIND(CODES!$A$11,BP44))),CODES!$A$13,IF(OR(BP44&lt;BP$63,ISNUMBER(BP44)=FALSE),BP$64,BP44))))</f>
      </c>
      <c r="BQ96" s="9" t="str">
        <f>IF(ISBLANK(BQ44),"NO DATA",IF(ISNUMBER(FIND(CODES!$A$12,BQ44)),CODES!$A$12,IF(OR(ISNUMBER(FIND(CODES!$A$10,BQ44)),ISNUMBER(FIND(CODES!$A$11,BQ44))),CODES!$A$13,IF(OR(BQ44&lt;BQ$63,ISNUMBER(BQ44)=FALSE),BQ$64,BQ44))))</f>
      </c>
      <c r="BR96" s="9" t="str">
        <f>IF(ISBLANK(BR44),"NO DATA",IF(ISNUMBER(FIND(CODES!$A$12,BR44)),CODES!$A$12,IF(OR(ISNUMBER(FIND(CODES!$A$10,BR44)),ISNUMBER(FIND(CODES!$A$11,BR44))),CODES!$A$13,IF(OR(BR44&lt;BR$63,ISNUMBER(BR44)=FALSE),BR$64,BR44))))</f>
      </c>
      <c r="BS96" s="9" t="str">
        <f>IF(ISBLANK(BS44),"NO DATA",IF(ISNUMBER(FIND(CODES!$A$12,BS44)),CODES!$A$12,IF(OR(ISNUMBER(FIND(CODES!$A$10,BS44)),ISNUMBER(FIND(CODES!$A$11,BS44))),CODES!$A$13,IF(OR(BS44&lt;BS$63,ISNUMBER(BS44)=FALSE),BS$64,BS44))))</f>
      </c>
      <c r="BT96" s="9" t="str">
        <f>IF(ISBLANK(BT44),"NO DATA",IF(ISNUMBER(FIND(CODES!$A$12,BT44)),CODES!$A$12,IF(OR(ISNUMBER(FIND(CODES!$A$10,BT44)),ISNUMBER(FIND(CODES!$A$11,BT44))),CODES!$A$13,IF(OR(BT44&lt;BT$63,ISNUMBER(BT44)=FALSE),BT$64,BT44))))</f>
      </c>
      <c r="BU96" s="9" t="str">
        <f>IF(ISBLANK(BU44),"NO DATA",IF(ISNUMBER(FIND(CODES!$A$12,BU44)),CODES!$A$12,IF(OR(ISNUMBER(FIND(CODES!$A$10,BU44)),ISNUMBER(FIND(CODES!$A$11,BU44))),CODES!$A$13,IF(OR(BU44&lt;BU$63,ISNUMBER(BU44)=FALSE),BU$64,BU44))))</f>
      </c>
      <c r="BV96" s="9" t="str">
        <f>IF(ISBLANK(BV44),"NO DATA",IF(ISNUMBER(FIND(CODES!$A$12,BV44)),CODES!$A$12,IF(OR(ISNUMBER(FIND(CODES!$A$10,BV44)),ISNUMBER(FIND(CODES!$A$11,BV44))),CODES!$A$13,IF(OR(BV44&lt;BV$63,ISNUMBER(BV44)=FALSE),BV$64,BV44))))</f>
      </c>
      <c r="BW96" s="9" t="str">
        <f>IF(ISBLANK(BW44),"NO DATA",IF(ISNUMBER(FIND(CODES!$A$12,BW44)),CODES!$A$12,IF(OR(ISNUMBER(FIND(CODES!$A$10,BW44)),ISNUMBER(FIND(CODES!$A$11,BW44))),CODES!$A$13,IF(OR(BW44&lt;BW$63,ISNUMBER(BW44)=FALSE),BW$64,BW44))))</f>
      </c>
      <c r="BX96" s="9" t="str">
        <f>IF(ISBLANK(BX44),"NO DATA",IF(ISNUMBER(FIND(CODES!$A$12,BX44)),CODES!$A$12,IF(OR(ISNUMBER(FIND(CODES!$A$10,BX44)),ISNUMBER(FIND(CODES!$A$11,BX44))),CODES!$A$13,IF(OR(BX44&lt;BX$63,ISNUMBER(BX44)=FALSE),BX$64,BX44))))</f>
      </c>
      <c r="BY96" s="9" t="str">
        <f>IF(ISBLANK(BY44),"NO DATA",IF(ISNUMBER(FIND(CODES!$A$12,BY44)),CODES!$A$12,IF(OR(ISNUMBER(FIND(CODES!$A$10,BY44)),ISNUMBER(FIND(CODES!$A$11,BY44))),CODES!$A$13,IF(OR(BY44&lt;BY$63,ISNUMBER(BY44)=FALSE),BY$64,BY44))))</f>
      </c>
      <c r="BZ96" s="9" t="str">
        <f>IF(ISBLANK(BZ44),"NO DATA",IF(ISNUMBER(FIND(CODES!$A$12,BZ44)),CODES!$A$12,IF(OR(ISNUMBER(FIND(CODES!$A$10,BZ44)),ISNUMBER(FIND(CODES!$A$11,BZ44))),CODES!$A$13,IF(OR(BZ44&lt;BZ$63,ISNUMBER(BZ44)=FALSE),BZ$64,BZ44))))</f>
      </c>
      <c r="CA96" s="9" t="str">
        <f>IF(ISBLANK(CA44),"NO DATA",IF(ISNUMBER(FIND(CODES!$A$12,CA44)),CODES!$A$12,IF(OR(ISNUMBER(FIND(CODES!$A$10,CA44)),ISNUMBER(FIND(CODES!$A$11,CA44))),CODES!$A$13,IF(OR(CA44&lt;CA$63,ISNUMBER(CA44)=FALSE),CA$64,CA44))))</f>
      </c>
      <c r="CB96" s="9" t="str">
        <f>IF(ISBLANK(CB44),"NO DATA",IF(ISNUMBER(FIND(CODES!$A$12,CB44)),CODES!$A$12,IF(OR(ISNUMBER(FIND(CODES!$A$10,CB44)),ISNUMBER(FIND(CODES!$A$11,CB44))),CODES!$A$13,IF(OR(CB44&lt;CB$63,ISNUMBER(CB44)=FALSE),CB$64,CB44))))</f>
      </c>
      <c r="CC96" s="9" t="str">
        <f>IF(ISBLANK(CC44),"NO DATA",IF(ISNUMBER(FIND(CODES!$A$12,CC44)),CODES!$A$12,IF(OR(ISNUMBER(FIND(CODES!$A$10,CC44)),ISNUMBER(FIND(CODES!$A$11,CC44))),CODES!$A$13,IF(OR(CC44&lt;CC$63,ISNUMBER(CC44)=FALSE),CC$64,CC44))))</f>
      </c>
      <c r="CD96" s="9" t="str">
        <f>IF(ISBLANK(CD44),"NO DATA",IF(ISNUMBER(FIND(CODES!$A$12,CD44)),CODES!$A$12,IF(OR(ISNUMBER(FIND(CODES!$A$10,CD44)),ISNUMBER(FIND(CODES!$A$11,CD44))),CODES!$A$13,IF(OR(CD44&lt;CD$63,ISNUMBER(CD44)=FALSE),CD$64,CD44))))</f>
      </c>
      <c r="CE96" s="9" t="str">
        <f>IF(ISBLANK(CE44),"NO DATA",IF(ISNUMBER(FIND(CODES!$A$12,CE44)),CODES!$A$12,IF(OR(ISNUMBER(FIND(CODES!$A$10,CE44)),ISNUMBER(FIND(CODES!$A$11,CE44))),CODES!$A$13,IF(OR(CE44&lt;CE$63,ISNUMBER(CE44)=FALSE),CE$64,CE44))))</f>
      </c>
      <c r="CF96" s="9" t="str">
        <f>IF(ISBLANK(CF44),"NO DATA",IF(ISNUMBER(FIND(CODES!$A$12,CF44)),CODES!$A$12,IF(OR(ISNUMBER(FIND(CODES!$A$10,CF44)),ISNUMBER(FIND(CODES!$A$11,CF44))),CODES!$A$13,IF(OR(CF44&lt;CF$63,ISNUMBER(CF44)=FALSE),CF$64,CF44))))</f>
      </c>
      <c r="CG96" s="9" t="str">
        <f>IF(ISBLANK(CG44),"NO DATA",IF(ISNUMBER(FIND(CODES!$A$12,CG44)),CODES!$A$12,IF(OR(ISNUMBER(FIND(CODES!$A$10,CG44)),ISNUMBER(FIND(CODES!$A$11,CG44))),CODES!$A$13,IF(OR(CG44&lt;CG$63,ISNUMBER(CG44)=FALSE),CG$64,CG44))))</f>
      </c>
      <c r="CH96" s="9" t="str">
        <f>IF(ISBLANK(CH44),"NO DATA",IF(ISNUMBER(FIND(CODES!$A$12,CH44)),CODES!$A$12,IF(OR(ISNUMBER(FIND(CODES!$A$10,CH44)),ISNUMBER(FIND(CODES!$A$11,CH44))),CODES!$A$13,IF(OR(CH44&lt;CH$63,ISNUMBER(CH44)=FALSE),CH$64,CH44))))</f>
      </c>
      <c r="CI96" s="9" t="str">
        <f>IF(ISBLANK(CI44),"NO DATA",IF(ISNUMBER(FIND(CODES!$A$12,CI44)),CODES!$A$12,IF(OR(ISNUMBER(FIND(CODES!$A$10,CI44)),ISNUMBER(FIND(CODES!$A$11,CI44))),CODES!$A$13,IF(OR(CI44&lt;CI$63,ISNUMBER(CI44)=FALSE),CI$64,CI44))))</f>
      </c>
      <c r="CJ96" s="9" t="str">
        <f>IF(ISBLANK(CJ44),"NO DATA",IF(ISNUMBER(FIND(CODES!$A$12,CJ44)),CODES!$A$12,IF(OR(ISNUMBER(FIND(CODES!$A$10,CJ44)),ISNUMBER(FIND(CODES!$A$11,CJ44))),CODES!$A$13,IF(OR(CJ44&lt;CJ$63,ISNUMBER(CJ44)=FALSE),CJ$64,CJ44))))</f>
      </c>
      <c r="CK96" s="9" t="str">
        <f>IF(ISBLANK(CK44),"NO DATA",IF(ISNUMBER(FIND(CODES!$A$12,CK44)),CODES!$A$12,IF(OR(ISNUMBER(FIND(CODES!$A$10,CK44)),ISNUMBER(FIND(CODES!$A$11,CK44))),CODES!$A$13,IF(OR(CK44&lt;CK$63,ISNUMBER(CK44)=FALSE),CK$64,CK44))))</f>
      </c>
      <c r="CL96" s="9" t="str">
        <f>IF(ISBLANK(CL44),"NO DATA",IF(ISNUMBER(FIND(CODES!$A$12,CL44)),CODES!$A$12,IF(OR(ISNUMBER(FIND(CODES!$A$10,CL44)),ISNUMBER(FIND(CODES!$A$11,CL44))),CODES!$A$13,IF(OR(CL44&lt;CL$63,ISNUMBER(CL44)=FALSE),CL$64,CL44))))</f>
      </c>
      <c r="CM96" s="9" t="str">
        <f>IF(ISBLANK(CM44),"NO DATA",IF(ISNUMBER(FIND(CODES!$A$12,CM44)),CODES!$A$12,IF(OR(ISNUMBER(FIND(CODES!$A$10,CM44)),ISNUMBER(FIND(CODES!$A$11,CM44))),CODES!$A$13,IF(OR(CM44&lt;CM$63,ISNUMBER(CM44)=FALSE),CM$64,CM44))))</f>
      </c>
      <c r="CN96" s="9" t="str">
        <f>IF(ISBLANK(CN44),"NO DATA",IF(ISNUMBER(FIND(CODES!$A$12,CN44)),CODES!$A$12,IF(OR(ISNUMBER(FIND(CODES!$A$10,CN44)),ISNUMBER(FIND(CODES!$A$11,CN44))),CODES!$A$13,IF(OR(CN44&lt;CN$63,ISNUMBER(CN44)=FALSE),CN$64,CN44))))</f>
      </c>
      <c r="CO96" s="9" t="str">
        <f>IF(ISBLANK(CO44),"NO DATA",IF(ISNUMBER(FIND(CODES!$A$12,CO44)),CODES!$A$12,IF(OR(ISNUMBER(FIND(CODES!$A$10,CO44)),ISNUMBER(FIND(CODES!$A$11,CO44))),CODES!$A$13,IF(OR(CO44&lt;CO$63,ISNUMBER(CO44)=FALSE),CO$64,CO44))))</f>
      </c>
      <c r="CP96" s="9" t="str">
        <f>IF(ISBLANK(CP44),"NO DATA",IF(ISNUMBER(FIND(CODES!$A$12,CP44)),CODES!$A$12,IF(OR(ISNUMBER(FIND(CODES!$A$10,CP44)),ISNUMBER(FIND(CODES!$A$11,CP44))),CODES!$A$13,IF(OR(CP44&lt;CP$63,ISNUMBER(CP44)=FALSE),CP$64,CP44))))</f>
      </c>
      <c r="CQ96" s="9" t="str">
        <f>IF(ISBLANK(CQ44),"NO DATA",IF(ISNUMBER(FIND(CODES!$A$12,CQ44)),CODES!$A$12,IF(OR(ISNUMBER(FIND(CODES!$A$10,CQ44)),ISNUMBER(FIND(CODES!$A$11,CQ44))),CODES!$A$13,IF(OR(CQ44&lt;CQ$63,ISNUMBER(CQ44)=FALSE),CQ$64,CQ44))))</f>
      </c>
      <c r="CR96" s="9" t="str">
        <f>IF(ISBLANK(CR44),"NO DATA",IF(ISNUMBER(FIND(CODES!$A$12,CR44)),CODES!$A$12,IF(OR(ISNUMBER(FIND(CODES!$A$10,CR44)),ISNUMBER(FIND(CODES!$A$11,CR44))),CODES!$A$13,IF(OR(CR44&lt;CR$63,ISNUMBER(CR44)=FALSE),CR$64,CR44))))</f>
      </c>
      <c r="CS96" s="9" t="str">
        <f>IF(ISBLANK(CS44),"NO DATA",IF(ISNUMBER(FIND(CODES!$A$12,CS44)),CODES!$A$12,IF(OR(ISNUMBER(FIND(CODES!$A$10,CS44)),ISNUMBER(FIND(CODES!$A$11,CS44))),CODES!$A$13,IF(OR(CS44&lt;CS$63,ISNUMBER(CS44)=FALSE),CS$64,CS44))))</f>
      </c>
      <c r="CT96" s="9" t="str">
        <f>IF(ISBLANK(CT44),"NO DATA",IF(ISNUMBER(FIND(CODES!$A$12,CT44)),CODES!$A$12,IF(OR(ISNUMBER(FIND(CODES!$A$10,CT44)),ISNUMBER(FIND(CODES!$A$11,CT44))),CODES!$A$13,IF(OR(CT44&lt;CT$63,ISNUMBER(CT44)=FALSE),CT$64,CT44))))</f>
      </c>
      <c r="CU96" s="9" t="str">
        <f>IF(ISBLANK(CU44),"NO DATA",IF(ISNUMBER(FIND(CODES!$A$12,CU44)),CODES!$A$12,IF(OR(ISNUMBER(FIND(CODES!$A$10,CU44)),ISNUMBER(FIND(CODES!$A$11,CU44))),CODES!$A$13,IF(OR(CU44&lt;CU$63,ISNUMBER(CU44)=FALSE),CU$64,CU44))))</f>
      </c>
      <c r="CV96" s="9" t="str">
        <f>IF(ISBLANK(CV44),"NO DATA",IF(ISNUMBER(FIND(CODES!$A$12,CV44)),CODES!$A$12,IF(OR(ISNUMBER(FIND(CODES!$A$10,CV44)),ISNUMBER(FIND(CODES!$A$11,CV44))),CODES!$A$13,IF(OR(CV44&lt;CV$63,ISNUMBER(CV44)=FALSE),CV$64,CV44))))</f>
      </c>
      <c r="CW96" s="9" t="str">
        <f>IF(ISBLANK(CW44),"NO DATA",IF(ISNUMBER(FIND(CODES!$A$12,CW44)),CODES!$A$12,IF(OR(ISNUMBER(FIND(CODES!$A$10,CW44)),ISNUMBER(FIND(CODES!$A$11,CW44))),CODES!$A$13,IF(OR(CW44&lt;CW$63,ISNUMBER(CW44)=FALSE),CW$64,CW44))))</f>
      </c>
      <c r="CX96" s="9" t="str">
        <f>IF(ISBLANK(CX44),"NO DATA",IF(ISNUMBER(FIND(CODES!$A$12,CX44)),CODES!$A$12,IF(OR(ISNUMBER(FIND(CODES!$A$10,CX44)),ISNUMBER(FIND(CODES!$A$11,CX44))),CODES!$A$13,IF(OR(CX44&lt;CX$63,ISNUMBER(CX44)=FALSE),CX$64,CX44))))</f>
      </c>
      <c r="CY96" s="9" t="str">
        <f>IF(ISBLANK(CY44),"NO DATA",IF(ISNUMBER(FIND(CODES!$A$12,CY44)),CODES!$A$12,IF(OR(ISNUMBER(FIND(CODES!$A$10,CY44)),ISNUMBER(FIND(CODES!$A$11,CY44))),CODES!$A$13,IF(OR(CY44&lt;CY$63,ISNUMBER(CY44)=FALSE),CY$64,CY44))))</f>
      </c>
      <c r="CZ96" s="9" t="str">
        <f>IF(ISBLANK(CZ44),"NO DATA",IF(ISNUMBER(FIND(CODES!$A$12,CZ44)),CODES!$A$12,IF(OR(ISNUMBER(FIND(CODES!$A$10,CZ44)),ISNUMBER(FIND(CODES!$A$11,CZ44))),CODES!$A$13,IF(OR(CZ44&lt;CZ$63,ISNUMBER(CZ44)=FALSE),CZ$64,CZ44))))</f>
      </c>
      <c r="DA96" s="9" t="str">
        <f>IF(ISBLANK(DA44),"NO DATA",IF(ISNUMBER(FIND(CODES!$A$12,DA44)),CODES!$A$12,IF(OR(ISNUMBER(FIND(CODES!$A$10,DA44)),ISNUMBER(FIND(CODES!$A$11,DA44))),CODES!$A$13,IF(OR(DA44&lt;DA$63,ISNUMBER(DA44)=FALSE),DA$64,DA44))))</f>
      </c>
      <c r="DB96" s="9" t="str">
        <f>IF(ISBLANK(DB44),"NO DATA",IF(ISNUMBER(FIND(CODES!$A$12,DB44)),CODES!$A$12,IF(OR(ISNUMBER(FIND(CODES!$A$10,DB44)),ISNUMBER(FIND(CODES!$A$11,DB44))),CODES!$A$13,IF(OR(DB44&lt;DB$63,ISNUMBER(DB44)=FALSE),DB$64,DB44))))</f>
      </c>
      <c r="DC96" s="9" t="str">
        <f>IF(ISBLANK(DC44),"NO DATA",IF(ISNUMBER(FIND(CODES!$A$12,DC44)),CODES!$A$12,IF(OR(ISNUMBER(FIND(CODES!$A$10,DC44)),ISNUMBER(FIND(CODES!$A$11,DC44))),CODES!$A$13,IF(OR(DC44&lt;DC$63,ISNUMBER(DC44)=FALSE),DC$64,DC44))))</f>
      </c>
      <c r="DD96" s="9" t="str">
        <f>IF(ISBLANK(DD44),"NO DATA",IF(ISNUMBER(FIND(CODES!$A$12,DD44)),CODES!$A$12,IF(OR(ISNUMBER(FIND(CODES!$A$10,DD44)),ISNUMBER(FIND(CODES!$A$11,DD44))),CODES!$A$13,IF(OR(DD44&lt;DD$63,ISNUMBER(DD44)=FALSE),DD$64,DD44))))</f>
      </c>
      <c r="DE96" s="9" t="str">
        <f>IF(ISBLANK(DE44),"NO DATA",IF(ISNUMBER(FIND(CODES!$A$12,DE44)),CODES!$A$12,IF(OR(ISNUMBER(FIND(CODES!$A$10,DE44)),ISNUMBER(FIND(CODES!$A$11,DE44))),CODES!$A$13,IF(OR(DE44&lt;DE$63,ISNUMBER(DE44)=FALSE),DE$64,DE44))))</f>
      </c>
      <c r="DF96" s="9" t="str">
        <f>IF(ISBLANK(DF44),"NO DATA",IF(ISNUMBER(FIND(CODES!$A$12,DF44)),CODES!$A$12,IF(OR(ISNUMBER(FIND(CODES!$A$10,DF44)),ISNUMBER(FIND(CODES!$A$11,DF44))),CODES!$A$13,IF(OR(DF44&lt;DF$63,ISNUMBER(DF44)=FALSE),DF$64,DF44))))</f>
      </c>
      <c r="DG96" s="9" t="str">
        <f>IF(ISBLANK(DG44),"NO DATA",IF(ISNUMBER(FIND(CODES!$A$12,DG44)),CODES!$A$12,IF(OR(ISNUMBER(FIND(CODES!$A$10,DG44)),ISNUMBER(FIND(CODES!$A$11,DG44))),CODES!$A$13,IF(OR(DG44&lt;DG$63,ISNUMBER(DG44)=FALSE),DG$64,DG44))))</f>
      </c>
      <c r="DH96" s="9" t="str">
        <f>IF(ISBLANK(DH44),"NO DATA",IF(ISNUMBER(FIND(CODES!$A$12,DH44)),CODES!$A$12,IF(OR(ISNUMBER(FIND(CODES!$A$10,DH44)),ISNUMBER(FIND(CODES!$A$11,DH44))),CODES!$A$13,IF(OR(DH44&lt;DH$63,ISNUMBER(DH44)=FALSE),DH$64,DH44))))</f>
      </c>
      <c r="DI96" s="9" t="str">
        <f>IF(ISBLANK(DI44),"NO DATA",IF(ISNUMBER(FIND(CODES!$A$12,DI44)),CODES!$A$12,IF(OR(ISNUMBER(FIND(CODES!$A$10,DI44)),ISNUMBER(FIND(CODES!$A$11,DI44))),CODES!$A$13,IF(OR(DI44&lt;DI$63,ISNUMBER(DI44)=FALSE),DI$64,DI44))))</f>
      </c>
    </row>
    <row r="97" spans="1:113" x14ac:dyDescent="0.25">
      <c r="A97" s="20" t="str">
        <f t="shared" si="5"/>
      </c>
      <c r="B97" s="20">
        <f t="shared" si="5"/>
      </c>
      <c r="C97" s="9" t="str">
        <f>IF(ISBLANK(C45),"NO DATA",IF(ISNUMBER(FIND(CODES!$A$12,C45)),CODES!$A$12,IF(OR(ISNUMBER(FIND(CODES!$A$10,C45)),ISNUMBER(FIND(CODES!$A$11,C45))),CODES!$A$13,IF(OR(C45&lt;C$63,ISNUMBER(C45)=FALSE),C$64,C45))))</f>
      </c>
      <c r="D97" s="9" t="str">
        <f>IF(ISBLANK(D45),"NO DATA",IF(ISNUMBER(FIND(CODES!$A$12,D45)),CODES!$A$12,IF(OR(ISNUMBER(FIND(CODES!$A$10,D45)),ISNUMBER(FIND(CODES!$A$11,D45))),CODES!$A$13,IF(OR(D45&lt;D$63,ISNUMBER(D45)=FALSE),D$64,D45))))</f>
      </c>
      <c r="E97" s="9" t="str">
        <f>IF(ISBLANK(E45),"NO DATA",IF(ISNUMBER(FIND(CODES!$A$12,E45)),CODES!$A$12,IF(OR(ISNUMBER(FIND(CODES!$A$10,E45)),ISNUMBER(FIND(CODES!$A$11,E45))),CODES!$A$13,IF(OR(E45&lt;E$63,ISNUMBER(E45)=FALSE),E$64,E45))))</f>
      </c>
      <c r="F97" s="9" t="str">
        <f>IF(ISBLANK(F45),"NO DATA",IF(ISNUMBER(FIND(CODES!$A$12,F45)),CODES!$A$12,IF(OR(ISNUMBER(FIND(CODES!$A$10,F45)),ISNUMBER(FIND(CODES!$A$11,F45))),CODES!$A$13,IF(OR(F45&lt;F$63,ISNUMBER(F45)=FALSE),F$64,F45))))</f>
      </c>
      <c r="G97" s="9" t="str">
        <f>IF(ISBLANK(G45),"NO DATA",IF(ISNUMBER(FIND(CODES!$A$12,G45)),CODES!$A$12,IF(OR(ISNUMBER(FIND(CODES!$A$10,G45)),ISNUMBER(FIND(CODES!$A$11,G45))),CODES!$A$13,IF(OR(G45&lt;G$63,ISNUMBER(G45)=FALSE),G$64,G45))))</f>
      </c>
      <c r="H97" s="9" t="str">
        <f>IF(ISBLANK(H45),"NO DATA",IF(ISNUMBER(FIND(CODES!$A$12,H45)),CODES!$A$12,IF(OR(ISNUMBER(FIND(CODES!$A$10,H45)),ISNUMBER(FIND(CODES!$A$11,H45))),CODES!$A$13,IF(OR(H45&lt;H$63,ISNUMBER(H45)=FALSE),H$64,H45))))</f>
      </c>
      <c r="I97" s="9" t="str">
        <f>IF(ISBLANK(I45),"NO DATA",IF(ISNUMBER(FIND(CODES!$A$12,I45)),CODES!$A$12,IF(OR(ISNUMBER(FIND(CODES!$A$10,I45)),ISNUMBER(FIND(CODES!$A$11,I45))),CODES!$A$13,IF(OR(I45&lt;I$63,ISNUMBER(I45)=FALSE),I$64,I45))))</f>
      </c>
      <c r="J97" s="9" t="str">
        <f>IF(ISBLANK(J45),"NO DATA",IF(ISNUMBER(FIND(CODES!$A$12,J45)),CODES!$A$12,IF(OR(ISNUMBER(FIND(CODES!$A$10,J45)),ISNUMBER(FIND(CODES!$A$11,J45))),CODES!$A$13,IF(OR(J45&lt;J$63,ISNUMBER(J45)=FALSE),J$64,J45))))</f>
      </c>
      <c r="K97" s="9" t="str">
        <f>IF(ISBLANK(K45),"NO DATA",IF(ISNUMBER(FIND(CODES!$A$12,K45)),CODES!$A$12,IF(OR(ISNUMBER(FIND(CODES!$A$10,K45)),ISNUMBER(FIND(CODES!$A$11,K45))),CODES!$A$13,IF(OR(K45&lt;K$63,ISNUMBER(K45)=FALSE),K$64,K45))))</f>
      </c>
      <c r="L97" s="9" t="str">
        <f>IF(ISBLANK(L45),"NO DATA",IF(ISNUMBER(FIND(CODES!$A$12,L45)),CODES!$A$12,IF(OR(ISNUMBER(FIND(CODES!$A$10,L45)),ISNUMBER(FIND(CODES!$A$11,L45))),CODES!$A$13,IF(OR(L45&lt;L$63,ISNUMBER(L45)=FALSE),L$64,L45))))</f>
      </c>
      <c r="M97" s="9" t="str">
        <f>IF(ISBLANK(M45),"NO DATA",IF(ISNUMBER(FIND(CODES!$A$12,M45)),CODES!$A$12,IF(OR(ISNUMBER(FIND(CODES!$A$10,M45)),ISNUMBER(FIND(CODES!$A$11,M45))),CODES!$A$13,IF(OR(M45&lt;M$63,ISNUMBER(M45)=FALSE),M$64,M45))))</f>
      </c>
      <c r="N97" s="9" t="str">
        <f>IF(ISBLANK(N45),"NO DATA",IF(ISNUMBER(FIND(CODES!$A$12,N45)),CODES!$A$12,IF(OR(ISNUMBER(FIND(CODES!$A$10,N45)),ISNUMBER(FIND(CODES!$A$11,N45))),CODES!$A$13,IF(OR(N45&lt;N$63,ISNUMBER(N45)=FALSE),N$64,N45))))</f>
      </c>
      <c r="O97" s="9" t="str">
        <f>IF(ISBLANK(O45),"NO DATA",IF(ISNUMBER(FIND(CODES!$A$12,O45)),CODES!$A$12,IF(OR(ISNUMBER(FIND(CODES!$A$10,O45)),ISNUMBER(FIND(CODES!$A$11,O45))),CODES!$A$13,IF(OR(O45&lt;O$63,ISNUMBER(O45)=FALSE),O$64,O45))))</f>
      </c>
      <c r="P97" s="9" t="str">
        <f>IF(ISBLANK(P45),"NO DATA",IF(ISNUMBER(FIND(CODES!$A$12,P45)),CODES!$A$12,IF(OR(ISNUMBER(FIND(CODES!$A$10,P45)),ISNUMBER(FIND(CODES!$A$11,P45))),CODES!$A$13,IF(OR(P45&lt;P$63,ISNUMBER(P45)=FALSE),P$64,P45))))</f>
      </c>
      <c r="Q97" s="9" t="str">
        <f>IF(ISBLANK(Q45),"NO DATA",IF(ISNUMBER(FIND(CODES!$A$12,Q45)),CODES!$A$12,IF(OR(ISNUMBER(FIND(CODES!$A$10,Q45)),ISNUMBER(FIND(CODES!$A$11,Q45))),CODES!$A$13,IF(OR(Q45&lt;Q$63,ISNUMBER(Q45)=FALSE),Q$64,Q45))))</f>
      </c>
      <c r="R97" s="9" t="str">
        <f>IF(ISBLANK(R45),"NO DATA",IF(ISNUMBER(FIND(CODES!$A$12,R45)),CODES!$A$12,IF(OR(ISNUMBER(FIND(CODES!$A$10,R45)),ISNUMBER(FIND(CODES!$A$11,R45))),CODES!$A$13,IF(OR(R45&lt;R$63,ISNUMBER(R45)=FALSE),R$64,R45))))</f>
      </c>
      <c r="S97" s="9" t="str">
        <f>IF(ISBLANK(S45),"NO DATA",IF(ISNUMBER(FIND(CODES!$A$12,S45)),CODES!$A$12,IF(OR(ISNUMBER(FIND(CODES!$A$10,S45)),ISNUMBER(FIND(CODES!$A$11,S45))),CODES!$A$13,IF(OR(S45&lt;S$63,ISNUMBER(S45)=FALSE),S$64,S45))))</f>
      </c>
      <c r="T97" s="9" t="str">
        <f>IF(ISBLANK(T45),"NO DATA",IF(ISNUMBER(FIND(CODES!$A$12,T45)),CODES!$A$12,IF(OR(ISNUMBER(FIND(CODES!$A$10,T45)),ISNUMBER(FIND(CODES!$A$11,T45))),CODES!$A$13,IF(OR(T45&lt;T$63,ISNUMBER(T45)=FALSE),T$64,T45))))</f>
      </c>
      <c r="U97" s="9" t="str">
        <f>IF(ISBLANK(U45),"NO DATA",IF(ISNUMBER(FIND(CODES!$A$12,U45)),CODES!$A$12,IF(OR(ISNUMBER(FIND(CODES!$A$10,U45)),ISNUMBER(FIND(CODES!$A$11,U45))),CODES!$A$13,IF(OR(U45&lt;U$63,ISNUMBER(U45)=FALSE),U$64,U45))))</f>
      </c>
      <c r="V97" s="9" t="str">
        <f>IF(ISBLANK(V45),"NO DATA",IF(ISNUMBER(FIND(CODES!$A$12,V45)),CODES!$A$12,IF(OR(ISNUMBER(FIND(CODES!$A$10,V45)),ISNUMBER(FIND(CODES!$A$11,V45))),CODES!$A$13,IF(OR(V45&lt;V$63,ISNUMBER(V45)=FALSE),V$64,V45))))</f>
      </c>
      <c r="W97" s="9" t="str">
        <f>IF(ISBLANK(W45),"NO DATA",IF(ISNUMBER(FIND(CODES!$A$12,W45)),CODES!$A$12,IF(OR(ISNUMBER(FIND(CODES!$A$10,W45)),ISNUMBER(FIND(CODES!$A$11,W45))),CODES!$A$13,IF(OR(W45&lt;W$63,ISNUMBER(W45)=FALSE),W$64,W45))))</f>
      </c>
      <c r="X97" s="9" t="str">
        <f>IF(ISBLANK(X45),"NO DATA",IF(ISNUMBER(FIND(CODES!$A$12,X45)),CODES!$A$12,IF(OR(ISNUMBER(FIND(CODES!$A$10,X45)),ISNUMBER(FIND(CODES!$A$11,X45))),CODES!$A$13,IF(OR(X45&lt;X$63,ISNUMBER(X45)=FALSE),X$64,X45))))</f>
      </c>
      <c r="Y97" s="9" t="str">
        <f>IF(ISBLANK(Y45),"NO DATA",IF(ISNUMBER(FIND(CODES!$A$12,Y45)),CODES!$A$12,IF(OR(ISNUMBER(FIND(CODES!$A$10,Y45)),ISNUMBER(FIND(CODES!$A$11,Y45))),CODES!$A$13,IF(OR(Y45&lt;Y$63,ISNUMBER(Y45)=FALSE),Y$64,Y45))))</f>
      </c>
      <c r="Z97" s="9" t="str">
        <f>IF(ISBLANK(Z45),"NO DATA",IF(ISNUMBER(FIND(CODES!$A$12,Z45)),CODES!$A$12,IF(OR(ISNUMBER(FIND(CODES!$A$10,Z45)),ISNUMBER(FIND(CODES!$A$11,Z45))),CODES!$A$13,IF(OR(Z45&lt;Z$63,ISNUMBER(Z45)=FALSE),Z$64,Z45))))</f>
      </c>
      <c r="AA97" s="9" t="str">
        <f>IF(ISBLANK(AA45),"NO DATA",IF(ISNUMBER(FIND(CODES!$A$12,AA45)),CODES!$A$12,IF(OR(ISNUMBER(FIND(CODES!$A$10,AA45)),ISNUMBER(FIND(CODES!$A$11,AA45))),CODES!$A$13,IF(OR(AA45&lt;AA$63,ISNUMBER(AA45)=FALSE),AA$64,AA45))))</f>
      </c>
      <c r="AB97" s="9" t="str">
        <f>IF(ISBLANK(AB45),"NO DATA",IF(ISNUMBER(FIND(CODES!$A$12,AB45)),CODES!$A$12,IF(OR(ISNUMBER(FIND(CODES!$A$10,AB45)),ISNUMBER(FIND(CODES!$A$11,AB45))),CODES!$A$13,IF(OR(AB45&lt;AB$63,ISNUMBER(AB45)=FALSE),AB$64,AB45))))</f>
      </c>
      <c r="AC97" s="9" t="str">
        <f>IF(ISBLANK(AC45),"NO DATA",IF(ISNUMBER(FIND(CODES!$A$12,AC45)),CODES!$A$12,IF(OR(ISNUMBER(FIND(CODES!$A$10,AC45)),ISNUMBER(FIND(CODES!$A$11,AC45))),CODES!$A$13,IF(OR(AC45&lt;AC$63,ISNUMBER(AC45)=FALSE),AC$64,AC45))))</f>
      </c>
      <c r="AD97" s="9" t="str">
        <f>IF(ISBLANK(AD45),"NO DATA",IF(ISNUMBER(FIND(CODES!$A$12,AD45)),CODES!$A$12,IF(OR(ISNUMBER(FIND(CODES!$A$10,AD45)),ISNUMBER(FIND(CODES!$A$11,AD45))),CODES!$A$13,IF(OR(AD45&lt;AD$63,ISNUMBER(AD45)=FALSE),AD$64,AD45))))</f>
      </c>
      <c r="AE97" s="9" t="str">
        <f>IF(ISBLANK(AE45),"NO DATA",IF(ISNUMBER(FIND(CODES!$A$12,AE45)),CODES!$A$12,IF(OR(ISNUMBER(FIND(CODES!$A$10,AE45)),ISNUMBER(FIND(CODES!$A$11,AE45))),CODES!$A$13,IF(OR(AE45&lt;AE$63,ISNUMBER(AE45)=FALSE),AE$64,AE45))))</f>
      </c>
      <c r="AF97" s="9" t="str">
        <f>IF(ISBLANK(AF45),"NO DATA",IF(ISNUMBER(FIND(CODES!$A$12,AF45)),CODES!$A$12,IF(OR(ISNUMBER(FIND(CODES!$A$10,AF45)),ISNUMBER(FIND(CODES!$A$11,AF45))),CODES!$A$13,IF(OR(AF45&lt;AF$63,ISNUMBER(AF45)=FALSE),AF$64,AF45))))</f>
      </c>
      <c r="AG97" s="9" t="str">
        <f>IF(ISBLANK(AG45),"NO DATA",IF(ISNUMBER(FIND(CODES!$A$12,AG45)),CODES!$A$12,IF(OR(ISNUMBER(FIND(CODES!$A$10,AG45)),ISNUMBER(FIND(CODES!$A$11,AG45))),CODES!$A$13,IF(OR(AG45&lt;AG$63,ISNUMBER(AG45)=FALSE),AG$64,AG45))))</f>
      </c>
      <c r="AH97" s="9" t="str">
        <f>IF(ISBLANK(AH45),"NO DATA",IF(ISNUMBER(FIND(CODES!$A$12,AH45)),CODES!$A$12,IF(OR(ISNUMBER(FIND(CODES!$A$10,AH45)),ISNUMBER(FIND(CODES!$A$11,AH45))),CODES!$A$13,IF(OR(AH45&lt;AH$63,ISNUMBER(AH45)=FALSE),AH$64,AH45))))</f>
      </c>
      <c r="AI97" s="9" t="str">
        <f>IF(ISBLANK(AI45),"NO DATA",IF(ISNUMBER(FIND(CODES!$A$12,AI45)),CODES!$A$12,IF(OR(ISNUMBER(FIND(CODES!$A$10,AI45)),ISNUMBER(FIND(CODES!$A$11,AI45))),CODES!$A$13,IF(OR(AI45&lt;AI$63,ISNUMBER(AI45)=FALSE),AI$64,AI45))))</f>
      </c>
      <c r="AJ97" s="9" t="str">
        <f>IF(ISBLANK(AJ45),"NO DATA",IF(ISNUMBER(FIND(CODES!$A$12,AJ45)),CODES!$A$12,IF(OR(ISNUMBER(FIND(CODES!$A$10,AJ45)),ISNUMBER(FIND(CODES!$A$11,AJ45))),CODES!$A$13,IF(OR(AJ45&lt;AJ$63,ISNUMBER(AJ45)=FALSE),AJ$64,AJ45))))</f>
      </c>
      <c r="AK97" s="9" t="str">
        <f>IF(ISBLANK(AK45),"NO DATA",IF(ISNUMBER(FIND(CODES!$A$12,AK45)),CODES!$A$12,IF(OR(ISNUMBER(FIND(CODES!$A$10,AK45)),ISNUMBER(FIND(CODES!$A$11,AK45))),CODES!$A$13,IF(OR(AK45&lt;AK$63,ISNUMBER(AK45)=FALSE),AK$64,AK45))))</f>
      </c>
      <c r="AL97" s="9" t="str">
        <f>IF(ISBLANK(AL45),"NO DATA",IF(ISNUMBER(FIND(CODES!$A$12,AL45)),CODES!$A$12,IF(OR(ISNUMBER(FIND(CODES!$A$10,AL45)),ISNUMBER(FIND(CODES!$A$11,AL45))),CODES!$A$13,IF(OR(AL45&lt;AL$63,ISNUMBER(AL45)=FALSE),AL$64,AL45))))</f>
      </c>
      <c r="AM97" s="9" t="str">
        <f>IF(ISBLANK(AM45),"NO DATA",IF(ISNUMBER(FIND(CODES!$A$12,AM45)),CODES!$A$12,IF(OR(ISNUMBER(FIND(CODES!$A$10,AM45)),ISNUMBER(FIND(CODES!$A$11,AM45))),CODES!$A$13,IF(OR(AM45&lt;AM$63,ISNUMBER(AM45)=FALSE),AM$64,AM45))))</f>
      </c>
      <c r="AN97" s="9" t="str">
        <f>IF(ISBLANK(AN45),"NO DATA",IF(ISNUMBER(FIND(CODES!$A$12,AN45)),CODES!$A$12,IF(OR(ISNUMBER(FIND(CODES!$A$10,AN45)),ISNUMBER(FIND(CODES!$A$11,AN45))),CODES!$A$13,IF(OR(AN45&lt;AN$63,ISNUMBER(AN45)=FALSE),AN$64,AN45))))</f>
      </c>
      <c r="AO97" s="9" t="str">
        <f>IF(ISBLANK(AO45),"NO DATA",IF(ISNUMBER(FIND(CODES!$A$12,AO45)),CODES!$A$12,IF(OR(ISNUMBER(FIND(CODES!$A$10,AO45)),ISNUMBER(FIND(CODES!$A$11,AO45))),CODES!$A$13,IF(OR(AO45&lt;AO$63,ISNUMBER(AO45)=FALSE),AO$64,AO45))))</f>
      </c>
      <c r="AP97" s="9" t="str">
        <f>IF(ISBLANK(AP45),"NO DATA",IF(ISNUMBER(FIND(CODES!$A$12,AP45)),CODES!$A$12,IF(OR(ISNUMBER(FIND(CODES!$A$10,AP45)),ISNUMBER(FIND(CODES!$A$11,AP45))),CODES!$A$13,IF(OR(AP45&lt;AP$63,ISNUMBER(AP45)=FALSE),AP$64,AP45))))</f>
      </c>
      <c r="AQ97" s="9" t="str">
        <f>IF(ISBLANK(AQ45),"NO DATA",IF(ISNUMBER(FIND(CODES!$A$12,AQ45)),CODES!$A$12,IF(OR(ISNUMBER(FIND(CODES!$A$10,AQ45)),ISNUMBER(FIND(CODES!$A$11,AQ45))),CODES!$A$13,IF(OR(AQ45&lt;AQ$63,ISNUMBER(AQ45)=FALSE),AQ$64,AQ45))))</f>
      </c>
      <c r="AR97" s="9" t="str">
        <f>IF(ISBLANK(AR45),"NO DATA",IF(ISNUMBER(FIND(CODES!$A$12,AR45)),CODES!$A$12,IF(OR(ISNUMBER(FIND(CODES!$A$10,AR45)),ISNUMBER(FIND(CODES!$A$11,AR45))),CODES!$A$13,IF(OR(AR45&lt;AR$63,ISNUMBER(AR45)=FALSE),AR$64,AR45))))</f>
      </c>
      <c r="AS97" s="9" t="str">
        <f>IF(ISBLANK(AS45),"NO DATA",IF(ISNUMBER(FIND(CODES!$A$12,AS45)),CODES!$A$12,IF(OR(ISNUMBER(FIND(CODES!$A$10,AS45)),ISNUMBER(FIND(CODES!$A$11,AS45))),CODES!$A$13,IF(OR(AS45&lt;AS$63,ISNUMBER(AS45)=FALSE),AS$64,AS45))))</f>
      </c>
      <c r="AT97" s="9" t="str">
        <f>IF(ISBLANK(AT45),"NO DATA",IF(ISNUMBER(FIND(CODES!$A$12,AT45)),CODES!$A$12,IF(OR(ISNUMBER(FIND(CODES!$A$10,AT45)),ISNUMBER(FIND(CODES!$A$11,AT45))),CODES!$A$13,IF(OR(AT45&lt;AT$63,ISNUMBER(AT45)=FALSE),AT$64,AT45))))</f>
      </c>
      <c r="AU97" s="9" t="str">
        <f>IF(ISBLANK(AU45),"NO DATA",IF(ISNUMBER(FIND(CODES!$A$12,AU45)),CODES!$A$12,IF(OR(ISNUMBER(FIND(CODES!$A$10,AU45)),ISNUMBER(FIND(CODES!$A$11,AU45))),CODES!$A$13,IF(OR(AU45&lt;AU$63,ISNUMBER(AU45)=FALSE),AU$64,AU45))))</f>
      </c>
      <c r="AV97" s="9" t="str">
        <f>IF(ISBLANK(AV45),"NO DATA",IF(ISNUMBER(FIND(CODES!$A$12,AV45)),CODES!$A$12,IF(OR(ISNUMBER(FIND(CODES!$A$10,AV45)),ISNUMBER(FIND(CODES!$A$11,AV45))),CODES!$A$13,IF(OR(AV45&lt;AV$63,ISNUMBER(AV45)=FALSE),AV$64,AV45))))</f>
      </c>
      <c r="AW97" s="9" t="str">
        <f>IF(ISBLANK(AW45),"NO DATA",IF(ISNUMBER(FIND(CODES!$A$12,AW45)),CODES!$A$12,IF(OR(ISNUMBER(FIND(CODES!$A$10,AW45)),ISNUMBER(FIND(CODES!$A$11,AW45))),CODES!$A$13,IF(OR(AW45&lt;AW$63,ISNUMBER(AW45)=FALSE),AW$64,AW45))))</f>
      </c>
      <c r="AX97" s="9" t="str">
        <f>IF(ISBLANK(AX45),"NO DATA",IF(ISNUMBER(FIND(CODES!$A$12,AX45)),CODES!$A$12,IF(OR(ISNUMBER(FIND(CODES!$A$10,AX45)),ISNUMBER(FIND(CODES!$A$11,AX45))),CODES!$A$13,IF(OR(AX45&lt;AX$63,ISNUMBER(AX45)=FALSE),AX$64,AX45))))</f>
      </c>
      <c r="AY97" s="9" t="str">
        <f>IF(ISBLANK(AY45),"NO DATA",IF(ISNUMBER(FIND(CODES!$A$12,AY45)),CODES!$A$12,IF(OR(ISNUMBER(FIND(CODES!$A$10,AY45)),ISNUMBER(FIND(CODES!$A$11,AY45))),CODES!$A$13,IF(OR(AY45&lt;AY$63,ISNUMBER(AY45)=FALSE),AY$64,AY45))))</f>
      </c>
      <c r="AZ97" s="9" t="str">
        <f>IF(ISBLANK(AZ45),"NO DATA",IF(ISNUMBER(FIND(CODES!$A$12,AZ45)),CODES!$A$12,IF(OR(ISNUMBER(FIND(CODES!$A$10,AZ45)),ISNUMBER(FIND(CODES!$A$11,AZ45))),CODES!$A$13,IF(OR(AZ45&lt;AZ$63,ISNUMBER(AZ45)=FALSE),AZ$64,AZ45))))</f>
      </c>
      <c r="BA97" s="9" t="str">
        <f>IF(ISBLANK(BA45),"NO DATA",IF(ISNUMBER(FIND(CODES!$A$12,BA45)),CODES!$A$12,IF(OR(ISNUMBER(FIND(CODES!$A$10,BA45)),ISNUMBER(FIND(CODES!$A$11,BA45))),CODES!$A$13,IF(OR(BA45&lt;BA$63,ISNUMBER(BA45)=FALSE),BA$64,BA45))))</f>
      </c>
      <c r="BB97" s="9" t="str">
        <f>IF(ISBLANK(BB45),"NO DATA",IF(ISNUMBER(FIND(CODES!$A$12,BB45)),CODES!$A$12,IF(OR(ISNUMBER(FIND(CODES!$A$10,BB45)),ISNUMBER(FIND(CODES!$A$11,BB45))),CODES!$A$13,IF(OR(BB45&lt;BB$63,ISNUMBER(BB45)=FALSE),BB$64,BB45))))</f>
      </c>
      <c r="BC97" s="9" t="str">
        <f>IF(ISBLANK(BC45),"NO DATA",IF(ISNUMBER(FIND(CODES!$A$12,BC45)),CODES!$A$12,IF(OR(ISNUMBER(FIND(CODES!$A$10,BC45)),ISNUMBER(FIND(CODES!$A$11,BC45))),CODES!$A$13,IF(OR(BC45&lt;BC$63,ISNUMBER(BC45)=FALSE),BC$64,BC45))))</f>
      </c>
      <c r="BD97" s="9" t="str">
        <f>IF(ISBLANK(BD45),"NO DATA",IF(ISNUMBER(FIND(CODES!$A$12,BD45)),CODES!$A$12,IF(OR(ISNUMBER(FIND(CODES!$A$10,BD45)),ISNUMBER(FIND(CODES!$A$11,BD45))),CODES!$A$13,IF(OR(BD45&lt;BD$63,ISNUMBER(BD45)=FALSE),BD$64,BD45))))</f>
      </c>
      <c r="BE97" s="9" t="str">
        <f>IF(ISBLANK(BE45),"NO DATA",IF(ISNUMBER(FIND(CODES!$A$12,BE45)),CODES!$A$12,IF(OR(ISNUMBER(FIND(CODES!$A$10,BE45)),ISNUMBER(FIND(CODES!$A$11,BE45))),CODES!$A$13,IF(OR(BE45&lt;BE$63,ISNUMBER(BE45)=FALSE),BE$64,BE45))))</f>
      </c>
      <c r="BF97" s="9" t="str">
        <f>IF(ISBLANK(BF45),"NO DATA",IF(ISNUMBER(FIND(CODES!$A$12,BF45)),CODES!$A$12,IF(OR(ISNUMBER(FIND(CODES!$A$10,BF45)),ISNUMBER(FIND(CODES!$A$11,BF45))),CODES!$A$13,IF(OR(BF45&lt;BF$63,ISNUMBER(BF45)=FALSE),BF$64,BF45))))</f>
      </c>
      <c r="BG97" s="9" t="str">
        <f>IF(ISBLANK(BG45),"NO DATA",IF(ISNUMBER(FIND(CODES!$A$12,BG45)),CODES!$A$12,IF(OR(ISNUMBER(FIND(CODES!$A$10,BG45)),ISNUMBER(FIND(CODES!$A$11,BG45))),CODES!$A$13,IF(OR(BG45&lt;BG$63,ISNUMBER(BG45)=FALSE),BG$64,BG45))))</f>
      </c>
      <c r="BH97" s="9" t="str">
        <f>IF(ISBLANK(BH45),"NO DATA",IF(ISNUMBER(FIND(CODES!$A$12,BH45)),CODES!$A$12,IF(OR(ISNUMBER(FIND(CODES!$A$10,BH45)),ISNUMBER(FIND(CODES!$A$11,BH45))),CODES!$A$13,IF(OR(BH45&lt;BH$63,ISNUMBER(BH45)=FALSE),BH$64,BH45))))</f>
      </c>
      <c r="BI97" s="9" t="str">
        <f>IF(ISBLANK(BI45),"NO DATA",IF(ISNUMBER(FIND(CODES!$A$12,BI45)),CODES!$A$12,IF(OR(ISNUMBER(FIND(CODES!$A$10,BI45)),ISNUMBER(FIND(CODES!$A$11,BI45))),CODES!$A$13,IF(OR(BI45&lt;BI$63,ISNUMBER(BI45)=FALSE),BI$64,BI45))))</f>
      </c>
      <c r="BJ97" s="9" t="str">
        <f>IF(ISBLANK(BJ45),"NO DATA",IF(ISNUMBER(FIND(CODES!$A$12,BJ45)),CODES!$A$12,IF(OR(ISNUMBER(FIND(CODES!$A$10,BJ45)),ISNUMBER(FIND(CODES!$A$11,BJ45))),CODES!$A$13,IF(OR(BJ45&lt;BJ$63,ISNUMBER(BJ45)=FALSE),BJ$64,BJ45))))</f>
      </c>
      <c r="BK97" s="9" t="str">
        <f>IF(ISBLANK(BK45),"NO DATA",IF(ISNUMBER(FIND(CODES!$A$12,BK45)),CODES!$A$12,IF(OR(ISNUMBER(FIND(CODES!$A$10,BK45)),ISNUMBER(FIND(CODES!$A$11,BK45))),CODES!$A$13,IF(OR(BK45&lt;BK$63,ISNUMBER(BK45)=FALSE),BK$64,BK45))))</f>
      </c>
      <c r="BL97" s="9" t="str">
        <f>IF(ISBLANK(BL45),"NO DATA",IF(ISNUMBER(FIND(CODES!$A$12,BL45)),CODES!$A$12,IF(OR(ISNUMBER(FIND(CODES!$A$10,BL45)),ISNUMBER(FIND(CODES!$A$11,BL45))),CODES!$A$13,IF(OR(BL45&lt;BL$63,ISNUMBER(BL45)=FALSE),BL$64,BL45))))</f>
      </c>
      <c r="BM97" s="9" t="str">
        <f>IF(ISBLANK(BM45),"NO DATA",IF(ISNUMBER(FIND(CODES!$A$12,BM45)),CODES!$A$12,IF(OR(ISNUMBER(FIND(CODES!$A$10,BM45)),ISNUMBER(FIND(CODES!$A$11,BM45))),CODES!$A$13,IF(OR(BM45&lt;BM$63,ISNUMBER(BM45)=FALSE),BM$64,BM45))))</f>
      </c>
      <c r="BN97" s="9" t="str">
        <f>IF(ISBLANK(BN45),"NO DATA",IF(ISNUMBER(FIND(CODES!$A$12,BN45)),CODES!$A$12,IF(OR(ISNUMBER(FIND(CODES!$A$10,BN45)),ISNUMBER(FIND(CODES!$A$11,BN45))),CODES!$A$13,IF(OR(BN45&lt;BN$63,ISNUMBER(BN45)=FALSE),BN$64,BN45))))</f>
      </c>
      <c r="BO97" s="9" t="str">
        <f>IF(ISBLANK(BO45),"NO DATA",IF(ISNUMBER(FIND(CODES!$A$12,BO45)),CODES!$A$12,IF(OR(ISNUMBER(FIND(CODES!$A$10,BO45)),ISNUMBER(FIND(CODES!$A$11,BO45))),CODES!$A$13,IF(OR(BO45&lt;BO$63,ISNUMBER(BO45)=FALSE),BO$64,BO45))))</f>
      </c>
      <c r="BP97" s="9" t="str">
        <f>IF(ISBLANK(BP45),"NO DATA",IF(ISNUMBER(FIND(CODES!$A$12,BP45)),CODES!$A$12,IF(OR(ISNUMBER(FIND(CODES!$A$10,BP45)),ISNUMBER(FIND(CODES!$A$11,BP45))),CODES!$A$13,IF(OR(BP45&lt;BP$63,ISNUMBER(BP45)=FALSE),BP$64,BP45))))</f>
      </c>
      <c r="BQ97" s="9" t="str">
        <f>IF(ISBLANK(BQ45),"NO DATA",IF(ISNUMBER(FIND(CODES!$A$12,BQ45)),CODES!$A$12,IF(OR(ISNUMBER(FIND(CODES!$A$10,BQ45)),ISNUMBER(FIND(CODES!$A$11,BQ45))),CODES!$A$13,IF(OR(BQ45&lt;BQ$63,ISNUMBER(BQ45)=FALSE),BQ$64,BQ45))))</f>
      </c>
      <c r="BR97" s="9" t="str">
        <f>IF(ISBLANK(BR45),"NO DATA",IF(ISNUMBER(FIND(CODES!$A$12,BR45)),CODES!$A$12,IF(OR(ISNUMBER(FIND(CODES!$A$10,BR45)),ISNUMBER(FIND(CODES!$A$11,BR45))),CODES!$A$13,IF(OR(BR45&lt;BR$63,ISNUMBER(BR45)=FALSE),BR$64,BR45))))</f>
      </c>
      <c r="BS97" s="9" t="str">
        <f>IF(ISBLANK(BS45),"NO DATA",IF(ISNUMBER(FIND(CODES!$A$12,BS45)),CODES!$A$12,IF(OR(ISNUMBER(FIND(CODES!$A$10,BS45)),ISNUMBER(FIND(CODES!$A$11,BS45))),CODES!$A$13,IF(OR(BS45&lt;BS$63,ISNUMBER(BS45)=FALSE),BS$64,BS45))))</f>
      </c>
      <c r="BT97" s="9" t="str">
        <f>IF(ISBLANK(BT45),"NO DATA",IF(ISNUMBER(FIND(CODES!$A$12,BT45)),CODES!$A$12,IF(OR(ISNUMBER(FIND(CODES!$A$10,BT45)),ISNUMBER(FIND(CODES!$A$11,BT45))),CODES!$A$13,IF(OR(BT45&lt;BT$63,ISNUMBER(BT45)=FALSE),BT$64,BT45))))</f>
      </c>
      <c r="BU97" s="9" t="str">
        <f>IF(ISBLANK(BU45),"NO DATA",IF(ISNUMBER(FIND(CODES!$A$12,BU45)),CODES!$A$12,IF(OR(ISNUMBER(FIND(CODES!$A$10,BU45)),ISNUMBER(FIND(CODES!$A$11,BU45))),CODES!$A$13,IF(OR(BU45&lt;BU$63,ISNUMBER(BU45)=FALSE),BU$64,BU45))))</f>
      </c>
      <c r="BV97" s="9" t="str">
        <f>IF(ISBLANK(BV45),"NO DATA",IF(ISNUMBER(FIND(CODES!$A$12,BV45)),CODES!$A$12,IF(OR(ISNUMBER(FIND(CODES!$A$10,BV45)),ISNUMBER(FIND(CODES!$A$11,BV45))),CODES!$A$13,IF(OR(BV45&lt;BV$63,ISNUMBER(BV45)=FALSE),BV$64,BV45))))</f>
      </c>
      <c r="BW97" s="9" t="str">
        <f>IF(ISBLANK(BW45),"NO DATA",IF(ISNUMBER(FIND(CODES!$A$12,BW45)),CODES!$A$12,IF(OR(ISNUMBER(FIND(CODES!$A$10,BW45)),ISNUMBER(FIND(CODES!$A$11,BW45))),CODES!$A$13,IF(OR(BW45&lt;BW$63,ISNUMBER(BW45)=FALSE),BW$64,BW45))))</f>
      </c>
      <c r="BX97" s="9" t="str">
        <f>IF(ISBLANK(BX45),"NO DATA",IF(ISNUMBER(FIND(CODES!$A$12,BX45)),CODES!$A$12,IF(OR(ISNUMBER(FIND(CODES!$A$10,BX45)),ISNUMBER(FIND(CODES!$A$11,BX45))),CODES!$A$13,IF(OR(BX45&lt;BX$63,ISNUMBER(BX45)=FALSE),BX$64,BX45))))</f>
      </c>
      <c r="BY97" s="9" t="str">
        <f>IF(ISBLANK(BY45),"NO DATA",IF(ISNUMBER(FIND(CODES!$A$12,BY45)),CODES!$A$12,IF(OR(ISNUMBER(FIND(CODES!$A$10,BY45)),ISNUMBER(FIND(CODES!$A$11,BY45))),CODES!$A$13,IF(OR(BY45&lt;BY$63,ISNUMBER(BY45)=FALSE),BY$64,BY45))))</f>
      </c>
      <c r="BZ97" s="9" t="str">
        <f>IF(ISBLANK(BZ45),"NO DATA",IF(ISNUMBER(FIND(CODES!$A$12,BZ45)),CODES!$A$12,IF(OR(ISNUMBER(FIND(CODES!$A$10,BZ45)),ISNUMBER(FIND(CODES!$A$11,BZ45))),CODES!$A$13,IF(OR(BZ45&lt;BZ$63,ISNUMBER(BZ45)=FALSE),BZ$64,BZ45))))</f>
      </c>
      <c r="CA97" s="9" t="str">
        <f>IF(ISBLANK(CA45),"NO DATA",IF(ISNUMBER(FIND(CODES!$A$12,CA45)),CODES!$A$12,IF(OR(ISNUMBER(FIND(CODES!$A$10,CA45)),ISNUMBER(FIND(CODES!$A$11,CA45))),CODES!$A$13,IF(OR(CA45&lt;CA$63,ISNUMBER(CA45)=FALSE),CA$64,CA45))))</f>
      </c>
      <c r="CB97" s="9" t="str">
        <f>IF(ISBLANK(CB45),"NO DATA",IF(ISNUMBER(FIND(CODES!$A$12,CB45)),CODES!$A$12,IF(OR(ISNUMBER(FIND(CODES!$A$10,CB45)),ISNUMBER(FIND(CODES!$A$11,CB45))),CODES!$A$13,IF(OR(CB45&lt;CB$63,ISNUMBER(CB45)=FALSE),CB$64,CB45))))</f>
      </c>
      <c r="CC97" s="9" t="str">
        <f>IF(ISBLANK(CC45),"NO DATA",IF(ISNUMBER(FIND(CODES!$A$12,CC45)),CODES!$A$12,IF(OR(ISNUMBER(FIND(CODES!$A$10,CC45)),ISNUMBER(FIND(CODES!$A$11,CC45))),CODES!$A$13,IF(OR(CC45&lt;CC$63,ISNUMBER(CC45)=FALSE),CC$64,CC45))))</f>
      </c>
      <c r="CD97" s="9" t="str">
        <f>IF(ISBLANK(CD45),"NO DATA",IF(ISNUMBER(FIND(CODES!$A$12,CD45)),CODES!$A$12,IF(OR(ISNUMBER(FIND(CODES!$A$10,CD45)),ISNUMBER(FIND(CODES!$A$11,CD45))),CODES!$A$13,IF(OR(CD45&lt;CD$63,ISNUMBER(CD45)=FALSE),CD$64,CD45))))</f>
      </c>
      <c r="CE97" s="9" t="str">
        <f>IF(ISBLANK(CE45),"NO DATA",IF(ISNUMBER(FIND(CODES!$A$12,CE45)),CODES!$A$12,IF(OR(ISNUMBER(FIND(CODES!$A$10,CE45)),ISNUMBER(FIND(CODES!$A$11,CE45))),CODES!$A$13,IF(OR(CE45&lt;CE$63,ISNUMBER(CE45)=FALSE),CE$64,CE45))))</f>
      </c>
      <c r="CF97" s="9" t="str">
        <f>IF(ISBLANK(CF45),"NO DATA",IF(ISNUMBER(FIND(CODES!$A$12,CF45)),CODES!$A$12,IF(OR(ISNUMBER(FIND(CODES!$A$10,CF45)),ISNUMBER(FIND(CODES!$A$11,CF45))),CODES!$A$13,IF(OR(CF45&lt;CF$63,ISNUMBER(CF45)=FALSE),CF$64,CF45))))</f>
      </c>
      <c r="CG97" s="9" t="str">
        <f>IF(ISBLANK(CG45),"NO DATA",IF(ISNUMBER(FIND(CODES!$A$12,CG45)),CODES!$A$12,IF(OR(ISNUMBER(FIND(CODES!$A$10,CG45)),ISNUMBER(FIND(CODES!$A$11,CG45))),CODES!$A$13,IF(OR(CG45&lt;CG$63,ISNUMBER(CG45)=FALSE),CG$64,CG45))))</f>
      </c>
      <c r="CH97" s="9" t="str">
        <f>IF(ISBLANK(CH45),"NO DATA",IF(ISNUMBER(FIND(CODES!$A$12,CH45)),CODES!$A$12,IF(OR(ISNUMBER(FIND(CODES!$A$10,CH45)),ISNUMBER(FIND(CODES!$A$11,CH45))),CODES!$A$13,IF(OR(CH45&lt;CH$63,ISNUMBER(CH45)=FALSE),CH$64,CH45))))</f>
      </c>
      <c r="CI97" s="9" t="str">
        <f>IF(ISBLANK(CI45),"NO DATA",IF(ISNUMBER(FIND(CODES!$A$12,CI45)),CODES!$A$12,IF(OR(ISNUMBER(FIND(CODES!$A$10,CI45)),ISNUMBER(FIND(CODES!$A$11,CI45))),CODES!$A$13,IF(OR(CI45&lt;CI$63,ISNUMBER(CI45)=FALSE),CI$64,CI45))))</f>
      </c>
      <c r="CJ97" s="9" t="str">
        <f>IF(ISBLANK(CJ45),"NO DATA",IF(ISNUMBER(FIND(CODES!$A$12,CJ45)),CODES!$A$12,IF(OR(ISNUMBER(FIND(CODES!$A$10,CJ45)),ISNUMBER(FIND(CODES!$A$11,CJ45))),CODES!$A$13,IF(OR(CJ45&lt;CJ$63,ISNUMBER(CJ45)=FALSE),CJ$64,CJ45))))</f>
      </c>
      <c r="CK97" s="9" t="str">
        <f>IF(ISBLANK(CK45),"NO DATA",IF(ISNUMBER(FIND(CODES!$A$12,CK45)),CODES!$A$12,IF(OR(ISNUMBER(FIND(CODES!$A$10,CK45)),ISNUMBER(FIND(CODES!$A$11,CK45))),CODES!$A$13,IF(OR(CK45&lt;CK$63,ISNUMBER(CK45)=FALSE),CK$64,CK45))))</f>
      </c>
      <c r="CL97" s="9" t="str">
        <f>IF(ISBLANK(CL45),"NO DATA",IF(ISNUMBER(FIND(CODES!$A$12,CL45)),CODES!$A$12,IF(OR(ISNUMBER(FIND(CODES!$A$10,CL45)),ISNUMBER(FIND(CODES!$A$11,CL45))),CODES!$A$13,IF(OR(CL45&lt;CL$63,ISNUMBER(CL45)=FALSE),CL$64,CL45))))</f>
      </c>
      <c r="CM97" s="9" t="str">
        <f>IF(ISBLANK(CM45),"NO DATA",IF(ISNUMBER(FIND(CODES!$A$12,CM45)),CODES!$A$12,IF(OR(ISNUMBER(FIND(CODES!$A$10,CM45)),ISNUMBER(FIND(CODES!$A$11,CM45))),CODES!$A$13,IF(OR(CM45&lt;CM$63,ISNUMBER(CM45)=FALSE),CM$64,CM45))))</f>
      </c>
      <c r="CN97" s="9" t="str">
        <f>IF(ISBLANK(CN45),"NO DATA",IF(ISNUMBER(FIND(CODES!$A$12,CN45)),CODES!$A$12,IF(OR(ISNUMBER(FIND(CODES!$A$10,CN45)),ISNUMBER(FIND(CODES!$A$11,CN45))),CODES!$A$13,IF(OR(CN45&lt;CN$63,ISNUMBER(CN45)=FALSE),CN$64,CN45))))</f>
      </c>
      <c r="CO97" s="9" t="str">
        <f>IF(ISBLANK(CO45),"NO DATA",IF(ISNUMBER(FIND(CODES!$A$12,CO45)),CODES!$A$12,IF(OR(ISNUMBER(FIND(CODES!$A$10,CO45)),ISNUMBER(FIND(CODES!$A$11,CO45))),CODES!$A$13,IF(OR(CO45&lt;CO$63,ISNUMBER(CO45)=FALSE),CO$64,CO45))))</f>
      </c>
      <c r="CP97" s="9" t="str">
        <f>IF(ISBLANK(CP45),"NO DATA",IF(ISNUMBER(FIND(CODES!$A$12,CP45)),CODES!$A$12,IF(OR(ISNUMBER(FIND(CODES!$A$10,CP45)),ISNUMBER(FIND(CODES!$A$11,CP45))),CODES!$A$13,IF(OR(CP45&lt;CP$63,ISNUMBER(CP45)=FALSE),CP$64,CP45))))</f>
      </c>
      <c r="CQ97" s="9" t="str">
        <f>IF(ISBLANK(CQ45),"NO DATA",IF(ISNUMBER(FIND(CODES!$A$12,CQ45)),CODES!$A$12,IF(OR(ISNUMBER(FIND(CODES!$A$10,CQ45)),ISNUMBER(FIND(CODES!$A$11,CQ45))),CODES!$A$13,IF(OR(CQ45&lt;CQ$63,ISNUMBER(CQ45)=FALSE),CQ$64,CQ45))))</f>
      </c>
      <c r="CR97" s="9" t="str">
        <f>IF(ISBLANK(CR45),"NO DATA",IF(ISNUMBER(FIND(CODES!$A$12,CR45)),CODES!$A$12,IF(OR(ISNUMBER(FIND(CODES!$A$10,CR45)),ISNUMBER(FIND(CODES!$A$11,CR45))),CODES!$A$13,IF(OR(CR45&lt;CR$63,ISNUMBER(CR45)=FALSE),CR$64,CR45))))</f>
      </c>
      <c r="CS97" s="9" t="str">
        <f>IF(ISBLANK(CS45),"NO DATA",IF(ISNUMBER(FIND(CODES!$A$12,CS45)),CODES!$A$12,IF(OR(ISNUMBER(FIND(CODES!$A$10,CS45)),ISNUMBER(FIND(CODES!$A$11,CS45))),CODES!$A$13,IF(OR(CS45&lt;CS$63,ISNUMBER(CS45)=FALSE),CS$64,CS45))))</f>
      </c>
      <c r="CT97" s="9" t="str">
        <f>IF(ISBLANK(CT45),"NO DATA",IF(ISNUMBER(FIND(CODES!$A$12,CT45)),CODES!$A$12,IF(OR(ISNUMBER(FIND(CODES!$A$10,CT45)),ISNUMBER(FIND(CODES!$A$11,CT45))),CODES!$A$13,IF(OR(CT45&lt;CT$63,ISNUMBER(CT45)=FALSE),CT$64,CT45))))</f>
      </c>
      <c r="CU97" s="9" t="str">
        <f>IF(ISBLANK(CU45),"NO DATA",IF(ISNUMBER(FIND(CODES!$A$12,CU45)),CODES!$A$12,IF(OR(ISNUMBER(FIND(CODES!$A$10,CU45)),ISNUMBER(FIND(CODES!$A$11,CU45))),CODES!$A$13,IF(OR(CU45&lt;CU$63,ISNUMBER(CU45)=FALSE),CU$64,CU45))))</f>
      </c>
      <c r="CV97" s="9" t="str">
        <f>IF(ISBLANK(CV45),"NO DATA",IF(ISNUMBER(FIND(CODES!$A$12,CV45)),CODES!$A$12,IF(OR(ISNUMBER(FIND(CODES!$A$10,CV45)),ISNUMBER(FIND(CODES!$A$11,CV45))),CODES!$A$13,IF(OR(CV45&lt;CV$63,ISNUMBER(CV45)=FALSE),CV$64,CV45))))</f>
      </c>
      <c r="CW97" s="9" t="str">
        <f>IF(ISBLANK(CW45),"NO DATA",IF(ISNUMBER(FIND(CODES!$A$12,CW45)),CODES!$A$12,IF(OR(ISNUMBER(FIND(CODES!$A$10,CW45)),ISNUMBER(FIND(CODES!$A$11,CW45))),CODES!$A$13,IF(OR(CW45&lt;CW$63,ISNUMBER(CW45)=FALSE),CW$64,CW45))))</f>
      </c>
      <c r="CX97" s="9" t="str">
        <f>IF(ISBLANK(CX45),"NO DATA",IF(ISNUMBER(FIND(CODES!$A$12,CX45)),CODES!$A$12,IF(OR(ISNUMBER(FIND(CODES!$A$10,CX45)),ISNUMBER(FIND(CODES!$A$11,CX45))),CODES!$A$13,IF(OR(CX45&lt;CX$63,ISNUMBER(CX45)=FALSE),CX$64,CX45))))</f>
      </c>
      <c r="CY97" s="9" t="str">
        <f>IF(ISBLANK(CY45),"NO DATA",IF(ISNUMBER(FIND(CODES!$A$12,CY45)),CODES!$A$12,IF(OR(ISNUMBER(FIND(CODES!$A$10,CY45)),ISNUMBER(FIND(CODES!$A$11,CY45))),CODES!$A$13,IF(OR(CY45&lt;CY$63,ISNUMBER(CY45)=FALSE),CY$64,CY45))))</f>
      </c>
      <c r="CZ97" s="9" t="str">
        <f>IF(ISBLANK(CZ45),"NO DATA",IF(ISNUMBER(FIND(CODES!$A$12,CZ45)),CODES!$A$12,IF(OR(ISNUMBER(FIND(CODES!$A$10,CZ45)),ISNUMBER(FIND(CODES!$A$11,CZ45))),CODES!$A$13,IF(OR(CZ45&lt;CZ$63,ISNUMBER(CZ45)=FALSE),CZ$64,CZ45))))</f>
      </c>
      <c r="DA97" s="9" t="str">
        <f>IF(ISBLANK(DA45),"NO DATA",IF(ISNUMBER(FIND(CODES!$A$12,DA45)),CODES!$A$12,IF(OR(ISNUMBER(FIND(CODES!$A$10,DA45)),ISNUMBER(FIND(CODES!$A$11,DA45))),CODES!$A$13,IF(OR(DA45&lt;DA$63,ISNUMBER(DA45)=FALSE),DA$64,DA45))))</f>
      </c>
      <c r="DB97" s="9" t="str">
        <f>IF(ISBLANK(DB45),"NO DATA",IF(ISNUMBER(FIND(CODES!$A$12,DB45)),CODES!$A$12,IF(OR(ISNUMBER(FIND(CODES!$A$10,DB45)),ISNUMBER(FIND(CODES!$A$11,DB45))),CODES!$A$13,IF(OR(DB45&lt;DB$63,ISNUMBER(DB45)=FALSE),DB$64,DB45))))</f>
      </c>
      <c r="DC97" s="9" t="str">
        <f>IF(ISBLANK(DC45),"NO DATA",IF(ISNUMBER(FIND(CODES!$A$12,DC45)),CODES!$A$12,IF(OR(ISNUMBER(FIND(CODES!$A$10,DC45)),ISNUMBER(FIND(CODES!$A$11,DC45))),CODES!$A$13,IF(OR(DC45&lt;DC$63,ISNUMBER(DC45)=FALSE),DC$64,DC45))))</f>
      </c>
      <c r="DD97" s="9" t="str">
        <f>IF(ISBLANK(DD45),"NO DATA",IF(ISNUMBER(FIND(CODES!$A$12,DD45)),CODES!$A$12,IF(OR(ISNUMBER(FIND(CODES!$A$10,DD45)),ISNUMBER(FIND(CODES!$A$11,DD45))),CODES!$A$13,IF(OR(DD45&lt;DD$63,ISNUMBER(DD45)=FALSE),DD$64,DD45))))</f>
      </c>
      <c r="DE97" s="9" t="str">
        <f>IF(ISBLANK(DE45),"NO DATA",IF(ISNUMBER(FIND(CODES!$A$12,DE45)),CODES!$A$12,IF(OR(ISNUMBER(FIND(CODES!$A$10,DE45)),ISNUMBER(FIND(CODES!$A$11,DE45))),CODES!$A$13,IF(OR(DE45&lt;DE$63,ISNUMBER(DE45)=FALSE),DE$64,DE45))))</f>
      </c>
      <c r="DF97" s="9" t="str">
        <f>IF(ISBLANK(DF45),"NO DATA",IF(ISNUMBER(FIND(CODES!$A$12,DF45)),CODES!$A$12,IF(OR(ISNUMBER(FIND(CODES!$A$10,DF45)),ISNUMBER(FIND(CODES!$A$11,DF45))),CODES!$A$13,IF(OR(DF45&lt;DF$63,ISNUMBER(DF45)=FALSE),DF$64,DF45))))</f>
      </c>
      <c r="DG97" s="9" t="str">
        <f>IF(ISBLANK(DG45),"NO DATA",IF(ISNUMBER(FIND(CODES!$A$12,DG45)),CODES!$A$12,IF(OR(ISNUMBER(FIND(CODES!$A$10,DG45)),ISNUMBER(FIND(CODES!$A$11,DG45))),CODES!$A$13,IF(OR(DG45&lt;DG$63,ISNUMBER(DG45)=FALSE),DG$64,DG45))))</f>
      </c>
      <c r="DH97" s="9" t="str">
        <f>IF(ISBLANK(DH45),"NO DATA",IF(ISNUMBER(FIND(CODES!$A$12,DH45)),CODES!$A$12,IF(OR(ISNUMBER(FIND(CODES!$A$10,DH45)),ISNUMBER(FIND(CODES!$A$11,DH45))),CODES!$A$13,IF(OR(DH45&lt;DH$63,ISNUMBER(DH45)=FALSE),DH$64,DH45))))</f>
      </c>
      <c r="DI97" s="9" t="str">
        <f>IF(ISBLANK(DI45),"NO DATA",IF(ISNUMBER(FIND(CODES!$A$12,DI45)),CODES!$A$12,IF(OR(ISNUMBER(FIND(CODES!$A$10,DI45)),ISNUMBER(FIND(CODES!$A$11,DI45))),CODES!$A$13,IF(OR(DI45&lt;DI$63,ISNUMBER(DI45)=FALSE),DI$64,DI45))))</f>
      </c>
    </row>
    <row r="98" spans="1:113" x14ac:dyDescent="0.25">
      <c r="A98" s="20" t="str">
        <f t="shared" si="5"/>
      </c>
      <c r="B98" s="20">
        <f t="shared" si="5"/>
      </c>
      <c r="C98" s="9" t="str">
        <f>IF(ISBLANK(C46),"NO DATA",IF(ISNUMBER(FIND(CODES!$A$12,C46)),CODES!$A$12,IF(OR(ISNUMBER(FIND(CODES!$A$10,C46)),ISNUMBER(FIND(CODES!$A$11,C46))),CODES!$A$13,IF(OR(C46&lt;C$63,ISNUMBER(C46)=FALSE),C$64,C46))))</f>
      </c>
      <c r="D98" s="9" t="str">
        <f>IF(ISBLANK(D46),"NO DATA",IF(ISNUMBER(FIND(CODES!$A$12,D46)),CODES!$A$12,IF(OR(ISNUMBER(FIND(CODES!$A$10,D46)),ISNUMBER(FIND(CODES!$A$11,D46))),CODES!$A$13,IF(OR(D46&lt;D$63,ISNUMBER(D46)=FALSE),D$64,D46))))</f>
      </c>
      <c r="E98" s="9" t="str">
        <f>IF(ISBLANK(E46),"NO DATA",IF(ISNUMBER(FIND(CODES!$A$12,E46)),CODES!$A$12,IF(OR(ISNUMBER(FIND(CODES!$A$10,E46)),ISNUMBER(FIND(CODES!$A$11,E46))),CODES!$A$13,IF(OR(E46&lt;E$63,ISNUMBER(E46)=FALSE),E$64,E46))))</f>
      </c>
      <c r="F98" s="9" t="str">
        <f>IF(ISBLANK(F46),"NO DATA",IF(ISNUMBER(FIND(CODES!$A$12,F46)),CODES!$A$12,IF(OR(ISNUMBER(FIND(CODES!$A$10,F46)),ISNUMBER(FIND(CODES!$A$11,F46))),CODES!$A$13,IF(OR(F46&lt;F$63,ISNUMBER(F46)=FALSE),F$64,F46))))</f>
      </c>
      <c r="G98" s="9" t="str">
        <f>IF(ISBLANK(G46),"NO DATA",IF(ISNUMBER(FIND(CODES!$A$12,G46)),CODES!$A$12,IF(OR(ISNUMBER(FIND(CODES!$A$10,G46)),ISNUMBER(FIND(CODES!$A$11,G46))),CODES!$A$13,IF(OR(G46&lt;G$63,ISNUMBER(G46)=FALSE),G$64,G46))))</f>
      </c>
      <c r="H98" s="9" t="str">
        <f>IF(ISBLANK(H46),"NO DATA",IF(ISNUMBER(FIND(CODES!$A$12,H46)),CODES!$A$12,IF(OR(ISNUMBER(FIND(CODES!$A$10,H46)),ISNUMBER(FIND(CODES!$A$11,H46))),CODES!$A$13,IF(OR(H46&lt;H$63,ISNUMBER(H46)=FALSE),H$64,H46))))</f>
      </c>
      <c r="I98" s="9" t="str">
        <f>IF(ISBLANK(I46),"NO DATA",IF(ISNUMBER(FIND(CODES!$A$12,I46)),CODES!$A$12,IF(OR(ISNUMBER(FIND(CODES!$A$10,I46)),ISNUMBER(FIND(CODES!$A$11,I46))),CODES!$A$13,IF(OR(I46&lt;I$63,ISNUMBER(I46)=FALSE),I$64,I46))))</f>
      </c>
      <c r="J98" s="9" t="str">
        <f>IF(ISBLANK(J46),"NO DATA",IF(ISNUMBER(FIND(CODES!$A$12,J46)),CODES!$A$12,IF(OR(ISNUMBER(FIND(CODES!$A$10,J46)),ISNUMBER(FIND(CODES!$A$11,J46))),CODES!$A$13,IF(OR(J46&lt;J$63,ISNUMBER(J46)=FALSE),J$64,J46))))</f>
      </c>
      <c r="K98" s="9" t="str">
        <f>IF(ISBLANK(K46),"NO DATA",IF(ISNUMBER(FIND(CODES!$A$12,K46)),CODES!$A$12,IF(OR(ISNUMBER(FIND(CODES!$A$10,K46)),ISNUMBER(FIND(CODES!$A$11,K46))),CODES!$A$13,IF(OR(K46&lt;K$63,ISNUMBER(K46)=FALSE),K$64,K46))))</f>
      </c>
      <c r="L98" s="9" t="str">
        <f>IF(ISBLANK(L46),"NO DATA",IF(ISNUMBER(FIND(CODES!$A$12,L46)),CODES!$A$12,IF(OR(ISNUMBER(FIND(CODES!$A$10,L46)),ISNUMBER(FIND(CODES!$A$11,L46))),CODES!$A$13,IF(OR(L46&lt;L$63,ISNUMBER(L46)=FALSE),L$64,L46))))</f>
      </c>
      <c r="M98" s="9" t="str">
        <f>IF(ISBLANK(M46),"NO DATA",IF(ISNUMBER(FIND(CODES!$A$12,M46)),CODES!$A$12,IF(OR(ISNUMBER(FIND(CODES!$A$10,M46)),ISNUMBER(FIND(CODES!$A$11,M46))),CODES!$A$13,IF(OR(M46&lt;M$63,ISNUMBER(M46)=FALSE),M$64,M46))))</f>
      </c>
      <c r="N98" s="9" t="str">
        <f>IF(ISBLANK(N46),"NO DATA",IF(ISNUMBER(FIND(CODES!$A$12,N46)),CODES!$A$12,IF(OR(ISNUMBER(FIND(CODES!$A$10,N46)),ISNUMBER(FIND(CODES!$A$11,N46))),CODES!$A$13,IF(OR(N46&lt;N$63,ISNUMBER(N46)=FALSE),N$64,N46))))</f>
      </c>
      <c r="O98" s="9" t="str">
        <f>IF(ISBLANK(O46),"NO DATA",IF(ISNUMBER(FIND(CODES!$A$12,O46)),CODES!$A$12,IF(OR(ISNUMBER(FIND(CODES!$A$10,O46)),ISNUMBER(FIND(CODES!$A$11,O46))),CODES!$A$13,IF(OR(O46&lt;O$63,ISNUMBER(O46)=FALSE),O$64,O46))))</f>
      </c>
      <c r="P98" s="9" t="str">
        <f>IF(ISBLANK(P46),"NO DATA",IF(ISNUMBER(FIND(CODES!$A$12,P46)),CODES!$A$12,IF(OR(ISNUMBER(FIND(CODES!$A$10,P46)),ISNUMBER(FIND(CODES!$A$11,P46))),CODES!$A$13,IF(OR(P46&lt;P$63,ISNUMBER(P46)=FALSE),P$64,P46))))</f>
      </c>
      <c r="Q98" s="9" t="str">
        <f>IF(ISBLANK(Q46),"NO DATA",IF(ISNUMBER(FIND(CODES!$A$12,Q46)),CODES!$A$12,IF(OR(ISNUMBER(FIND(CODES!$A$10,Q46)),ISNUMBER(FIND(CODES!$A$11,Q46))),CODES!$A$13,IF(OR(Q46&lt;Q$63,ISNUMBER(Q46)=FALSE),Q$64,Q46))))</f>
      </c>
      <c r="R98" s="9" t="str">
        <f>IF(ISBLANK(R46),"NO DATA",IF(ISNUMBER(FIND(CODES!$A$12,R46)),CODES!$A$12,IF(OR(ISNUMBER(FIND(CODES!$A$10,R46)),ISNUMBER(FIND(CODES!$A$11,R46))),CODES!$A$13,IF(OR(R46&lt;R$63,ISNUMBER(R46)=FALSE),R$64,R46))))</f>
      </c>
      <c r="S98" s="9" t="str">
        <f>IF(ISBLANK(S46),"NO DATA",IF(ISNUMBER(FIND(CODES!$A$12,S46)),CODES!$A$12,IF(OR(ISNUMBER(FIND(CODES!$A$10,S46)),ISNUMBER(FIND(CODES!$A$11,S46))),CODES!$A$13,IF(OR(S46&lt;S$63,ISNUMBER(S46)=FALSE),S$64,S46))))</f>
      </c>
      <c r="T98" s="9" t="str">
        <f>IF(ISBLANK(T46),"NO DATA",IF(ISNUMBER(FIND(CODES!$A$12,T46)),CODES!$A$12,IF(OR(ISNUMBER(FIND(CODES!$A$10,T46)),ISNUMBER(FIND(CODES!$A$11,T46))),CODES!$A$13,IF(OR(T46&lt;T$63,ISNUMBER(T46)=FALSE),T$64,T46))))</f>
      </c>
      <c r="U98" s="9" t="str">
        <f>IF(ISBLANK(U46),"NO DATA",IF(ISNUMBER(FIND(CODES!$A$12,U46)),CODES!$A$12,IF(OR(ISNUMBER(FIND(CODES!$A$10,U46)),ISNUMBER(FIND(CODES!$A$11,U46))),CODES!$A$13,IF(OR(U46&lt;U$63,ISNUMBER(U46)=FALSE),U$64,U46))))</f>
      </c>
      <c r="V98" s="9" t="str">
        <f>IF(ISBLANK(V46),"NO DATA",IF(ISNUMBER(FIND(CODES!$A$12,V46)),CODES!$A$12,IF(OR(ISNUMBER(FIND(CODES!$A$10,V46)),ISNUMBER(FIND(CODES!$A$11,V46))),CODES!$A$13,IF(OR(V46&lt;V$63,ISNUMBER(V46)=FALSE),V$64,V46))))</f>
      </c>
      <c r="W98" s="9" t="str">
        <f>IF(ISBLANK(W46),"NO DATA",IF(ISNUMBER(FIND(CODES!$A$12,W46)),CODES!$A$12,IF(OR(ISNUMBER(FIND(CODES!$A$10,W46)),ISNUMBER(FIND(CODES!$A$11,W46))),CODES!$A$13,IF(OR(W46&lt;W$63,ISNUMBER(W46)=FALSE),W$64,W46))))</f>
      </c>
      <c r="X98" s="9" t="str">
        <f>IF(ISBLANK(X46),"NO DATA",IF(ISNUMBER(FIND(CODES!$A$12,X46)),CODES!$A$12,IF(OR(ISNUMBER(FIND(CODES!$A$10,X46)),ISNUMBER(FIND(CODES!$A$11,X46))),CODES!$A$13,IF(OR(X46&lt;X$63,ISNUMBER(X46)=FALSE),X$64,X46))))</f>
      </c>
      <c r="Y98" s="9" t="str">
        <f>IF(ISBLANK(Y46),"NO DATA",IF(ISNUMBER(FIND(CODES!$A$12,Y46)),CODES!$A$12,IF(OR(ISNUMBER(FIND(CODES!$A$10,Y46)),ISNUMBER(FIND(CODES!$A$11,Y46))),CODES!$A$13,IF(OR(Y46&lt;Y$63,ISNUMBER(Y46)=FALSE),Y$64,Y46))))</f>
      </c>
      <c r="Z98" s="9" t="str">
        <f>IF(ISBLANK(Z46),"NO DATA",IF(ISNUMBER(FIND(CODES!$A$12,Z46)),CODES!$A$12,IF(OR(ISNUMBER(FIND(CODES!$A$10,Z46)),ISNUMBER(FIND(CODES!$A$11,Z46))),CODES!$A$13,IF(OR(Z46&lt;Z$63,ISNUMBER(Z46)=FALSE),Z$64,Z46))))</f>
      </c>
      <c r="AA98" s="9" t="str">
        <f>IF(ISBLANK(AA46),"NO DATA",IF(ISNUMBER(FIND(CODES!$A$12,AA46)),CODES!$A$12,IF(OR(ISNUMBER(FIND(CODES!$A$10,AA46)),ISNUMBER(FIND(CODES!$A$11,AA46))),CODES!$A$13,IF(OR(AA46&lt;AA$63,ISNUMBER(AA46)=FALSE),AA$64,AA46))))</f>
      </c>
      <c r="AB98" s="9" t="str">
        <f>IF(ISBLANK(AB46),"NO DATA",IF(ISNUMBER(FIND(CODES!$A$12,AB46)),CODES!$A$12,IF(OR(ISNUMBER(FIND(CODES!$A$10,AB46)),ISNUMBER(FIND(CODES!$A$11,AB46))),CODES!$A$13,IF(OR(AB46&lt;AB$63,ISNUMBER(AB46)=FALSE),AB$64,AB46))))</f>
      </c>
      <c r="AC98" s="9" t="str">
        <f>IF(ISBLANK(AC46),"NO DATA",IF(ISNUMBER(FIND(CODES!$A$12,AC46)),CODES!$A$12,IF(OR(ISNUMBER(FIND(CODES!$A$10,AC46)),ISNUMBER(FIND(CODES!$A$11,AC46))),CODES!$A$13,IF(OR(AC46&lt;AC$63,ISNUMBER(AC46)=FALSE),AC$64,AC46))))</f>
      </c>
      <c r="AD98" s="9" t="str">
        <f>IF(ISBLANK(AD46),"NO DATA",IF(ISNUMBER(FIND(CODES!$A$12,AD46)),CODES!$A$12,IF(OR(ISNUMBER(FIND(CODES!$A$10,AD46)),ISNUMBER(FIND(CODES!$A$11,AD46))),CODES!$A$13,IF(OR(AD46&lt;AD$63,ISNUMBER(AD46)=FALSE),AD$64,AD46))))</f>
      </c>
      <c r="AE98" s="9" t="str">
        <f>IF(ISBLANK(AE46),"NO DATA",IF(ISNUMBER(FIND(CODES!$A$12,AE46)),CODES!$A$12,IF(OR(ISNUMBER(FIND(CODES!$A$10,AE46)),ISNUMBER(FIND(CODES!$A$11,AE46))),CODES!$A$13,IF(OR(AE46&lt;AE$63,ISNUMBER(AE46)=FALSE),AE$64,AE46))))</f>
      </c>
      <c r="AF98" s="9" t="str">
        <f>IF(ISBLANK(AF46),"NO DATA",IF(ISNUMBER(FIND(CODES!$A$12,AF46)),CODES!$A$12,IF(OR(ISNUMBER(FIND(CODES!$A$10,AF46)),ISNUMBER(FIND(CODES!$A$11,AF46))),CODES!$A$13,IF(OR(AF46&lt;AF$63,ISNUMBER(AF46)=FALSE),AF$64,AF46))))</f>
      </c>
      <c r="AG98" s="9" t="str">
        <f>IF(ISBLANK(AG46),"NO DATA",IF(ISNUMBER(FIND(CODES!$A$12,AG46)),CODES!$A$12,IF(OR(ISNUMBER(FIND(CODES!$A$10,AG46)),ISNUMBER(FIND(CODES!$A$11,AG46))),CODES!$A$13,IF(OR(AG46&lt;AG$63,ISNUMBER(AG46)=FALSE),AG$64,AG46))))</f>
      </c>
      <c r="AH98" s="9" t="str">
        <f>IF(ISBLANK(AH46),"NO DATA",IF(ISNUMBER(FIND(CODES!$A$12,AH46)),CODES!$A$12,IF(OR(ISNUMBER(FIND(CODES!$A$10,AH46)),ISNUMBER(FIND(CODES!$A$11,AH46))),CODES!$A$13,IF(OR(AH46&lt;AH$63,ISNUMBER(AH46)=FALSE),AH$64,AH46))))</f>
      </c>
      <c r="AI98" s="9" t="str">
        <f>IF(ISBLANK(AI46),"NO DATA",IF(ISNUMBER(FIND(CODES!$A$12,AI46)),CODES!$A$12,IF(OR(ISNUMBER(FIND(CODES!$A$10,AI46)),ISNUMBER(FIND(CODES!$A$11,AI46))),CODES!$A$13,IF(OR(AI46&lt;AI$63,ISNUMBER(AI46)=FALSE),AI$64,AI46))))</f>
      </c>
      <c r="AJ98" s="9" t="str">
        <f>IF(ISBLANK(AJ46),"NO DATA",IF(ISNUMBER(FIND(CODES!$A$12,AJ46)),CODES!$A$12,IF(OR(ISNUMBER(FIND(CODES!$A$10,AJ46)),ISNUMBER(FIND(CODES!$A$11,AJ46))),CODES!$A$13,IF(OR(AJ46&lt;AJ$63,ISNUMBER(AJ46)=FALSE),AJ$64,AJ46))))</f>
      </c>
      <c r="AK98" s="9" t="str">
        <f>IF(ISBLANK(AK46),"NO DATA",IF(ISNUMBER(FIND(CODES!$A$12,AK46)),CODES!$A$12,IF(OR(ISNUMBER(FIND(CODES!$A$10,AK46)),ISNUMBER(FIND(CODES!$A$11,AK46))),CODES!$A$13,IF(OR(AK46&lt;AK$63,ISNUMBER(AK46)=FALSE),AK$64,AK46))))</f>
      </c>
      <c r="AL98" s="9" t="str">
        <f>IF(ISBLANK(AL46),"NO DATA",IF(ISNUMBER(FIND(CODES!$A$12,AL46)),CODES!$A$12,IF(OR(ISNUMBER(FIND(CODES!$A$10,AL46)),ISNUMBER(FIND(CODES!$A$11,AL46))),CODES!$A$13,IF(OR(AL46&lt;AL$63,ISNUMBER(AL46)=FALSE),AL$64,AL46))))</f>
      </c>
      <c r="AM98" s="9" t="str">
        <f>IF(ISBLANK(AM46),"NO DATA",IF(ISNUMBER(FIND(CODES!$A$12,AM46)),CODES!$A$12,IF(OR(ISNUMBER(FIND(CODES!$A$10,AM46)),ISNUMBER(FIND(CODES!$A$11,AM46))),CODES!$A$13,IF(OR(AM46&lt;AM$63,ISNUMBER(AM46)=FALSE),AM$64,AM46))))</f>
      </c>
      <c r="AN98" s="9" t="str">
        <f>IF(ISBLANK(AN46),"NO DATA",IF(ISNUMBER(FIND(CODES!$A$12,AN46)),CODES!$A$12,IF(OR(ISNUMBER(FIND(CODES!$A$10,AN46)),ISNUMBER(FIND(CODES!$A$11,AN46))),CODES!$A$13,IF(OR(AN46&lt;AN$63,ISNUMBER(AN46)=FALSE),AN$64,AN46))))</f>
      </c>
      <c r="AO98" s="9" t="str">
        <f>IF(ISBLANK(AO46),"NO DATA",IF(ISNUMBER(FIND(CODES!$A$12,AO46)),CODES!$A$12,IF(OR(ISNUMBER(FIND(CODES!$A$10,AO46)),ISNUMBER(FIND(CODES!$A$11,AO46))),CODES!$A$13,IF(OR(AO46&lt;AO$63,ISNUMBER(AO46)=FALSE),AO$64,AO46))))</f>
      </c>
      <c r="AP98" s="9" t="str">
        <f>IF(ISBLANK(AP46),"NO DATA",IF(ISNUMBER(FIND(CODES!$A$12,AP46)),CODES!$A$12,IF(OR(ISNUMBER(FIND(CODES!$A$10,AP46)),ISNUMBER(FIND(CODES!$A$11,AP46))),CODES!$A$13,IF(OR(AP46&lt;AP$63,ISNUMBER(AP46)=FALSE),AP$64,AP46))))</f>
      </c>
      <c r="AQ98" s="9" t="str">
        <f>IF(ISBLANK(AQ46),"NO DATA",IF(ISNUMBER(FIND(CODES!$A$12,AQ46)),CODES!$A$12,IF(OR(ISNUMBER(FIND(CODES!$A$10,AQ46)),ISNUMBER(FIND(CODES!$A$11,AQ46))),CODES!$A$13,IF(OR(AQ46&lt;AQ$63,ISNUMBER(AQ46)=FALSE),AQ$64,AQ46))))</f>
      </c>
      <c r="AR98" s="9" t="str">
        <f>IF(ISBLANK(AR46),"NO DATA",IF(ISNUMBER(FIND(CODES!$A$12,AR46)),CODES!$A$12,IF(OR(ISNUMBER(FIND(CODES!$A$10,AR46)),ISNUMBER(FIND(CODES!$A$11,AR46))),CODES!$A$13,IF(OR(AR46&lt;AR$63,ISNUMBER(AR46)=FALSE),AR$64,AR46))))</f>
      </c>
      <c r="AS98" s="9" t="str">
        <f>IF(ISBLANK(AS46),"NO DATA",IF(ISNUMBER(FIND(CODES!$A$12,AS46)),CODES!$A$12,IF(OR(ISNUMBER(FIND(CODES!$A$10,AS46)),ISNUMBER(FIND(CODES!$A$11,AS46))),CODES!$A$13,IF(OR(AS46&lt;AS$63,ISNUMBER(AS46)=FALSE),AS$64,AS46))))</f>
      </c>
      <c r="AT98" s="9" t="str">
        <f>IF(ISBLANK(AT46),"NO DATA",IF(ISNUMBER(FIND(CODES!$A$12,AT46)),CODES!$A$12,IF(OR(ISNUMBER(FIND(CODES!$A$10,AT46)),ISNUMBER(FIND(CODES!$A$11,AT46))),CODES!$A$13,IF(OR(AT46&lt;AT$63,ISNUMBER(AT46)=FALSE),AT$64,AT46))))</f>
      </c>
      <c r="AU98" s="9" t="str">
        <f>IF(ISBLANK(AU46),"NO DATA",IF(ISNUMBER(FIND(CODES!$A$12,AU46)),CODES!$A$12,IF(OR(ISNUMBER(FIND(CODES!$A$10,AU46)),ISNUMBER(FIND(CODES!$A$11,AU46))),CODES!$A$13,IF(OR(AU46&lt;AU$63,ISNUMBER(AU46)=FALSE),AU$64,AU46))))</f>
      </c>
      <c r="AV98" s="9" t="str">
        <f>IF(ISBLANK(AV46),"NO DATA",IF(ISNUMBER(FIND(CODES!$A$12,AV46)),CODES!$A$12,IF(OR(ISNUMBER(FIND(CODES!$A$10,AV46)),ISNUMBER(FIND(CODES!$A$11,AV46))),CODES!$A$13,IF(OR(AV46&lt;AV$63,ISNUMBER(AV46)=FALSE),AV$64,AV46))))</f>
      </c>
      <c r="AW98" s="9" t="str">
        <f>IF(ISBLANK(AW46),"NO DATA",IF(ISNUMBER(FIND(CODES!$A$12,AW46)),CODES!$A$12,IF(OR(ISNUMBER(FIND(CODES!$A$10,AW46)),ISNUMBER(FIND(CODES!$A$11,AW46))),CODES!$A$13,IF(OR(AW46&lt;AW$63,ISNUMBER(AW46)=FALSE),AW$64,AW46))))</f>
      </c>
      <c r="AX98" s="9" t="str">
        <f>IF(ISBLANK(AX46),"NO DATA",IF(ISNUMBER(FIND(CODES!$A$12,AX46)),CODES!$A$12,IF(OR(ISNUMBER(FIND(CODES!$A$10,AX46)),ISNUMBER(FIND(CODES!$A$11,AX46))),CODES!$A$13,IF(OR(AX46&lt;AX$63,ISNUMBER(AX46)=FALSE),AX$64,AX46))))</f>
      </c>
      <c r="AY98" s="9" t="str">
        <f>IF(ISBLANK(AY46),"NO DATA",IF(ISNUMBER(FIND(CODES!$A$12,AY46)),CODES!$A$12,IF(OR(ISNUMBER(FIND(CODES!$A$10,AY46)),ISNUMBER(FIND(CODES!$A$11,AY46))),CODES!$A$13,IF(OR(AY46&lt;AY$63,ISNUMBER(AY46)=FALSE),AY$64,AY46))))</f>
      </c>
      <c r="AZ98" s="9" t="str">
        <f>IF(ISBLANK(AZ46),"NO DATA",IF(ISNUMBER(FIND(CODES!$A$12,AZ46)),CODES!$A$12,IF(OR(ISNUMBER(FIND(CODES!$A$10,AZ46)),ISNUMBER(FIND(CODES!$A$11,AZ46))),CODES!$A$13,IF(OR(AZ46&lt;AZ$63,ISNUMBER(AZ46)=FALSE),AZ$64,AZ46))))</f>
      </c>
      <c r="BA98" s="9" t="str">
        <f>IF(ISBLANK(BA46),"NO DATA",IF(ISNUMBER(FIND(CODES!$A$12,BA46)),CODES!$A$12,IF(OR(ISNUMBER(FIND(CODES!$A$10,BA46)),ISNUMBER(FIND(CODES!$A$11,BA46))),CODES!$A$13,IF(OR(BA46&lt;BA$63,ISNUMBER(BA46)=FALSE),BA$64,BA46))))</f>
      </c>
      <c r="BB98" s="9" t="str">
        <f>IF(ISBLANK(BB46),"NO DATA",IF(ISNUMBER(FIND(CODES!$A$12,BB46)),CODES!$A$12,IF(OR(ISNUMBER(FIND(CODES!$A$10,BB46)),ISNUMBER(FIND(CODES!$A$11,BB46))),CODES!$A$13,IF(OR(BB46&lt;BB$63,ISNUMBER(BB46)=FALSE),BB$64,BB46))))</f>
      </c>
      <c r="BC98" s="9" t="str">
        <f>IF(ISBLANK(BC46),"NO DATA",IF(ISNUMBER(FIND(CODES!$A$12,BC46)),CODES!$A$12,IF(OR(ISNUMBER(FIND(CODES!$A$10,BC46)),ISNUMBER(FIND(CODES!$A$11,BC46))),CODES!$A$13,IF(OR(BC46&lt;BC$63,ISNUMBER(BC46)=FALSE),BC$64,BC46))))</f>
      </c>
      <c r="BD98" s="9" t="str">
        <f>IF(ISBLANK(BD46),"NO DATA",IF(ISNUMBER(FIND(CODES!$A$12,BD46)),CODES!$A$12,IF(OR(ISNUMBER(FIND(CODES!$A$10,BD46)),ISNUMBER(FIND(CODES!$A$11,BD46))),CODES!$A$13,IF(OR(BD46&lt;BD$63,ISNUMBER(BD46)=FALSE),BD$64,BD46))))</f>
      </c>
      <c r="BE98" s="9" t="str">
        <f>IF(ISBLANK(BE46),"NO DATA",IF(ISNUMBER(FIND(CODES!$A$12,BE46)),CODES!$A$12,IF(OR(ISNUMBER(FIND(CODES!$A$10,BE46)),ISNUMBER(FIND(CODES!$A$11,BE46))),CODES!$A$13,IF(OR(BE46&lt;BE$63,ISNUMBER(BE46)=FALSE),BE$64,BE46))))</f>
      </c>
      <c r="BF98" s="9" t="str">
        <f>IF(ISBLANK(BF46),"NO DATA",IF(ISNUMBER(FIND(CODES!$A$12,BF46)),CODES!$A$12,IF(OR(ISNUMBER(FIND(CODES!$A$10,BF46)),ISNUMBER(FIND(CODES!$A$11,BF46))),CODES!$A$13,IF(OR(BF46&lt;BF$63,ISNUMBER(BF46)=FALSE),BF$64,BF46))))</f>
      </c>
      <c r="BG98" s="9" t="str">
        <f>IF(ISBLANK(BG46),"NO DATA",IF(ISNUMBER(FIND(CODES!$A$12,BG46)),CODES!$A$12,IF(OR(ISNUMBER(FIND(CODES!$A$10,BG46)),ISNUMBER(FIND(CODES!$A$11,BG46))),CODES!$A$13,IF(OR(BG46&lt;BG$63,ISNUMBER(BG46)=FALSE),BG$64,BG46))))</f>
      </c>
      <c r="BH98" s="9" t="str">
        <f>IF(ISBLANK(BH46),"NO DATA",IF(ISNUMBER(FIND(CODES!$A$12,BH46)),CODES!$A$12,IF(OR(ISNUMBER(FIND(CODES!$A$10,BH46)),ISNUMBER(FIND(CODES!$A$11,BH46))),CODES!$A$13,IF(OR(BH46&lt;BH$63,ISNUMBER(BH46)=FALSE),BH$64,BH46))))</f>
      </c>
      <c r="BI98" s="9" t="str">
        <f>IF(ISBLANK(BI46),"NO DATA",IF(ISNUMBER(FIND(CODES!$A$12,BI46)),CODES!$A$12,IF(OR(ISNUMBER(FIND(CODES!$A$10,BI46)),ISNUMBER(FIND(CODES!$A$11,BI46))),CODES!$A$13,IF(OR(BI46&lt;BI$63,ISNUMBER(BI46)=FALSE),BI$64,BI46))))</f>
      </c>
      <c r="BJ98" s="9" t="str">
        <f>IF(ISBLANK(BJ46),"NO DATA",IF(ISNUMBER(FIND(CODES!$A$12,BJ46)),CODES!$A$12,IF(OR(ISNUMBER(FIND(CODES!$A$10,BJ46)),ISNUMBER(FIND(CODES!$A$11,BJ46))),CODES!$A$13,IF(OR(BJ46&lt;BJ$63,ISNUMBER(BJ46)=FALSE),BJ$64,BJ46))))</f>
      </c>
      <c r="BK98" s="9" t="str">
        <f>IF(ISBLANK(BK46),"NO DATA",IF(ISNUMBER(FIND(CODES!$A$12,BK46)),CODES!$A$12,IF(OR(ISNUMBER(FIND(CODES!$A$10,BK46)),ISNUMBER(FIND(CODES!$A$11,BK46))),CODES!$A$13,IF(OR(BK46&lt;BK$63,ISNUMBER(BK46)=FALSE),BK$64,BK46))))</f>
      </c>
      <c r="BL98" s="9" t="str">
        <f>IF(ISBLANK(BL46),"NO DATA",IF(ISNUMBER(FIND(CODES!$A$12,BL46)),CODES!$A$12,IF(OR(ISNUMBER(FIND(CODES!$A$10,BL46)),ISNUMBER(FIND(CODES!$A$11,BL46))),CODES!$A$13,IF(OR(BL46&lt;BL$63,ISNUMBER(BL46)=FALSE),BL$64,BL46))))</f>
      </c>
      <c r="BM98" s="9" t="str">
        <f>IF(ISBLANK(BM46),"NO DATA",IF(ISNUMBER(FIND(CODES!$A$12,BM46)),CODES!$A$12,IF(OR(ISNUMBER(FIND(CODES!$A$10,BM46)),ISNUMBER(FIND(CODES!$A$11,BM46))),CODES!$A$13,IF(OR(BM46&lt;BM$63,ISNUMBER(BM46)=FALSE),BM$64,BM46))))</f>
      </c>
      <c r="BN98" s="9" t="str">
        <f>IF(ISBLANK(BN46),"NO DATA",IF(ISNUMBER(FIND(CODES!$A$12,BN46)),CODES!$A$12,IF(OR(ISNUMBER(FIND(CODES!$A$10,BN46)),ISNUMBER(FIND(CODES!$A$11,BN46))),CODES!$A$13,IF(OR(BN46&lt;BN$63,ISNUMBER(BN46)=FALSE),BN$64,BN46))))</f>
      </c>
      <c r="BO98" s="9" t="str">
        <f>IF(ISBLANK(BO46),"NO DATA",IF(ISNUMBER(FIND(CODES!$A$12,BO46)),CODES!$A$12,IF(OR(ISNUMBER(FIND(CODES!$A$10,BO46)),ISNUMBER(FIND(CODES!$A$11,BO46))),CODES!$A$13,IF(OR(BO46&lt;BO$63,ISNUMBER(BO46)=FALSE),BO$64,BO46))))</f>
      </c>
      <c r="BP98" s="9" t="str">
        <f>IF(ISBLANK(BP46),"NO DATA",IF(ISNUMBER(FIND(CODES!$A$12,BP46)),CODES!$A$12,IF(OR(ISNUMBER(FIND(CODES!$A$10,BP46)),ISNUMBER(FIND(CODES!$A$11,BP46))),CODES!$A$13,IF(OR(BP46&lt;BP$63,ISNUMBER(BP46)=FALSE),BP$64,BP46))))</f>
      </c>
      <c r="BQ98" s="9" t="str">
        <f>IF(ISBLANK(BQ46),"NO DATA",IF(ISNUMBER(FIND(CODES!$A$12,BQ46)),CODES!$A$12,IF(OR(ISNUMBER(FIND(CODES!$A$10,BQ46)),ISNUMBER(FIND(CODES!$A$11,BQ46))),CODES!$A$13,IF(OR(BQ46&lt;BQ$63,ISNUMBER(BQ46)=FALSE),BQ$64,BQ46))))</f>
      </c>
      <c r="BR98" s="9" t="str">
        <f>IF(ISBLANK(BR46),"NO DATA",IF(ISNUMBER(FIND(CODES!$A$12,BR46)),CODES!$A$12,IF(OR(ISNUMBER(FIND(CODES!$A$10,BR46)),ISNUMBER(FIND(CODES!$A$11,BR46))),CODES!$A$13,IF(OR(BR46&lt;BR$63,ISNUMBER(BR46)=FALSE),BR$64,BR46))))</f>
      </c>
      <c r="BS98" s="9" t="str">
        <f>IF(ISBLANK(BS46),"NO DATA",IF(ISNUMBER(FIND(CODES!$A$12,BS46)),CODES!$A$12,IF(OR(ISNUMBER(FIND(CODES!$A$10,BS46)),ISNUMBER(FIND(CODES!$A$11,BS46))),CODES!$A$13,IF(OR(BS46&lt;BS$63,ISNUMBER(BS46)=FALSE),BS$64,BS46))))</f>
      </c>
      <c r="BT98" s="9" t="str">
        <f>IF(ISBLANK(BT46),"NO DATA",IF(ISNUMBER(FIND(CODES!$A$12,BT46)),CODES!$A$12,IF(OR(ISNUMBER(FIND(CODES!$A$10,BT46)),ISNUMBER(FIND(CODES!$A$11,BT46))),CODES!$A$13,IF(OR(BT46&lt;BT$63,ISNUMBER(BT46)=FALSE),BT$64,BT46))))</f>
      </c>
      <c r="BU98" s="9" t="str">
        <f>IF(ISBLANK(BU46),"NO DATA",IF(ISNUMBER(FIND(CODES!$A$12,BU46)),CODES!$A$12,IF(OR(ISNUMBER(FIND(CODES!$A$10,BU46)),ISNUMBER(FIND(CODES!$A$11,BU46))),CODES!$A$13,IF(OR(BU46&lt;BU$63,ISNUMBER(BU46)=FALSE),BU$64,BU46))))</f>
      </c>
      <c r="BV98" s="9" t="str">
        <f>IF(ISBLANK(BV46),"NO DATA",IF(ISNUMBER(FIND(CODES!$A$12,BV46)),CODES!$A$12,IF(OR(ISNUMBER(FIND(CODES!$A$10,BV46)),ISNUMBER(FIND(CODES!$A$11,BV46))),CODES!$A$13,IF(OR(BV46&lt;BV$63,ISNUMBER(BV46)=FALSE),BV$64,BV46))))</f>
      </c>
      <c r="BW98" s="9" t="str">
        <f>IF(ISBLANK(BW46),"NO DATA",IF(ISNUMBER(FIND(CODES!$A$12,BW46)),CODES!$A$12,IF(OR(ISNUMBER(FIND(CODES!$A$10,BW46)),ISNUMBER(FIND(CODES!$A$11,BW46))),CODES!$A$13,IF(OR(BW46&lt;BW$63,ISNUMBER(BW46)=FALSE),BW$64,BW46))))</f>
      </c>
      <c r="BX98" s="9" t="str">
        <f>IF(ISBLANK(BX46),"NO DATA",IF(ISNUMBER(FIND(CODES!$A$12,BX46)),CODES!$A$12,IF(OR(ISNUMBER(FIND(CODES!$A$10,BX46)),ISNUMBER(FIND(CODES!$A$11,BX46))),CODES!$A$13,IF(OR(BX46&lt;BX$63,ISNUMBER(BX46)=FALSE),BX$64,BX46))))</f>
      </c>
      <c r="BY98" s="9" t="str">
        <f>IF(ISBLANK(BY46),"NO DATA",IF(ISNUMBER(FIND(CODES!$A$12,BY46)),CODES!$A$12,IF(OR(ISNUMBER(FIND(CODES!$A$10,BY46)),ISNUMBER(FIND(CODES!$A$11,BY46))),CODES!$A$13,IF(OR(BY46&lt;BY$63,ISNUMBER(BY46)=FALSE),BY$64,BY46))))</f>
      </c>
      <c r="BZ98" s="9" t="str">
        <f>IF(ISBLANK(BZ46),"NO DATA",IF(ISNUMBER(FIND(CODES!$A$12,BZ46)),CODES!$A$12,IF(OR(ISNUMBER(FIND(CODES!$A$10,BZ46)),ISNUMBER(FIND(CODES!$A$11,BZ46))),CODES!$A$13,IF(OR(BZ46&lt;BZ$63,ISNUMBER(BZ46)=FALSE),BZ$64,BZ46))))</f>
      </c>
      <c r="CA98" s="9" t="str">
        <f>IF(ISBLANK(CA46),"NO DATA",IF(ISNUMBER(FIND(CODES!$A$12,CA46)),CODES!$A$12,IF(OR(ISNUMBER(FIND(CODES!$A$10,CA46)),ISNUMBER(FIND(CODES!$A$11,CA46))),CODES!$A$13,IF(OR(CA46&lt;CA$63,ISNUMBER(CA46)=FALSE),CA$64,CA46))))</f>
      </c>
      <c r="CB98" s="9" t="str">
        <f>IF(ISBLANK(CB46),"NO DATA",IF(ISNUMBER(FIND(CODES!$A$12,CB46)),CODES!$A$12,IF(OR(ISNUMBER(FIND(CODES!$A$10,CB46)),ISNUMBER(FIND(CODES!$A$11,CB46))),CODES!$A$13,IF(OR(CB46&lt;CB$63,ISNUMBER(CB46)=FALSE),CB$64,CB46))))</f>
      </c>
      <c r="CC98" s="9" t="str">
        <f>IF(ISBLANK(CC46),"NO DATA",IF(ISNUMBER(FIND(CODES!$A$12,CC46)),CODES!$A$12,IF(OR(ISNUMBER(FIND(CODES!$A$10,CC46)),ISNUMBER(FIND(CODES!$A$11,CC46))),CODES!$A$13,IF(OR(CC46&lt;CC$63,ISNUMBER(CC46)=FALSE),CC$64,CC46))))</f>
      </c>
      <c r="CD98" s="9" t="str">
        <f>IF(ISBLANK(CD46),"NO DATA",IF(ISNUMBER(FIND(CODES!$A$12,CD46)),CODES!$A$12,IF(OR(ISNUMBER(FIND(CODES!$A$10,CD46)),ISNUMBER(FIND(CODES!$A$11,CD46))),CODES!$A$13,IF(OR(CD46&lt;CD$63,ISNUMBER(CD46)=FALSE),CD$64,CD46))))</f>
      </c>
      <c r="CE98" s="9" t="str">
        <f>IF(ISBLANK(CE46),"NO DATA",IF(ISNUMBER(FIND(CODES!$A$12,CE46)),CODES!$A$12,IF(OR(ISNUMBER(FIND(CODES!$A$10,CE46)),ISNUMBER(FIND(CODES!$A$11,CE46))),CODES!$A$13,IF(OR(CE46&lt;CE$63,ISNUMBER(CE46)=FALSE),CE$64,CE46))))</f>
      </c>
      <c r="CF98" s="9" t="str">
        <f>IF(ISBLANK(CF46),"NO DATA",IF(ISNUMBER(FIND(CODES!$A$12,CF46)),CODES!$A$12,IF(OR(ISNUMBER(FIND(CODES!$A$10,CF46)),ISNUMBER(FIND(CODES!$A$11,CF46))),CODES!$A$13,IF(OR(CF46&lt;CF$63,ISNUMBER(CF46)=FALSE),CF$64,CF46))))</f>
      </c>
      <c r="CG98" s="9" t="str">
        <f>IF(ISBLANK(CG46),"NO DATA",IF(ISNUMBER(FIND(CODES!$A$12,CG46)),CODES!$A$12,IF(OR(ISNUMBER(FIND(CODES!$A$10,CG46)),ISNUMBER(FIND(CODES!$A$11,CG46))),CODES!$A$13,IF(OR(CG46&lt;CG$63,ISNUMBER(CG46)=FALSE),CG$64,CG46))))</f>
      </c>
      <c r="CH98" s="9" t="str">
        <f>IF(ISBLANK(CH46),"NO DATA",IF(ISNUMBER(FIND(CODES!$A$12,CH46)),CODES!$A$12,IF(OR(ISNUMBER(FIND(CODES!$A$10,CH46)),ISNUMBER(FIND(CODES!$A$11,CH46))),CODES!$A$13,IF(OR(CH46&lt;CH$63,ISNUMBER(CH46)=FALSE),CH$64,CH46))))</f>
      </c>
      <c r="CI98" s="9" t="str">
        <f>IF(ISBLANK(CI46),"NO DATA",IF(ISNUMBER(FIND(CODES!$A$12,CI46)),CODES!$A$12,IF(OR(ISNUMBER(FIND(CODES!$A$10,CI46)),ISNUMBER(FIND(CODES!$A$11,CI46))),CODES!$A$13,IF(OR(CI46&lt;CI$63,ISNUMBER(CI46)=FALSE),CI$64,CI46))))</f>
      </c>
      <c r="CJ98" s="9" t="str">
        <f>IF(ISBLANK(CJ46),"NO DATA",IF(ISNUMBER(FIND(CODES!$A$12,CJ46)),CODES!$A$12,IF(OR(ISNUMBER(FIND(CODES!$A$10,CJ46)),ISNUMBER(FIND(CODES!$A$11,CJ46))),CODES!$A$13,IF(OR(CJ46&lt;CJ$63,ISNUMBER(CJ46)=FALSE),CJ$64,CJ46))))</f>
      </c>
      <c r="CK98" s="9" t="str">
        <f>IF(ISBLANK(CK46),"NO DATA",IF(ISNUMBER(FIND(CODES!$A$12,CK46)),CODES!$A$12,IF(OR(ISNUMBER(FIND(CODES!$A$10,CK46)),ISNUMBER(FIND(CODES!$A$11,CK46))),CODES!$A$13,IF(OR(CK46&lt;CK$63,ISNUMBER(CK46)=FALSE),CK$64,CK46))))</f>
      </c>
      <c r="CL98" s="9" t="str">
        <f>IF(ISBLANK(CL46),"NO DATA",IF(ISNUMBER(FIND(CODES!$A$12,CL46)),CODES!$A$12,IF(OR(ISNUMBER(FIND(CODES!$A$10,CL46)),ISNUMBER(FIND(CODES!$A$11,CL46))),CODES!$A$13,IF(OR(CL46&lt;CL$63,ISNUMBER(CL46)=FALSE),CL$64,CL46))))</f>
      </c>
      <c r="CM98" s="9" t="str">
        <f>IF(ISBLANK(CM46),"NO DATA",IF(ISNUMBER(FIND(CODES!$A$12,CM46)),CODES!$A$12,IF(OR(ISNUMBER(FIND(CODES!$A$10,CM46)),ISNUMBER(FIND(CODES!$A$11,CM46))),CODES!$A$13,IF(OR(CM46&lt;CM$63,ISNUMBER(CM46)=FALSE),CM$64,CM46))))</f>
      </c>
      <c r="CN98" s="9" t="str">
        <f>IF(ISBLANK(CN46),"NO DATA",IF(ISNUMBER(FIND(CODES!$A$12,CN46)),CODES!$A$12,IF(OR(ISNUMBER(FIND(CODES!$A$10,CN46)),ISNUMBER(FIND(CODES!$A$11,CN46))),CODES!$A$13,IF(OR(CN46&lt;CN$63,ISNUMBER(CN46)=FALSE),CN$64,CN46))))</f>
      </c>
      <c r="CO98" s="9" t="str">
        <f>IF(ISBLANK(CO46),"NO DATA",IF(ISNUMBER(FIND(CODES!$A$12,CO46)),CODES!$A$12,IF(OR(ISNUMBER(FIND(CODES!$A$10,CO46)),ISNUMBER(FIND(CODES!$A$11,CO46))),CODES!$A$13,IF(OR(CO46&lt;CO$63,ISNUMBER(CO46)=FALSE),CO$64,CO46))))</f>
      </c>
      <c r="CP98" s="9" t="str">
        <f>IF(ISBLANK(CP46),"NO DATA",IF(ISNUMBER(FIND(CODES!$A$12,CP46)),CODES!$A$12,IF(OR(ISNUMBER(FIND(CODES!$A$10,CP46)),ISNUMBER(FIND(CODES!$A$11,CP46))),CODES!$A$13,IF(OR(CP46&lt;CP$63,ISNUMBER(CP46)=FALSE),CP$64,CP46))))</f>
      </c>
      <c r="CQ98" s="9" t="str">
        <f>IF(ISBLANK(CQ46),"NO DATA",IF(ISNUMBER(FIND(CODES!$A$12,CQ46)),CODES!$A$12,IF(OR(ISNUMBER(FIND(CODES!$A$10,CQ46)),ISNUMBER(FIND(CODES!$A$11,CQ46))),CODES!$A$13,IF(OR(CQ46&lt;CQ$63,ISNUMBER(CQ46)=FALSE),CQ$64,CQ46))))</f>
      </c>
      <c r="CR98" s="9" t="str">
        <f>IF(ISBLANK(CR46),"NO DATA",IF(ISNUMBER(FIND(CODES!$A$12,CR46)),CODES!$A$12,IF(OR(ISNUMBER(FIND(CODES!$A$10,CR46)),ISNUMBER(FIND(CODES!$A$11,CR46))),CODES!$A$13,IF(OR(CR46&lt;CR$63,ISNUMBER(CR46)=FALSE),CR$64,CR46))))</f>
      </c>
      <c r="CS98" s="9" t="str">
        <f>IF(ISBLANK(CS46),"NO DATA",IF(ISNUMBER(FIND(CODES!$A$12,CS46)),CODES!$A$12,IF(OR(ISNUMBER(FIND(CODES!$A$10,CS46)),ISNUMBER(FIND(CODES!$A$11,CS46))),CODES!$A$13,IF(OR(CS46&lt;CS$63,ISNUMBER(CS46)=FALSE),CS$64,CS46))))</f>
      </c>
      <c r="CT98" s="9" t="str">
        <f>IF(ISBLANK(CT46),"NO DATA",IF(ISNUMBER(FIND(CODES!$A$12,CT46)),CODES!$A$12,IF(OR(ISNUMBER(FIND(CODES!$A$10,CT46)),ISNUMBER(FIND(CODES!$A$11,CT46))),CODES!$A$13,IF(OR(CT46&lt;CT$63,ISNUMBER(CT46)=FALSE),CT$64,CT46))))</f>
      </c>
      <c r="CU98" s="9" t="str">
        <f>IF(ISBLANK(CU46),"NO DATA",IF(ISNUMBER(FIND(CODES!$A$12,CU46)),CODES!$A$12,IF(OR(ISNUMBER(FIND(CODES!$A$10,CU46)),ISNUMBER(FIND(CODES!$A$11,CU46))),CODES!$A$13,IF(OR(CU46&lt;CU$63,ISNUMBER(CU46)=FALSE),CU$64,CU46))))</f>
      </c>
      <c r="CV98" s="9" t="str">
        <f>IF(ISBLANK(CV46),"NO DATA",IF(ISNUMBER(FIND(CODES!$A$12,CV46)),CODES!$A$12,IF(OR(ISNUMBER(FIND(CODES!$A$10,CV46)),ISNUMBER(FIND(CODES!$A$11,CV46))),CODES!$A$13,IF(OR(CV46&lt;CV$63,ISNUMBER(CV46)=FALSE),CV$64,CV46))))</f>
      </c>
      <c r="CW98" s="9" t="str">
        <f>IF(ISBLANK(CW46),"NO DATA",IF(ISNUMBER(FIND(CODES!$A$12,CW46)),CODES!$A$12,IF(OR(ISNUMBER(FIND(CODES!$A$10,CW46)),ISNUMBER(FIND(CODES!$A$11,CW46))),CODES!$A$13,IF(OR(CW46&lt;CW$63,ISNUMBER(CW46)=FALSE),CW$64,CW46))))</f>
      </c>
      <c r="CX98" s="9" t="str">
        <f>IF(ISBLANK(CX46),"NO DATA",IF(ISNUMBER(FIND(CODES!$A$12,CX46)),CODES!$A$12,IF(OR(ISNUMBER(FIND(CODES!$A$10,CX46)),ISNUMBER(FIND(CODES!$A$11,CX46))),CODES!$A$13,IF(OR(CX46&lt;CX$63,ISNUMBER(CX46)=FALSE),CX$64,CX46))))</f>
      </c>
      <c r="CY98" s="9" t="str">
        <f>IF(ISBLANK(CY46),"NO DATA",IF(ISNUMBER(FIND(CODES!$A$12,CY46)),CODES!$A$12,IF(OR(ISNUMBER(FIND(CODES!$A$10,CY46)),ISNUMBER(FIND(CODES!$A$11,CY46))),CODES!$A$13,IF(OR(CY46&lt;CY$63,ISNUMBER(CY46)=FALSE),CY$64,CY46))))</f>
      </c>
      <c r="CZ98" s="9" t="str">
        <f>IF(ISBLANK(CZ46),"NO DATA",IF(ISNUMBER(FIND(CODES!$A$12,CZ46)),CODES!$A$12,IF(OR(ISNUMBER(FIND(CODES!$A$10,CZ46)),ISNUMBER(FIND(CODES!$A$11,CZ46))),CODES!$A$13,IF(OR(CZ46&lt;CZ$63,ISNUMBER(CZ46)=FALSE),CZ$64,CZ46))))</f>
      </c>
      <c r="DA98" s="9" t="str">
        <f>IF(ISBLANK(DA46),"NO DATA",IF(ISNUMBER(FIND(CODES!$A$12,DA46)),CODES!$A$12,IF(OR(ISNUMBER(FIND(CODES!$A$10,DA46)),ISNUMBER(FIND(CODES!$A$11,DA46))),CODES!$A$13,IF(OR(DA46&lt;DA$63,ISNUMBER(DA46)=FALSE),DA$64,DA46))))</f>
      </c>
      <c r="DB98" s="9" t="str">
        <f>IF(ISBLANK(DB46),"NO DATA",IF(ISNUMBER(FIND(CODES!$A$12,DB46)),CODES!$A$12,IF(OR(ISNUMBER(FIND(CODES!$A$10,DB46)),ISNUMBER(FIND(CODES!$A$11,DB46))),CODES!$A$13,IF(OR(DB46&lt;DB$63,ISNUMBER(DB46)=FALSE),DB$64,DB46))))</f>
      </c>
      <c r="DC98" s="9" t="str">
        <f>IF(ISBLANK(DC46),"NO DATA",IF(ISNUMBER(FIND(CODES!$A$12,DC46)),CODES!$A$12,IF(OR(ISNUMBER(FIND(CODES!$A$10,DC46)),ISNUMBER(FIND(CODES!$A$11,DC46))),CODES!$A$13,IF(OR(DC46&lt;DC$63,ISNUMBER(DC46)=FALSE),DC$64,DC46))))</f>
      </c>
      <c r="DD98" s="9" t="str">
        <f>IF(ISBLANK(DD46),"NO DATA",IF(ISNUMBER(FIND(CODES!$A$12,DD46)),CODES!$A$12,IF(OR(ISNUMBER(FIND(CODES!$A$10,DD46)),ISNUMBER(FIND(CODES!$A$11,DD46))),CODES!$A$13,IF(OR(DD46&lt;DD$63,ISNUMBER(DD46)=FALSE),DD$64,DD46))))</f>
      </c>
      <c r="DE98" s="9" t="str">
        <f>IF(ISBLANK(DE46),"NO DATA",IF(ISNUMBER(FIND(CODES!$A$12,DE46)),CODES!$A$12,IF(OR(ISNUMBER(FIND(CODES!$A$10,DE46)),ISNUMBER(FIND(CODES!$A$11,DE46))),CODES!$A$13,IF(OR(DE46&lt;DE$63,ISNUMBER(DE46)=FALSE),DE$64,DE46))))</f>
      </c>
      <c r="DF98" s="9" t="str">
        <f>IF(ISBLANK(DF46),"NO DATA",IF(ISNUMBER(FIND(CODES!$A$12,DF46)),CODES!$A$12,IF(OR(ISNUMBER(FIND(CODES!$A$10,DF46)),ISNUMBER(FIND(CODES!$A$11,DF46))),CODES!$A$13,IF(OR(DF46&lt;DF$63,ISNUMBER(DF46)=FALSE),DF$64,DF46))))</f>
      </c>
      <c r="DG98" s="9" t="str">
        <f>IF(ISBLANK(DG46),"NO DATA",IF(ISNUMBER(FIND(CODES!$A$12,DG46)),CODES!$A$12,IF(OR(ISNUMBER(FIND(CODES!$A$10,DG46)),ISNUMBER(FIND(CODES!$A$11,DG46))),CODES!$A$13,IF(OR(DG46&lt;DG$63,ISNUMBER(DG46)=FALSE),DG$64,DG46))))</f>
      </c>
      <c r="DH98" s="9" t="str">
        <f>IF(ISBLANK(DH46),"NO DATA",IF(ISNUMBER(FIND(CODES!$A$12,DH46)),CODES!$A$12,IF(OR(ISNUMBER(FIND(CODES!$A$10,DH46)),ISNUMBER(FIND(CODES!$A$11,DH46))),CODES!$A$13,IF(OR(DH46&lt;DH$63,ISNUMBER(DH46)=FALSE),DH$64,DH46))))</f>
      </c>
      <c r="DI98" s="9" t="str">
        <f>IF(ISBLANK(DI46),"NO DATA",IF(ISNUMBER(FIND(CODES!$A$12,DI46)),CODES!$A$12,IF(OR(ISNUMBER(FIND(CODES!$A$10,DI46)),ISNUMBER(FIND(CODES!$A$11,DI46))),CODES!$A$13,IF(OR(DI46&lt;DI$63,ISNUMBER(DI46)=FALSE),DI$64,DI46))))</f>
      </c>
    </row>
    <row r="99" spans="1:113" x14ac:dyDescent="0.25">
      <c r="A99" s="20" t="str">
        <f t="shared" si="5"/>
      </c>
      <c r="B99" s="20">
        <f t="shared" si="5"/>
      </c>
      <c r="C99" s="9" t="str">
        <f>IF(ISBLANK(C47),"NO DATA",IF(ISNUMBER(FIND(CODES!$A$12,C47)),CODES!$A$12,IF(OR(ISNUMBER(FIND(CODES!$A$10,C47)),ISNUMBER(FIND(CODES!$A$11,C47))),CODES!$A$13,IF(OR(C47&lt;C$63,ISNUMBER(C47)=FALSE),C$64,C47))))</f>
      </c>
      <c r="D99" s="9" t="str">
        <f>IF(ISBLANK(D47),"NO DATA",IF(ISNUMBER(FIND(CODES!$A$12,D47)),CODES!$A$12,IF(OR(ISNUMBER(FIND(CODES!$A$10,D47)),ISNUMBER(FIND(CODES!$A$11,D47))),CODES!$A$13,IF(OR(D47&lt;D$63,ISNUMBER(D47)=FALSE),D$64,D47))))</f>
      </c>
      <c r="E99" s="9" t="str">
        <f>IF(ISBLANK(E47),"NO DATA",IF(ISNUMBER(FIND(CODES!$A$12,E47)),CODES!$A$12,IF(OR(ISNUMBER(FIND(CODES!$A$10,E47)),ISNUMBER(FIND(CODES!$A$11,E47))),CODES!$A$13,IF(OR(E47&lt;E$63,ISNUMBER(E47)=FALSE),E$64,E47))))</f>
      </c>
      <c r="F99" s="9" t="str">
        <f>IF(ISBLANK(F47),"NO DATA",IF(ISNUMBER(FIND(CODES!$A$12,F47)),CODES!$A$12,IF(OR(ISNUMBER(FIND(CODES!$A$10,F47)),ISNUMBER(FIND(CODES!$A$11,F47))),CODES!$A$13,IF(OR(F47&lt;F$63,ISNUMBER(F47)=FALSE),F$64,F47))))</f>
      </c>
      <c r="G99" s="9" t="str">
        <f>IF(ISBLANK(G47),"NO DATA",IF(ISNUMBER(FIND(CODES!$A$12,G47)),CODES!$A$12,IF(OR(ISNUMBER(FIND(CODES!$A$10,G47)),ISNUMBER(FIND(CODES!$A$11,G47))),CODES!$A$13,IF(OR(G47&lt;G$63,ISNUMBER(G47)=FALSE),G$64,G47))))</f>
      </c>
      <c r="H99" s="9" t="str">
        <f>IF(ISBLANK(H47),"NO DATA",IF(ISNUMBER(FIND(CODES!$A$12,H47)),CODES!$A$12,IF(OR(ISNUMBER(FIND(CODES!$A$10,H47)),ISNUMBER(FIND(CODES!$A$11,H47))),CODES!$A$13,IF(OR(H47&lt;H$63,ISNUMBER(H47)=FALSE),H$64,H47))))</f>
      </c>
      <c r="I99" s="9" t="str">
        <f>IF(ISBLANK(I47),"NO DATA",IF(ISNUMBER(FIND(CODES!$A$12,I47)),CODES!$A$12,IF(OR(ISNUMBER(FIND(CODES!$A$10,I47)),ISNUMBER(FIND(CODES!$A$11,I47))),CODES!$A$13,IF(OR(I47&lt;I$63,ISNUMBER(I47)=FALSE),I$64,I47))))</f>
      </c>
      <c r="J99" s="9" t="str">
        <f>IF(ISBLANK(J47),"NO DATA",IF(ISNUMBER(FIND(CODES!$A$12,J47)),CODES!$A$12,IF(OR(ISNUMBER(FIND(CODES!$A$10,J47)),ISNUMBER(FIND(CODES!$A$11,J47))),CODES!$A$13,IF(OR(J47&lt;J$63,ISNUMBER(J47)=FALSE),J$64,J47))))</f>
      </c>
      <c r="K99" s="9" t="str">
        <f>IF(ISBLANK(K47),"NO DATA",IF(ISNUMBER(FIND(CODES!$A$12,K47)),CODES!$A$12,IF(OR(ISNUMBER(FIND(CODES!$A$10,K47)),ISNUMBER(FIND(CODES!$A$11,K47))),CODES!$A$13,IF(OR(K47&lt;K$63,ISNUMBER(K47)=FALSE),K$64,K47))))</f>
      </c>
      <c r="L99" s="9" t="str">
        <f>IF(ISBLANK(L47),"NO DATA",IF(ISNUMBER(FIND(CODES!$A$12,L47)),CODES!$A$12,IF(OR(ISNUMBER(FIND(CODES!$A$10,L47)),ISNUMBER(FIND(CODES!$A$11,L47))),CODES!$A$13,IF(OR(L47&lt;L$63,ISNUMBER(L47)=FALSE),L$64,L47))))</f>
      </c>
      <c r="M99" s="9" t="str">
        <f>IF(ISBLANK(M47),"NO DATA",IF(ISNUMBER(FIND(CODES!$A$12,M47)),CODES!$A$12,IF(OR(ISNUMBER(FIND(CODES!$A$10,M47)),ISNUMBER(FIND(CODES!$A$11,M47))),CODES!$A$13,IF(OR(M47&lt;M$63,ISNUMBER(M47)=FALSE),M$64,M47))))</f>
      </c>
      <c r="N99" s="9" t="str">
        <f>IF(ISBLANK(N47),"NO DATA",IF(ISNUMBER(FIND(CODES!$A$12,N47)),CODES!$A$12,IF(OR(ISNUMBER(FIND(CODES!$A$10,N47)),ISNUMBER(FIND(CODES!$A$11,N47))),CODES!$A$13,IF(OR(N47&lt;N$63,ISNUMBER(N47)=FALSE),N$64,N47))))</f>
      </c>
      <c r="O99" s="9" t="str">
        <f>IF(ISBLANK(O47),"NO DATA",IF(ISNUMBER(FIND(CODES!$A$12,O47)),CODES!$A$12,IF(OR(ISNUMBER(FIND(CODES!$A$10,O47)),ISNUMBER(FIND(CODES!$A$11,O47))),CODES!$A$13,IF(OR(O47&lt;O$63,ISNUMBER(O47)=FALSE),O$64,O47))))</f>
      </c>
      <c r="P99" s="9" t="str">
        <f>IF(ISBLANK(P47),"NO DATA",IF(ISNUMBER(FIND(CODES!$A$12,P47)),CODES!$A$12,IF(OR(ISNUMBER(FIND(CODES!$A$10,P47)),ISNUMBER(FIND(CODES!$A$11,P47))),CODES!$A$13,IF(OR(P47&lt;P$63,ISNUMBER(P47)=FALSE),P$64,P47))))</f>
      </c>
      <c r="Q99" s="9" t="str">
        <f>IF(ISBLANK(Q47),"NO DATA",IF(ISNUMBER(FIND(CODES!$A$12,Q47)),CODES!$A$12,IF(OR(ISNUMBER(FIND(CODES!$A$10,Q47)),ISNUMBER(FIND(CODES!$A$11,Q47))),CODES!$A$13,IF(OR(Q47&lt;Q$63,ISNUMBER(Q47)=FALSE),Q$64,Q47))))</f>
      </c>
      <c r="R99" s="9" t="str">
        <f>IF(ISBLANK(R47),"NO DATA",IF(ISNUMBER(FIND(CODES!$A$12,R47)),CODES!$A$12,IF(OR(ISNUMBER(FIND(CODES!$A$10,R47)),ISNUMBER(FIND(CODES!$A$11,R47))),CODES!$A$13,IF(OR(R47&lt;R$63,ISNUMBER(R47)=FALSE),R$64,R47))))</f>
      </c>
      <c r="S99" s="9" t="str">
        <f>IF(ISBLANK(S47),"NO DATA",IF(ISNUMBER(FIND(CODES!$A$12,S47)),CODES!$A$12,IF(OR(ISNUMBER(FIND(CODES!$A$10,S47)),ISNUMBER(FIND(CODES!$A$11,S47))),CODES!$A$13,IF(OR(S47&lt;S$63,ISNUMBER(S47)=FALSE),S$64,S47))))</f>
      </c>
      <c r="T99" s="9" t="str">
        <f>IF(ISBLANK(T47),"NO DATA",IF(ISNUMBER(FIND(CODES!$A$12,T47)),CODES!$A$12,IF(OR(ISNUMBER(FIND(CODES!$A$10,T47)),ISNUMBER(FIND(CODES!$A$11,T47))),CODES!$A$13,IF(OR(T47&lt;T$63,ISNUMBER(T47)=FALSE),T$64,T47))))</f>
      </c>
      <c r="U99" s="9" t="str">
        <f>IF(ISBLANK(U47),"NO DATA",IF(ISNUMBER(FIND(CODES!$A$12,U47)),CODES!$A$12,IF(OR(ISNUMBER(FIND(CODES!$A$10,U47)),ISNUMBER(FIND(CODES!$A$11,U47))),CODES!$A$13,IF(OR(U47&lt;U$63,ISNUMBER(U47)=FALSE),U$64,U47))))</f>
      </c>
      <c r="V99" s="9" t="str">
        <f>IF(ISBLANK(V47),"NO DATA",IF(ISNUMBER(FIND(CODES!$A$12,V47)),CODES!$A$12,IF(OR(ISNUMBER(FIND(CODES!$A$10,V47)),ISNUMBER(FIND(CODES!$A$11,V47))),CODES!$A$13,IF(OR(V47&lt;V$63,ISNUMBER(V47)=FALSE),V$64,V47))))</f>
      </c>
      <c r="W99" s="9" t="str">
        <f>IF(ISBLANK(W47),"NO DATA",IF(ISNUMBER(FIND(CODES!$A$12,W47)),CODES!$A$12,IF(OR(ISNUMBER(FIND(CODES!$A$10,W47)),ISNUMBER(FIND(CODES!$A$11,W47))),CODES!$A$13,IF(OR(W47&lt;W$63,ISNUMBER(W47)=FALSE),W$64,W47))))</f>
      </c>
      <c r="X99" s="9" t="str">
        <f>IF(ISBLANK(X47),"NO DATA",IF(ISNUMBER(FIND(CODES!$A$12,X47)),CODES!$A$12,IF(OR(ISNUMBER(FIND(CODES!$A$10,X47)),ISNUMBER(FIND(CODES!$A$11,X47))),CODES!$A$13,IF(OR(X47&lt;X$63,ISNUMBER(X47)=FALSE),X$64,X47))))</f>
      </c>
      <c r="Y99" s="9" t="str">
        <f>IF(ISBLANK(Y47),"NO DATA",IF(ISNUMBER(FIND(CODES!$A$12,Y47)),CODES!$A$12,IF(OR(ISNUMBER(FIND(CODES!$A$10,Y47)),ISNUMBER(FIND(CODES!$A$11,Y47))),CODES!$A$13,IF(OR(Y47&lt;Y$63,ISNUMBER(Y47)=FALSE),Y$64,Y47))))</f>
      </c>
      <c r="Z99" s="9" t="str">
        <f>IF(ISBLANK(Z47),"NO DATA",IF(ISNUMBER(FIND(CODES!$A$12,Z47)),CODES!$A$12,IF(OR(ISNUMBER(FIND(CODES!$A$10,Z47)),ISNUMBER(FIND(CODES!$A$11,Z47))),CODES!$A$13,IF(OR(Z47&lt;Z$63,ISNUMBER(Z47)=FALSE),Z$64,Z47))))</f>
      </c>
      <c r="AA99" s="9" t="str">
        <f>IF(ISBLANK(AA47),"NO DATA",IF(ISNUMBER(FIND(CODES!$A$12,AA47)),CODES!$A$12,IF(OR(ISNUMBER(FIND(CODES!$A$10,AA47)),ISNUMBER(FIND(CODES!$A$11,AA47))),CODES!$A$13,IF(OR(AA47&lt;AA$63,ISNUMBER(AA47)=FALSE),AA$64,AA47))))</f>
      </c>
      <c r="AB99" s="9" t="str">
        <f>IF(ISBLANK(AB47),"NO DATA",IF(ISNUMBER(FIND(CODES!$A$12,AB47)),CODES!$A$12,IF(OR(ISNUMBER(FIND(CODES!$A$10,AB47)),ISNUMBER(FIND(CODES!$A$11,AB47))),CODES!$A$13,IF(OR(AB47&lt;AB$63,ISNUMBER(AB47)=FALSE),AB$64,AB47))))</f>
      </c>
      <c r="AC99" s="9" t="str">
        <f>IF(ISBLANK(AC47),"NO DATA",IF(ISNUMBER(FIND(CODES!$A$12,AC47)),CODES!$A$12,IF(OR(ISNUMBER(FIND(CODES!$A$10,AC47)),ISNUMBER(FIND(CODES!$A$11,AC47))),CODES!$A$13,IF(OR(AC47&lt;AC$63,ISNUMBER(AC47)=FALSE),AC$64,AC47))))</f>
      </c>
      <c r="AD99" s="9" t="str">
        <f>IF(ISBLANK(AD47),"NO DATA",IF(ISNUMBER(FIND(CODES!$A$12,AD47)),CODES!$A$12,IF(OR(ISNUMBER(FIND(CODES!$A$10,AD47)),ISNUMBER(FIND(CODES!$A$11,AD47))),CODES!$A$13,IF(OR(AD47&lt;AD$63,ISNUMBER(AD47)=FALSE),AD$64,AD47))))</f>
      </c>
      <c r="AE99" s="9" t="str">
        <f>IF(ISBLANK(AE47),"NO DATA",IF(ISNUMBER(FIND(CODES!$A$12,AE47)),CODES!$A$12,IF(OR(ISNUMBER(FIND(CODES!$A$10,AE47)),ISNUMBER(FIND(CODES!$A$11,AE47))),CODES!$A$13,IF(OR(AE47&lt;AE$63,ISNUMBER(AE47)=FALSE),AE$64,AE47))))</f>
      </c>
      <c r="AF99" s="9" t="str">
        <f>IF(ISBLANK(AF47),"NO DATA",IF(ISNUMBER(FIND(CODES!$A$12,AF47)),CODES!$A$12,IF(OR(ISNUMBER(FIND(CODES!$A$10,AF47)),ISNUMBER(FIND(CODES!$A$11,AF47))),CODES!$A$13,IF(OR(AF47&lt;AF$63,ISNUMBER(AF47)=FALSE),AF$64,AF47))))</f>
      </c>
      <c r="AG99" s="9" t="str">
        <f>IF(ISBLANK(AG47),"NO DATA",IF(ISNUMBER(FIND(CODES!$A$12,AG47)),CODES!$A$12,IF(OR(ISNUMBER(FIND(CODES!$A$10,AG47)),ISNUMBER(FIND(CODES!$A$11,AG47))),CODES!$A$13,IF(OR(AG47&lt;AG$63,ISNUMBER(AG47)=FALSE),AG$64,AG47))))</f>
      </c>
      <c r="AH99" s="9" t="str">
        <f>IF(ISBLANK(AH47),"NO DATA",IF(ISNUMBER(FIND(CODES!$A$12,AH47)),CODES!$A$12,IF(OR(ISNUMBER(FIND(CODES!$A$10,AH47)),ISNUMBER(FIND(CODES!$A$11,AH47))),CODES!$A$13,IF(OR(AH47&lt;AH$63,ISNUMBER(AH47)=FALSE),AH$64,AH47))))</f>
      </c>
      <c r="AI99" s="9" t="str">
        <f>IF(ISBLANK(AI47),"NO DATA",IF(ISNUMBER(FIND(CODES!$A$12,AI47)),CODES!$A$12,IF(OR(ISNUMBER(FIND(CODES!$A$10,AI47)),ISNUMBER(FIND(CODES!$A$11,AI47))),CODES!$A$13,IF(OR(AI47&lt;AI$63,ISNUMBER(AI47)=FALSE),AI$64,AI47))))</f>
      </c>
      <c r="AJ99" s="9" t="str">
        <f>IF(ISBLANK(AJ47),"NO DATA",IF(ISNUMBER(FIND(CODES!$A$12,AJ47)),CODES!$A$12,IF(OR(ISNUMBER(FIND(CODES!$A$10,AJ47)),ISNUMBER(FIND(CODES!$A$11,AJ47))),CODES!$A$13,IF(OR(AJ47&lt;AJ$63,ISNUMBER(AJ47)=FALSE),AJ$64,AJ47))))</f>
      </c>
      <c r="AK99" s="9" t="str">
        <f>IF(ISBLANK(AK47),"NO DATA",IF(ISNUMBER(FIND(CODES!$A$12,AK47)),CODES!$A$12,IF(OR(ISNUMBER(FIND(CODES!$A$10,AK47)),ISNUMBER(FIND(CODES!$A$11,AK47))),CODES!$A$13,IF(OR(AK47&lt;AK$63,ISNUMBER(AK47)=FALSE),AK$64,AK47))))</f>
      </c>
      <c r="AL99" s="9" t="str">
        <f>IF(ISBLANK(AL47),"NO DATA",IF(ISNUMBER(FIND(CODES!$A$12,AL47)),CODES!$A$12,IF(OR(ISNUMBER(FIND(CODES!$A$10,AL47)),ISNUMBER(FIND(CODES!$A$11,AL47))),CODES!$A$13,IF(OR(AL47&lt;AL$63,ISNUMBER(AL47)=FALSE),AL$64,AL47))))</f>
      </c>
      <c r="AM99" s="9" t="str">
        <f>IF(ISBLANK(AM47),"NO DATA",IF(ISNUMBER(FIND(CODES!$A$12,AM47)),CODES!$A$12,IF(OR(ISNUMBER(FIND(CODES!$A$10,AM47)),ISNUMBER(FIND(CODES!$A$11,AM47))),CODES!$A$13,IF(OR(AM47&lt;AM$63,ISNUMBER(AM47)=FALSE),AM$64,AM47))))</f>
      </c>
      <c r="AN99" s="9" t="str">
        <f>IF(ISBLANK(AN47),"NO DATA",IF(ISNUMBER(FIND(CODES!$A$12,AN47)),CODES!$A$12,IF(OR(ISNUMBER(FIND(CODES!$A$10,AN47)),ISNUMBER(FIND(CODES!$A$11,AN47))),CODES!$A$13,IF(OR(AN47&lt;AN$63,ISNUMBER(AN47)=FALSE),AN$64,AN47))))</f>
      </c>
      <c r="AO99" s="9" t="str">
        <f>IF(ISBLANK(AO47),"NO DATA",IF(ISNUMBER(FIND(CODES!$A$12,AO47)),CODES!$A$12,IF(OR(ISNUMBER(FIND(CODES!$A$10,AO47)),ISNUMBER(FIND(CODES!$A$11,AO47))),CODES!$A$13,IF(OR(AO47&lt;AO$63,ISNUMBER(AO47)=FALSE),AO$64,AO47))))</f>
      </c>
      <c r="AP99" s="9" t="str">
        <f>IF(ISBLANK(AP47),"NO DATA",IF(ISNUMBER(FIND(CODES!$A$12,AP47)),CODES!$A$12,IF(OR(ISNUMBER(FIND(CODES!$A$10,AP47)),ISNUMBER(FIND(CODES!$A$11,AP47))),CODES!$A$13,IF(OR(AP47&lt;AP$63,ISNUMBER(AP47)=FALSE),AP$64,AP47))))</f>
      </c>
      <c r="AQ99" s="9" t="str">
        <f>IF(ISBLANK(AQ47),"NO DATA",IF(ISNUMBER(FIND(CODES!$A$12,AQ47)),CODES!$A$12,IF(OR(ISNUMBER(FIND(CODES!$A$10,AQ47)),ISNUMBER(FIND(CODES!$A$11,AQ47))),CODES!$A$13,IF(OR(AQ47&lt;AQ$63,ISNUMBER(AQ47)=FALSE),AQ$64,AQ47))))</f>
      </c>
      <c r="AR99" s="9" t="str">
        <f>IF(ISBLANK(AR47),"NO DATA",IF(ISNUMBER(FIND(CODES!$A$12,AR47)),CODES!$A$12,IF(OR(ISNUMBER(FIND(CODES!$A$10,AR47)),ISNUMBER(FIND(CODES!$A$11,AR47))),CODES!$A$13,IF(OR(AR47&lt;AR$63,ISNUMBER(AR47)=FALSE),AR$64,AR47))))</f>
      </c>
      <c r="AS99" s="9" t="str">
        <f>IF(ISBLANK(AS47),"NO DATA",IF(ISNUMBER(FIND(CODES!$A$12,AS47)),CODES!$A$12,IF(OR(ISNUMBER(FIND(CODES!$A$10,AS47)),ISNUMBER(FIND(CODES!$A$11,AS47))),CODES!$A$13,IF(OR(AS47&lt;AS$63,ISNUMBER(AS47)=FALSE),AS$64,AS47))))</f>
      </c>
      <c r="AT99" s="9" t="str">
        <f>IF(ISBLANK(AT47),"NO DATA",IF(ISNUMBER(FIND(CODES!$A$12,AT47)),CODES!$A$12,IF(OR(ISNUMBER(FIND(CODES!$A$10,AT47)),ISNUMBER(FIND(CODES!$A$11,AT47))),CODES!$A$13,IF(OR(AT47&lt;AT$63,ISNUMBER(AT47)=FALSE),AT$64,AT47))))</f>
      </c>
      <c r="AU99" s="9" t="str">
        <f>IF(ISBLANK(AU47),"NO DATA",IF(ISNUMBER(FIND(CODES!$A$12,AU47)),CODES!$A$12,IF(OR(ISNUMBER(FIND(CODES!$A$10,AU47)),ISNUMBER(FIND(CODES!$A$11,AU47))),CODES!$A$13,IF(OR(AU47&lt;AU$63,ISNUMBER(AU47)=FALSE),AU$64,AU47))))</f>
      </c>
      <c r="AV99" s="9" t="str">
        <f>IF(ISBLANK(AV47),"NO DATA",IF(ISNUMBER(FIND(CODES!$A$12,AV47)),CODES!$A$12,IF(OR(ISNUMBER(FIND(CODES!$A$10,AV47)),ISNUMBER(FIND(CODES!$A$11,AV47))),CODES!$A$13,IF(OR(AV47&lt;AV$63,ISNUMBER(AV47)=FALSE),AV$64,AV47))))</f>
      </c>
      <c r="AW99" s="9" t="str">
        <f>IF(ISBLANK(AW47),"NO DATA",IF(ISNUMBER(FIND(CODES!$A$12,AW47)),CODES!$A$12,IF(OR(ISNUMBER(FIND(CODES!$A$10,AW47)),ISNUMBER(FIND(CODES!$A$11,AW47))),CODES!$A$13,IF(OR(AW47&lt;AW$63,ISNUMBER(AW47)=FALSE),AW$64,AW47))))</f>
      </c>
      <c r="AX99" s="9" t="str">
        <f>IF(ISBLANK(AX47),"NO DATA",IF(ISNUMBER(FIND(CODES!$A$12,AX47)),CODES!$A$12,IF(OR(ISNUMBER(FIND(CODES!$A$10,AX47)),ISNUMBER(FIND(CODES!$A$11,AX47))),CODES!$A$13,IF(OR(AX47&lt;AX$63,ISNUMBER(AX47)=FALSE),AX$64,AX47))))</f>
      </c>
      <c r="AY99" s="9" t="str">
        <f>IF(ISBLANK(AY47),"NO DATA",IF(ISNUMBER(FIND(CODES!$A$12,AY47)),CODES!$A$12,IF(OR(ISNUMBER(FIND(CODES!$A$10,AY47)),ISNUMBER(FIND(CODES!$A$11,AY47))),CODES!$A$13,IF(OR(AY47&lt;AY$63,ISNUMBER(AY47)=FALSE),AY$64,AY47))))</f>
      </c>
      <c r="AZ99" s="9" t="str">
        <f>IF(ISBLANK(AZ47),"NO DATA",IF(ISNUMBER(FIND(CODES!$A$12,AZ47)),CODES!$A$12,IF(OR(ISNUMBER(FIND(CODES!$A$10,AZ47)),ISNUMBER(FIND(CODES!$A$11,AZ47))),CODES!$A$13,IF(OR(AZ47&lt;AZ$63,ISNUMBER(AZ47)=FALSE),AZ$64,AZ47))))</f>
      </c>
      <c r="BA99" s="9" t="str">
        <f>IF(ISBLANK(BA47),"NO DATA",IF(ISNUMBER(FIND(CODES!$A$12,BA47)),CODES!$A$12,IF(OR(ISNUMBER(FIND(CODES!$A$10,BA47)),ISNUMBER(FIND(CODES!$A$11,BA47))),CODES!$A$13,IF(OR(BA47&lt;BA$63,ISNUMBER(BA47)=FALSE),BA$64,BA47))))</f>
      </c>
      <c r="BB99" s="9" t="str">
        <f>IF(ISBLANK(BB47),"NO DATA",IF(ISNUMBER(FIND(CODES!$A$12,BB47)),CODES!$A$12,IF(OR(ISNUMBER(FIND(CODES!$A$10,BB47)),ISNUMBER(FIND(CODES!$A$11,BB47))),CODES!$A$13,IF(OR(BB47&lt;BB$63,ISNUMBER(BB47)=FALSE),BB$64,BB47))))</f>
      </c>
      <c r="BC99" s="9" t="str">
        <f>IF(ISBLANK(BC47),"NO DATA",IF(ISNUMBER(FIND(CODES!$A$12,BC47)),CODES!$A$12,IF(OR(ISNUMBER(FIND(CODES!$A$10,BC47)),ISNUMBER(FIND(CODES!$A$11,BC47))),CODES!$A$13,IF(OR(BC47&lt;BC$63,ISNUMBER(BC47)=FALSE),BC$64,BC47))))</f>
      </c>
      <c r="BD99" s="9" t="str">
        <f>IF(ISBLANK(BD47),"NO DATA",IF(ISNUMBER(FIND(CODES!$A$12,BD47)),CODES!$A$12,IF(OR(ISNUMBER(FIND(CODES!$A$10,BD47)),ISNUMBER(FIND(CODES!$A$11,BD47))),CODES!$A$13,IF(OR(BD47&lt;BD$63,ISNUMBER(BD47)=FALSE),BD$64,BD47))))</f>
      </c>
      <c r="BE99" s="9" t="str">
        <f>IF(ISBLANK(BE47),"NO DATA",IF(ISNUMBER(FIND(CODES!$A$12,BE47)),CODES!$A$12,IF(OR(ISNUMBER(FIND(CODES!$A$10,BE47)),ISNUMBER(FIND(CODES!$A$11,BE47))),CODES!$A$13,IF(OR(BE47&lt;BE$63,ISNUMBER(BE47)=FALSE),BE$64,BE47))))</f>
      </c>
      <c r="BF99" s="9" t="str">
        <f>IF(ISBLANK(BF47),"NO DATA",IF(ISNUMBER(FIND(CODES!$A$12,BF47)),CODES!$A$12,IF(OR(ISNUMBER(FIND(CODES!$A$10,BF47)),ISNUMBER(FIND(CODES!$A$11,BF47))),CODES!$A$13,IF(OR(BF47&lt;BF$63,ISNUMBER(BF47)=FALSE),BF$64,BF47))))</f>
      </c>
      <c r="BG99" s="9" t="str">
        <f>IF(ISBLANK(BG47),"NO DATA",IF(ISNUMBER(FIND(CODES!$A$12,BG47)),CODES!$A$12,IF(OR(ISNUMBER(FIND(CODES!$A$10,BG47)),ISNUMBER(FIND(CODES!$A$11,BG47))),CODES!$A$13,IF(OR(BG47&lt;BG$63,ISNUMBER(BG47)=FALSE),BG$64,BG47))))</f>
      </c>
      <c r="BH99" s="9" t="str">
        <f>IF(ISBLANK(BH47),"NO DATA",IF(ISNUMBER(FIND(CODES!$A$12,BH47)),CODES!$A$12,IF(OR(ISNUMBER(FIND(CODES!$A$10,BH47)),ISNUMBER(FIND(CODES!$A$11,BH47))),CODES!$A$13,IF(OR(BH47&lt;BH$63,ISNUMBER(BH47)=FALSE),BH$64,BH47))))</f>
      </c>
      <c r="BI99" s="9" t="str">
        <f>IF(ISBLANK(BI47),"NO DATA",IF(ISNUMBER(FIND(CODES!$A$12,BI47)),CODES!$A$12,IF(OR(ISNUMBER(FIND(CODES!$A$10,BI47)),ISNUMBER(FIND(CODES!$A$11,BI47))),CODES!$A$13,IF(OR(BI47&lt;BI$63,ISNUMBER(BI47)=FALSE),BI$64,BI47))))</f>
      </c>
      <c r="BJ99" s="9" t="str">
        <f>IF(ISBLANK(BJ47),"NO DATA",IF(ISNUMBER(FIND(CODES!$A$12,BJ47)),CODES!$A$12,IF(OR(ISNUMBER(FIND(CODES!$A$10,BJ47)),ISNUMBER(FIND(CODES!$A$11,BJ47))),CODES!$A$13,IF(OR(BJ47&lt;BJ$63,ISNUMBER(BJ47)=FALSE),BJ$64,BJ47))))</f>
      </c>
      <c r="BK99" s="9" t="str">
        <f>IF(ISBLANK(BK47),"NO DATA",IF(ISNUMBER(FIND(CODES!$A$12,BK47)),CODES!$A$12,IF(OR(ISNUMBER(FIND(CODES!$A$10,BK47)),ISNUMBER(FIND(CODES!$A$11,BK47))),CODES!$A$13,IF(OR(BK47&lt;BK$63,ISNUMBER(BK47)=FALSE),BK$64,BK47))))</f>
      </c>
      <c r="BL99" s="9" t="str">
        <f>IF(ISBLANK(BL47),"NO DATA",IF(ISNUMBER(FIND(CODES!$A$12,BL47)),CODES!$A$12,IF(OR(ISNUMBER(FIND(CODES!$A$10,BL47)),ISNUMBER(FIND(CODES!$A$11,BL47))),CODES!$A$13,IF(OR(BL47&lt;BL$63,ISNUMBER(BL47)=FALSE),BL$64,BL47))))</f>
      </c>
      <c r="BM99" s="9" t="str">
        <f>IF(ISBLANK(BM47),"NO DATA",IF(ISNUMBER(FIND(CODES!$A$12,BM47)),CODES!$A$12,IF(OR(ISNUMBER(FIND(CODES!$A$10,BM47)),ISNUMBER(FIND(CODES!$A$11,BM47))),CODES!$A$13,IF(OR(BM47&lt;BM$63,ISNUMBER(BM47)=FALSE),BM$64,BM47))))</f>
      </c>
      <c r="BN99" s="9" t="str">
        <f>IF(ISBLANK(BN47),"NO DATA",IF(ISNUMBER(FIND(CODES!$A$12,BN47)),CODES!$A$12,IF(OR(ISNUMBER(FIND(CODES!$A$10,BN47)),ISNUMBER(FIND(CODES!$A$11,BN47))),CODES!$A$13,IF(OR(BN47&lt;BN$63,ISNUMBER(BN47)=FALSE),BN$64,BN47))))</f>
      </c>
      <c r="BO99" s="9" t="str">
        <f>IF(ISBLANK(BO47),"NO DATA",IF(ISNUMBER(FIND(CODES!$A$12,BO47)),CODES!$A$12,IF(OR(ISNUMBER(FIND(CODES!$A$10,BO47)),ISNUMBER(FIND(CODES!$A$11,BO47))),CODES!$A$13,IF(OR(BO47&lt;BO$63,ISNUMBER(BO47)=FALSE),BO$64,BO47))))</f>
      </c>
      <c r="BP99" s="9" t="str">
        <f>IF(ISBLANK(BP47),"NO DATA",IF(ISNUMBER(FIND(CODES!$A$12,BP47)),CODES!$A$12,IF(OR(ISNUMBER(FIND(CODES!$A$10,BP47)),ISNUMBER(FIND(CODES!$A$11,BP47))),CODES!$A$13,IF(OR(BP47&lt;BP$63,ISNUMBER(BP47)=FALSE),BP$64,BP47))))</f>
      </c>
      <c r="BQ99" s="9" t="str">
        <f>IF(ISBLANK(BQ47),"NO DATA",IF(ISNUMBER(FIND(CODES!$A$12,BQ47)),CODES!$A$12,IF(OR(ISNUMBER(FIND(CODES!$A$10,BQ47)),ISNUMBER(FIND(CODES!$A$11,BQ47))),CODES!$A$13,IF(OR(BQ47&lt;BQ$63,ISNUMBER(BQ47)=FALSE),BQ$64,BQ47))))</f>
      </c>
      <c r="BR99" s="9" t="str">
        <f>IF(ISBLANK(BR47),"NO DATA",IF(ISNUMBER(FIND(CODES!$A$12,BR47)),CODES!$A$12,IF(OR(ISNUMBER(FIND(CODES!$A$10,BR47)),ISNUMBER(FIND(CODES!$A$11,BR47))),CODES!$A$13,IF(OR(BR47&lt;BR$63,ISNUMBER(BR47)=FALSE),BR$64,BR47))))</f>
      </c>
      <c r="BS99" s="9" t="str">
        <f>IF(ISBLANK(BS47),"NO DATA",IF(ISNUMBER(FIND(CODES!$A$12,BS47)),CODES!$A$12,IF(OR(ISNUMBER(FIND(CODES!$A$10,BS47)),ISNUMBER(FIND(CODES!$A$11,BS47))),CODES!$A$13,IF(OR(BS47&lt;BS$63,ISNUMBER(BS47)=FALSE),BS$64,BS47))))</f>
      </c>
      <c r="BT99" s="9" t="str">
        <f>IF(ISBLANK(BT47),"NO DATA",IF(ISNUMBER(FIND(CODES!$A$12,BT47)),CODES!$A$12,IF(OR(ISNUMBER(FIND(CODES!$A$10,BT47)),ISNUMBER(FIND(CODES!$A$11,BT47))),CODES!$A$13,IF(OR(BT47&lt;BT$63,ISNUMBER(BT47)=FALSE),BT$64,BT47))))</f>
      </c>
      <c r="BU99" s="9" t="str">
        <f>IF(ISBLANK(BU47),"NO DATA",IF(ISNUMBER(FIND(CODES!$A$12,BU47)),CODES!$A$12,IF(OR(ISNUMBER(FIND(CODES!$A$10,BU47)),ISNUMBER(FIND(CODES!$A$11,BU47))),CODES!$A$13,IF(OR(BU47&lt;BU$63,ISNUMBER(BU47)=FALSE),BU$64,BU47))))</f>
      </c>
      <c r="BV99" s="9" t="str">
        <f>IF(ISBLANK(BV47),"NO DATA",IF(ISNUMBER(FIND(CODES!$A$12,BV47)),CODES!$A$12,IF(OR(ISNUMBER(FIND(CODES!$A$10,BV47)),ISNUMBER(FIND(CODES!$A$11,BV47))),CODES!$A$13,IF(OR(BV47&lt;BV$63,ISNUMBER(BV47)=FALSE),BV$64,BV47))))</f>
      </c>
      <c r="BW99" s="9" t="str">
        <f>IF(ISBLANK(BW47),"NO DATA",IF(ISNUMBER(FIND(CODES!$A$12,BW47)),CODES!$A$12,IF(OR(ISNUMBER(FIND(CODES!$A$10,BW47)),ISNUMBER(FIND(CODES!$A$11,BW47))),CODES!$A$13,IF(OR(BW47&lt;BW$63,ISNUMBER(BW47)=FALSE),BW$64,BW47))))</f>
      </c>
      <c r="BX99" s="9" t="str">
        <f>IF(ISBLANK(BX47),"NO DATA",IF(ISNUMBER(FIND(CODES!$A$12,BX47)),CODES!$A$12,IF(OR(ISNUMBER(FIND(CODES!$A$10,BX47)),ISNUMBER(FIND(CODES!$A$11,BX47))),CODES!$A$13,IF(OR(BX47&lt;BX$63,ISNUMBER(BX47)=FALSE),BX$64,BX47))))</f>
      </c>
      <c r="BY99" s="9" t="str">
        <f>IF(ISBLANK(BY47),"NO DATA",IF(ISNUMBER(FIND(CODES!$A$12,BY47)),CODES!$A$12,IF(OR(ISNUMBER(FIND(CODES!$A$10,BY47)),ISNUMBER(FIND(CODES!$A$11,BY47))),CODES!$A$13,IF(OR(BY47&lt;BY$63,ISNUMBER(BY47)=FALSE),BY$64,BY47))))</f>
      </c>
      <c r="BZ99" s="9" t="str">
        <f>IF(ISBLANK(BZ47),"NO DATA",IF(ISNUMBER(FIND(CODES!$A$12,BZ47)),CODES!$A$12,IF(OR(ISNUMBER(FIND(CODES!$A$10,BZ47)),ISNUMBER(FIND(CODES!$A$11,BZ47))),CODES!$A$13,IF(OR(BZ47&lt;BZ$63,ISNUMBER(BZ47)=FALSE),BZ$64,BZ47))))</f>
      </c>
      <c r="CA99" s="9" t="str">
        <f>IF(ISBLANK(CA47),"NO DATA",IF(ISNUMBER(FIND(CODES!$A$12,CA47)),CODES!$A$12,IF(OR(ISNUMBER(FIND(CODES!$A$10,CA47)),ISNUMBER(FIND(CODES!$A$11,CA47))),CODES!$A$13,IF(OR(CA47&lt;CA$63,ISNUMBER(CA47)=FALSE),CA$64,CA47))))</f>
      </c>
      <c r="CB99" s="9" t="str">
        <f>IF(ISBLANK(CB47),"NO DATA",IF(ISNUMBER(FIND(CODES!$A$12,CB47)),CODES!$A$12,IF(OR(ISNUMBER(FIND(CODES!$A$10,CB47)),ISNUMBER(FIND(CODES!$A$11,CB47))),CODES!$A$13,IF(OR(CB47&lt;CB$63,ISNUMBER(CB47)=FALSE),CB$64,CB47))))</f>
      </c>
      <c r="CC99" s="9" t="str">
        <f>IF(ISBLANK(CC47),"NO DATA",IF(ISNUMBER(FIND(CODES!$A$12,CC47)),CODES!$A$12,IF(OR(ISNUMBER(FIND(CODES!$A$10,CC47)),ISNUMBER(FIND(CODES!$A$11,CC47))),CODES!$A$13,IF(OR(CC47&lt;CC$63,ISNUMBER(CC47)=FALSE),CC$64,CC47))))</f>
      </c>
      <c r="CD99" s="9" t="str">
        <f>IF(ISBLANK(CD47),"NO DATA",IF(ISNUMBER(FIND(CODES!$A$12,CD47)),CODES!$A$12,IF(OR(ISNUMBER(FIND(CODES!$A$10,CD47)),ISNUMBER(FIND(CODES!$A$11,CD47))),CODES!$A$13,IF(OR(CD47&lt;CD$63,ISNUMBER(CD47)=FALSE),CD$64,CD47))))</f>
      </c>
      <c r="CE99" s="9" t="str">
        <f>IF(ISBLANK(CE47),"NO DATA",IF(ISNUMBER(FIND(CODES!$A$12,CE47)),CODES!$A$12,IF(OR(ISNUMBER(FIND(CODES!$A$10,CE47)),ISNUMBER(FIND(CODES!$A$11,CE47))),CODES!$A$13,IF(OR(CE47&lt;CE$63,ISNUMBER(CE47)=FALSE),CE$64,CE47))))</f>
      </c>
      <c r="CF99" s="9" t="str">
        <f>IF(ISBLANK(CF47),"NO DATA",IF(ISNUMBER(FIND(CODES!$A$12,CF47)),CODES!$A$12,IF(OR(ISNUMBER(FIND(CODES!$A$10,CF47)),ISNUMBER(FIND(CODES!$A$11,CF47))),CODES!$A$13,IF(OR(CF47&lt;CF$63,ISNUMBER(CF47)=FALSE),CF$64,CF47))))</f>
      </c>
      <c r="CG99" s="9" t="str">
        <f>IF(ISBLANK(CG47),"NO DATA",IF(ISNUMBER(FIND(CODES!$A$12,CG47)),CODES!$A$12,IF(OR(ISNUMBER(FIND(CODES!$A$10,CG47)),ISNUMBER(FIND(CODES!$A$11,CG47))),CODES!$A$13,IF(OR(CG47&lt;CG$63,ISNUMBER(CG47)=FALSE),CG$64,CG47))))</f>
      </c>
      <c r="CH99" s="9" t="str">
        <f>IF(ISBLANK(CH47),"NO DATA",IF(ISNUMBER(FIND(CODES!$A$12,CH47)),CODES!$A$12,IF(OR(ISNUMBER(FIND(CODES!$A$10,CH47)),ISNUMBER(FIND(CODES!$A$11,CH47))),CODES!$A$13,IF(OR(CH47&lt;CH$63,ISNUMBER(CH47)=FALSE),CH$64,CH47))))</f>
      </c>
      <c r="CI99" s="9" t="str">
        <f>IF(ISBLANK(CI47),"NO DATA",IF(ISNUMBER(FIND(CODES!$A$12,CI47)),CODES!$A$12,IF(OR(ISNUMBER(FIND(CODES!$A$10,CI47)),ISNUMBER(FIND(CODES!$A$11,CI47))),CODES!$A$13,IF(OR(CI47&lt;CI$63,ISNUMBER(CI47)=FALSE),CI$64,CI47))))</f>
      </c>
      <c r="CJ99" s="9" t="str">
        <f>IF(ISBLANK(CJ47),"NO DATA",IF(ISNUMBER(FIND(CODES!$A$12,CJ47)),CODES!$A$12,IF(OR(ISNUMBER(FIND(CODES!$A$10,CJ47)),ISNUMBER(FIND(CODES!$A$11,CJ47))),CODES!$A$13,IF(OR(CJ47&lt;CJ$63,ISNUMBER(CJ47)=FALSE),CJ$64,CJ47))))</f>
      </c>
      <c r="CK99" s="9" t="str">
        <f>IF(ISBLANK(CK47),"NO DATA",IF(ISNUMBER(FIND(CODES!$A$12,CK47)),CODES!$A$12,IF(OR(ISNUMBER(FIND(CODES!$A$10,CK47)),ISNUMBER(FIND(CODES!$A$11,CK47))),CODES!$A$13,IF(OR(CK47&lt;CK$63,ISNUMBER(CK47)=FALSE),CK$64,CK47))))</f>
      </c>
      <c r="CL99" s="9" t="str">
        <f>IF(ISBLANK(CL47),"NO DATA",IF(ISNUMBER(FIND(CODES!$A$12,CL47)),CODES!$A$12,IF(OR(ISNUMBER(FIND(CODES!$A$10,CL47)),ISNUMBER(FIND(CODES!$A$11,CL47))),CODES!$A$13,IF(OR(CL47&lt;CL$63,ISNUMBER(CL47)=FALSE),CL$64,CL47))))</f>
      </c>
      <c r="CM99" s="9" t="str">
        <f>IF(ISBLANK(CM47),"NO DATA",IF(ISNUMBER(FIND(CODES!$A$12,CM47)),CODES!$A$12,IF(OR(ISNUMBER(FIND(CODES!$A$10,CM47)),ISNUMBER(FIND(CODES!$A$11,CM47))),CODES!$A$13,IF(OR(CM47&lt;CM$63,ISNUMBER(CM47)=FALSE),CM$64,CM47))))</f>
      </c>
      <c r="CN99" s="9" t="str">
        <f>IF(ISBLANK(CN47),"NO DATA",IF(ISNUMBER(FIND(CODES!$A$12,CN47)),CODES!$A$12,IF(OR(ISNUMBER(FIND(CODES!$A$10,CN47)),ISNUMBER(FIND(CODES!$A$11,CN47))),CODES!$A$13,IF(OR(CN47&lt;CN$63,ISNUMBER(CN47)=FALSE),CN$64,CN47))))</f>
      </c>
      <c r="CO99" s="9" t="str">
        <f>IF(ISBLANK(CO47),"NO DATA",IF(ISNUMBER(FIND(CODES!$A$12,CO47)),CODES!$A$12,IF(OR(ISNUMBER(FIND(CODES!$A$10,CO47)),ISNUMBER(FIND(CODES!$A$11,CO47))),CODES!$A$13,IF(OR(CO47&lt;CO$63,ISNUMBER(CO47)=FALSE),CO$64,CO47))))</f>
      </c>
      <c r="CP99" s="9" t="str">
        <f>IF(ISBLANK(CP47),"NO DATA",IF(ISNUMBER(FIND(CODES!$A$12,CP47)),CODES!$A$12,IF(OR(ISNUMBER(FIND(CODES!$A$10,CP47)),ISNUMBER(FIND(CODES!$A$11,CP47))),CODES!$A$13,IF(OR(CP47&lt;CP$63,ISNUMBER(CP47)=FALSE),CP$64,CP47))))</f>
      </c>
      <c r="CQ99" s="9" t="str">
        <f>IF(ISBLANK(CQ47),"NO DATA",IF(ISNUMBER(FIND(CODES!$A$12,CQ47)),CODES!$A$12,IF(OR(ISNUMBER(FIND(CODES!$A$10,CQ47)),ISNUMBER(FIND(CODES!$A$11,CQ47))),CODES!$A$13,IF(OR(CQ47&lt;CQ$63,ISNUMBER(CQ47)=FALSE),CQ$64,CQ47))))</f>
      </c>
      <c r="CR99" s="9" t="str">
        <f>IF(ISBLANK(CR47),"NO DATA",IF(ISNUMBER(FIND(CODES!$A$12,CR47)),CODES!$A$12,IF(OR(ISNUMBER(FIND(CODES!$A$10,CR47)),ISNUMBER(FIND(CODES!$A$11,CR47))),CODES!$A$13,IF(OR(CR47&lt;CR$63,ISNUMBER(CR47)=FALSE),CR$64,CR47))))</f>
      </c>
      <c r="CS99" s="9" t="str">
        <f>IF(ISBLANK(CS47),"NO DATA",IF(ISNUMBER(FIND(CODES!$A$12,CS47)),CODES!$A$12,IF(OR(ISNUMBER(FIND(CODES!$A$10,CS47)),ISNUMBER(FIND(CODES!$A$11,CS47))),CODES!$A$13,IF(OR(CS47&lt;CS$63,ISNUMBER(CS47)=FALSE),CS$64,CS47))))</f>
      </c>
      <c r="CT99" s="9" t="str">
        <f>IF(ISBLANK(CT47),"NO DATA",IF(ISNUMBER(FIND(CODES!$A$12,CT47)),CODES!$A$12,IF(OR(ISNUMBER(FIND(CODES!$A$10,CT47)),ISNUMBER(FIND(CODES!$A$11,CT47))),CODES!$A$13,IF(OR(CT47&lt;CT$63,ISNUMBER(CT47)=FALSE),CT$64,CT47))))</f>
      </c>
      <c r="CU99" s="9" t="str">
        <f>IF(ISBLANK(CU47),"NO DATA",IF(ISNUMBER(FIND(CODES!$A$12,CU47)),CODES!$A$12,IF(OR(ISNUMBER(FIND(CODES!$A$10,CU47)),ISNUMBER(FIND(CODES!$A$11,CU47))),CODES!$A$13,IF(OR(CU47&lt;CU$63,ISNUMBER(CU47)=FALSE),CU$64,CU47))))</f>
      </c>
      <c r="CV99" s="9" t="str">
        <f>IF(ISBLANK(CV47),"NO DATA",IF(ISNUMBER(FIND(CODES!$A$12,CV47)),CODES!$A$12,IF(OR(ISNUMBER(FIND(CODES!$A$10,CV47)),ISNUMBER(FIND(CODES!$A$11,CV47))),CODES!$A$13,IF(OR(CV47&lt;CV$63,ISNUMBER(CV47)=FALSE),CV$64,CV47))))</f>
      </c>
      <c r="CW99" s="9" t="str">
        <f>IF(ISBLANK(CW47),"NO DATA",IF(ISNUMBER(FIND(CODES!$A$12,CW47)),CODES!$A$12,IF(OR(ISNUMBER(FIND(CODES!$A$10,CW47)),ISNUMBER(FIND(CODES!$A$11,CW47))),CODES!$A$13,IF(OR(CW47&lt;CW$63,ISNUMBER(CW47)=FALSE),CW$64,CW47))))</f>
      </c>
      <c r="CX99" s="9" t="str">
        <f>IF(ISBLANK(CX47),"NO DATA",IF(ISNUMBER(FIND(CODES!$A$12,CX47)),CODES!$A$12,IF(OR(ISNUMBER(FIND(CODES!$A$10,CX47)),ISNUMBER(FIND(CODES!$A$11,CX47))),CODES!$A$13,IF(OR(CX47&lt;CX$63,ISNUMBER(CX47)=FALSE),CX$64,CX47))))</f>
      </c>
      <c r="CY99" s="9" t="str">
        <f>IF(ISBLANK(CY47),"NO DATA",IF(ISNUMBER(FIND(CODES!$A$12,CY47)),CODES!$A$12,IF(OR(ISNUMBER(FIND(CODES!$A$10,CY47)),ISNUMBER(FIND(CODES!$A$11,CY47))),CODES!$A$13,IF(OR(CY47&lt;CY$63,ISNUMBER(CY47)=FALSE),CY$64,CY47))))</f>
      </c>
      <c r="CZ99" s="9" t="str">
        <f>IF(ISBLANK(CZ47),"NO DATA",IF(ISNUMBER(FIND(CODES!$A$12,CZ47)),CODES!$A$12,IF(OR(ISNUMBER(FIND(CODES!$A$10,CZ47)),ISNUMBER(FIND(CODES!$A$11,CZ47))),CODES!$A$13,IF(OR(CZ47&lt;CZ$63,ISNUMBER(CZ47)=FALSE),CZ$64,CZ47))))</f>
      </c>
      <c r="DA99" s="9" t="str">
        <f>IF(ISBLANK(DA47),"NO DATA",IF(ISNUMBER(FIND(CODES!$A$12,DA47)),CODES!$A$12,IF(OR(ISNUMBER(FIND(CODES!$A$10,DA47)),ISNUMBER(FIND(CODES!$A$11,DA47))),CODES!$A$13,IF(OR(DA47&lt;DA$63,ISNUMBER(DA47)=FALSE),DA$64,DA47))))</f>
      </c>
      <c r="DB99" s="9" t="str">
        <f>IF(ISBLANK(DB47),"NO DATA",IF(ISNUMBER(FIND(CODES!$A$12,DB47)),CODES!$A$12,IF(OR(ISNUMBER(FIND(CODES!$A$10,DB47)),ISNUMBER(FIND(CODES!$A$11,DB47))),CODES!$A$13,IF(OR(DB47&lt;DB$63,ISNUMBER(DB47)=FALSE),DB$64,DB47))))</f>
      </c>
      <c r="DC99" s="9" t="str">
        <f>IF(ISBLANK(DC47),"NO DATA",IF(ISNUMBER(FIND(CODES!$A$12,DC47)),CODES!$A$12,IF(OR(ISNUMBER(FIND(CODES!$A$10,DC47)),ISNUMBER(FIND(CODES!$A$11,DC47))),CODES!$A$13,IF(OR(DC47&lt;DC$63,ISNUMBER(DC47)=FALSE),DC$64,DC47))))</f>
      </c>
      <c r="DD99" s="9" t="str">
        <f>IF(ISBLANK(DD47),"NO DATA",IF(ISNUMBER(FIND(CODES!$A$12,DD47)),CODES!$A$12,IF(OR(ISNUMBER(FIND(CODES!$A$10,DD47)),ISNUMBER(FIND(CODES!$A$11,DD47))),CODES!$A$13,IF(OR(DD47&lt;DD$63,ISNUMBER(DD47)=FALSE),DD$64,DD47))))</f>
      </c>
      <c r="DE99" s="9" t="str">
        <f>IF(ISBLANK(DE47),"NO DATA",IF(ISNUMBER(FIND(CODES!$A$12,DE47)),CODES!$A$12,IF(OR(ISNUMBER(FIND(CODES!$A$10,DE47)),ISNUMBER(FIND(CODES!$A$11,DE47))),CODES!$A$13,IF(OR(DE47&lt;DE$63,ISNUMBER(DE47)=FALSE),DE$64,DE47))))</f>
      </c>
      <c r="DF99" s="9" t="str">
        <f>IF(ISBLANK(DF47),"NO DATA",IF(ISNUMBER(FIND(CODES!$A$12,DF47)),CODES!$A$12,IF(OR(ISNUMBER(FIND(CODES!$A$10,DF47)),ISNUMBER(FIND(CODES!$A$11,DF47))),CODES!$A$13,IF(OR(DF47&lt;DF$63,ISNUMBER(DF47)=FALSE),DF$64,DF47))))</f>
      </c>
      <c r="DG99" s="9" t="str">
        <f>IF(ISBLANK(DG47),"NO DATA",IF(ISNUMBER(FIND(CODES!$A$12,DG47)),CODES!$A$12,IF(OR(ISNUMBER(FIND(CODES!$A$10,DG47)),ISNUMBER(FIND(CODES!$A$11,DG47))),CODES!$A$13,IF(OR(DG47&lt;DG$63,ISNUMBER(DG47)=FALSE),DG$64,DG47))))</f>
      </c>
      <c r="DH99" s="9" t="str">
        <f>IF(ISBLANK(DH47),"NO DATA",IF(ISNUMBER(FIND(CODES!$A$12,DH47)),CODES!$A$12,IF(OR(ISNUMBER(FIND(CODES!$A$10,DH47)),ISNUMBER(FIND(CODES!$A$11,DH47))),CODES!$A$13,IF(OR(DH47&lt;DH$63,ISNUMBER(DH47)=FALSE),DH$64,DH47))))</f>
      </c>
      <c r="DI99" s="9" t="str">
        <f>IF(ISBLANK(DI47),"NO DATA",IF(ISNUMBER(FIND(CODES!$A$12,DI47)),CODES!$A$12,IF(OR(ISNUMBER(FIND(CODES!$A$10,DI47)),ISNUMBER(FIND(CODES!$A$11,DI47))),CODES!$A$13,IF(OR(DI47&lt;DI$63,ISNUMBER(DI47)=FALSE),DI$64,DI47))))</f>
      </c>
    </row>
    <row r="100" spans="1:113" x14ac:dyDescent="0.25">
      <c r="A100" s="20" t="str">
        <f t="shared" si="5"/>
      </c>
      <c r="B100" s="20">
        <f t="shared" si="5"/>
      </c>
      <c r="C100" s="9" t="str">
        <f>IF(ISBLANK(C48),"NO DATA",IF(ISNUMBER(FIND(CODES!$A$12,C48)),CODES!$A$12,IF(OR(ISNUMBER(FIND(CODES!$A$10,C48)),ISNUMBER(FIND(CODES!$A$11,C48))),CODES!$A$13,IF(OR(C48&lt;C$63,ISNUMBER(C48)=FALSE),C$64,C48))))</f>
      </c>
      <c r="D100" s="9" t="str">
        <f>IF(ISBLANK(D48),"NO DATA",IF(ISNUMBER(FIND(CODES!$A$12,D48)),CODES!$A$12,IF(OR(ISNUMBER(FIND(CODES!$A$10,D48)),ISNUMBER(FIND(CODES!$A$11,D48))),CODES!$A$13,IF(OR(D48&lt;D$63,ISNUMBER(D48)=FALSE),D$64,D48))))</f>
      </c>
      <c r="E100" s="9" t="str">
        <f>IF(ISBLANK(E48),"NO DATA",IF(ISNUMBER(FIND(CODES!$A$12,E48)),CODES!$A$12,IF(OR(ISNUMBER(FIND(CODES!$A$10,E48)),ISNUMBER(FIND(CODES!$A$11,E48))),CODES!$A$13,IF(OR(E48&lt;E$63,ISNUMBER(E48)=FALSE),E$64,E48))))</f>
      </c>
      <c r="F100" s="9" t="str">
        <f>IF(ISBLANK(F48),"NO DATA",IF(ISNUMBER(FIND(CODES!$A$12,F48)),CODES!$A$12,IF(OR(ISNUMBER(FIND(CODES!$A$10,F48)),ISNUMBER(FIND(CODES!$A$11,F48))),CODES!$A$13,IF(OR(F48&lt;F$63,ISNUMBER(F48)=FALSE),F$64,F48))))</f>
      </c>
      <c r="G100" s="9" t="str">
        <f>IF(ISBLANK(G48),"NO DATA",IF(ISNUMBER(FIND(CODES!$A$12,G48)),CODES!$A$12,IF(OR(ISNUMBER(FIND(CODES!$A$10,G48)),ISNUMBER(FIND(CODES!$A$11,G48))),CODES!$A$13,IF(OR(G48&lt;G$63,ISNUMBER(G48)=FALSE),G$64,G48))))</f>
      </c>
      <c r="H100" s="9" t="str">
        <f>IF(ISBLANK(H48),"NO DATA",IF(ISNUMBER(FIND(CODES!$A$12,H48)),CODES!$A$12,IF(OR(ISNUMBER(FIND(CODES!$A$10,H48)),ISNUMBER(FIND(CODES!$A$11,H48))),CODES!$A$13,IF(OR(H48&lt;H$63,ISNUMBER(H48)=FALSE),H$64,H48))))</f>
      </c>
      <c r="I100" s="9" t="str">
        <f>IF(ISBLANK(I48),"NO DATA",IF(ISNUMBER(FIND(CODES!$A$12,I48)),CODES!$A$12,IF(OR(ISNUMBER(FIND(CODES!$A$10,I48)),ISNUMBER(FIND(CODES!$A$11,I48))),CODES!$A$13,IF(OR(I48&lt;I$63,ISNUMBER(I48)=FALSE),I$64,I48))))</f>
      </c>
      <c r="J100" s="9" t="str">
        <f>IF(ISBLANK(J48),"NO DATA",IF(ISNUMBER(FIND(CODES!$A$12,J48)),CODES!$A$12,IF(OR(ISNUMBER(FIND(CODES!$A$10,J48)),ISNUMBER(FIND(CODES!$A$11,J48))),CODES!$A$13,IF(OR(J48&lt;J$63,ISNUMBER(J48)=FALSE),J$64,J48))))</f>
      </c>
      <c r="K100" s="9" t="str">
        <f>IF(ISBLANK(K48),"NO DATA",IF(ISNUMBER(FIND(CODES!$A$12,K48)),CODES!$A$12,IF(OR(ISNUMBER(FIND(CODES!$A$10,K48)),ISNUMBER(FIND(CODES!$A$11,K48))),CODES!$A$13,IF(OR(K48&lt;K$63,ISNUMBER(K48)=FALSE),K$64,K48))))</f>
      </c>
      <c r="L100" s="9" t="str">
        <f>IF(ISBLANK(L48),"NO DATA",IF(ISNUMBER(FIND(CODES!$A$12,L48)),CODES!$A$12,IF(OR(ISNUMBER(FIND(CODES!$A$10,L48)),ISNUMBER(FIND(CODES!$A$11,L48))),CODES!$A$13,IF(OR(L48&lt;L$63,ISNUMBER(L48)=FALSE),L$64,L48))))</f>
      </c>
      <c r="M100" s="9" t="str">
        <f>IF(ISBLANK(M48),"NO DATA",IF(ISNUMBER(FIND(CODES!$A$12,M48)),CODES!$A$12,IF(OR(ISNUMBER(FIND(CODES!$A$10,M48)),ISNUMBER(FIND(CODES!$A$11,M48))),CODES!$A$13,IF(OR(M48&lt;M$63,ISNUMBER(M48)=FALSE),M$64,M48))))</f>
      </c>
      <c r="N100" s="9" t="str">
        <f>IF(ISBLANK(N48),"NO DATA",IF(ISNUMBER(FIND(CODES!$A$12,N48)),CODES!$A$12,IF(OR(ISNUMBER(FIND(CODES!$A$10,N48)),ISNUMBER(FIND(CODES!$A$11,N48))),CODES!$A$13,IF(OR(N48&lt;N$63,ISNUMBER(N48)=FALSE),N$64,N48))))</f>
      </c>
      <c r="O100" s="9" t="str">
        <f>IF(ISBLANK(O48),"NO DATA",IF(ISNUMBER(FIND(CODES!$A$12,O48)),CODES!$A$12,IF(OR(ISNUMBER(FIND(CODES!$A$10,O48)),ISNUMBER(FIND(CODES!$A$11,O48))),CODES!$A$13,IF(OR(O48&lt;O$63,ISNUMBER(O48)=FALSE),O$64,O48))))</f>
      </c>
      <c r="P100" s="9" t="str">
        <f>IF(ISBLANK(P48),"NO DATA",IF(ISNUMBER(FIND(CODES!$A$12,P48)),CODES!$A$12,IF(OR(ISNUMBER(FIND(CODES!$A$10,P48)),ISNUMBER(FIND(CODES!$A$11,P48))),CODES!$A$13,IF(OR(P48&lt;P$63,ISNUMBER(P48)=FALSE),P$64,P48))))</f>
      </c>
      <c r="Q100" s="9" t="str">
        <f>IF(ISBLANK(Q48),"NO DATA",IF(ISNUMBER(FIND(CODES!$A$12,Q48)),CODES!$A$12,IF(OR(ISNUMBER(FIND(CODES!$A$10,Q48)),ISNUMBER(FIND(CODES!$A$11,Q48))),CODES!$A$13,IF(OR(Q48&lt;Q$63,ISNUMBER(Q48)=FALSE),Q$64,Q48))))</f>
      </c>
      <c r="R100" s="9" t="str">
        <f>IF(ISBLANK(R48),"NO DATA",IF(ISNUMBER(FIND(CODES!$A$12,R48)),CODES!$A$12,IF(OR(ISNUMBER(FIND(CODES!$A$10,R48)),ISNUMBER(FIND(CODES!$A$11,R48))),CODES!$A$13,IF(OR(R48&lt;R$63,ISNUMBER(R48)=FALSE),R$64,R48))))</f>
      </c>
      <c r="S100" s="9" t="str">
        <f>IF(ISBLANK(S48),"NO DATA",IF(ISNUMBER(FIND(CODES!$A$12,S48)),CODES!$A$12,IF(OR(ISNUMBER(FIND(CODES!$A$10,S48)),ISNUMBER(FIND(CODES!$A$11,S48))),CODES!$A$13,IF(OR(S48&lt;S$63,ISNUMBER(S48)=FALSE),S$64,S48))))</f>
      </c>
      <c r="T100" s="9" t="str">
        <f>IF(ISBLANK(T48),"NO DATA",IF(ISNUMBER(FIND(CODES!$A$12,T48)),CODES!$A$12,IF(OR(ISNUMBER(FIND(CODES!$A$10,T48)),ISNUMBER(FIND(CODES!$A$11,T48))),CODES!$A$13,IF(OR(T48&lt;T$63,ISNUMBER(T48)=FALSE),T$64,T48))))</f>
      </c>
      <c r="U100" s="9" t="str">
        <f>IF(ISBLANK(U48),"NO DATA",IF(ISNUMBER(FIND(CODES!$A$12,U48)),CODES!$A$12,IF(OR(ISNUMBER(FIND(CODES!$A$10,U48)),ISNUMBER(FIND(CODES!$A$11,U48))),CODES!$A$13,IF(OR(U48&lt;U$63,ISNUMBER(U48)=FALSE),U$64,U48))))</f>
      </c>
      <c r="V100" s="9" t="str">
        <f>IF(ISBLANK(V48),"NO DATA",IF(ISNUMBER(FIND(CODES!$A$12,V48)),CODES!$A$12,IF(OR(ISNUMBER(FIND(CODES!$A$10,V48)),ISNUMBER(FIND(CODES!$A$11,V48))),CODES!$A$13,IF(OR(V48&lt;V$63,ISNUMBER(V48)=FALSE),V$64,V48))))</f>
      </c>
      <c r="W100" s="9" t="str">
        <f>IF(ISBLANK(W48),"NO DATA",IF(ISNUMBER(FIND(CODES!$A$12,W48)),CODES!$A$12,IF(OR(ISNUMBER(FIND(CODES!$A$10,W48)),ISNUMBER(FIND(CODES!$A$11,W48))),CODES!$A$13,IF(OR(W48&lt;W$63,ISNUMBER(W48)=FALSE),W$64,W48))))</f>
      </c>
      <c r="X100" s="9" t="str">
        <f>IF(ISBLANK(X48),"NO DATA",IF(ISNUMBER(FIND(CODES!$A$12,X48)),CODES!$A$12,IF(OR(ISNUMBER(FIND(CODES!$A$10,X48)),ISNUMBER(FIND(CODES!$A$11,X48))),CODES!$A$13,IF(OR(X48&lt;X$63,ISNUMBER(X48)=FALSE),X$64,X48))))</f>
      </c>
      <c r="Y100" s="9" t="str">
        <f>IF(ISBLANK(Y48),"NO DATA",IF(ISNUMBER(FIND(CODES!$A$12,Y48)),CODES!$A$12,IF(OR(ISNUMBER(FIND(CODES!$A$10,Y48)),ISNUMBER(FIND(CODES!$A$11,Y48))),CODES!$A$13,IF(OR(Y48&lt;Y$63,ISNUMBER(Y48)=FALSE),Y$64,Y48))))</f>
      </c>
      <c r="Z100" s="9" t="str">
        <f>IF(ISBLANK(Z48),"NO DATA",IF(ISNUMBER(FIND(CODES!$A$12,Z48)),CODES!$A$12,IF(OR(ISNUMBER(FIND(CODES!$A$10,Z48)),ISNUMBER(FIND(CODES!$A$11,Z48))),CODES!$A$13,IF(OR(Z48&lt;Z$63,ISNUMBER(Z48)=FALSE),Z$64,Z48))))</f>
      </c>
      <c r="AA100" s="9" t="str">
        <f>IF(ISBLANK(AA48),"NO DATA",IF(ISNUMBER(FIND(CODES!$A$12,AA48)),CODES!$A$12,IF(OR(ISNUMBER(FIND(CODES!$A$10,AA48)),ISNUMBER(FIND(CODES!$A$11,AA48))),CODES!$A$13,IF(OR(AA48&lt;AA$63,ISNUMBER(AA48)=FALSE),AA$64,AA48))))</f>
      </c>
      <c r="AB100" s="9" t="str">
        <f>IF(ISBLANK(AB48),"NO DATA",IF(ISNUMBER(FIND(CODES!$A$12,AB48)),CODES!$A$12,IF(OR(ISNUMBER(FIND(CODES!$A$10,AB48)),ISNUMBER(FIND(CODES!$A$11,AB48))),CODES!$A$13,IF(OR(AB48&lt;AB$63,ISNUMBER(AB48)=FALSE),AB$64,AB48))))</f>
      </c>
      <c r="AC100" s="9" t="str">
        <f>IF(ISBLANK(AC48),"NO DATA",IF(ISNUMBER(FIND(CODES!$A$12,AC48)),CODES!$A$12,IF(OR(ISNUMBER(FIND(CODES!$A$10,AC48)),ISNUMBER(FIND(CODES!$A$11,AC48))),CODES!$A$13,IF(OR(AC48&lt;AC$63,ISNUMBER(AC48)=FALSE),AC$64,AC48))))</f>
      </c>
      <c r="AD100" s="9" t="str">
        <f>IF(ISBLANK(AD48),"NO DATA",IF(ISNUMBER(FIND(CODES!$A$12,AD48)),CODES!$A$12,IF(OR(ISNUMBER(FIND(CODES!$A$10,AD48)),ISNUMBER(FIND(CODES!$A$11,AD48))),CODES!$A$13,IF(OR(AD48&lt;AD$63,ISNUMBER(AD48)=FALSE),AD$64,AD48))))</f>
      </c>
      <c r="AE100" s="9" t="str">
        <f>IF(ISBLANK(AE48),"NO DATA",IF(ISNUMBER(FIND(CODES!$A$12,AE48)),CODES!$A$12,IF(OR(ISNUMBER(FIND(CODES!$A$10,AE48)),ISNUMBER(FIND(CODES!$A$11,AE48))),CODES!$A$13,IF(OR(AE48&lt;AE$63,ISNUMBER(AE48)=FALSE),AE$64,AE48))))</f>
      </c>
      <c r="AF100" s="9" t="str">
        <f>IF(ISBLANK(AF48),"NO DATA",IF(ISNUMBER(FIND(CODES!$A$12,AF48)),CODES!$A$12,IF(OR(ISNUMBER(FIND(CODES!$A$10,AF48)),ISNUMBER(FIND(CODES!$A$11,AF48))),CODES!$A$13,IF(OR(AF48&lt;AF$63,ISNUMBER(AF48)=FALSE),AF$64,AF48))))</f>
      </c>
      <c r="AG100" s="9" t="str">
        <f>IF(ISBLANK(AG48),"NO DATA",IF(ISNUMBER(FIND(CODES!$A$12,AG48)),CODES!$A$12,IF(OR(ISNUMBER(FIND(CODES!$A$10,AG48)),ISNUMBER(FIND(CODES!$A$11,AG48))),CODES!$A$13,IF(OR(AG48&lt;AG$63,ISNUMBER(AG48)=FALSE),AG$64,AG48))))</f>
      </c>
      <c r="AH100" s="9" t="str">
        <f>IF(ISBLANK(AH48),"NO DATA",IF(ISNUMBER(FIND(CODES!$A$12,AH48)),CODES!$A$12,IF(OR(ISNUMBER(FIND(CODES!$A$10,AH48)),ISNUMBER(FIND(CODES!$A$11,AH48))),CODES!$A$13,IF(OR(AH48&lt;AH$63,ISNUMBER(AH48)=FALSE),AH$64,AH48))))</f>
      </c>
      <c r="AI100" s="9" t="str">
        <f>IF(ISBLANK(AI48),"NO DATA",IF(ISNUMBER(FIND(CODES!$A$12,AI48)),CODES!$A$12,IF(OR(ISNUMBER(FIND(CODES!$A$10,AI48)),ISNUMBER(FIND(CODES!$A$11,AI48))),CODES!$A$13,IF(OR(AI48&lt;AI$63,ISNUMBER(AI48)=FALSE),AI$64,AI48))))</f>
      </c>
      <c r="AJ100" s="9" t="str">
        <f>IF(ISBLANK(AJ48),"NO DATA",IF(ISNUMBER(FIND(CODES!$A$12,AJ48)),CODES!$A$12,IF(OR(ISNUMBER(FIND(CODES!$A$10,AJ48)),ISNUMBER(FIND(CODES!$A$11,AJ48))),CODES!$A$13,IF(OR(AJ48&lt;AJ$63,ISNUMBER(AJ48)=FALSE),AJ$64,AJ48))))</f>
      </c>
      <c r="AK100" s="9" t="str">
        <f>IF(ISBLANK(AK48),"NO DATA",IF(ISNUMBER(FIND(CODES!$A$12,AK48)),CODES!$A$12,IF(OR(ISNUMBER(FIND(CODES!$A$10,AK48)),ISNUMBER(FIND(CODES!$A$11,AK48))),CODES!$A$13,IF(OR(AK48&lt;AK$63,ISNUMBER(AK48)=FALSE),AK$64,AK48))))</f>
      </c>
      <c r="AL100" s="9" t="str">
        <f>IF(ISBLANK(AL48),"NO DATA",IF(ISNUMBER(FIND(CODES!$A$12,AL48)),CODES!$A$12,IF(OR(ISNUMBER(FIND(CODES!$A$10,AL48)),ISNUMBER(FIND(CODES!$A$11,AL48))),CODES!$A$13,IF(OR(AL48&lt;AL$63,ISNUMBER(AL48)=FALSE),AL$64,AL48))))</f>
      </c>
      <c r="AM100" s="9" t="str">
        <f>IF(ISBLANK(AM48),"NO DATA",IF(ISNUMBER(FIND(CODES!$A$12,AM48)),CODES!$A$12,IF(OR(ISNUMBER(FIND(CODES!$A$10,AM48)),ISNUMBER(FIND(CODES!$A$11,AM48))),CODES!$A$13,IF(OR(AM48&lt;AM$63,ISNUMBER(AM48)=FALSE),AM$64,AM48))))</f>
      </c>
      <c r="AN100" s="9" t="str">
        <f>IF(ISBLANK(AN48),"NO DATA",IF(ISNUMBER(FIND(CODES!$A$12,AN48)),CODES!$A$12,IF(OR(ISNUMBER(FIND(CODES!$A$10,AN48)),ISNUMBER(FIND(CODES!$A$11,AN48))),CODES!$A$13,IF(OR(AN48&lt;AN$63,ISNUMBER(AN48)=FALSE),AN$64,AN48))))</f>
      </c>
      <c r="AO100" s="9" t="str">
        <f>IF(ISBLANK(AO48),"NO DATA",IF(ISNUMBER(FIND(CODES!$A$12,AO48)),CODES!$A$12,IF(OR(ISNUMBER(FIND(CODES!$A$10,AO48)),ISNUMBER(FIND(CODES!$A$11,AO48))),CODES!$A$13,IF(OR(AO48&lt;AO$63,ISNUMBER(AO48)=FALSE),AO$64,AO48))))</f>
      </c>
      <c r="AP100" s="9" t="str">
        <f>IF(ISBLANK(AP48),"NO DATA",IF(ISNUMBER(FIND(CODES!$A$12,AP48)),CODES!$A$12,IF(OR(ISNUMBER(FIND(CODES!$A$10,AP48)),ISNUMBER(FIND(CODES!$A$11,AP48))),CODES!$A$13,IF(OR(AP48&lt;AP$63,ISNUMBER(AP48)=FALSE),AP$64,AP48))))</f>
      </c>
      <c r="AQ100" s="9" t="str">
        <f>IF(ISBLANK(AQ48),"NO DATA",IF(ISNUMBER(FIND(CODES!$A$12,AQ48)),CODES!$A$12,IF(OR(ISNUMBER(FIND(CODES!$A$10,AQ48)),ISNUMBER(FIND(CODES!$A$11,AQ48))),CODES!$A$13,IF(OR(AQ48&lt;AQ$63,ISNUMBER(AQ48)=FALSE),AQ$64,AQ48))))</f>
      </c>
      <c r="AR100" s="9" t="str">
        <f>IF(ISBLANK(AR48),"NO DATA",IF(ISNUMBER(FIND(CODES!$A$12,AR48)),CODES!$A$12,IF(OR(ISNUMBER(FIND(CODES!$A$10,AR48)),ISNUMBER(FIND(CODES!$A$11,AR48))),CODES!$A$13,IF(OR(AR48&lt;AR$63,ISNUMBER(AR48)=FALSE),AR$64,AR48))))</f>
      </c>
      <c r="AS100" s="9" t="str">
        <f>IF(ISBLANK(AS48),"NO DATA",IF(ISNUMBER(FIND(CODES!$A$12,AS48)),CODES!$A$12,IF(OR(ISNUMBER(FIND(CODES!$A$10,AS48)),ISNUMBER(FIND(CODES!$A$11,AS48))),CODES!$A$13,IF(OR(AS48&lt;AS$63,ISNUMBER(AS48)=FALSE),AS$64,AS48))))</f>
      </c>
      <c r="AT100" s="9" t="str">
        <f>IF(ISBLANK(AT48),"NO DATA",IF(ISNUMBER(FIND(CODES!$A$12,AT48)),CODES!$A$12,IF(OR(ISNUMBER(FIND(CODES!$A$10,AT48)),ISNUMBER(FIND(CODES!$A$11,AT48))),CODES!$A$13,IF(OR(AT48&lt;AT$63,ISNUMBER(AT48)=FALSE),AT$64,AT48))))</f>
      </c>
      <c r="AU100" s="9" t="str">
        <f>IF(ISBLANK(AU48),"NO DATA",IF(ISNUMBER(FIND(CODES!$A$12,AU48)),CODES!$A$12,IF(OR(ISNUMBER(FIND(CODES!$A$10,AU48)),ISNUMBER(FIND(CODES!$A$11,AU48))),CODES!$A$13,IF(OR(AU48&lt;AU$63,ISNUMBER(AU48)=FALSE),AU$64,AU48))))</f>
      </c>
      <c r="AV100" s="9" t="str">
        <f>IF(ISBLANK(AV48),"NO DATA",IF(ISNUMBER(FIND(CODES!$A$12,AV48)),CODES!$A$12,IF(OR(ISNUMBER(FIND(CODES!$A$10,AV48)),ISNUMBER(FIND(CODES!$A$11,AV48))),CODES!$A$13,IF(OR(AV48&lt;AV$63,ISNUMBER(AV48)=FALSE),AV$64,AV48))))</f>
      </c>
      <c r="AW100" s="9" t="str">
        <f>IF(ISBLANK(AW48),"NO DATA",IF(ISNUMBER(FIND(CODES!$A$12,AW48)),CODES!$A$12,IF(OR(ISNUMBER(FIND(CODES!$A$10,AW48)),ISNUMBER(FIND(CODES!$A$11,AW48))),CODES!$A$13,IF(OR(AW48&lt;AW$63,ISNUMBER(AW48)=FALSE),AW$64,AW48))))</f>
      </c>
      <c r="AX100" s="9" t="str">
        <f>IF(ISBLANK(AX48),"NO DATA",IF(ISNUMBER(FIND(CODES!$A$12,AX48)),CODES!$A$12,IF(OR(ISNUMBER(FIND(CODES!$A$10,AX48)),ISNUMBER(FIND(CODES!$A$11,AX48))),CODES!$A$13,IF(OR(AX48&lt;AX$63,ISNUMBER(AX48)=FALSE),AX$64,AX48))))</f>
      </c>
      <c r="AY100" s="9" t="str">
        <f>IF(ISBLANK(AY48),"NO DATA",IF(ISNUMBER(FIND(CODES!$A$12,AY48)),CODES!$A$12,IF(OR(ISNUMBER(FIND(CODES!$A$10,AY48)),ISNUMBER(FIND(CODES!$A$11,AY48))),CODES!$A$13,IF(OR(AY48&lt;AY$63,ISNUMBER(AY48)=FALSE),AY$64,AY48))))</f>
      </c>
      <c r="AZ100" s="9" t="str">
        <f>IF(ISBLANK(AZ48),"NO DATA",IF(ISNUMBER(FIND(CODES!$A$12,AZ48)),CODES!$A$12,IF(OR(ISNUMBER(FIND(CODES!$A$10,AZ48)),ISNUMBER(FIND(CODES!$A$11,AZ48))),CODES!$A$13,IF(OR(AZ48&lt;AZ$63,ISNUMBER(AZ48)=FALSE),AZ$64,AZ48))))</f>
      </c>
      <c r="BA100" s="9" t="str">
        <f>IF(ISBLANK(BA48),"NO DATA",IF(ISNUMBER(FIND(CODES!$A$12,BA48)),CODES!$A$12,IF(OR(ISNUMBER(FIND(CODES!$A$10,BA48)),ISNUMBER(FIND(CODES!$A$11,BA48))),CODES!$A$13,IF(OR(BA48&lt;BA$63,ISNUMBER(BA48)=FALSE),BA$64,BA48))))</f>
      </c>
      <c r="BB100" s="9" t="str">
        <f>IF(ISBLANK(BB48),"NO DATA",IF(ISNUMBER(FIND(CODES!$A$12,BB48)),CODES!$A$12,IF(OR(ISNUMBER(FIND(CODES!$A$10,BB48)),ISNUMBER(FIND(CODES!$A$11,BB48))),CODES!$A$13,IF(OR(BB48&lt;BB$63,ISNUMBER(BB48)=FALSE),BB$64,BB48))))</f>
      </c>
      <c r="BC100" s="9" t="str">
        <f>IF(ISBLANK(BC48),"NO DATA",IF(ISNUMBER(FIND(CODES!$A$12,BC48)),CODES!$A$12,IF(OR(ISNUMBER(FIND(CODES!$A$10,BC48)),ISNUMBER(FIND(CODES!$A$11,BC48))),CODES!$A$13,IF(OR(BC48&lt;BC$63,ISNUMBER(BC48)=FALSE),BC$64,BC48))))</f>
      </c>
      <c r="BD100" s="9" t="str">
        <f>IF(ISBLANK(BD48),"NO DATA",IF(ISNUMBER(FIND(CODES!$A$12,BD48)),CODES!$A$12,IF(OR(ISNUMBER(FIND(CODES!$A$10,BD48)),ISNUMBER(FIND(CODES!$A$11,BD48))),CODES!$A$13,IF(OR(BD48&lt;BD$63,ISNUMBER(BD48)=FALSE),BD$64,BD48))))</f>
      </c>
      <c r="BE100" s="9" t="str">
        <f>IF(ISBLANK(BE48),"NO DATA",IF(ISNUMBER(FIND(CODES!$A$12,BE48)),CODES!$A$12,IF(OR(ISNUMBER(FIND(CODES!$A$10,BE48)),ISNUMBER(FIND(CODES!$A$11,BE48))),CODES!$A$13,IF(OR(BE48&lt;BE$63,ISNUMBER(BE48)=FALSE),BE$64,BE48))))</f>
      </c>
      <c r="BF100" s="9" t="str">
        <f>IF(ISBLANK(BF48),"NO DATA",IF(ISNUMBER(FIND(CODES!$A$12,BF48)),CODES!$A$12,IF(OR(ISNUMBER(FIND(CODES!$A$10,BF48)),ISNUMBER(FIND(CODES!$A$11,BF48))),CODES!$A$13,IF(OR(BF48&lt;BF$63,ISNUMBER(BF48)=FALSE),BF$64,BF48))))</f>
      </c>
      <c r="BG100" s="9" t="str">
        <f>IF(ISBLANK(BG48),"NO DATA",IF(ISNUMBER(FIND(CODES!$A$12,BG48)),CODES!$A$12,IF(OR(ISNUMBER(FIND(CODES!$A$10,BG48)),ISNUMBER(FIND(CODES!$A$11,BG48))),CODES!$A$13,IF(OR(BG48&lt;BG$63,ISNUMBER(BG48)=FALSE),BG$64,BG48))))</f>
      </c>
      <c r="BH100" s="9" t="str">
        <f>IF(ISBLANK(BH48),"NO DATA",IF(ISNUMBER(FIND(CODES!$A$12,BH48)),CODES!$A$12,IF(OR(ISNUMBER(FIND(CODES!$A$10,BH48)),ISNUMBER(FIND(CODES!$A$11,BH48))),CODES!$A$13,IF(OR(BH48&lt;BH$63,ISNUMBER(BH48)=FALSE),BH$64,BH48))))</f>
      </c>
      <c r="BI100" s="9" t="str">
        <f>IF(ISBLANK(BI48),"NO DATA",IF(ISNUMBER(FIND(CODES!$A$12,BI48)),CODES!$A$12,IF(OR(ISNUMBER(FIND(CODES!$A$10,BI48)),ISNUMBER(FIND(CODES!$A$11,BI48))),CODES!$A$13,IF(OR(BI48&lt;BI$63,ISNUMBER(BI48)=FALSE),BI$64,BI48))))</f>
      </c>
      <c r="BJ100" s="9" t="str">
        <f>IF(ISBLANK(BJ48),"NO DATA",IF(ISNUMBER(FIND(CODES!$A$12,BJ48)),CODES!$A$12,IF(OR(ISNUMBER(FIND(CODES!$A$10,BJ48)),ISNUMBER(FIND(CODES!$A$11,BJ48))),CODES!$A$13,IF(OR(BJ48&lt;BJ$63,ISNUMBER(BJ48)=FALSE),BJ$64,BJ48))))</f>
      </c>
      <c r="BK100" s="9" t="str">
        <f>IF(ISBLANK(BK48),"NO DATA",IF(ISNUMBER(FIND(CODES!$A$12,BK48)),CODES!$A$12,IF(OR(ISNUMBER(FIND(CODES!$A$10,BK48)),ISNUMBER(FIND(CODES!$A$11,BK48))),CODES!$A$13,IF(OR(BK48&lt;BK$63,ISNUMBER(BK48)=FALSE),BK$64,BK48))))</f>
      </c>
      <c r="BL100" s="9" t="str">
        <f>IF(ISBLANK(BL48),"NO DATA",IF(ISNUMBER(FIND(CODES!$A$12,BL48)),CODES!$A$12,IF(OR(ISNUMBER(FIND(CODES!$A$10,BL48)),ISNUMBER(FIND(CODES!$A$11,BL48))),CODES!$A$13,IF(OR(BL48&lt;BL$63,ISNUMBER(BL48)=FALSE),BL$64,BL48))))</f>
      </c>
      <c r="BM100" s="9" t="str">
        <f>IF(ISBLANK(BM48),"NO DATA",IF(ISNUMBER(FIND(CODES!$A$12,BM48)),CODES!$A$12,IF(OR(ISNUMBER(FIND(CODES!$A$10,BM48)),ISNUMBER(FIND(CODES!$A$11,BM48))),CODES!$A$13,IF(OR(BM48&lt;BM$63,ISNUMBER(BM48)=FALSE),BM$64,BM48))))</f>
      </c>
      <c r="BN100" s="9" t="str">
        <f>IF(ISBLANK(BN48),"NO DATA",IF(ISNUMBER(FIND(CODES!$A$12,BN48)),CODES!$A$12,IF(OR(ISNUMBER(FIND(CODES!$A$10,BN48)),ISNUMBER(FIND(CODES!$A$11,BN48))),CODES!$A$13,IF(OR(BN48&lt;BN$63,ISNUMBER(BN48)=FALSE),BN$64,BN48))))</f>
      </c>
      <c r="BO100" s="9" t="str">
        <f>IF(ISBLANK(BO48),"NO DATA",IF(ISNUMBER(FIND(CODES!$A$12,BO48)),CODES!$A$12,IF(OR(ISNUMBER(FIND(CODES!$A$10,BO48)),ISNUMBER(FIND(CODES!$A$11,BO48))),CODES!$A$13,IF(OR(BO48&lt;BO$63,ISNUMBER(BO48)=FALSE),BO$64,BO48))))</f>
      </c>
      <c r="BP100" s="9" t="str">
        <f>IF(ISBLANK(BP48),"NO DATA",IF(ISNUMBER(FIND(CODES!$A$12,BP48)),CODES!$A$12,IF(OR(ISNUMBER(FIND(CODES!$A$10,BP48)),ISNUMBER(FIND(CODES!$A$11,BP48))),CODES!$A$13,IF(OR(BP48&lt;BP$63,ISNUMBER(BP48)=FALSE),BP$64,BP48))))</f>
      </c>
      <c r="BQ100" s="9" t="str">
        <f>IF(ISBLANK(BQ48),"NO DATA",IF(ISNUMBER(FIND(CODES!$A$12,BQ48)),CODES!$A$12,IF(OR(ISNUMBER(FIND(CODES!$A$10,BQ48)),ISNUMBER(FIND(CODES!$A$11,BQ48))),CODES!$A$13,IF(OR(BQ48&lt;BQ$63,ISNUMBER(BQ48)=FALSE),BQ$64,BQ48))))</f>
      </c>
      <c r="BR100" s="9" t="str">
        <f>IF(ISBLANK(BR48),"NO DATA",IF(ISNUMBER(FIND(CODES!$A$12,BR48)),CODES!$A$12,IF(OR(ISNUMBER(FIND(CODES!$A$10,BR48)),ISNUMBER(FIND(CODES!$A$11,BR48))),CODES!$A$13,IF(OR(BR48&lt;BR$63,ISNUMBER(BR48)=FALSE),BR$64,BR48))))</f>
      </c>
      <c r="BS100" s="9" t="str">
        <f>IF(ISBLANK(BS48),"NO DATA",IF(ISNUMBER(FIND(CODES!$A$12,BS48)),CODES!$A$12,IF(OR(ISNUMBER(FIND(CODES!$A$10,BS48)),ISNUMBER(FIND(CODES!$A$11,BS48))),CODES!$A$13,IF(OR(BS48&lt;BS$63,ISNUMBER(BS48)=FALSE),BS$64,BS48))))</f>
      </c>
      <c r="BT100" s="9" t="str">
        <f>IF(ISBLANK(BT48),"NO DATA",IF(ISNUMBER(FIND(CODES!$A$12,BT48)),CODES!$A$12,IF(OR(ISNUMBER(FIND(CODES!$A$10,BT48)),ISNUMBER(FIND(CODES!$A$11,BT48))),CODES!$A$13,IF(OR(BT48&lt;BT$63,ISNUMBER(BT48)=FALSE),BT$64,BT48))))</f>
      </c>
      <c r="BU100" s="9" t="str">
        <f>IF(ISBLANK(BU48),"NO DATA",IF(ISNUMBER(FIND(CODES!$A$12,BU48)),CODES!$A$12,IF(OR(ISNUMBER(FIND(CODES!$A$10,BU48)),ISNUMBER(FIND(CODES!$A$11,BU48))),CODES!$A$13,IF(OR(BU48&lt;BU$63,ISNUMBER(BU48)=FALSE),BU$64,BU48))))</f>
      </c>
      <c r="BV100" s="9" t="str">
        <f>IF(ISBLANK(BV48),"NO DATA",IF(ISNUMBER(FIND(CODES!$A$12,BV48)),CODES!$A$12,IF(OR(ISNUMBER(FIND(CODES!$A$10,BV48)),ISNUMBER(FIND(CODES!$A$11,BV48))),CODES!$A$13,IF(OR(BV48&lt;BV$63,ISNUMBER(BV48)=FALSE),BV$64,BV48))))</f>
      </c>
      <c r="BW100" s="9" t="str">
        <f>IF(ISBLANK(BW48),"NO DATA",IF(ISNUMBER(FIND(CODES!$A$12,BW48)),CODES!$A$12,IF(OR(ISNUMBER(FIND(CODES!$A$10,BW48)),ISNUMBER(FIND(CODES!$A$11,BW48))),CODES!$A$13,IF(OR(BW48&lt;BW$63,ISNUMBER(BW48)=FALSE),BW$64,BW48))))</f>
      </c>
      <c r="BX100" s="9" t="str">
        <f>IF(ISBLANK(BX48),"NO DATA",IF(ISNUMBER(FIND(CODES!$A$12,BX48)),CODES!$A$12,IF(OR(ISNUMBER(FIND(CODES!$A$10,BX48)),ISNUMBER(FIND(CODES!$A$11,BX48))),CODES!$A$13,IF(OR(BX48&lt;BX$63,ISNUMBER(BX48)=FALSE),BX$64,BX48))))</f>
      </c>
      <c r="BY100" s="9" t="str">
        <f>IF(ISBLANK(BY48),"NO DATA",IF(ISNUMBER(FIND(CODES!$A$12,BY48)),CODES!$A$12,IF(OR(ISNUMBER(FIND(CODES!$A$10,BY48)),ISNUMBER(FIND(CODES!$A$11,BY48))),CODES!$A$13,IF(OR(BY48&lt;BY$63,ISNUMBER(BY48)=FALSE),BY$64,BY48))))</f>
      </c>
      <c r="BZ100" s="9" t="str">
        <f>IF(ISBLANK(BZ48),"NO DATA",IF(ISNUMBER(FIND(CODES!$A$12,BZ48)),CODES!$A$12,IF(OR(ISNUMBER(FIND(CODES!$A$10,BZ48)),ISNUMBER(FIND(CODES!$A$11,BZ48))),CODES!$A$13,IF(OR(BZ48&lt;BZ$63,ISNUMBER(BZ48)=FALSE),BZ$64,BZ48))))</f>
      </c>
      <c r="CA100" s="9" t="str">
        <f>IF(ISBLANK(CA48),"NO DATA",IF(ISNUMBER(FIND(CODES!$A$12,CA48)),CODES!$A$12,IF(OR(ISNUMBER(FIND(CODES!$A$10,CA48)),ISNUMBER(FIND(CODES!$A$11,CA48))),CODES!$A$13,IF(OR(CA48&lt;CA$63,ISNUMBER(CA48)=FALSE),CA$64,CA48))))</f>
      </c>
      <c r="CB100" s="9" t="str">
        <f>IF(ISBLANK(CB48),"NO DATA",IF(ISNUMBER(FIND(CODES!$A$12,CB48)),CODES!$A$12,IF(OR(ISNUMBER(FIND(CODES!$A$10,CB48)),ISNUMBER(FIND(CODES!$A$11,CB48))),CODES!$A$13,IF(OR(CB48&lt;CB$63,ISNUMBER(CB48)=FALSE),CB$64,CB48))))</f>
      </c>
      <c r="CC100" s="9" t="str">
        <f>IF(ISBLANK(CC48),"NO DATA",IF(ISNUMBER(FIND(CODES!$A$12,CC48)),CODES!$A$12,IF(OR(ISNUMBER(FIND(CODES!$A$10,CC48)),ISNUMBER(FIND(CODES!$A$11,CC48))),CODES!$A$13,IF(OR(CC48&lt;CC$63,ISNUMBER(CC48)=FALSE),CC$64,CC48))))</f>
      </c>
      <c r="CD100" s="9" t="str">
        <f>IF(ISBLANK(CD48),"NO DATA",IF(ISNUMBER(FIND(CODES!$A$12,CD48)),CODES!$A$12,IF(OR(ISNUMBER(FIND(CODES!$A$10,CD48)),ISNUMBER(FIND(CODES!$A$11,CD48))),CODES!$A$13,IF(OR(CD48&lt;CD$63,ISNUMBER(CD48)=FALSE),CD$64,CD48))))</f>
      </c>
      <c r="CE100" s="9" t="str">
        <f>IF(ISBLANK(CE48),"NO DATA",IF(ISNUMBER(FIND(CODES!$A$12,CE48)),CODES!$A$12,IF(OR(ISNUMBER(FIND(CODES!$A$10,CE48)),ISNUMBER(FIND(CODES!$A$11,CE48))),CODES!$A$13,IF(OR(CE48&lt;CE$63,ISNUMBER(CE48)=FALSE),CE$64,CE48))))</f>
      </c>
      <c r="CF100" s="9" t="str">
        <f>IF(ISBLANK(CF48),"NO DATA",IF(ISNUMBER(FIND(CODES!$A$12,CF48)),CODES!$A$12,IF(OR(ISNUMBER(FIND(CODES!$A$10,CF48)),ISNUMBER(FIND(CODES!$A$11,CF48))),CODES!$A$13,IF(OR(CF48&lt;CF$63,ISNUMBER(CF48)=FALSE),CF$64,CF48))))</f>
      </c>
      <c r="CG100" s="9" t="str">
        <f>IF(ISBLANK(CG48),"NO DATA",IF(ISNUMBER(FIND(CODES!$A$12,CG48)),CODES!$A$12,IF(OR(ISNUMBER(FIND(CODES!$A$10,CG48)),ISNUMBER(FIND(CODES!$A$11,CG48))),CODES!$A$13,IF(OR(CG48&lt;CG$63,ISNUMBER(CG48)=FALSE),CG$64,CG48))))</f>
      </c>
      <c r="CH100" s="9" t="str">
        <f>IF(ISBLANK(CH48),"NO DATA",IF(ISNUMBER(FIND(CODES!$A$12,CH48)),CODES!$A$12,IF(OR(ISNUMBER(FIND(CODES!$A$10,CH48)),ISNUMBER(FIND(CODES!$A$11,CH48))),CODES!$A$13,IF(OR(CH48&lt;CH$63,ISNUMBER(CH48)=FALSE),CH$64,CH48))))</f>
      </c>
      <c r="CI100" s="9" t="str">
        <f>IF(ISBLANK(CI48),"NO DATA",IF(ISNUMBER(FIND(CODES!$A$12,CI48)),CODES!$A$12,IF(OR(ISNUMBER(FIND(CODES!$A$10,CI48)),ISNUMBER(FIND(CODES!$A$11,CI48))),CODES!$A$13,IF(OR(CI48&lt;CI$63,ISNUMBER(CI48)=FALSE),CI$64,CI48))))</f>
      </c>
      <c r="CJ100" s="9" t="str">
        <f>IF(ISBLANK(CJ48),"NO DATA",IF(ISNUMBER(FIND(CODES!$A$12,CJ48)),CODES!$A$12,IF(OR(ISNUMBER(FIND(CODES!$A$10,CJ48)),ISNUMBER(FIND(CODES!$A$11,CJ48))),CODES!$A$13,IF(OR(CJ48&lt;CJ$63,ISNUMBER(CJ48)=FALSE),CJ$64,CJ48))))</f>
      </c>
      <c r="CK100" s="9" t="str">
        <f>IF(ISBLANK(CK48),"NO DATA",IF(ISNUMBER(FIND(CODES!$A$12,CK48)),CODES!$A$12,IF(OR(ISNUMBER(FIND(CODES!$A$10,CK48)),ISNUMBER(FIND(CODES!$A$11,CK48))),CODES!$A$13,IF(OR(CK48&lt;CK$63,ISNUMBER(CK48)=FALSE),CK$64,CK48))))</f>
      </c>
      <c r="CL100" s="9" t="str">
        <f>IF(ISBLANK(CL48),"NO DATA",IF(ISNUMBER(FIND(CODES!$A$12,CL48)),CODES!$A$12,IF(OR(ISNUMBER(FIND(CODES!$A$10,CL48)),ISNUMBER(FIND(CODES!$A$11,CL48))),CODES!$A$13,IF(OR(CL48&lt;CL$63,ISNUMBER(CL48)=FALSE),CL$64,CL48))))</f>
      </c>
      <c r="CM100" s="9" t="str">
        <f>IF(ISBLANK(CM48),"NO DATA",IF(ISNUMBER(FIND(CODES!$A$12,CM48)),CODES!$A$12,IF(OR(ISNUMBER(FIND(CODES!$A$10,CM48)),ISNUMBER(FIND(CODES!$A$11,CM48))),CODES!$A$13,IF(OR(CM48&lt;CM$63,ISNUMBER(CM48)=FALSE),CM$64,CM48))))</f>
      </c>
      <c r="CN100" s="9" t="str">
        <f>IF(ISBLANK(CN48),"NO DATA",IF(ISNUMBER(FIND(CODES!$A$12,CN48)),CODES!$A$12,IF(OR(ISNUMBER(FIND(CODES!$A$10,CN48)),ISNUMBER(FIND(CODES!$A$11,CN48))),CODES!$A$13,IF(OR(CN48&lt;CN$63,ISNUMBER(CN48)=FALSE),CN$64,CN48))))</f>
      </c>
      <c r="CO100" s="9" t="str">
        <f>IF(ISBLANK(CO48),"NO DATA",IF(ISNUMBER(FIND(CODES!$A$12,CO48)),CODES!$A$12,IF(OR(ISNUMBER(FIND(CODES!$A$10,CO48)),ISNUMBER(FIND(CODES!$A$11,CO48))),CODES!$A$13,IF(OR(CO48&lt;CO$63,ISNUMBER(CO48)=FALSE),CO$64,CO48))))</f>
      </c>
      <c r="CP100" s="9" t="str">
        <f>IF(ISBLANK(CP48),"NO DATA",IF(ISNUMBER(FIND(CODES!$A$12,CP48)),CODES!$A$12,IF(OR(ISNUMBER(FIND(CODES!$A$10,CP48)),ISNUMBER(FIND(CODES!$A$11,CP48))),CODES!$A$13,IF(OR(CP48&lt;CP$63,ISNUMBER(CP48)=FALSE),CP$64,CP48))))</f>
      </c>
      <c r="CQ100" s="9" t="str">
        <f>IF(ISBLANK(CQ48),"NO DATA",IF(ISNUMBER(FIND(CODES!$A$12,CQ48)),CODES!$A$12,IF(OR(ISNUMBER(FIND(CODES!$A$10,CQ48)),ISNUMBER(FIND(CODES!$A$11,CQ48))),CODES!$A$13,IF(OR(CQ48&lt;CQ$63,ISNUMBER(CQ48)=FALSE),CQ$64,CQ48))))</f>
      </c>
      <c r="CR100" s="9" t="str">
        <f>IF(ISBLANK(CR48),"NO DATA",IF(ISNUMBER(FIND(CODES!$A$12,CR48)),CODES!$A$12,IF(OR(ISNUMBER(FIND(CODES!$A$10,CR48)),ISNUMBER(FIND(CODES!$A$11,CR48))),CODES!$A$13,IF(OR(CR48&lt;CR$63,ISNUMBER(CR48)=FALSE),CR$64,CR48))))</f>
      </c>
      <c r="CS100" s="9" t="str">
        <f>IF(ISBLANK(CS48),"NO DATA",IF(ISNUMBER(FIND(CODES!$A$12,CS48)),CODES!$A$12,IF(OR(ISNUMBER(FIND(CODES!$A$10,CS48)),ISNUMBER(FIND(CODES!$A$11,CS48))),CODES!$A$13,IF(OR(CS48&lt;CS$63,ISNUMBER(CS48)=FALSE),CS$64,CS48))))</f>
      </c>
      <c r="CT100" s="9" t="str">
        <f>IF(ISBLANK(CT48),"NO DATA",IF(ISNUMBER(FIND(CODES!$A$12,CT48)),CODES!$A$12,IF(OR(ISNUMBER(FIND(CODES!$A$10,CT48)),ISNUMBER(FIND(CODES!$A$11,CT48))),CODES!$A$13,IF(OR(CT48&lt;CT$63,ISNUMBER(CT48)=FALSE),CT$64,CT48))))</f>
      </c>
      <c r="CU100" s="9" t="str">
        <f>IF(ISBLANK(CU48),"NO DATA",IF(ISNUMBER(FIND(CODES!$A$12,CU48)),CODES!$A$12,IF(OR(ISNUMBER(FIND(CODES!$A$10,CU48)),ISNUMBER(FIND(CODES!$A$11,CU48))),CODES!$A$13,IF(OR(CU48&lt;CU$63,ISNUMBER(CU48)=FALSE),CU$64,CU48))))</f>
      </c>
      <c r="CV100" s="9" t="str">
        <f>IF(ISBLANK(CV48),"NO DATA",IF(ISNUMBER(FIND(CODES!$A$12,CV48)),CODES!$A$12,IF(OR(ISNUMBER(FIND(CODES!$A$10,CV48)),ISNUMBER(FIND(CODES!$A$11,CV48))),CODES!$A$13,IF(OR(CV48&lt;CV$63,ISNUMBER(CV48)=FALSE),CV$64,CV48))))</f>
      </c>
      <c r="CW100" s="9" t="str">
        <f>IF(ISBLANK(CW48),"NO DATA",IF(ISNUMBER(FIND(CODES!$A$12,CW48)),CODES!$A$12,IF(OR(ISNUMBER(FIND(CODES!$A$10,CW48)),ISNUMBER(FIND(CODES!$A$11,CW48))),CODES!$A$13,IF(OR(CW48&lt;CW$63,ISNUMBER(CW48)=FALSE),CW$64,CW48))))</f>
      </c>
      <c r="CX100" s="9" t="str">
        <f>IF(ISBLANK(CX48),"NO DATA",IF(ISNUMBER(FIND(CODES!$A$12,CX48)),CODES!$A$12,IF(OR(ISNUMBER(FIND(CODES!$A$10,CX48)),ISNUMBER(FIND(CODES!$A$11,CX48))),CODES!$A$13,IF(OR(CX48&lt;CX$63,ISNUMBER(CX48)=FALSE),CX$64,CX48))))</f>
      </c>
      <c r="CY100" s="9" t="str">
        <f>IF(ISBLANK(CY48),"NO DATA",IF(ISNUMBER(FIND(CODES!$A$12,CY48)),CODES!$A$12,IF(OR(ISNUMBER(FIND(CODES!$A$10,CY48)),ISNUMBER(FIND(CODES!$A$11,CY48))),CODES!$A$13,IF(OR(CY48&lt;CY$63,ISNUMBER(CY48)=FALSE),CY$64,CY48))))</f>
      </c>
      <c r="CZ100" s="9" t="str">
        <f>IF(ISBLANK(CZ48),"NO DATA",IF(ISNUMBER(FIND(CODES!$A$12,CZ48)),CODES!$A$12,IF(OR(ISNUMBER(FIND(CODES!$A$10,CZ48)),ISNUMBER(FIND(CODES!$A$11,CZ48))),CODES!$A$13,IF(OR(CZ48&lt;CZ$63,ISNUMBER(CZ48)=FALSE),CZ$64,CZ48))))</f>
      </c>
      <c r="DA100" s="9" t="str">
        <f>IF(ISBLANK(DA48),"NO DATA",IF(ISNUMBER(FIND(CODES!$A$12,DA48)),CODES!$A$12,IF(OR(ISNUMBER(FIND(CODES!$A$10,DA48)),ISNUMBER(FIND(CODES!$A$11,DA48))),CODES!$A$13,IF(OR(DA48&lt;DA$63,ISNUMBER(DA48)=FALSE),DA$64,DA48))))</f>
      </c>
      <c r="DB100" s="9" t="str">
        <f>IF(ISBLANK(DB48),"NO DATA",IF(ISNUMBER(FIND(CODES!$A$12,DB48)),CODES!$A$12,IF(OR(ISNUMBER(FIND(CODES!$A$10,DB48)),ISNUMBER(FIND(CODES!$A$11,DB48))),CODES!$A$13,IF(OR(DB48&lt;DB$63,ISNUMBER(DB48)=FALSE),DB$64,DB48))))</f>
      </c>
      <c r="DC100" s="9" t="str">
        <f>IF(ISBLANK(DC48),"NO DATA",IF(ISNUMBER(FIND(CODES!$A$12,DC48)),CODES!$A$12,IF(OR(ISNUMBER(FIND(CODES!$A$10,DC48)),ISNUMBER(FIND(CODES!$A$11,DC48))),CODES!$A$13,IF(OR(DC48&lt;DC$63,ISNUMBER(DC48)=FALSE),DC$64,DC48))))</f>
      </c>
      <c r="DD100" s="9" t="str">
        <f>IF(ISBLANK(DD48),"NO DATA",IF(ISNUMBER(FIND(CODES!$A$12,DD48)),CODES!$A$12,IF(OR(ISNUMBER(FIND(CODES!$A$10,DD48)),ISNUMBER(FIND(CODES!$A$11,DD48))),CODES!$A$13,IF(OR(DD48&lt;DD$63,ISNUMBER(DD48)=FALSE),DD$64,DD48))))</f>
      </c>
      <c r="DE100" s="9" t="str">
        <f>IF(ISBLANK(DE48),"NO DATA",IF(ISNUMBER(FIND(CODES!$A$12,DE48)),CODES!$A$12,IF(OR(ISNUMBER(FIND(CODES!$A$10,DE48)),ISNUMBER(FIND(CODES!$A$11,DE48))),CODES!$A$13,IF(OR(DE48&lt;DE$63,ISNUMBER(DE48)=FALSE),DE$64,DE48))))</f>
      </c>
      <c r="DF100" s="9" t="str">
        <f>IF(ISBLANK(DF48),"NO DATA",IF(ISNUMBER(FIND(CODES!$A$12,DF48)),CODES!$A$12,IF(OR(ISNUMBER(FIND(CODES!$A$10,DF48)),ISNUMBER(FIND(CODES!$A$11,DF48))),CODES!$A$13,IF(OR(DF48&lt;DF$63,ISNUMBER(DF48)=FALSE),DF$64,DF48))))</f>
      </c>
      <c r="DG100" s="9" t="str">
        <f>IF(ISBLANK(DG48),"NO DATA",IF(ISNUMBER(FIND(CODES!$A$12,DG48)),CODES!$A$12,IF(OR(ISNUMBER(FIND(CODES!$A$10,DG48)),ISNUMBER(FIND(CODES!$A$11,DG48))),CODES!$A$13,IF(OR(DG48&lt;DG$63,ISNUMBER(DG48)=FALSE),DG$64,DG48))))</f>
      </c>
      <c r="DH100" s="9" t="str">
        <f>IF(ISBLANK(DH48),"NO DATA",IF(ISNUMBER(FIND(CODES!$A$12,DH48)),CODES!$A$12,IF(OR(ISNUMBER(FIND(CODES!$A$10,DH48)),ISNUMBER(FIND(CODES!$A$11,DH48))),CODES!$A$13,IF(OR(DH48&lt;DH$63,ISNUMBER(DH48)=FALSE),DH$64,DH48))))</f>
      </c>
      <c r="DI100" s="9" t="str">
        <f>IF(ISBLANK(DI48),"NO DATA",IF(ISNUMBER(FIND(CODES!$A$12,DI48)),CODES!$A$12,IF(OR(ISNUMBER(FIND(CODES!$A$10,DI48)),ISNUMBER(FIND(CODES!$A$11,DI48))),CODES!$A$13,IF(OR(DI48&lt;DI$63,ISNUMBER(DI48)=FALSE),DI$64,DI48))))</f>
      </c>
    </row>
    <row r="101" spans="1:113" x14ac:dyDescent="0.25">
      <c r="A101" s="20" t="str">
        <f t="shared" si="5"/>
      </c>
      <c r="B101" s="20">
        <f t="shared" si="5"/>
      </c>
      <c r="C101" s="9" t="str">
        <f>IF(ISBLANK(C49),"NO DATA",IF(ISNUMBER(FIND(CODES!$A$12,C49)),CODES!$A$12,IF(OR(ISNUMBER(FIND(CODES!$A$10,C49)),ISNUMBER(FIND(CODES!$A$11,C49))),CODES!$A$13,IF(OR(C49&lt;C$63,ISNUMBER(C49)=FALSE),C$64,C49))))</f>
      </c>
      <c r="D101" s="9" t="str">
        <f>IF(ISBLANK(D49),"NO DATA",IF(ISNUMBER(FIND(CODES!$A$12,D49)),CODES!$A$12,IF(OR(ISNUMBER(FIND(CODES!$A$10,D49)),ISNUMBER(FIND(CODES!$A$11,D49))),CODES!$A$13,IF(OR(D49&lt;D$63,ISNUMBER(D49)=FALSE),D$64,D49))))</f>
      </c>
      <c r="E101" s="9" t="str">
        <f>IF(ISBLANK(E49),"NO DATA",IF(ISNUMBER(FIND(CODES!$A$12,E49)),CODES!$A$12,IF(OR(ISNUMBER(FIND(CODES!$A$10,E49)),ISNUMBER(FIND(CODES!$A$11,E49))),CODES!$A$13,IF(OR(E49&lt;E$63,ISNUMBER(E49)=FALSE),E$64,E49))))</f>
      </c>
      <c r="F101" s="9" t="str">
        <f>IF(ISBLANK(F49),"NO DATA",IF(ISNUMBER(FIND(CODES!$A$12,F49)),CODES!$A$12,IF(OR(ISNUMBER(FIND(CODES!$A$10,F49)),ISNUMBER(FIND(CODES!$A$11,F49))),CODES!$A$13,IF(OR(F49&lt;F$63,ISNUMBER(F49)=FALSE),F$64,F49))))</f>
      </c>
      <c r="G101" s="9" t="str">
        <f>IF(ISBLANK(G49),"NO DATA",IF(ISNUMBER(FIND(CODES!$A$12,G49)),CODES!$A$12,IF(OR(ISNUMBER(FIND(CODES!$A$10,G49)),ISNUMBER(FIND(CODES!$A$11,G49))),CODES!$A$13,IF(OR(G49&lt;G$63,ISNUMBER(G49)=FALSE),G$64,G49))))</f>
      </c>
      <c r="H101" s="9" t="str">
        <f>IF(ISBLANK(H49),"NO DATA",IF(ISNUMBER(FIND(CODES!$A$12,H49)),CODES!$A$12,IF(OR(ISNUMBER(FIND(CODES!$A$10,H49)),ISNUMBER(FIND(CODES!$A$11,H49))),CODES!$A$13,IF(OR(H49&lt;H$63,ISNUMBER(H49)=FALSE),H$64,H49))))</f>
      </c>
      <c r="I101" s="9" t="str">
        <f>IF(ISBLANK(I49),"NO DATA",IF(ISNUMBER(FIND(CODES!$A$12,I49)),CODES!$A$12,IF(OR(ISNUMBER(FIND(CODES!$A$10,I49)),ISNUMBER(FIND(CODES!$A$11,I49))),CODES!$A$13,IF(OR(I49&lt;I$63,ISNUMBER(I49)=FALSE),I$64,I49))))</f>
      </c>
      <c r="J101" s="9" t="str">
        <f>IF(ISBLANK(J49),"NO DATA",IF(ISNUMBER(FIND(CODES!$A$12,J49)),CODES!$A$12,IF(OR(ISNUMBER(FIND(CODES!$A$10,J49)),ISNUMBER(FIND(CODES!$A$11,J49))),CODES!$A$13,IF(OR(J49&lt;J$63,ISNUMBER(J49)=FALSE),J$64,J49))))</f>
      </c>
      <c r="K101" s="9" t="str">
        <f>IF(ISBLANK(K49),"NO DATA",IF(ISNUMBER(FIND(CODES!$A$12,K49)),CODES!$A$12,IF(OR(ISNUMBER(FIND(CODES!$A$10,K49)),ISNUMBER(FIND(CODES!$A$11,K49))),CODES!$A$13,IF(OR(K49&lt;K$63,ISNUMBER(K49)=FALSE),K$64,K49))))</f>
      </c>
      <c r="L101" s="9" t="str">
        <f>IF(ISBLANK(L49),"NO DATA",IF(ISNUMBER(FIND(CODES!$A$12,L49)),CODES!$A$12,IF(OR(ISNUMBER(FIND(CODES!$A$10,L49)),ISNUMBER(FIND(CODES!$A$11,L49))),CODES!$A$13,IF(OR(L49&lt;L$63,ISNUMBER(L49)=FALSE),L$64,L49))))</f>
      </c>
      <c r="M101" s="9" t="str">
        <f>IF(ISBLANK(M49),"NO DATA",IF(ISNUMBER(FIND(CODES!$A$12,M49)),CODES!$A$12,IF(OR(ISNUMBER(FIND(CODES!$A$10,M49)),ISNUMBER(FIND(CODES!$A$11,M49))),CODES!$A$13,IF(OR(M49&lt;M$63,ISNUMBER(M49)=FALSE),M$64,M49))))</f>
      </c>
      <c r="N101" s="9" t="str">
        <f>IF(ISBLANK(N49),"NO DATA",IF(ISNUMBER(FIND(CODES!$A$12,N49)),CODES!$A$12,IF(OR(ISNUMBER(FIND(CODES!$A$10,N49)),ISNUMBER(FIND(CODES!$A$11,N49))),CODES!$A$13,IF(OR(N49&lt;N$63,ISNUMBER(N49)=FALSE),N$64,N49))))</f>
      </c>
      <c r="O101" s="9" t="str">
        <f>IF(ISBLANK(O49),"NO DATA",IF(ISNUMBER(FIND(CODES!$A$12,O49)),CODES!$A$12,IF(OR(ISNUMBER(FIND(CODES!$A$10,O49)),ISNUMBER(FIND(CODES!$A$11,O49))),CODES!$A$13,IF(OR(O49&lt;O$63,ISNUMBER(O49)=FALSE),O$64,O49))))</f>
      </c>
      <c r="P101" s="9" t="str">
        <f>IF(ISBLANK(P49),"NO DATA",IF(ISNUMBER(FIND(CODES!$A$12,P49)),CODES!$A$12,IF(OR(ISNUMBER(FIND(CODES!$A$10,P49)),ISNUMBER(FIND(CODES!$A$11,P49))),CODES!$A$13,IF(OR(P49&lt;P$63,ISNUMBER(P49)=FALSE),P$64,P49))))</f>
      </c>
      <c r="Q101" s="9" t="str">
        <f>IF(ISBLANK(Q49),"NO DATA",IF(ISNUMBER(FIND(CODES!$A$12,Q49)),CODES!$A$12,IF(OR(ISNUMBER(FIND(CODES!$A$10,Q49)),ISNUMBER(FIND(CODES!$A$11,Q49))),CODES!$A$13,IF(OR(Q49&lt;Q$63,ISNUMBER(Q49)=FALSE),Q$64,Q49))))</f>
      </c>
      <c r="R101" s="9" t="str">
        <f>IF(ISBLANK(R49),"NO DATA",IF(ISNUMBER(FIND(CODES!$A$12,R49)),CODES!$A$12,IF(OR(ISNUMBER(FIND(CODES!$A$10,R49)),ISNUMBER(FIND(CODES!$A$11,R49))),CODES!$A$13,IF(OR(R49&lt;R$63,ISNUMBER(R49)=FALSE),R$64,R49))))</f>
      </c>
      <c r="S101" s="9" t="str">
        <f>IF(ISBLANK(S49),"NO DATA",IF(ISNUMBER(FIND(CODES!$A$12,S49)),CODES!$A$12,IF(OR(ISNUMBER(FIND(CODES!$A$10,S49)),ISNUMBER(FIND(CODES!$A$11,S49))),CODES!$A$13,IF(OR(S49&lt;S$63,ISNUMBER(S49)=FALSE),S$64,S49))))</f>
      </c>
      <c r="T101" s="9" t="str">
        <f>IF(ISBLANK(T49),"NO DATA",IF(ISNUMBER(FIND(CODES!$A$12,T49)),CODES!$A$12,IF(OR(ISNUMBER(FIND(CODES!$A$10,T49)),ISNUMBER(FIND(CODES!$A$11,T49))),CODES!$A$13,IF(OR(T49&lt;T$63,ISNUMBER(T49)=FALSE),T$64,T49))))</f>
      </c>
      <c r="U101" s="9" t="str">
        <f>IF(ISBLANK(U49),"NO DATA",IF(ISNUMBER(FIND(CODES!$A$12,U49)),CODES!$A$12,IF(OR(ISNUMBER(FIND(CODES!$A$10,U49)),ISNUMBER(FIND(CODES!$A$11,U49))),CODES!$A$13,IF(OR(U49&lt;U$63,ISNUMBER(U49)=FALSE),U$64,U49))))</f>
      </c>
      <c r="V101" s="9" t="str">
        <f>IF(ISBLANK(V49),"NO DATA",IF(ISNUMBER(FIND(CODES!$A$12,V49)),CODES!$A$12,IF(OR(ISNUMBER(FIND(CODES!$A$10,V49)),ISNUMBER(FIND(CODES!$A$11,V49))),CODES!$A$13,IF(OR(V49&lt;V$63,ISNUMBER(V49)=FALSE),V$64,V49))))</f>
      </c>
      <c r="W101" s="9" t="str">
        <f>IF(ISBLANK(W49),"NO DATA",IF(ISNUMBER(FIND(CODES!$A$12,W49)),CODES!$A$12,IF(OR(ISNUMBER(FIND(CODES!$A$10,W49)),ISNUMBER(FIND(CODES!$A$11,W49))),CODES!$A$13,IF(OR(W49&lt;W$63,ISNUMBER(W49)=FALSE),W$64,W49))))</f>
      </c>
      <c r="X101" s="9" t="str">
        <f>IF(ISBLANK(X49),"NO DATA",IF(ISNUMBER(FIND(CODES!$A$12,X49)),CODES!$A$12,IF(OR(ISNUMBER(FIND(CODES!$A$10,X49)),ISNUMBER(FIND(CODES!$A$11,X49))),CODES!$A$13,IF(OR(X49&lt;X$63,ISNUMBER(X49)=FALSE),X$64,X49))))</f>
      </c>
      <c r="Y101" s="9" t="str">
        <f>IF(ISBLANK(Y49),"NO DATA",IF(ISNUMBER(FIND(CODES!$A$12,Y49)),CODES!$A$12,IF(OR(ISNUMBER(FIND(CODES!$A$10,Y49)),ISNUMBER(FIND(CODES!$A$11,Y49))),CODES!$A$13,IF(OR(Y49&lt;Y$63,ISNUMBER(Y49)=FALSE),Y$64,Y49))))</f>
      </c>
      <c r="Z101" s="9" t="str">
        <f>IF(ISBLANK(Z49),"NO DATA",IF(ISNUMBER(FIND(CODES!$A$12,Z49)),CODES!$A$12,IF(OR(ISNUMBER(FIND(CODES!$A$10,Z49)),ISNUMBER(FIND(CODES!$A$11,Z49))),CODES!$A$13,IF(OR(Z49&lt;Z$63,ISNUMBER(Z49)=FALSE),Z$64,Z49))))</f>
      </c>
      <c r="AA101" s="9" t="str">
        <f>IF(ISBLANK(AA49),"NO DATA",IF(ISNUMBER(FIND(CODES!$A$12,AA49)),CODES!$A$12,IF(OR(ISNUMBER(FIND(CODES!$A$10,AA49)),ISNUMBER(FIND(CODES!$A$11,AA49))),CODES!$A$13,IF(OR(AA49&lt;AA$63,ISNUMBER(AA49)=FALSE),AA$64,AA49))))</f>
      </c>
      <c r="AB101" s="9" t="str">
        <f>IF(ISBLANK(AB49),"NO DATA",IF(ISNUMBER(FIND(CODES!$A$12,AB49)),CODES!$A$12,IF(OR(ISNUMBER(FIND(CODES!$A$10,AB49)),ISNUMBER(FIND(CODES!$A$11,AB49))),CODES!$A$13,IF(OR(AB49&lt;AB$63,ISNUMBER(AB49)=FALSE),AB$64,AB49))))</f>
      </c>
      <c r="AC101" s="9" t="str">
        <f>IF(ISBLANK(AC49),"NO DATA",IF(ISNUMBER(FIND(CODES!$A$12,AC49)),CODES!$A$12,IF(OR(ISNUMBER(FIND(CODES!$A$10,AC49)),ISNUMBER(FIND(CODES!$A$11,AC49))),CODES!$A$13,IF(OR(AC49&lt;AC$63,ISNUMBER(AC49)=FALSE),AC$64,AC49))))</f>
      </c>
      <c r="AD101" s="9" t="str">
        <f>IF(ISBLANK(AD49),"NO DATA",IF(ISNUMBER(FIND(CODES!$A$12,AD49)),CODES!$A$12,IF(OR(ISNUMBER(FIND(CODES!$A$10,AD49)),ISNUMBER(FIND(CODES!$A$11,AD49))),CODES!$A$13,IF(OR(AD49&lt;AD$63,ISNUMBER(AD49)=FALSE),AD$64,AD49))))</f>
      </c>
      <c r="AE101" s="9" t="str">
        <f>IF(ISBLANK(AE49),"NO DATA",IF(ISNUMBER(FIND(CODES!$A$12,AE49)),CODES!$A$12,IF(OR(ISNUMBER(FIND(CODES!$A$10,AE49)),ISNUMBER(FIND(CODES!$A$11,AE49))),CODES!$A$13,IF(OR(AE49&lt;AE$63,ISNUMBER(AE49)=FALSE),AE$64,AE49))))</f>
      </c>
      <c r="AF101" s="9" t="str">
        <f>IF(ISBLANK(AF49),"NO DATA",IF(ISNUMBER(FIND(CODES!$A$12,AF49)),CODES!$A$12,IF(OR(ISNUMBER(FIND(CODES!$A$10,AF49)),ISNUMBER(FIND(CODES!$A$11,AF49))),CODES!$A$13,IF(OR(AF49&lt;AF$63,ISNUMBER(AF49)=FALSE),AF$64,AF49))))</f>
      </c>
      <c r="AG101" s="9" t="str">
        <f>IF(ISBLANK(AG49),"NO DATA",IF(ISNUMBER(FIND(CODES!$A$12,AG49)),CODES!$A$12,IF(OR(ISNUMBER(FIND(CODES!$A$10,AG49)),ISNUMBER(FIND(CODES!$A$11,AG49))),CODES!$A$13,IF(OR(AG49&lt;AG$63,ISNUMBER(AG49)=FALSE),AG$64,AG49))))</f>
      </c>
      <c r="AH101" s="9" t="str">
        <f>IF(ISBLANK(AH49),"NO DATA",IF(ISNUMBER(FIND(CODES!$A$12,AH49)),CODES!$A$12,IF(OR(ISNUMBER(FIND(CODES!$A$10,AH49)),ISNUMBER(FIND(CODES!$A$11,AH49))),CODES!$A$13,IF(OR(AH49&lt;AH$63,ISNUMBER(AH49)=FALSE),AH$64,AH49))))</f>
      </c>
      <c r="AI101" s="9" t="str">
        <f>IF(ISBLANK(AI49),"NO DATA",IF(ISNUMBER(FIND(CODES!$A$12,AI49)),CODES!$A$12,IF(OR(ISNUMBER(FIND(CODES!$A$10,AI49)),ISNUMBER(FIND(CODES!$A$11,AI49))),CODES!$A$13,IF(OR(AI49&lt;AI$63,ISNUMBER(AI49)=FALSE),AI$64,AI49))))</f>
      </c>
      <c r="AJ101" s="9" t="str">
        <f>IF(ISBLANK(AJ49),"NO DATA",IF(ISNUMBER(FIND(CODES!$A$12,AJ49)),CODES!$A$12,IF(OR(ISNUMBER(FIND(CODES!$A$10,AJ49)),ISNUMBER(FIND(CODES!$A$11,AJ49))),CODES!$A$13,IF(OR(AJ49&lt;AJ$63,ISNUMBER(AJ49)=FALSE),AJ$64,AJ49))))</f>
      </c>
      <c r="AK101" s="9" t="str">
        <f>IF(ISBLANK(AK49),"NO DATA",IF(ISNUMBER(FIND(CODES!$A$12,AK49)),CODES!$A$12,IF(OR(ISNUMBER(FIND(CODES!$A$10,AK49)),ISNUMBER(FIND(CODES!$A$11,AK49))),CODES!$A$13,IF(OR(AK49&lt;AK$63,ISNUMBER(AK49)=FALSE),AK$64,AK49))))</f>
      </c>
      <c r="AL101" s="9" t="str">
        <f>IF(ISBLANK(AL49),"NO DATA",IF(ISNUMBER(FIND(CODES!$A$12,AL49)),CODES!$A$12,IF(OR(ISNUMBER(FIND(CODES!$A$10,AL49)),ISNUMBER(FIND(CODES!$A$11,AL49))),CODES!$A$13,IF(OR(AL49&lt;AL$63,ISNUMBER(AL49)=FALSE),AL$64,AL49))))</f>
      </c>
      <c r="AM101" s="9" t="str">
        <f>IF(ISBLANK(AM49),"NO DATA",IF(ISNUMBER(FIND(CODES!$A$12,AM49)),CODES!$A$12,IF(OR(ISNUMBER(FIND(CODES!$A$10,AM49)),ISNUMBER(FIND(CODES!$A$11,AM49))),CODES!$A$13,IF(OR(AM49&lt;AM$63,ISNUMBER(AM49)=FALSE),AM$64,AM49))))</f>
      </c>
      <c r="AN101" s="9" t="str">
        <f>IF(ISBLANK(AN49),"NO DATA",IF(ISNUMBER(FIND(CODES!$A$12,AN49)),CODES!$A$12,IF(OR(ISNUMBER(FIND(CODES!$A$10,AN49)),ISNUMBER(FIND(CODES!$A$11,AN49))),CODES!$A$13,IF(OR(AN49&lt;AN$63,ISNUMBER(AN49)=FALSE),AN$64,AN49))))</f>
      </c>
      <c r="AO101" s="9" t="str">
        <f>IF(ISBLANK(AO49),"NO DATA",IF(ISNUMBER(FIND(CODES!$A$12,AO49)),CODES!$A$12,IF(OR(ISNUMBER(FIND(CODES!$A$10,AO49)),ISNUMBER(FIND(CODES!$A$11,AO49))),CODES!$A$13,IF(OR(AO49&lt;AO$63,ISNUMBER(AO49)=FALSE),AO$64,AO49))))</f>
      </c>
      <c r="AP101" s="9" t="str">
        <f>IF(ISBLANK(AP49),"NO DATA",IF(ISNUMBER(FIND(CODES!$A$12,AP49)),CODES!$A$12,IF(OR(ISNUMBER(FIND(CODES!$A$10,AP49)),ISNUMBER(FIND(CODES!$A$11,AP49))),CODES!$A$13,IF(OR(AP49&lt;AP$63,ISNUMBER(AP49)=FALSE),AP$64,AP49))))</f>
      </c>
      <c r="AQ101" s="9" t="str">
        <f>IF(ISBLANK(AQ49),"NO DATA",IF(ISNUMBER(FIND(CODES!$A$12,AQ49)),CODES!$A$12,IF(OR(ISNUMBER(FIND(CODES!$A$10,AQ49)),ISNUMBER(FIND(CODES!$A$11,AQ49))),CODES!$A$13,IF(OR(AQ49&lt;AQ$63,ISNUMBER(AQ49)=FALSE),AQ$64,AQ49))))</f>
      </c>
      <c r="AR101" s="9" t="str">
        <f>IF(ISBLANK(AR49),"NO DATA",IF(ISNUMBER(FIND(CODES!$A$12,AR49)),CODES!$A$12,IF(OR(ISNUMBER(FIND(CODES!$A$10,AR49)),ISNUMBER(FIND(CODES!$A$11,AR49))),CODES!$A$13,IF(OR(AR49&lt;AR$63,ISNUMBER(AR49)=FALSE),AR$64,AR49))))</f>
      </c>
      <c r="AS101" s="9" t="str">
        <f>IF(ISBLANK(AS49),"NO DATA",IF(ISNUMBER(FIND(CODES!$A$12,AS49)),CODES!$A$12,IF(OR(ISNUMBER(FIND(CODES!$A$10,AS49)),ISNUMBER(FIND(CODES!$A$11,AS49))),CODES!$A$13,IF(OR(AS49&lt;AS$63,ISNUMBER(AS49)=FALSE),AS$64,AS49))))</f>
      </c>
      <c r="AT101" s="9" t="str">
        <f>IF(ISBLANK(AT49),"NO DATA",IF(ISNUMBER(FIND(CODES!$A$12,AT49)),CODES!$A$12,IF(OR(ISNUMBER(FIND(CODES!$A$10,AT49)),ISNUMBER(FIND(CODES!$A$11,AT49))),CODES!$A$13,IF(OR(AT49&lt;AT$63,ISNUMBER(AT49)=FALSE),AT$64,AT49))))</f>
      </c>
      <c r="AU101" s="9" t="str">
        <f>IF(ISBLANK(AU49),"NO DATA",IF(ISNUMBER(FIND(CODES!$A$12,AU49)),CODES!$A$12,IF(OR(ISNUMBER(FIND(CODES!$A$10,AU49)),ISNUMBER(FIND(CODES!$A$11,AU49))),CODES!$A$13,IF(OR(AU49&lt;AU$63,ISNUMBER(AU49)=FALSE),AU$64,AU49))))</f>
      </c>
      <c r="AV101" s="9" t="str">
        <f>IF(ISBLANK(AV49),"NO DATA",IF(ISNUMBER(FIND(CODES!$A$12,AV49)),CODES!$A$12,IF(OR(ISNUMBER(FIND(CODES!$A$10,AV49)),ISNUMBER(FIND(CODES!$A$11,AV49))),CODES!$A$13,IF(OR(AV49&lt;AV$63,ISNUMBER(AV49)=FALSE),AV$64,AV49))))</f>
      </c>
      <c r="AW101" s="9" t="str">
        <f>IF(ISBLANK(AW49),"NO DATA",IF(ISNUMBER(FIND(CODES!$A$12,AW49)),CODES!$A$12,IF(OR(ISNUMBER(FIND(CODES!$A$10,AW49)),ISNUMBER(FIND(CODES!$A$11,AW49))),CODES!$A$13,IF(OR(AW49&lt;AW$63,ISNUMBER(AW49)=FALSE),AW$64,AW49))))</f>
      </c>
      <c r="AX101" s="9" t="str">
        <f>IF(ISBLANK(AX49),"NO DATA",IF(ISNUMBER(FIND(CODES!$A$12,AX49)),CODES!$A$12,IF(OR(ISNUMBER(FIND(CODES!$A$10,AX49)),ISNUMBER(FIND(CODES!$A$11,AX49))),CODES!$A$13,IF(OR(AX49&lt;AX$63,ISNUMBER(AX49)=FALSE),AX$64,AX49))))</f>
      </c>
      <c r="AY101" s="9" t="str">
        <f>IF(ISBLANK(AY49),"NO DATA",IF(ISNUMBER(FIND(CODES!$A$12,AY49)),CODES!$A$12,IF(OR(ISNUMBER(FIND(CODES!$A$10,AY49)),ISNUMBER(FIND(CODES!$A$11,AY49))),CODES!$A$13,IF(OR(AY49&lt;AY$63,ISNUMBER(AY49)=FALSE),AY$64,AY49))))</f>
      </c>
      <c r="AZ101" s="9" t="str">
        <f>IF(ISBLANK(AZ49),"NO DATA",IF(ISNUMBER(FIND(CODES!$A$12,AZ49)),CODES!$A$12,IF(OR(ISNUMBER(FIND(CODES!$A$10,AZ49)),ISNUMBER(FIND(CODES!$A$11,AZ49))),CODES!$A$13,IF(OR(AZ49&lt;AZ$63,ISNUMBER(AZ49)=FALSE),AZ$64,AZ49))))</f>
      </c>
      <c r="BA101" s="9" t="str">
        <f>IF(ISBLANK(BA49),"NO DATA",IF(ISNUMBER(FIND(CODES!$A$12,BA49)),CODES!$A$12,IF(OR(ISNUMBER(FIND(CODES!$A$10,BA49)),ISNUMBER(FIND(CODES!$A$11,BA49))),CODES!$A$13,IF(OR(BA49&lt;BA$63,ISNUMBER(BA49)=FALSE),BA$64,BA49))))</f>
      </c>
      <c r="BB101" s="9" t="str">
        <f>IF(ISBLANK(BB49),"NO DATA",IF(ISNUMBER(FIND(CODES!$A$12,BB49)),CODES!$A$12,IF(OR(ISNUMBER(FIND(CODES!$A$10,BB49)),ISNUMBER(FIND(CODES!$A$11,BB49))),CODES!$A$13,IF(OR(BB49&lt;BB$63,ISNUMBER(BB49)=FALSE),BB$64,BB49))))</f>
      </c>
      <c r="BC101" s="9" t="str">
        <f>IF(ISBLANK(BC49),"NO DATA",IF(ISNUMBER(FIND(CODES!$A$12,BC49)),CODES!$A$12,IF(OR(ISNUMBER(FIND(CODES!$A$10,BC49)),ISNUMBER(FIND(CODES!$A$11,BC49))),CODES!$A$13,IF(OR(BC49&lt;BC$63,ISNUMBER(BC49)=FALSE),BC$64,BC49))))</f>
      </c>
      <c r="BD101" s="9" t="str">
        <f>IF(ISBLANK(BD49),"NO DATA",IF(ISNUMBER(FIND(CODES!$A$12,BD49)),CODES!$A$12,IF(OR(ISNUMBER(FIND(CODES!$A$10,BD49)),ISNUMBER(FIND(CODES!$A$11,BD49))),CODES!$A$13,IF(OR(BD49&lt;BD$63,ISNUMBER(BD49)=FALSE),BD$64,BD49))))</f>
      </c>
      <c r="BE101" s="9" t="str">
        <f>IF(ISBLANK(BE49),"NO DATA",IF(ISNUMBER(FIND(CODES!$A$12,BE49)),CODES!$A$12,IF(OR(ISNUMBER(FIND(CODES!$A$10,BE49)),ISNUMBER(FIND(CODES!$A$11,BE49))),CODES!$A$13,IF(OR(BE49&lt;BE$63,ISNUMBER(BE49)=FALSE),BE$64,BE49))))</f>
      </c>
      <c r="BF101" s="9" t="str">
        <f>IF(ISBLANK(BF49),"NO DATA",IF(ISNUMBER(FIND(CODES!$A$12,BF49)),CODES!$A$12,IF(OR(ISNUMBER(FIND(CODES!$A$10,BF49)),ISNUMBER(FIND(CODES!$A$11,BF49))),CODES!$A$13,IF(OR(BF49&lt;BF$63,ISNUMBER(BF49)=FALSE),BF$64,BF49))))</f>
      </c>
      <c r="BG101" s="9" t="str">
        <f>IF(ISBLANK(BG49),"NO DATA",IF(ISNUMBER(FIND(CODES!$A$12,BG49)),CODES!$A$12,IF(OR(ISNUMBER(FIND(CODES!$A$10,BG49)),ISNUMBER(FIND(CODES!$A$11,BG49))),CODES!$A$13,IF(OR(BG49&lt;BG$63,ISNUMBER(BG49)=FALSE),BG$64,BG49))))</f>
      </c>
      <c r="BH101" s="9" t="str">
        <f>IF(ISBLANK(BH49),"NO DATA",IF(ISNUMBER(FIND(CODES!$A$12,BH49)),CODES!$A$12,IF(OR(ISNUMBER(FIND(CODES!$A$10,BH49)),ISNUMBER(FIND(CODES!$A$11,BH49))),CODES!$A$13,IF(OR(BH49&lt;BH$63,ISNUMBER(BH49)=FALSE),BH$64,BH49))))</f>
      </c>
      <c r="BI101" s="9" t="str">
        <f>IF(ISBLANK(BI49),"NO DATA",IF(ISNUMBER(FIND(CODES!$A$12,BI49)),CODES!$A$12,IF(OR(ISNUMBER(FIND(CODES!$A$10,BI49)),ISNUMBER(FIND(CODES!$A$11,BI49))),CODES!$A$13,IF(OR(BI49&lt;BI$63,ISNUMBER(BI49)=FALSE),BI$64,BI49))))</f>
      </c>
      <c r="BJ101" s="9" t="str">
        <f>IF(ISBLANK(BJ49),"NO DATA",IF(ISNUMBER(FIND(CODES!$A$12,BJ49)),CODES!$A$12,IF(OR(ISNUMBER(FIND(CODES!$A$10,BJ49)),ISNUMBER(FIND(CODES!$A$11,BJ49))),CODES!$A$13,IF(OR(BJ49&lt;BJ$63,ISNUMBER(BJ49)=FALSE),BJ$64,BJ49))))</f>
      </c>
      <c r="BK101" s="9" t="str">
        <f>IF(ISBLANK(BK49),"NO DATA",IF(ISNUMBER(FIND(CODES!$A$12,BK49)),CODES!$A$12,IF(OR(ISNUMBER(FIND(CODES!$A$10,BK49)),ISNUMBER(FIND(CODES!$A$11,BK49))),CODES!$A$13,IF(OR(BK49&lt;BK$63,ISNUMBER(BK49)=FALSE),BK$64,BK49))))</f>
      </c>
      <c r="BL101" s="9" t="str">
        <f>IF(ISBLANK(BL49),"NO DATA",IF(ISNUMBER(FIND(CODES!$A$12,BL49)),CODES!$A$12,IF(OR(ISNUMBER(FIND(CODES!$A$10,BL49)),ISNUMBER(FIND(CODES!$A$11,BL49))),CODES!$A$13,IF(OR(BL49&lt;BL$63,ISNUMBER(BL49)=FALSE),BL$64,BL49))))</f>
      </c>
      <c r="BM101" s="9" t="str">
        <f>IF(ISBLANK(BM49),"NO DATA",IF(ISNUMBER(FIND(CODES!$A$12,BM49)),CODES!$A$12,IF(OR(ISNUMBER(FIND(CODES!$A$10,BM49)),ISNUMBER(FIND(CODES!$A$11,BM49))),CODES!$A$13,IF(OR(BM49&lt;BM$63,ISNUMBER(BM49)=FALSE),BM$64,BM49))))</f>
      </c>
      <c r="BN101" s="9" t="str">
        <f>IF(ISBLANK(BN49),"NO DATA",IF(ISNUMBER(FIND(CODES!$A$12,BN49)),CODES!$A$12,IF(OR(ISNUMBER(FIND(CODES!$A$10,BN49)),ISNUMBER(FIND(CODES!$A$11,BN49))),CODES!$A$13,IF(OR(BN49&lt;BN$63,ISNUMBER(BN49)=FALSE),BN$64,BN49))))</f>
      </c>
      <c r="BO101" s="9" t="str">
        <f>IF(ISBLANK(BO49),"NO DATA",IF(ISNUMBER(FIND(CODES!$A$12,BO49)),CODES!$A$12,IF(OR(ISNUMBER(FIND(CODES!$A$10,BO49)),ISNUMBER(FIND(CODES!$A$11,BO49))),CODES!$A$13,IF(OR(BO49&lt;BO$63,ISNUMBER(BO49)=FALSE),BO$64,BO49))))</f>
      </c>
      <c r="BP101" s="9" t="str">
        <f>IF(ISBLANK(BP49),"NO DATA",IF(ISNUMBER(FIND(CODES!$A$12,BP49)),CODES!$A$12,IF(OR(ISNUMBER(FIND(CODES!$A$10,BP49)),ISNUMBER(FIND(CODES!$A$11,BP49))),CODES!$A$13,IF(OR(BP49&lt;BP$63,ISNUMBER(BP49)=FALSE),BP$64,BP49))))</f>
      </c>
      <c r="BQ101" s="9" t="str">
        <f>IF(ISBLANK(BQ49),"NO DATA",IF(ISNUMBER(FIND(CODES!$A$12,BQ49)),CODES!$A$12,IF(OR(ISNUMBER(FIND(CODES!$A$10,BQ49)),ISNUMBER(FIND(CODES!$A$11,BQ49))),CODES!$A$13,IF(OR(BQ49&lt;BQ$63,ISNUMBER(BQ49)=FALSE),BQ$64,BQ49))))</f>
      </c>
      <c r="BR101" s="9" t="str">
        <f>IF(ISBLANK(BR49),"NO DATA",IF(ISNUMBER(FIND(CODES!$A$12,BR49)),CODES!$A$12,IF(OR(ISNUMBER(FIND(CODES!$A$10,BR49)),ISNUMBER(FIND(CODES!$A$11,BR49))),CODES!$A$13,IF(OR(BR49&lt;BR$63,ISNUMBER(BR49)=FALSE),BR$64,BR49))))</f>
      </c>
      <c r="BS101" s="9" t="str">
        <f>IF(ISBLANK(BS49),"NO DATA",IF(ISNUMBER(FIND(CODES!$A$12,BS49)),CODES!$A$12,IF(OR(ISNUMBER(FIND(CODES!$A$10,BS49)),ISNUMBER(FIND(CODES!$A$11,BS49))),CODES!$A$13,IF(OR(BS49&lt;BS$63,ISNUMBER(BS49)=FALSE),BS$64,BS49))))</f>
      </c>
      <c r="BT101" s="9" t="str">
        <f>IF(ISBLANK(BT49),"NO DATA",IF(ISNUMBER(FIND(CODES!$A$12,BT49)),CODES!$A$12,IF(OR(ISNUMBER(FIND(CODES!$A$10,BT49)),ISNUMBER(FIND(CODES!$A$11,BT49))),CODES!$A$13,IF(OR(BT49&lt;BT$63,ISNUMBER(BT49)=FALSE),BT$64,BT49))))</f>
      </c>
      <c r="BU101" s="9" t="str">
        <f>IF(ISBLANK(BU49),"NO DATA",IF(ISNUMBER(FIND(CODES!$A$12,BU49)),CODES!$A$12,IF(OR(ISNUMBER(FIND(CODES!$A$10,BU49)),ISNUMBER(FIND(CODES!$A$11,BU49))),CODES!$A$13,IF(OR(BU49&lt;BU$63,ISNUMBER(BU49)=FALSE),BU$64,BU49))))</f>
      </c>
      <c r="BV101" s="9" t="str">
        <f>IF(ISBLANK(BV49),"NO DATA",IF(ISNUMBER(FIND(CODES!$A$12,BV49)),CODES!$A$12,IF(OR(ISNUMBER(FIND(CODES!$A$10,BV49)),ISNUMBER(FIND(CODES!$A$11,BV49))),CODES!$A$13,IF(OR(BV49&lt;BV$63,ISNUMBER(BV49)=FALSE),BV$64,BV49))))</f>
      </c>
      <c r="BW101" s="9" t="str">
        <f>IF(ISBLANK(BW49),"NO DATA",IF(ISNUMBER(FIND(CODES!$A$12,BW49)),CODES!$A$12,IF(OR(ISNUMBER(FIND(CODES!$A$10,BW49)),ISNUMBER(FIND(CODES!$A$11,BW49))),CODES!$A$13,IF(OR(BW49&lt;BW$63,ISNUMBER(BW49)=FALSE),BW$64,BW49))))</f>
      </c>
      <c r="BX101" s="9" t="str">
        <f>IF(ISBLANK(BX49),"NO DATA",IF(ISNUMBER(FIND(CODES!$A$12,BX49)),CODES!$A$12,IF(OR(ISNUMBER(FIND(CODES!$A$10,BX49)),ISNUMBER(FIND(CODES!$A$11,BX49))),CODES!$A$13,IF(OR(BX49&lt;BX$63,ISNUMBER(BX49)=FALSE),BX$64,BX49))))</f>
      </c>
      <c r="BY101" s="9" t="str">
        <f>IF(ISBLANK(BY49),"NO DATA",IF(ISNUMBER(FIND(CODES!$A$12,BY49)),CODES!$A$12,IF(OR(ISNUMBER(FIND(CODES!$A$10,BY49)),ISNUMBER(FIND(CODES!$A$11,BY49))),CODES!$A$13,IF(OR(BY49&lt;BY$63,ISNUMBER(BY49)=FALSE),BY$64,BY49))))</f>
      </c>
      <c r="BZ101" s="9" t="str">
        <f>IF(ISBLANK(BZ49),"NO DATA",IF(ISNUMBER(FIND(CODES!$A$12,BZ49)),CODES!$A$12,IF(OR(ISNUMBER(FIND(CODES!$A$10,BZ49)),ISNUMBER(FIND(CODES!$A$11,BZ49))),CODES!$A$13,IF(OR(BZ49&lt;BZ$63,ISNUMBER(BZ49)=FALSE),BZ$64,BZ49))))</f>
      </c>
      <c r="CA101" s="9" t="str">
        <f>IF(ISBLANK(CA49),"NO DATA",IF(ISNUMBER(FIND(CODES!$A$12,CA49)),CODES!$A$12,IF(OR(ISNUMBER(FIND(CODES!$A$10,CA49)),ISNUMBER(FIND(CODES!$A$11,CA49))),CODES!$A$13,IF(OR(CA49&lt;CA$63,ISNUMBER(CA49)=FALSE),CA$64,CA49))))</f>
      </c>
      <c r="CB101" s="9" t="str">
        <f>IF(ISBLANK(CB49),"NO DATA",IF(ISNUMBER(FIND(CODES!$A$12,CB49)),CODES!$A$12,IF(OR(ISNUMBER(FIND(CODES!$A$10,CB49)),ISNUMBER(FIND(CODES!$A$11,CB49))),CODES!$A$13,IF(OR(CB49&lt;CB$63,ISNUMBER(CB49)=FALSE),CB$64,CB49))))</f>
      </c>
      <c r="CC101" s="9" t="str">
        <f>IF(ISBLANK(CC49),"NO DATA",IF(ISNUMBER(FIND(CODES!$A$12,CC49)),CODES!$A$12,IF(OR(ISNUMBER(FIND(CODES!$A$10,CC49)),ISNUMBER(FIND(CODES!$A$11,CC49))),CODES!$A$13,IF(OR(CC49&lt;CC$63,ISNUMBER(CC49)=FALSE),CC$64,CC49))))</f>
      </c>
      <c r="CD101" s="9" t="str">
        <f>IF(ISBLANK(CD49),"NO DATA",IF(ISNUMBER(FIND(CODES!$A$12,CD49)),CODES!$A$12,IF(OR(ISNUMBER(FIND(CODES!$A$10,CD49)),ISNUMBER(FIND(CODES!$A$11,CD49))),CODES!$A$13,IF(OR(CD49&lt;CD$63,ISNUMBER(CD49)=FALSE),CD$64,CD49))))</f>
      </c>
      <c r="CE101" s="9" t="str">
        <f>IF(ISBLANK(CE49),"NO DATA",IF(ISNUMBER(FIND(CODES!$A$12,CE49)),CODES!$A$12,IF(OR(ISNUMBER(FIND(CODES!$A$10,CE49)),ISNUMBER(FIND(CODES!$A$11,CE49))),CODES!$A$13,IF(OR(CE49&lt;CE$63,ISNUMBER(CE49)=FALSE),CE$64,CE49))))</f>
      </c>
      <c r="CF101" s="9" t="str">
        <f>IF(ISBLANK(CF49),"NO DATA",IF(ISNUMBER(FIND(CODES!$A$12,CF49)),CODES!$A$12,IF(OR(ISNUMBER(FIND(CODES!$A$10,CF49)),ISNUMBER(FIND(CODES!$A$11,CF49))),CODES!$A$13,IF(OR(CF49&lt;CF$63,ISNUMBER(CF49)=FALSE),CF$64,CF49))))</f>
      </c>
      <c r="CG101" s="9" t="str">
        <f>IF(ISBLANK(CG49),"NO DATA",IF(ISNUMBER(FIND(CODES!$A$12,CG49)),CODES!$A$12,IF(OR(ISNUMBER(FIND(CODES!$A$10,CG49)),ISNUMBER(FIND(CODES!$A$11,CG49))),CODES!$A$13,IF(OR(CG49&lt;CG$63,ISNUMBER(CG49)=FALSE),CG$64,CG49))))</f>
      </c>
      <c r="CH101" s="9" t="str">
        <f>IF(ISBLANK(CH49),"NO DATA",IF(ISNUMBER(FIND(CODES!$A$12,CH49)),CODES!$A$12,IF(OR(ISNUMBER(FIND(CODES!$A$10,CH49)),ISNUMBER(FIND(CODES!$A$11,CH49))),CODES!$A$13,IF(OR(CH49&lt;CH$63,ISNUMBER(CH49)=FALSE),CH$64,CH49))))</f>
      </c>
      <c r="CI101" s="9" t="str">
        <f>IF(ISBLANK(CI49),"NO DATA",IF(ISNUMBER(FIND(CODES!$A$12,CI49)),CODES!$A$12,IF(OR(ISNUMBER(FIND(CODES!$A$10,CI49)),ISNUMBER(FIND(CODES!$A$11,CI49))),CODES!$A$13,IF(OR(CI49&lt;CI$63,ISNUMBER(CI49)=FALSE),CI$64,CI49))))</f>
      </c>
      <c r="CJ101" s="9" t="str">
        <f>IF(ISBLANK(CJ49),"NO DATA",IF(ISNUMBER(FIND(CODES!$A$12,CJ49)),CODES!$A$12,IF(OR(ISNUMBER(FIND(CODES!$A$10,CJ49)),ISNUMBER(FIND(CODES!$A$11,CJ49))),CODES!$A$13,IF(OR(CJ49&lt;CJ$63,ISNUMBER(CJ49)=FALSE),CJ$64,CJ49))))</f>
      </c>
      <c r="CK101" s="9" t="str">
        <f>IF(ISBLANK(CK49),"NO DATA",IF(ISNUMBER(FIND(CODES!$A$12,CK49)),CODES!$A$12,IF(OR(ISNUMBER(FIND(CODES!$A$10,CK49)),ISNUMBER(FIND(CODES!$A$11,CK49))),CODES!$A$13,IF(OR(CK49&lt;CK$63,ISNUMBER(CK49)=FALSE),CK$64,CK49))))</f>
      </c>
      <c r="CL101" s="9" t="str">
        <f>IF(ISBLANK(CL49),"NO DATA",IF(ISNUMBER(FIND(CODES!$A$12,CL49)),CODES!$A$12,IF(OR(ISNUMBER(FIND(CODES!$A$10,CL49)),ISNUMBER(FIND(CODES!$A$11,CL49))),CODES!$A$13,IF(OR(CL49&lt;CL$63,ISNUMBER(CL49)=FALSE),CL$64,CL49))))</f>
      </c>
      <c r="CM101" s="9" t="str">
        <f>IF(ISBLANK(CM49),"NO DATA",IF(ISNUMBER(FIND(CODES!$A$12,CM49)),CODES!$A$12,IF(OR(ISNUMBER(FIND(CODES!$A$10,CM49)),ISNUMBER(FIND(CODES!$A$11,CM49))),CODES!$A$13,IF(OR(CM49&lt;CM$63,ISNUMBER(CM49)=FALSE),CM$64,CM49))))</f>
      </c>
      <c r="CN101" s="9" t="str">
        <f>IF(ISBLANK(CN49),"NO DATA",IF(ISNUMBER(FIND(CODES!$A$12,CN49)),CODES!$A$12,IF(OR(ISNUMBER(FIND(CODES!$A$10,CN49)),ISNUMBER(FIND(CODES!$A$11,CN49))),CODES!$A$13,IF(OR(CN49&lt;CN$63,ISNUMBER(CN49)=FALSE),CN$64,CN49))))</f>
      </c>
      <c r="CO101" s="9" t="str">
        <f>IF(ISBLANK(CO49),"NO DATA",IF(ISNUMBER(FIND(CODES!$A$12,CO49)),CODES!$A$12,IF(OR(ISNUMBER(FIND(CODES!$A$10,CO49)),ISNUMBER(FIND(CODES!$A$11,CO49))),CODES!$A$13,IF(OR(CO49&lt;CO$63,ISNUMBER(CO49)=FALSE),CO$64,CO49))))</f>
      </c>
      <c r="CP101" s="9" t="str">
        <f>IF(ISBLANK(CP49),"NO DATA",IF(ISNUMBER(FIND(CODES!$A$12,CP49)),CODES!$A$12,IF(OR(ISNUMBER(FIND(CODES!$A$10,CP49)),ISNUMBER(FIND(CODES!$A$11,CP49))),CODES!$A$13,IF(OR(CP49&lt;CP$63,ISNUMBER(CP49)=FALSE),CP$64,CP49))))</f>
      </c>
      <c r="CQ101" s="9" t="str">
        <f>IF(ISBLANK(CQ49),"NO DATA",IF(ISNUMBER(FIND(CODES!$A$12,CQ49)),CODES!$A$12,IF(OR(ISNUMBER(FIND(CODES!$A$10,CQ49)),ISNUMBER(FIND(CODES!$A$11,CQ49))),CODES!$A$13,IF(OR(CQ49&lt;CQ$63,ISNUMBER(CQ49)=FALSE),CQ$64,CQ49))))</f>
      </c>
      <c r="CR101" s="9" t="str">
        <f>IF(ISBLANK(CR49),"NO DATA",IF(ISNUMBER(FIND(CODES!$A$12,CR49)),CODES!$A$12,IF(OR(ISNUMBER(FIND(CODES!$A$10,CR49)),ISNUMBER(FIND(CODES!$A$11,CR49))),CODES!$A$13,IF(OR(CR49&lt;CR$63,ISNUMBER(CR49)=FALSE),CR$64,CR49))))</f>
      </c>
      <c r="CS101" s="9" t="str">
        <f>IF(ISBLANK(CS49),"NO DATA",IF(ISNUMBER(FIND(CODES!$A$12,CS49)),CODES!$A$12,IF(OR(ISNUMBER(FIND(CODES!$A$10,CS49)),ISNUMBER(FIND(CODES!$A$11,CS49))),CODES!$A$13,IF(OR(CS49&lt;CS$63,ISNUMBER(CS49)=FALSE),CS$64,CS49))))</f>
      </c>
      <c r="CT101" s="9" t="str">
        <f>IF(ISBLANK(CT49),"NO DATA",IF(ISNUMBER(FIND(CODES!$A$12,CT49)),CODES!$A$12,IF(OR(ISNUMBER(FIND(CODES!$A$10,CT49)),ISNUMBER(FIND(CODES!$A$11,CT49))),CODES!$A$13,IF(OR(CT49&lt;CT$63,ISNUMBER(CT49)=FALSE),CT$64,CT49))))</f>
      </c>
      <c r="CU101" s="9" t="str">
        <f>IF(ISBLANK(CU49),"NO DATA",IF(ISNUMBER(FIND(CODES!$A$12,CU49)),CODES!$A$12,IF(OR(ISNUMBER(FIND(CODES!$A$10,CU49)),ISNUMBER(FIND(CODES!$A$11,CU49))),CODES!$A$13,IF(OR(CU49&lt;CU$63,ISNUMBER(CU49)=FALSE),CU$64,CU49))))</f>
      </c>
      <c r="CV101" s="9" t="str">
        <f>IF(ISBLANK(CV49),"NO DATA",IF(ISNUMBER(FIND(CODES!$A$12,CV49)),CODES!$A$12,IF(OR(ISNUMBER(FIND(CODES!$A$10,CV49)),ISNUMBER(FIND(CODES!$A$11,CV49))),CODES!$A$13,IF(OR(CV49&lt;CV$63,ISNUMBER(CV49)=FALSE),CV$64,CV49))))</f>
      </c>
      <c r="CW101" s="9" t="str">
        <f>IF(ISBLANK(CW49),"NO DATA",IF(ISNUMBER(FIND(CODES!$A$12,CW49)),CODES!$A$12,IF(OR(ISNUMBER(FIND(CODES!$A$10,CW49)),ISNUMBER(FIND(CODES!$A$11,CW49))),CODES!$A$13,IF(OR(CW49&lt;CW$63,ISNUMBER(CW49)=FALSE),CW$64,CW49))))</f>
      </c>
      <c r="CX101" s="9" t="str">
        <f>IF(ISBLANK(CX49),"NO DATA",IF(ISNUMBER(FIND(CODES!$A$12,CX49)),CODES!$A$12,IF(OR(ISNUMBER(FIND(CODES!$A$10,CX49)),ISNUMBER(FIND(CODES!$A$11,CX49))),CODES!$A$13,IF(OR(CX49&lt;CX$63,ISNUMBER(CX49)=FALSE),CX$64,CX49))))</f>
      </c>
      <c r="CY101" s="9" t="str">
        <f>IF(ISBLANK(CY49),"NO DATA",IF(ISNUMBER(FIND(CODES!$A$12,CY49)),CODES!$A$12,IF(OR(ISNUMBER(FIND(CODES!$A$10,CY49)),ISNUMBER(FIND(CODES!$A$11,CY49))),CODES!$A$13,IF(OR(CY49&lt;CY$63,ISNUMBER(CY49)=FALSE),CY$64,CY49))))</f>
      </c>
      <c r="CZ101" s="9" t="str">
        <f>IF(ISBLANK(CZ49),"NO DATA",IF(ISNUMBER(FIND(CODES!$A$12,CZ49)),CODES!$A$12,IF(OR(ISNUMBER(FIND(CODES!$A$10,CZ49)),ISNUMBER(FIND(CODES!$A$11,CZ49))),CODES!$A$13,IF(OR(CZ49&lt;CZ$63,ISNUMBER(CZ49)=FALSE),CZ$64,CZ49))))</f>
      </c>
      <c r="DA101" s="9" t="str">
        <f>IF(ISBLANK(DA49),"NO DATA",IF(ISNUMBER(FIND(CODES!$A$12,DA49)),CODES!$A$12,IF(OR(ISNUMBER(FIND(CODES!$A$10,DA49)),ISNUMBER(FIND(CODES!$A$11,DA49))),CODES!$A$13,IF(OR(DA49&lt;DA$63,ISNUMBER(DA49)=FALSE),DA$64,DA49))))</f>
      </c>
      <c r="DB101" s="9" t="str">
        <f>IF(ISBLANK(DB49),"NO DATA",IF(ISNUMBER(FIND(CODES!$A$12,DB49)),CODES!$A$12,IF(OR(ISNUMBER(FIND(CODES!$A$10,DB49)),ISNUMBER(FIND(CODES!$A$11,DB49))),CODES!$A$13,IF(OR(DB49&lt;DB$63,ISNUMBER(DB49)=FALSE),DB$64,DB49))))</f>
      </c>
      <c r="DC101" s="9" t="str">
        <f>IF(ISBLANK(DC49),"NO DATA",IF(ISNUMBER(FIND(CODES!$A$12,DC49)),CODES!$A$12,IF(OR(ISNUMBER(FIND(CODES!$A$10,DC49)),ISNUMBER(FIND(CODES!$A$11,DC49))),CODES!$A$13,IF(OR(DC49&lt;DC$63,ISNUMBER(DC49)=FALSE),DC$64,DC49))))</f>
      </c>
      <c r="DD101" s="9" t="str">
        <f>IF(ISBLANK(DD49),"NO DATA",IF(ISNUMBER(FIND(CODES!$A$12,DD49)),CODES!$A$12,IF(OR(ISNUMBER(FIND(CODES!$A$10,DD49)),ISNUMBER(FIND(CODES!$A$11,DD49))),CODES!$A$13,IF(OR(DD49&lt;DD$63,ISNUMBER(DD49)=FALSE),DD$64,DD49))))</f>
      </c>
      <c r="DE101" s="9" t="str">
        <f>IF(ISBLANK(DE49),"NO DATA",IF(ISNUMBER(FIND(CODES!$A$12,DE49)),CODES!$A$12,IF(OR(ISNUMBER(FIND(CODES!$A$10,DE49)),ISNUMBER(FIND(CODES!$A$11,DE49))),CODES!$A$13,IF(OR(DE49&lt;DE$63,ISNUMBER(DE49)=FALSE),DE$64,DE49))))</f>
      </c>
      <c r="DF101" s="9" t="str">
        <f>IF(ISBLANK(DF49),"NO DATA",IF(ISNUMBER(FIND(CODES!$A$12,DF49)),CODES!$A$12,IF(OR(ISNUMBER(FIND(CODES!$A$10,DF49)),ISNUMBER(FIND(CODES!$A$11,DF49))),CODES!$A$13,IF(OR(DF49&lt;DF$63,ISNUMBER(DF49)=FALSE),DF$64,DF49))))</f>
      </c>
      <c r="DG101" s="9" t="str">
        <f>IF(ISBLANK(DG49),"NO DATA",IF(ISNUMBER(FIND(CODES!$A$12,DG49)),CODES!$A$12,IF(OR(ISNUMBER(FIND(CODES!$A$10,DG49)),ISNUMBER(FIND(CODES!$A$11,DG49))),CODES!$A$13,IF(OR(DG49&lt;DG$63,ISNUMBER(DG49)=FALSE),DG$64,DG49))))</f>
      </c>
      <c r="DH101" s="9" t="str">
        <f>IF(ISBLANK(DH49),"NO DATA",IF(ISNUMBER(FIND(CODES!$A$12,DH49)),CODES!$A$12,IF(OR(ISNUMBER(FIND(CODES!$A$10,DH49)),ISNUMBER(FIND(CODES!$A$11,DH49))),CODES!$A$13,IF(OR(DH49&lt;DH$63,ISNUMBER(DH49)=FALSE),DH$64,DH49))))</f>
      </c>
      <c r="DI101" s="9" t="str">
        <f>IF(ISBLANK(DI49),"NO DATA",IF(ISNUMBER(FIND(CODES!$A$12,DI49)),CODES!$A$12,IF(OR(ISNUMBER(FIND(CODES!$A$10,DI49)),ISNUMBER(FIND(CODES!$A$11,DI49))),CODES!$A$13,IF(OR(DI49&lt;DI$63,ISNUMBER(DI49)=FALSE),DI$64,DI49))))</f>
      </c>
    </row>
    <row r="102" spans="1:113" x14ac:dyDescent="0.25">
      <c r="A102" s="20" t="str">
        <f t="shared" si="5"/>
      </c>
      <c r="B102" s="20">
        <f t="shared" si="5"/>
      </c>
      <c r="C102" s="9" t="str">
        <f>IF(ISBLANK(C50),"NO DATA",IF(ISNUMBER(FIND(CODES!$A$12,C50)),CODES!$A$12,IF(OR(ISNUMBER(FIND(CODES!$A$10,C50)),ISNUMBER(FIND(CODES!$A$11,C50))),CODES!$A$13,IF(OR(C50&lt;C$63,ISNUMBER(C50)=FALSE),C$64,C50))))</f>
      </c>
      <c r="D102" s="9" t="str">
        <f>IF(ISBLANK(D50),"NO DATA",IF(ISNUMBER(FIND(CODES!$A$12,D50)),CODES!$A$12,IF(OR(ISNUMBER(FIND(CODES!$A$10,D50)),ISNUMBER(FIND(CODES!$A$11,D50))),CODES!$A$13,IF(OR(D50&lt;D$63,ISNUMBER(D50)=FALSE),D$64,D50))))</f>
      </c>
      <c r="E102" s="9" t="str">
        <f>IF(ISBLANK(E50),"NO DATA",IF(ISNUMBER(FIND(CODES!$A$12,E50)),CODES!$A$12,IF(OR(ISNUMBER(FIND(CODES!$A$10,E50)),ISNUMBER(FIND(CODES!$A$11,E50))),CODES!$A$13,IF(OR(E50&lt;E$63,ISNUMBER(E50)=FALSE),E$64,E50))))</f>
      </c>
      <c r="F102" s="9" t="str">
        <f>IF(ISBLANK(F50),"NO DATA",IF(ISNUMBER(FIND(CODES!$A$12,F50)),CODES!$A$12,IF(OR(ISNUMBER(FIND(CODES!$A$10,F50)),ISNUMBER(FIND(CODES!$A$11,F50))),CODES!$A$13,IF(OR(F50&lt;F$63,ISNUMBER(F50)=FALSE),F$64,F50))))</f>
      </c>
      <c r="G102" s="9" t="str">
        <f>IF(ISBLANK(G50),"NO DATA",IF(ISNUMBER(FIND(CODES!$A$12,G50)),CODES!$A$12,IF(OR(ISNUMBER(FIND(CODES!$A$10,G50)),ISNUMBER(FIND(CODES!$A$11,G50))),CODES!$A$13,IF(OR(G50&lt;G$63,ISNUMBER(G50)=FALSE),G$64,G50))))</f>
      </c>
      <c r="H102" s="9" t="str">
        <f>IF(ISBLANK(H50),"NO DATA",IF(ISNUMBER(FIND(CODES!$A$12,H50)),CODES!$A$12,IF(OR(ISNUMBER(FIND(CODES!$A$10,H50)),ISNUMBER(FIND(CODES!$A$11,H50))),CODES!$A$13,IF(OR(H50&lt;H$63,ISNUMBER(H50)=FALSE),H$64,H50))))</f>
      </c>
      <c r="I102" s="9" t="str">
        <f>IF(ISBLANK(I50),"NO DATA",IF(ISNUMBER(FIND(CODES!$A$12,I50)),CODES!$A$12,IF(OR(ISNUMBER(FIND(CODES!$A$10,I50)),ISNUMBER(FIND(CODES!$A$11,I50))),CODES!$A$13,IF(OR(I50&lt;I$63,ISNUMBER(I50)=FALSE),I$64,I50))))</f>
      </c>
      <c r="J102" s="9" t="str">
        <f>IF(ISBLANK(J50),"NO DATA",IF(ISNUMBER(FIND(CODES!$A$12,J50)),CODES!$A$12,IF(OR(ISNUMBER(FIND(CODES!$A$10,J50)),ISNUMBER(FIND(CODES!$A$11,J50))),CODES!$A$13,IF(OR(J50&lt;J$63,ISNUMBER(J50)=FALSE),J$64,J50))))</f>
      </c>
      <c r="K102" s="9" t="str">
        <f>IF(ISBLANK(K50),"NO DATA",IF(ISNUMBER(FIND(CODES!$A$12,K50)),CODES!$A$12,IF(OR(ISNUMBER(FIND(CODES!$A$10,K50)),ISNUMBER(FIND(CODES!$A$11,K50))),CODES!$A$13,IF(OR(K50&lt;K$63,ISNUMBER(K50)=FALSE),K$64,K50))))</f>
      </c>
      <c r="L102" s="9" t="str">
        <f>IF(ISBLANK(L50),"NO DATA",IF(ISNUMBER(FIND(CODES!$A$12,L50)),CODES!$A$12,IF(OR(ISNUMBER(FIND(CODES!$A$10,L50)),ISNUMBER(FIND(CODES!$A$11,L50))),CODES!$A$13,IF(OR(L50&lt;L$63,ISNUMBER(L50)=FALSE),L$64,L50))))</f>
      </c>
      <c r="M102" s="9" t="str">
        <f>IF(ISBLANK(M50),"NO DATA",IF(ISNUMBER(FIND(CODES!$A$12,M50)),CODES!$A$12,IF(OR(ISNUMBER(FIND(CODES!$A$10,M50)),ISNUMBER(FIND(CODES!$A$11,M50))),CODES!$A$13,IF(OR(M50&lt;M$63,ISNUMBER(M50)=FALSE),M$64,M50))))</f>
      </c>
      <c r="N102" s="9" t="str">
        <f>IF(ISBLANK(N50),"NO DATA",IF(ISNUMBER(FIND(CODES!$A$12,N50)),CODES!$A$12,IF(OR(ISNUMBER(FIND(CODES!$A$10,N50)),ISNUMBER(FIND(CODES!$A$11,N50))),CODES!$A$13,IF(OR(N50&lt;N$63,ISNUMBER(N50)=FALSE),N$64,N50))))</f>
      </c>
      <c r="O102" s="9" t="str">
        <f>IF(ISBLANK(O50),"NO DATA",IF(ISNUMBER(FIND(CODES!$A$12,O50)),CODES!$A$12,IF(OR(ISNUMBER(FIND(CODES!$A$10,O50)),ISNUMBER(FIND(CODES!$A$11,O50))),CODES!$A$13,IF(OR(O50&lt;O$63,ISNUMBER(O50)=FALSE),O$64,O50))))</f>
      </c>
      <c r="P102" s="9" t="str">
        <f>IF(ISBLANK(P50),"NO DATA",IF(ISNUMBER(FIND(CODES!$A$12,P50)),CODES!$A$12,IF(OR(ISNUMBER(FIND(CODES!$A$10,P50)),ISNUMBER(FIND(CODES!$A$11,P50))),CODES!$A$13,IF(OR(P50&lt;P$63,ISNUMBER(P50)=FALSE),P$64,P50))))</f>
      </c>
      <c r="Q102" s="9" t="str">
        <f>IF(ISBLANK(Q50),"NO DATA",IF(ISNUMBER(FIND(CODES!$A$12,Q50)),CODES!$A$12,IF(OR(ISNUMBER(FIND(CODES!$A$10,Q50)),ISNUMBER(FIND(CODES!$A$11,Q50))),CODES!$A$13,IF(OR(Q50&lt;Q$63,ISNUMBER(Q50)=FALSE),Q$64,Q50))))</f>
      </c>
      <c r="R102" s="9" t="str">
        <f>IF(ISBLANK(R50),"NO DATA",IF(ISNUMBER(FIND(CODES!$A$12,R50)),CODES!$A$12,IF(OR(ISNUMBER(FIND(CODES!$A$10,R50)),ISNUMBER(FIND(CODES!$A$11,R50))),CODES!$A$13,IF(OR(R50&lt;R$63,ISNUMBER(R50)=FALSE),R$64,R50))))</f>
      </c>
      <c r="S102" s="9" t="str">
        <f>IF(ISBLANK(S50),"NO DATA",IF(ISNUMBER(FIND(CODES!$A$12,S50)),CODES!$A$12,IF(OR(ISNUMBER(FIND(CODES!$A$10,S50)),ISNUMBER(FIND(CODES!$A$11,S50))),CODES!$A$13,IF(OR(S50&lt;S$63,ISNUMBER(S50)=FALSE),S$64,S50))))</f>
      </c>
      <c r="T102" s="9" t="str">
        <f>IF(ISBLANK(T50),"NO DATA",IF(ISNUMBER(FIND(CODES!$A$12,T50)),CODES!$A$12,IF(OR(ISNUMBER(FIND(CODES!$A$10,T50)),ISNUMBER(FIND(CODES!$A$11,T50))),CODES!$A$13,IF(OR(T50&lt;T$63,ISNUMBER(T50)=FALSE),T$64,T50))))</f>
      </c>
      <c r="U102" s="9" t="str">
        <f>IF(ISBLANK(U50),"NO DATA",IF(ISNUMBER(FIND(CODES!$A$12,U50)),CODES!$A$12,IF(OR(ISNUMBER(FIND(CODES!$A$10,U50)),ISNUMBER(FIND(CODES!$A$11,U50))),CODES!$A$13,IF(OR(U50&lt;U$63,ISNUMBER(U50)=FALSE),U$64,U50))))</f>
      </c>
      <c r="V102" s="9" t="str">
        <f>IF(ISBLANK(V50),"NO DATA",IF(ISNUMBER(FIND(CODES!$A$12,V50)),CODES!$A$12,IF(OR(ISNUMBER(FIND(CODES!$A$10,V50)),ISNUMBER(FIND(CODES!$A$11,V50))),CODES!$A$13,IF(OR(V50&lt;V$63,ISNUMBER(V50)=FALSE),V$64,V50))))</f>
      </c>
      <c r="W102" s="9" t="str">
        <f>IF(ISBLANK(W50),"NO DATA",IF(ISNUMBER(FIND(CODES!$A$12,W50)),CODES!$A$12,IF(OR(ISNUMBER(FIND(CODES!$A$10,W50)),ISNUMBER(FIND(CODES!$A$11,W50))),CODES!$A$13,IF(OR(W50&lt;W$63,ISNUMBER(W50)=FALSE),W$64,W50))))</f>
      </c>
      <c r="X102" s="9" t="str">
        <f>IF(ISBLANK(X50),"NO DATA",IF(ISNUMBER(FIND(CODES!$A$12,X50)),CODES!$A$12,IF(OR(ISNUMBER(FIND(CODES!$A$10,X50)),ISNUMBER(FIND(CODES!$A$11,X50))),CODES!$A$13,IF(OR(X50&lt;X$63,ISNUMBER(X50)=FALSE),X$64,X50))))</f>
      </c>
      <c r="Y102" s="9" t="str">
        <f>IF(ISBLANK(Y50),"NO DATA",IF(ISNUMBER(FIND(CODES!$A$12,Y50)),CODES!$A$12,IF(OR(ISNUMBER(FIND(CODES!$A$10,Y50)),ISNUMBER(FIND(CODES!$A$11,Y50))),CODES!$A$13,IF(OR(Y50&lt;Y$63,ISNUMBER(Y50)=FALSE),Y$64,Y50))))</f>
      </c>
      <c r="Z102" s="9" t="str">
        <f>IF(ISBLANK(Z50),"NO DATA",IF(ISNUMBER(FIND(CODES!$A$12,Z50)),CODES!$A$12,IF(OR(ISNUMBER(FIND(CODES!$A$10,Z50)),ISNUMBER(FIND(CODES!$A$11,Z50))),CODES!$A$13,IF(OR(Z50&lt;Z$63,ISNUMBER(Z50)=FALSE),Z$64,Z50))))</f>
      </c>
      <c r="AA102" s="9" t="str">
        <f>IF(ISBLANK(AA50),"NO DATA",IF(ISNUMBER(FIND(CODES!$A$12,AA50)),CODES!$A$12,IF(OR(ISNUMBER(FIND(CODES!$A$10,AA50)),ISNUMBER(FIND(CODES!$A$11,AA50))),CODES!$A$13,IF(OR(AA50&lt;AA$63,ISNUMBER(AA50)=FALSE),AA$64,AA50))))</f>
      </c>
      <c r="AB102" s="9" t="str">
        <f>IF(ISBLANK(AB50),"NO DATA",IF(ISNUMBER(FIND(CODES!$A$12,AB50)),CODES!$A$12,IF(OR(ISNUMBER(FIND(CODES!$A$10,AB50)),ISNUMBER(FIND(CODES!$A$11,AB50))),CODES!$A$13,IF(OR(AB50&lt;AB$63,ISNUMBER(AB50)=FALSE),AB$64,AB50))))</f>
      </c>
      <c r="AC102" s="9" t="str">
        <f>IF(ISBLANK(AC50),"NO DATA",IF(ISNUMBER(FIND(CODES!$A$12,AC50)),CODES!$A$12,IF(OR(ISNUMBER(FIND(CODES!$A$10,AC50)),ISNUMBER(FIND(CODES!$A$11,AC50))),CODES!$A$13,IF(OR(AC50&lt;AC$63,ISNUMBER(AC50)=FALSE),AC$64,AC50))))</f>
      </c>
      <c r="AD102" s="9" t="str">
        <f>IF(ISBLANK(AD50),"NO DATA",IF(ISNUMBER(FIND(CODES!$A$12,AD50)),CODES!$A$12,IF(OR(ISNUMBER(FIND(CODES!$A$10,AD50)),ISNUMBER(FIND(CODES!$A$11,AD50))),CODES!$A$13,IF(OR(AD50&lt;AD$63,ISNUMBER(AD50)=FALSE),AD$64,AD50))))</f>
      </c>
      <c r="AE102" s="9" t="str">
        <f>IF(ISBLANK(AE50),"NO DATA",IF(ISNUMBER(FIND(CODES!$A$12,AE50)),CODES!$A$12,IF(OR(ISNUMBER(FIND(CODES!$A$10,AE50)),ISNUMBER(FIND(CODES!$A$11,AE50))),CODES!$A$13,IF(OR(AE50&lt;AE$63,ISNUMBER(AE50)=FALSE),AE$64,AE50))))</f>
      </c>
      <c r="AF102" s="9" t="str">
        <f>IF(ISBLANK(AF50),"NO DATA",IF(ISNUMBER(FIND(CODES!$A$12,AF50)),CODES!$A$12,IF(OR(ISNUMBER(FIND(CODES!$A$10,AF50)),ISNUMBER(FIND(CODES!$A$11,AF50))),CODES!$A$13,IF(OR(AF50&lt;AF$63,ISNUMBER(AF50)=FALSE),AF$64,AF50))))</f>
      </c>
      <c r="AG102" s="9" t="str">
        <f>IF(ISBLANK(AG50),"NO DATA",IF(ISNUMBER(FIND(CODES!$A$12,AG50)),CODES!$A$12,IF(OR(ISNUMBER(FIND(CODES!$A$10,AG50)),ISNUMBER(FIND(CODES!$A$11,AG50))),CODES!$A$13,IF(OR(AG50&lt;AG$63,ISNUMBER(AG50)=FALSE),AG$64,AG50))))</f>
      </c>
      <c r="AH102" s="9" t="str">
        <f>IF(ISBLANK(AH50),"NO DATA",IF(ISNUMBER(FIND(CODES!$A$12,AH50)),CODES!$A$12,IF(OR(ISNUMBER(FIND(CODES!$A$10,AH50)),ISNUMBER(FIND(CODES!$A$11,AH50))),CODES!$A$13,IF(OR(AH50&lt;AH$63,ISNUMBER(AH50)=FALSE),AH$64,AH50))))</f>
      </c>
      <c r="AI102" s="9" t="str">
        <f>IF(ISBLANK(AI50),"NO DATA",IF(ISNUMBER(FIND(CODES!$A$12,AI50)),CODES!$A$12,IF(OR(ISNUMBER(FIND(CODES!$A$10,AI50)),ISNUMBER(FIND(CODES!$A$11,AI50))),CODES!$A$13,IF(OR(AI50&lt;AI$63,ISNUMBER(AI50)=FALSE),AI$64,AI50))))</f>
      </c>
      <c r="AJ102" s="9" t="str">
        <f>IF(ISBLANK(AJ50),"NO DATA",IF(ISNUMBER(FIND(CODES!$A$12,AJ50)),CODES!$A$12,IF(OR(ISNUMBER(FIND(CODES!$A$10,AJ50)),ISNUMBER(FIND(CODES!$A$11,AJ50))),CODES!$A$13,IF(OR(AJ50&lt;AJ$63,ISNUMBER(AJ50)=FALSE),AJ$64,AJ50))))</f>
      </c>
      <c r="AK102" s="9" t="str">
        <f>IF(ISBLANK(AK50),"NO DATA",IF(ISNUMBER(FIND(CODES!$A$12,AK50)),CODES!$A$12,IF(OR(ISNUMBER(FIND(CODES!$A$10,AK50)),ISNUMBER(FIND(CODES!$A$11,AK50))),CODES!$A$13,IF(OR(AK50&lt;AK$63,ISNUMBER(AK50)=FALSE),AK$64,AK50))))</f>
      </c>
      <c r="AL102" s="9" t="str">
        <f>IF(ISBLANK(AL50),"NO DATA",IF(ISNUMBER(FIND(CODES!$A$12,AL50)),CODES!$A$12,IF(OR(ISNUMBER(FIND(CODES!$A$10,AL50)),ISNUMBER(FIND(CODES!$A$11,AL50))),CODES!$A$13,IF(OR(AL50&lt;AL$63,ISNUMBER(AL50)=FALSE),AL$64,AL50))))</f>
      </c>
      <c r="AM102" s="9" t="str">
        <f>IF(ISBLANK(AM50),"NO DATA",IF(ISNUMBER(FIND(CODES!$A$12,AM50)),CODES!$A$12,IF(OR(ISNUMBER(FIND(CODES!$A$10,AM50)),ISNUMBER(FIND(CODES!$A$11,AM50))),CODES!$A$13,IF(OR(AM50&lt;AM$63,ISNUMBER(AM50)=FALSE),AM$64,AM50))))</f>
      </c>
      <c r="AN102" s="9" t="str">
        <f>IF(ISBLANK(AN50),"NO DATA",IF(ISNUMBER(FIND(CODES!$A$12,AN50)),CODES!$A$12,IF(OR(ISNUMBER(FIND(CODES!$A$10,AN50)),ISNUMBER(FIND(CODES!$A$11,AN50))),CODES!$A$13,IF(OR(AN50&lt;AN$63,ISNUMBER(AN50)=FALSE),AN$64,AN50))))</f>
      </c>
      <c r="AO102" s="9" t="str">
        <f>IF(ISBLANK(AO50),"NO DATA",IF(ISNUMBER(FIND(CODES!$A$12,AO50)),CODES!$A$12,IF(OR(ISNUMBER(FIND(CODES!$A$10,AO50)),ISNUMBER(FIND(CODES!$A$11,AO50))),CODES!$A$13,IF(OR(AO50&lt;AO$63,ISNUMBER(AO50)=FALSE),AO$64,AO50))))</f>
      </c>
      <c r="AP102" s="9" t="str">
        <f>IF(ISBLANK(AP50),"NO DATA",IF(ISNUMBER(FIND(CODES!$A$12,AP50)),CODES!$A$12,IF(OR(ISNUMBER(FIND(CODES!$A$10,AP50)),ISNUMBER(FIND(CODES!$A$11,AP50))),CODES!$A$13,IF(OR(AP50&lt;AP$63,ISNUMBER(AP50)=FALSE),AP$64,AP50))))</f>
      </c>
      <c r="AQ102" s="9" t="str">
        <f>IF(ISBLANK(AQ50),"NO DATA",IF(ISNUMBER(FIND(CODES!$A$12,AQ50)),CODES!$A$12,IF(OR(ISNUMBER(FIND(CODES!$A$10,AQ50)),ISNUMBER(FIND(CODES!$A$11,AQ50))),CODES!$A$13,IF(OR(AQ50&lt;AQ$63,ISNUMBER(AQ50)=FALSE),AQ$64,AQ50))))</f>
      </c>
      <c r="AR102" s="9" t="str">
        <f>IF(ISBLANK(AR50),"NO DATA",IF(ISNUMBER(FIND(CODES!$A$12,AR50)),CODES!$A$12,IF(OR(ISNUMBER(FIND(CODES!$A$10,AR50)),ISNUMBER(FIND(CODES!$A$11,AR50))),CODES!$A$13,IF(OR(AR50&lt;AR$63,ISNUMBER(AR50)=FALSE),AR$64,AR50))))</f>
      </c>
      <c r="AS102" s="9" t="str">
        <f>IF(ISBLANK(AS50),"NO DATA",IF(ISNUMBER(FIND(CODES!$A$12,AS50)),CODES!$A$12,IF(OR(ISNUMBER(FIND(CODES!$A$10,AS50)),ISNUMBER(FIND(CODES!$A$11,AS50))),CODES!$A$13,IF(OR(AS50&lt;AS$63,ISNUMBER(AS50)=FALSE),AS$64,AS50))))</f>
      </c>
      <c r="AT102" s="9" t="str">
        <f>IF(ISBLANK(AT50),"NO DATA",IF(ISNUMBER(FIND(CODES!$A$12,AT50)),CODES!$A$12,IF(OR(ISNUMBER(FIND(CODES!$A$10,AT50)),ISNUMBER(FIND(CODES!$A$11,AT50))),CODES!$A$13,IF(OR(AT50&lt;AT$63,ISNUMBER(AT50)=FALSE),AT$64,AT50))))</f>
      </c>
      <c r="AU102" s="9" t="str">
        <f>IF(ISBLANK(AU50),"NO DATA",IF(ISNUMBER(FIND(CODES!$A$12,AU50)),CODES!$A$12,IF(OR(ISNUMBER(FIND(CODES!$A$10,AU50)),ISNUMBER(FIND(CODES!$A$11,AU50))),CODES!$A$13,IF(OR(AU50&lt;AU$63,ISNUMBER(AU50)=FALSE),AU$64,AU50))))</f>
      </c>
      <c r="AV102" s="9" t="str">
        <f>IF(ISBLANK(AV50),"NO DATA",IF(ISNUMBER(FIND(CODES!$A$12,AV50)),CODES!$A$12,IF(OR(ISNUMBER(FIND(CODES!$A$10,AV50)),ISNUMBER(FIND(CODES!$A$11,AV50))),CODES!$A$13,IF(OR(AV50&lt;AV$63,ISNUMBER(AV50)=FALSE),AV$64,AV50))))</f>
      </c>
      <c r="AW102" s="9" t="str">
        <f>IF(ISBLANK(AW50),"NO DATA",IF(ISNUMBER(FIND(CODES!$A$12,AW50)),CODES!$A$12,IF(OR(ISNUMBER(FIND(CODES!$A$10,AW50)),ISNUMBER(FIND(CODES!$A$11,AW50))),CODES!$A$13,IF(OR(AW50&lt;AW$63,ISNUMBER(AW50)=FALSE),AW$64,AW50))))</f>
      </c>
      <c r="AX102" s="9" t="str">
        <f>IF(ISBLANK(AX50),"NO DATA",IF(ISNUMBER(FIND(CODES!$A$12,AX50)),CODES!$A$12,IF(OR(ISNUMBER(FIND(CODES!$A$10,AX50)),ISNUMBER(FIND(CODES!$A$11,AX50))),CODES!$A$13,IF(OR(AX50&lt;AX$63,ISNUMBER(AX50)=FALSE),AX$64,AX50))))</f>
      </c>
      <c r="AY102" s="9" t="str">
        <f>IF(ISBLANK(AY50),"NO DATA",IF(ISNUMBER(FIND(CODES!$A$12,AY50)),CODES!$A$12,IF(OR(ISNUMBER(FIND(CODES!$A$10,AY50)),ISNUMBER(FIND(CODES!$A$11,AY50))),CODES!$A$13,IF(OR(AY50&lt;AY$63,ISNUMBER(AY50)=FALSE),AY$64,AY50))))</f>
      </c>
      <c r="AZ102" s="9" t="str">
        <f>IF(ISBLANK(AZ50),"NO DATA",IF(ISNUMBER(FIND(CODES!$A$12,AZ50)),CODES!$A$12,IF(OR(ISNUMBER(FIND(CODES!$A$10,AZ50)),ISNUMBER(FIND(CODES!$A$11,AZ50))),CODES!$A$13,IF(OR(AZ50&lt;AZ$63,ISNUMBER(AZ50)=FALSE),AZ$64,AZ50))))</f>
      </c>
      <c r="BA102" s="9" t="str">
        <f>IF(ISBLANK(BA50),"NO DATA",IF(ISNUMBER(FIND(CODES!$A$12,BA50)),CODES!$A$12,IF(OR(ISNUMBER(FIND(CODES!$A$10,BA50)),ISNUMBER(FIND(CODES!$A$11,BA50))),CODES!$A$13,IF(OR(BA50&lt;BA$63,ISNUMBER(BA50)=FALSE),BA$64,BA50))))</f>
      </c>
      <c r="BB102" s="9" t="str">
        <f>IF(ISBLANK(BB50),"NO DATA",IF(ISNUMBER(FIND(CODES!$A$12,BB50)),CODES!$A$12,IF(OR(ISNUMBER(FIND(CODES!$A$10,BB50)),ISNUMBER(FIND(CODES!$A$11,BB50))),CODES!$A$13,IF(OR(BB50&lt;BB$63,ISNUMBER(BB50)=FALSE),BB$64,BB50))))</f>
      </c>
      <c r="BC102" s="9" t="str">
        <f>IF(ISBLANK(BC50),"NO DATA",IF(ISNUMBER(FIND(CODES!$A$12,BC50)),CODES!$A$12,IF(OR(ISNUMBER(FIND(CODES!$A$10,BC50)),ISNUMBER(FIND(CODES!$A$11,BC50))),CODES!$A$13,IF(OR(BC50&lt;BC$63,ISNUMBER(BC50)=FALSE),BC$64,BC50))))</f>
      </c>
      <c r="BD102" s="9" t="str">
        <f>IF(ISBLANK(BD50),"NO DATA",IF(ISNUMBER(FIND(CODES!$A$12,BD50)),CODES!$A$12,IF(OR(ISNUMBER(FIND(CODES!$A$10,BD50)),ISNUMBER(FIND(CODES!$A$11,BD50))),CODES!$A$13,IF(OR(BD50&lt;BD$63,ISNUMBER(BD50)=FALSE),BD$64,BD50))))</f>
      </c>
      <c r="BE102" s="9" t="str">
        <f>IF(ISBLANK(BE50),"NO DATA",IF(ISNUMBER(FIND(CODES!$A$12,BE50)),CODES!$A$12,IF(OR(ISNUMBER(FIND(CODES!$A$10,BE50)),ISNUMBER(FIND(CODES!$A$11,BE50))),CODES!$A$13,IF(OR(BE50&lt;BE$63,ISNUMBER(BE50)=FALSE),BE$64,BE50))))</f>
      </c>
      <c r="BF102" s="9" t="str">
        <f>IF(ISBLANK(BF50),"NO DATA",IF(ISNUMBER(FIND(CODES!$A$12,BF50)),CODES!$A$12,IF(OR(ISNUMBER(FIND(CODES!$A$10,BF50)),ISNUMBER(FIND(CODES!$A$11,BF50))),CODES!$A$13,IF(OR(BF50&lt;BF$63,ISNUMBER(BF50)=FALSE),BF$64,BF50))))</f>
      </c>
      <c r="BG102" s="9" t="str">
        <f>IF(ISBLANK(BG50),"NO DATA",IF(ISNUMBER(FIND(CODES!$A$12,BG50)),CODES!$A$12,IF(OR(ISNUMBER(FIND(CODES!$A$10,BG50)),ISNUMBER(FIND(CODES!$A$11,BG50))),CODES!$A$13,IF(OR(BG50&lt;BG$63,ISNUMBER(BG50)=FALSE),BG$64,BG50))))</f>
      </c>
      <c r="BH102" s="9" t="str">
        <f>IF(ISBLANK(BH50),"NO DATA",IF(ISNUMBER(FIND(CODES!$A$12,BH50)),CODES!$A$12,IF(OR(ISNUMBER(FIND(CODES!$A$10,BH50)),ISNUMBER(FIND(CODES!$A$11,BH50))),CODES!$A$13,IF(OR(BH50&lt;BH$63,ISNUMBER(BH50)=FALSE),BH$64,BH50))))</f>
      </c>
      <c r="BI102" s="9" t="str">
        <f>IF(ISBLANK(BI50),"NO DATA",IF(ISNUMBER(FIND(CODES!$A$12,BI50)),CODES!$A$12,IF(OR(ISNUMBER(FIND(CODES!$A$10,BI50)),ISNUMBER(FIND(CODES!$A$11,BI50))),CODES!$A$13,IF(OR(BI50&lt;BI$63,ISNUMBER(BI50)=FALSE),BI$64,BI50))))</f>
      </c>
      <c r="BJ102" s="9" t="str">
        <f>IF(ISBLANK(BJ50),"NO DATA",IF(ISNUMBER(FIND(CODES!$A$12,BJ50)),CODES!$A$12,IF(OR(ISNUMBER(FIND(CODES!$A$10,BJ50)),ISNUMBER(FIND(CODES!$A$11,BJ50))),CODES!$A$13,IF(OR(BJ50&lt;BJ$63,ISNUMBER(BJ50)=FALSE),BJ$64,BJ50))))</f>
      </c>
      <c r="BK102" s="9" t="str">
        <f>IF(ISBLANK(BK50),"NO DATA",IF(ISNUMBER(FIND(CODES!$A$12,BK50)),CODES!$A$12,IF(OR(ISNUMBER(FIND(CODES!$A$10,BK50)),ISNUMBER(FIND(CODES!$A$11,BK50))),CODES!$A$13,IF(OR(BK50&lt;BK$63,ISNUMBER(BK50)=FALSE),BK$64,BK50))))</f>
      </c>
      <c r="BL102" s="9" t="str">
        <f>IF(ISBLANK(BL50),"NO DATA",IF(ISNUMBER(FIND(CODES!$A$12,BL50)),CODES!$A$12,IF(OR(ISNUMBER(FIND(CODES!$A$10,BL50)),ISNUMBER(FIND(CODES!$A$11,BL50))),CODES!$A$13,IF(OR(BL50&lt;BL$63,ISNUMBER(BL50)=FALSE),BL$64,BL50))))</f>
      </c>
      <c r="BM102" s="9" t="str">
        <f>IF(ISBLANK(BM50),"NO DATA",IF(ISNUMBER(FIND(CODES!$A$12,BM50)),CODES!$A$12,IF(OR(ISNUMBER(FIND(CODES!$A$10,BM50)),ISNUMBER(FIND(CODES!$A$11,BM50))),CODES!$A$13,IF(OR(BM50&lt;BM$63,ISNUMBER(BM50)=FALSE),BM$64,BM50))))</f>
      </c>
      <c r="BN102" s="9" t="str">
        <f>IF(ISBLANK(BN50),"NO DATA",IF(ISNUMBER(FIND(CODES!$A$12,BN50)),CODES!$A$12,IF(OR(ISNUMBER(FIND(CODES!$A$10,BN50)),ISNUMBER(FIND(CODES!$A$11,BN50))),CODES!$A$13,IF(OR(BN50&lt;BN$63,ISNUMBER(BN50)=FALSE),BN$64,BN50))))</f>
      </c>
      <c r="BO102" s="9" t="str">
        <f>IF(ISBLANK(BO50),"NO DATA",IF(ISNUMBER(FIND(CODES!$A$12,BO50)),CODES!$A$12,IF(OR(ISNUMBER(FIND(CODES!$A$10,BO50)),ISNUMBER(FIND(CODES!$A$11,BO50))),CODES!$A$13,IF(OR(BO50&lt;BO$63,ISNUMBER(BO50)=FALSE),BO$64,BO50))))</f>
      </c>
      <c r="BP102" s="9" t="str">
        <f>IF(ISBLANK(BP50),"NO DATA",IF(ISNUMBER(FIND(CODES!$A$12,BP50)),CODES!$A$12,IF(OR(ISNUMBER(FIND(CODES!$A$10,BP50)),ISNUMBER(FIND(CODES!$A$11,BP50))),CODES!$A$13,IF(OR(BP50&lt;BP$63,ISNUMBER(BP50)=FALSE),BP$64,BP50))))</f>
      </c>
      <c r="BQ102" s="9" t="str">
        <f>IF(ISBLANK(BQ50),"NO DATA",IF(ISNUMBER(FIND(CODES!$A$12,BQ50)),CODES!$A$12,IF(OR(ISNUMBER(FIND(CODES!$A$10,BQ50)),ISNUMBER(FIND(CODES!$A$11,BQ50))),CODES!$A$13,IF(OR(BQ50&lt;BQ$63,ISNUMBER(BQ50)=FALSE),BQ$64,BQ50))))</f>
      </c>
      <c r="BR102" s="9" t="str">
        <f>IF(ISBLANK(BR50),"NO DATA",IF(ISNUMBER(FIND(CODES!$A$12,BR50)),CODES!$A$12,IF(OR(ISNUMBER(FIND(CODES!$A$10,BR50)),ISNUMBER(FIND(CODES!$A$11,BR50))),CODES!$A$13,IF(OR(BR50&lt;BR$63,ISNUMBER(BR50)=FALSE),BR$64,BR50))))</f>
      </c>
      <c r="BS102" s="9" t="str">
        <f>IF(ISBLANK(BS50),"NO DATA",IF(ISNUMBER(FIND(CODES!$A$12,BS50)),CODES!$A$12,IF(OR(ISNUMBER(FIND(CODES!$A$10,BS50)),ISNUMBER(FIND(CODES!$A$11,BS50))),CODES!$A$13,IF(OR(BS50&lt;BS$63,ISNUMBER(BS50)=FALSE),BS$64,BS50))))</f>
      </c>
      <c r="BT102" s="9" t="str">
        <f>IF(ISBLANK(BT50),"NO DATA",IF(ISNUMBER(FIND(CODES!$A$12,BT50)),CODES!$A$12,IF(OR(ISNUMBER(FIND(CODES!$A$10,BT50)),ISNUMBER(FIND(CODES!$A$11,BT50))),CODES!$A$13,IF(OR(BT50&lt;BT$63,ISNUMBER(BT50)=FALSE),BT$64,BT50))))</f>
      </c>
      <c r="BU102" s="9" t="str">
        <f>IF(ISBLANK(BU50),"NO DATA",IF(ISNUMBER(FIND(CODES!$A$12,BU50)),CODES!$A$12,IF(OR(ISNUMBER(FIND(CODES!$A$10,BU50)),ISNUMBER(FIND(CODES!$A$11,BU50))),CODES!$A$13,IF(OR(BU50&lt;BU$63,ISNUMBER(BU50)=FALSE),BU$64,BU50))))</f>
      </c>
      <c r="BV102" s="9" t="str">
        <f>IF(ISBLANK(BV50),"NO DATA",IF(ISNUMBER(FIND(CODES!$A$12,BV50)),CODES!$A$12,IF(OR(ISNUMBER(FIND(CODES!$A$10,BV50)),ISNUMBER(FIND(CODES!$A$11,BV50))),CODES!$A$13,IF(OR(BV50&lt;BV$63,ISNUMBER(BV50)=FALSE),BV$64,BV50))))</f>
      </c>
      <c r="BW102" s="9" t="str">
        <f>IF(ISBLANK(BW50),"NO DATA",IF(ISNUMBER(FIND(CODES!$A$12,BW50)),CODES!$A$12,IF(OR(ISNUMBER(FIND(CODES!$A$10,BW50)),ISNUMBER(FIND(CODES!$A$11,BW50))),CODES!$A$13,IF(OR(BW50&lt;BW$63,ISNUMBER(BW50)=FALSE),BW$64,BW50))))</f>
      </c>
      <c r="BX102" s="9" t="str">
        <f>IF(ISBLANK(BX50),"NO DATA",IF(ISNUMBER(FIND(CODES!$A$12,BX50)),CODES!$A$12,IF(OR(ISNUMBER(FIND(CODES!$A$10,BX50)),ISNUMBER(FIND(CODES!$A$11,BX50))),CODES!$A$13,IF(OR(BX50&lt;BX$63,ISNUMBER(BX50)=FALSE),BX$64,BX50))))</f>
      </c>
      <c r="BY102" s="9" t="str">
        <f>IF(ISBLANK(BY50),"NO DATA",IF(ISNUMBER(FIND(CODES!$A$12,BY50)),CODES!$A$12,IF(OR(ISNUMBER(FIND(CODES!$A$10,BY50)),ISNUMBER(FIND(CODES!$A$11,BY50))),CODES!$A$13,IF(OR(BY50&lt;BY$63,ISNUMBER(BY50)=FALSE),BY$64,BY50))))</f>
      </c>
      <c r="BZ102" s="9" t="str">
        <f>IF(ISBLANK(BZ50),"NO DATA",IF(ISNUMBER(FIND(CODES!$A$12,BZ50)),CODES!$A$12,IF(OR(ISNUMBER(FIND(CODES!$A$10,BZ50)),ISNUMBER(FIND(CODES!$A$11,BZ50))),CODES!$A$13,IF(OR(BZ50&lt;BZ$63,ISNUMBER(BZ50)=FALSE),BZ$64,BZ50))))</f>
      </c>
      <c r="CA102" s="9" t="str">
        <f>IF(ISBLANK(CA50),"NO DATA",IF(ISNUMBER(FIND(CODES!$A$12,CA50)),CODES!$A$12,IF(OR(ISNUMBER(FIND(CODES!$A$10,CA50)),ISNUMBER(FIND(CODES!$A$11,CA50))),CODES!$A$13,IF(OR(CA50&lt;CA$63,ISNUMBER(CA50)=FALSE),CA$64,CA50))))</f>
      </c>
      <c r="CB102" s="9" t="str">
        <f>IF(ISBLANK(CB50),"NO DATA",IF(ISNUMBER(FIND(CODES!$A$12,CB50)),CODES!$A$12,IF(OR(ISNUMBER(FIND(CODES!$A$10,CB50)),ISNUMBER(FIND(CODES!$A$11,CB50))),CODES!$A$13,IF(OR(CB50&lt;CB$63,ISNUMBER(CB50)=FALSE),CB$64,CB50))))</f>
      </c>
      <c r="CC102" s="9" t="str">
        <f>IF(ISBLANK(CC50),"NO DATA",IF(ISNUMBER(FIND(CODES!$A$12,CC50)),CODES!$A$12,IF(OR(ISNUMBER(FIND(CODES!$A$10,CC50)),ISNUMBER(FIND(CODES!$A$11,CC50))),CODES!$A$13,IF(OR(CC50&lt;CC$63,ISNUMBER(CC50)=FALSE),CC$64,CC50))))</f>
      </c>
      <c r="CD102" s="9" t="str">
        <f>IF(ISBLANK(CD50),"NO DATA",IF(ISNUMBER(FIND(CODES!$A$12,CD50)),CODES!$A$12,IF(OR(ISNUMBER(FIND(CODES!$A$10,CD50)),ISNUMBER(FIND(CODES!$A$11,CD50))),CODES!$A$13,IF(OR(CD50&lt;CD$63,ISNUMBER(CD50)=FALSE),CD$64,CD50))))</f>
      </c>
      <c r="CE102" s="9" t="str">
        <f>IF(ISBLANK(CE50),"NO DATA",IF(ISNUMBER(FIND(CODES!$A$12,CE50)),CODES!$A$12,IF(OR(ISNUMBER(FIND(CODES!$A$10,CE50)),ISNUMBER(FIND(CODES!$A$11,CE50))),CODES!$A$13,IF(OR(CE50&lt;CE$63,ISNUMBER(CE50)=FALSE),CE$64,CE50))))</f>
      </c>
      <c r="CF102" s="9" t="str">
        <f>IF(ISBLANK(CF50),"NO DATA",IF(ISNUMBER(FIND(CODES!$A$12,CF50)),CODES!$A$12,IF(OR(ISNUMBER(FIND(CODES!$A$10,CF50)),ISNUMBER(FIND(CODES!$A$11,CF50))),CODES!$A$13,IF(OR(CF50&lt;CF$63,ISNUMBER(CF50)=FALSE),CF$64,CF50))))</f>
      </c>
      <c r="CG102" s="9" t="str">
        <f>IF(ISBLANK(CG50),"NO DATA",IF(ISNUMBER(FIND(CODES!$A$12,CG50)),CODES!$A$12,IF(OR(ISNUMBER(FIND(CODES!$A$10,CG50)),ISNUMBER(FIND(CODES!$A$11,CG50))),CODES!$A$13,IF(OR(CG50&lt;CG$63,ISNUMBER(CG50)=FALSE),CG$64,CG50))))</f>
      </c>
      <c r="CH102" s="9" t="str">
        <f>IF(ISBLANK(CH50),"NO DATA",IF(ISNUMBER(FIND(CODES!$A$12,CH50)),CODES!$A$12,IF(OR(ISNUMBER(FIND(CODES!$A$10,CH50)),ISNUMBER(FIND(CODES!$A$11,CH50))),CODES!$A$13,IF(OR(CH50&lt;CH$63,ISNUMBER(CH50)=FALSE),CH$64,CH50))))</f>
      </c>
      <c r="CI102" s="9" t="str">
        <f>IF(ISBLANK(CI50),"NO DATA",IF(ISNUMBER(FIND(CODES!$A$12,CI50)),CODES!$A$12,IF(OR(ISNUMBER(FIND(CODES!$A$10,CI50)),ISNUMBER(FIND(CODES!$A$11,CI50))),CODES!$A$13,IF(OR(CI50&lt;CI$63,ISNUMBER(CI50)=FALSE),CI$64,CI50))))</f>
      </c>
      <c r="CJ102" s="9" t="str">
        <f>IF(ISBLANK(CJ50),"NO DATA",IF(ISNUMBER(FIND(CODES!$A$12,CJ50)),CODES!$A$12,IF(OR(ISNUMBER(FIND(CODES!$A$10,CJ50)),ISNUMBER(FIND(CODES!$A$11,CJ50))),CODES!$A$13,IF(OR(CJ50&lt;CJ$63,ISNUMBER(CJ50)=FALSE),CJ$64,CJ50))))</f>
      </c>
      <c r="CK102" s="9" t="str">
        <f>IF(ISBLANK(CK50),"NO DATA",IF(ISNUMBER(FIND(CODES!$A$12,CK50)),CODES!$A$12,IF(OR(ISNUMBER(FIND(CODES!$A$10,CK50)),ISNUMBER(FIND(CODES!$A$11,CK50))),CODES!$A$13,IF(OR(CK50&lt;CK$63,ISNUMBER(CK50)=FALSE),CK$64,CK50))))</f>
      </c>
      <c r="CL102" s="9" t="str">
        <f>IF(ISBLANK(CL50),"NO DATA",IF(ISNUMBER(FIND(CODES!$A$12,CL50)),CODES!$A$12,IF(OR(ISNUMBER(FIND(CODES!$A$10,CL50)),ISNUMBER(FIND(CODES!$A$11,CL50))),CODES!$A$13,IF(OR(CL50&lt;CL$63,ISNUMBER(CL50)=FALSE),CL$64,CL50))))</f>
      </c>
      <c r="CM102" s="9" t="str">
        <f>IF(ISBLANK(CM50),"NO DATA",IF(ISNUMBER(FIND(CODES!$A$12,CM50)),CODES!$A$12,IF(OR(ISNUMBER(FIND(CODES!$A$10,CM50)),ISNUMBER(FIND(CODES!$A$11,CM50))),CODES!$A$13,IF(OR(CM50&lt;CM$63,ISNUMBER(CM50)=FALSE),CM$64,CM50))))</f>
      </c>
      <c r="CN102" s="9" t="str">
        <f>IF(ISBLANK(CN50),"NO DATA",IF(ISNUMBER(FIND(CODES!$A$12,CN50)),CODES!$A$12,IF(OR(ISNUMBER(FIND(CODES!$A$10,CN50)),ISNUMBER(FIND(CODES!$A$11,CN50))),CODES!$A$13,IF(OR(CN50&lt;CN$63,ISNUMBER(CN50)=FALSE),CN$64,CN50))))</f>
      </c>
      <c r="CO102" s="9" t="str">
        <f>IF(ISBLANK(CO50),"NO DATA",IF(ISNUMBER(FIND(CODES!$A$12,CO50)),CODES!$A$12,IF(OR(ISNUMBER(FIND(CODES!$A$10,CO50)),ISNUMBER(FIND(CODES!$A$11,CO50))),CODES!$A$13,IF(OR(CO50&lt;CO$63,ISNUMBER(CO50)=FALSE),CO$64,CO50))))</f>
      </c>
      <c r="CP102" s="9" t="str">
        <f>IF(ISBLANK(CP50),"NO DATA",IF(ISNUMBER(FIND(CODES!$A$12,CP50)),CODES!$A$12,IF(OR(ISNUMBER(FIND(CODES!$A$10,CP50)),ISNUMBER(FIND(CODES!$A$11,CP50))),CODES!$A$13,IF(OR(CP50&lt;CP$63,ISNUMBER(CP50)=FALSE),CP$64,CP50))))</f>
      </c>
      <c r="CQ102" s="9" t="str">
        <f>IF(ISBLANK(CQ50),"NO DATA",IF(ISNUMBER(FIND(CODES!$A$12,CQ50)),CODES!$A$12,IF(OR(ISNUMBER(FIND(CODES!$A$10,CQ50)),ISNUMBER(FIND(CODES!$A$11,CQ50))),CODES!$A$13,IF(OR(CQ50&lt;CQ$63,ISNUMBER(CQ50)=FALSE),CQ$64,CQ50))))</f>
      </c>
      <c r="CR102" s="9" t="str">
        <f>IF(ISBLANK(CR50),"NO DATA",IF(ISNUMBER(FIND(CODES!$A$12,CR50)),CODES!$A$12,IF(OR(ISNUMBER(FIND(CODES!$A$10,CR50)),ISNUMBER(FIND(CODES!$A$11,CR50))),CODES!$A$13,IF(OR(CR50&lt;CR$63,ISNUMBER(CR50)=FALSE),CR$64,CR50))))</f>
      </c>
      <c r="CS102" s="9" t="str">
        <f>IF(ISBLANK(CS50),"NO DATA",IF(ISNUMBER(FIND(CODES!$A$12,CS50)),CODES!$A$12,IF(OR(ISNUMBER(FIND(CODES!$A$10,CS50)),ISNUMBER(FIND(CODES!$A$11,CS50))),CODES!$A$13,IF(OR(CS50&lt;CS$63,ISNUMBER(CS50)=FALSE),CS$64,CS50))))</f>
      </c>
      <c r="CT102" s="9" t="str">
        <f>IF(ISBLANK(CT50),"NO DATA",IF(ISNUMBER(FIND(CODES!$A$12,CT50)),CODES!$A$12,IF(OR(ISNUMBER(FIND(CODES!$A$10,CT50)),ISNUMBER(FIND(CODES!$A$11,CT50))),CODES!$A$13,IF(OR(CT50&lt;CT$63,ISNUMBER(CT50)=FALSE),CT$64,CT50))))</f>
      </c>
      <c r="CU102" s="9" t="str">
        <f>IF(ISBLANK(CU50),"NO DATA",IF(ISNUMBER(FIND(CODES!$A$12,CU50)),CODES!$A$12,IF(OR(ISNUMBER(FIND(CODES!$A$10,CU50)),ISNUMBER(FIND(CODES!$A$11,CU50))),CODES!$A$13,IF(OR(CU50&lt;CU$63,ISNUMBER(CU50)=FALSE),CU$64,CU50))))</f>
      </c>
      <c r="CV102" s="9" t="str">
        <f>IF(ISBLANK(CV50),"NO DATA",IF(ISNUMBER(FIND(CODES!$A$12,CV50)),CODES!$A$12,IF(OR(ISNUMBER(FIND(CODES!$A$10,CV50)),ISNUMBER(FIND(CODES!$A$11,CV50))),CODES!$A$13,IF(OR(CV50&lt;CV$63,ISNUMBER(CV50)=FALSE),CV$64,CV50))))</f>
      </c>
      <c r="CW102" s="9" t="str">
        <f>IF(ISBLANK(CW50),"NO DATA",IF(ISNUMBER(FIND(CODES!$A$12,CW50)),CODES!$A$12,IF(OR(ISNUMBER(FIND(CODES!$A$10,CW50)),ISNUMBER(FIND(CODES!$A$11,CW50))),CODES!$A$13,IF(OR(CW50&lt;CW$63,ISNUMBER(CW50)=FALSE),CW$64,CW50))))</f>
      </c>
      <c r="CX102" s="9" t="str">
        <f>IF(ISBLANK(CX50),"NO DATA",IF(ISNUMBER(FIND(CODES!$A$12,CX50)),CODES!$A$12,IF(OR(ISNUMBER(FIND(CODES!$A$10,CX50)),ISNUMBER(FIND(CODES!$A$11,CX50))),CODES!$A$13,IF(OR(CX50&lt;CX$63,ISNUMBER(CX50)=FALSE),CX$64,CX50))))</f>
      </c>
      <c r="CY102" s="9" t="str">
        <f>IF(ISBLANK(CY50),"NO DATA",IF(ISNUMBER(FIND(CODES!$A$12,CY50)),CODES!$A$12,IF(OR(ISNUMBER(FIND(CODES!$A$10,CY50)),ISNUMBER(FIND(CODES!$A$11,CY50))),CODES!$A$13,IF(OR(CY50&lt;CY$63,ISNUMBER(CY50)=FALSE),CY$64,CY50))))</f>
      </c>
      <c r="CZ102" s="9" t="str">
        <f>IF(ISBLANK(CZ50),"NO DATA",IF(ISNUMBER(FIND(CODES!$A$12,CZ50)),CODES!$A$12,IF(OR(ISNUMBER(FIND(CODES!$A$10,CZ50)),ISNUMBER(FIND(CODES!$A$11,CZ50))),CODES!$A$13,IF(OR(CZ50&lt;CZ$63,ISNUMBER(CZ50)=FALSE),CZ$64,CZ50))))</f>
      </c>
      <c r="DA102" s="9" t="str">
        <f>IF(ISBLANK(DA50),"NO DATA",IF(ISNUMBER(FIND(CODES!$A$12,DA50)),CODES!$A$12,IF(OR(ISNUMBER(FIND(CODES!$A$10,DA50)),ISNUMBER(FIND(CODES!$A$11,DA50))),CODES!$A$13,IF(OR(DA50&lt;DA$63,ISNUMBER(DA50)=FALSE),DA$64,DA50))))</f>
      </c>
      <c r="DB102" s="9" t="str">
        <f>IF(ISBLANK(DB50),"NO DATA",IF(ISNUMBER(FIND(CODES!$A$12,DB50)),CODES!$A$12,IF(OR(ISNUMBER(FIND(CODES!$A$10,DB50)),ISNUMBER(FIND(CODES!$A$11,DB50))),CODES!$A$13,IF(OR(DB50&lt;DB$63,ISNUMBER(DB50)=FALSE),DB$64,DB50))))</f>
      </c>
      <c r="DC102" s="9" t="str">
        <f>IF(ISBLANK(DC50),"NO DATA",IF(ISNUMBER(FIND(CODES!$A$12,DC50)),CODES!$A$12,IF(OR(ISNUMBER(FIND(CODES!$A$10,DC50)),ISNUMBER(FIND(CODES!$A$11,DC50))),CODES!$A$13,IF(OR(DC50&lt;DC$63,ISNUMBER(DC50)=FALSE),DC$64,DC50))))</f>
      </c>
      <c r="DD102" s="9" t="str">
        <f>IF(ISBLANK(DD50),"NO DATA",IF(ISNUMBER(FIND(CODES!$A$12,DD50)),CODES!$A$12,IF(OR(ISNUMBER(FIND(CODES!$A$10,DD50)),ISNUMBER(FIND(CODES!$A$11,DD50))),CODES!$A$13,IF(OR(DD50&lt;DD$63,ISNUMBER(DD50)=FALSE),DD$64,DD50))))</f>
      </c>
      <c r="DE102" s="9" t="str">
        <f>IF(ISBLANK(DE50),"NO DATA",IF(ISNUMBER(FIND(CODES!$A$12,DE50)),CODES!$A$12,IF(OR(ISNUMBER(FIND(CODES!$A$10,DE50)),ISNUMBER(FIND(CODES!$A$11,DE50))),CODES!$A$13,IF(OR(DE50&lt;DE$63,ISNUMBER(DE50)=FALSE),DE$64,DE50))))</f>
      </c>
      <c r="DF102" s="9" t="str">
        <f>IF(ISBLANK(DF50),"NO DATA",IF(ISNUMBER(FIND(CODES!$A$12,DF50)),CODES!$A$12,IF(OR(ISNUMBER(FIND(CODES!$A$10,DF50)),ISNUMBER(FIND(CODES!$A$11,DF50))),CODES!$A$13,IF(OR(DF50&lt;DF$63,ISNUMBER(DF50)=FALSE),DF$64,DF50))))</f>
      </c>
      <c r="DG102" s="9" t="str">
        <f>IF(ISBLANK(DG50),"NO DATA",IF(ISNUMBER(FIND(CODES!$A$12,DG50)),CODES!$A$12,IF(OR(ISNUMBER(FIND(CODES!$A$10,DG50)),ISNUMBER(FIND(CODES!$A$11,DG50))),CODES!$A$13,IF(OR(DG50&lt;DG$63,ISNUMBER(DG50)=FALSE),DG$64,DG50))))</f>
      </c>
      <c r="DH102" s="9" t="str">
        <f>IF(ISBLANK(DH50),"NO DATA",IF(ISNUMBER(FIND(CODES!$A$12,DH50)),CODES!$A$12,IF(OR(ISNUMBER(FIND(CODES!$A$10,DH50)),ISNUMBER(FIND(CODES!$A$11,DH50))),CODES!$A$13,IF(OR(DH50&lt;DH$63,ISNUMBER(DH50)=FALSE),DH$64,DH50))))</f>
      </c>
      <c r="DI102" s="9" t="str">
        <f>IF(ISBLANK(DI50),"NO DATA",IF(ISNUMBER(FIND(CODES!$A$12,DI50)),CODES!$A$12,IF(OR(ISNUMBER(FIND(CODES!$A$10,DI50)),ISNUMBER(FIND(CODES!$A$11,DI50))),CODES!$A$13,IF(OR(DI50&lt;DI$63,ISNUMBER(DI50)=FALSE),DI$64,DI50))))</f>
      </c>
    </row>
    <row r="103" spans="1:113" x14ac:dyDescent="0.25">
      <c r="A103" s="20" t="str">
        <f t="shared" si="5"/>
      </c>
      <c r="B103" s="20">
        <f t="shared" si="5"/>
      </c>
      <c r="C103" s="9" t="str">
        <f>IF(ISBLANK(C51),"NO DATA",IF(ISNUMBER(FIND(CODES!$A$12,C51)),CODES!$A$12,IF(OR(ISNUMBER(FIND(CODES!$A$10,C51)),ISNUMBER(FIND(CODES!$A$11,C51))),CODES!$A$13,IF(OR(C51&lt;C$63,ISNUMBER(C51)=FALSE),C$64,C51))))</f>
      </c>
      <c r="D103" s="9" t="str">
        <f>IF(ISBLANK(D51),"NO DATA",IF(ISNUMBER(FIND(CODES!$A$12,D51)),CODES!$A$12,IF(OR(ISNUMBER(FIND(CODES!$A$10,D51)),ISNUMBER(FIND(CODES!$A$11,D51))),CODES!$A$13,IF(OR(D51&lt;D$63,ISNUMBER(D51)=FALSE),D$64,D51))))</f>
      </c>
      <c r="E103" s="9" t="str">
        <f>IF(ISBLANK(E51),"NO DATA",IF(ISNUMBER(FIND(CODES!$A$12,E51)),CODES!$A$12,IF(OR(ISNUMBER(FIND(CODES!$A$10,E51)),ISNUMBER(FIND(CODES!$A$11,E51))),CODES!$A$13,IF(OR(E51&lt;E$63,ISNUMBER(E51)=FALSE),E$64,E51))))</f>
      </c>
      <c r="F103" s="9" t="str">
        <f>IF(ISBLANK(F51),"NO DATA",IF(ISNUMBER(FIND(CODES!$A$12,F51)),CODES!$A$12,IF(OR(ISNUMBER(FIND(CODES!$A$10,F51)),ISNUMBER(FIND(CODES!$A$11,F51))),CODES!$A$13,IF(OR(F51&lt;F$63,ISNUMBER(F51)=FALSE),F$64,F51))))</f>
      </c>
      <c r="G103" s="9" t="str">
        <f>IF(ISBLANK(G51),"NO DATA",IF(ISNUMBER(FIND(CODES!$A$12,G51)),CODES!$A$12,IF(OR(ISNUMBER(FIND(CODES!$A$10,G51)),ISNUMBER(FIND(CODES!$A$11,G51))),CODES!$A$13,IF(OR(G51&lt;G$63,ISNUMBER(G51)=FALSE),G$64,G51))))</f>
      </c>
      <c r="H103" s="9" t="str">
        <f>IF(ISBLANK(H51),"NO DATA",IF(ISNUMBER(FIND(CODES!$A$12,H51)),CODES!$A$12,IF(OR(ISNUMBER(FIND(CODES!$A$10,H51)),ISNUMBER(FIND(CODES!$A$11,H51))),CODES!$A$13,IF(OR(H51&lt;H$63,ISNUMBER(H51)=FALSE),H$64,H51))))</f>
      </c>
      <c r="I103" s="9" t="str">
        <f>IF(ISBLANK(I51),"NO DATA",IF(ISNUMBER(FIND(CODES!$A$12,I51)),CODES!$A$12,IF(OR(ISNUMBER(FIND(CODES!$A$10,I51)),ISNUMBER(FIND(CODES!$A$11,I51))),CODES!$A$13,IF(OR(I51&lt;I$63,ISNUMBER(I51)=FALSE),I$64,I51))))</f>
      </c>
      <c r="J103" s="9" t="str">
        <f>IF(ISBLANK(J51),"NO DATA",IF(ISNUMBER(FIND(CODES!$A$12,J51)),CODES!$A$12,IF(OR(ISNUMBER(FIND(CODES!$A$10,J51)),ISNUMBER(FIND(CODES!$A$11,J51))),CODES!$A$13,IF(OR(J51&lt;J$63,ISNUMBER(J51)=FALSE),J$64,J51))))</f>
      </c>
      <c r="K103" s="9" t="str">
        <f>IF(ISBLANK(K51),"NO DATA",IF(ISNUMBER(FIND(CODES!$A$12,K51)),CODES!$A$12,IF(OR(ISNUMBER(FIND(CODES!$A$10,K51)),ISNUMBER(FIND(CODES!$A$11,K51))),CODES!$A$13,IF(OR(K51&lt;K$63,ISNUMBER(K51)=FALSE),K$64,K51))))</f>
      </c>
      <c r="L103" s="9" t="str">
        <f>IF(ISBLANK(L51),"NO DATA",IF(ISNUMBER(FIND(CODES!$A$12,L51)),CODES!$A$12,IF(OR(ISNUMBER(FIND(CODES!$A$10,L51)),ISNUMBER(FIND(CODES!$A$11,L51))),CODES!$A$13,IF(OR(L51&lt;L$63,ISNUMBER(L51)=FALSE),L$64,L51))))</f>
      </c>
      <c r="M103" s="9" t="str">
        <f>IF(ISBLANK(M51),"NO DATA",IF(ISNUMBER(FIND(CODES!$A$12,M51)),CODES!$A$12,IF(OR(ISNUMBER(FIND(CODES!$A$10,M51)),ISNUMBER(FIND(CODES!$A$11,M51))),CODES!$A$13,IF(OR(M51&lt;M$63,ISNUMBER(M51)=FALSE),M$64,M51))))</f>
      </c>
      <c r="N103" s="9" t="str">
        <f>IF(ISBLANK(N51),"NO DATA",IF(ISNUMBER(FIND(CODES!$A$12,N51)),CODES!$A$12,IF(OR(ISNUMBER(FIND(CODES!$A$10,N51)),ISNUMBER(FIND(CODES!$A$11,N51))),CODES!$A$13,IF(OR(N51&lt;N$63,ISNUMBER(N51)=FALSE),N$64,N51))))</f>
      </c>
      <c r="O103" s="9" t="str">
        <f>IF(ISBLANK(O51),"NO DATA",IF(ISNUMBER(FIND(CODES!$A$12,O51)),CODES!$A$12,IF(OR(ISNUMBER(FIND(CODES!$A$10,O51)),ISNUMBER(FIND(CODES!$A$11,O51))),CODES!$A$13,IF(OR(O51&lt;O$63,ISNUMBER(O51)=FALSE),O$64,O51))))</f>
      </c>
      <c r="P103" s="9" t="str">
        <f>IF(ISBLANK(P51),"NO DATA",IF(ISNUMBER(FIND(CODES!$A$12,P51)),CODES!$A$12,IF(OR(ISNUMBER(FIND(CODES!$A$10,P51)),ISNUMBER(FIND(CODES!$A$11,P51))),CODES!$A$13,IF(OR(P51&lt;P$63,ISNUMBER(P51)=FALSE),P$64,P51))))</f>
      </c>
      <c r="Q103" s="9" t="str">
        <f>IF(ISBLANK(Q51),"NO DATA",IF(ISNUMBER(FIND(CODES!$A$12,Q51)),CODES!$A$12,IF(OR(ISNUMBER(FIND(CODES!$A$10,Q51)),ISNUMBER(FIND(CODES!$A$11,Q51))),CODES!$A$13,IF(OR(Q51&lt;Q$63,ISNUMBER(Q51)=FALSE),Q$64,Q51))))</f>
      </c>
      <c r="R103" s="9" t="str">
        <f>IF(ISBLANK(R51),"NO DATA",IF(ISNUMBER(FIND(CODES!$A$12,R51)),CODES!$A$12,IF(OR(ISNUMBER(FIND(CODES!$A$10,R51)),ISNUMBER(FIND(CODES!$A$11,R51))),CODES!$A$13,IF(OR(R51&lt;R$63,ISNUMBER(R51)=FALSE),R$64,R51))))</f>
      </c>
      <c r="S103" s="9" t="str">
        <f>IF(ISBLANK(S51),"NO DATA",IF(ISNUMBER(FIND(CODES!$A$12,S51)),CODES!$A$12,IF(OR(ISNUMBER(FIND(CODES!$A$10,S51)),ISNUMBER(FIND(CODES!$A$11,S51))),CODES!$A$13,IF(OR(S51&lt;S$63,ISNUMBER(S51)=FALSE),S$64,S51))))</f>
      </c>
      <c r="T103" s="9" t="str">
        <f>IF(ISBLANK(T51),"NO DATA",IF(ISNUMBER(FIND(CODES!$A$12,T51)),CODES!$A$12,IF(OR(ISNUMBER(FIND(CODES!$A$10,T51)),ISNUMBER(FIND(CODES!$A$11,T51))),CODES!$A$13,IF(OR(T51&lt;T$63,ISNUMBER(T51)=FALSE),T$64,T51))))</f>
      </c>
      <c r="U103" s="9" t="str">
        <f>IF(ISBLANK(U51),"NO DATA",IF(ISNUMBER(FIND(CODES!$A$12,U51)),CODES!$A$12,IF(OR(ISNUMBER(FIND(CODES!$A$10,U51)),ISNUMBER(FIND(CODES!$A$11,U51))),CODES!$A$13,IF(OR(U51&lt;U$63,ISNUMBER(U51)=FALSE),U$64,U51))))</f>
      </c>
      <c r="V103" s="9" t="str">
        <f>IF(ISBLANK(V51),"NO DATA",IF(ISNUMBER(FIND(CODES!$A$12,V51)),CODES!$A$12,IF(OR(ISNUMBER(FIND(CODES!$A$10,V51)),ISNUMBER(FIND(CODES!$A$11,V51))),CODES!$A$13,IF(OR(V51&lt;V$63,ISNUMBER(V51)=FALSE),V$64,V51))))</f>
      </c>
      <c r="W103" s="9" t="str">
        <f>IF(ISBLANK(W51),"NO DATA",IF(ISNUMBER(FIND(CODES!$A$12,W51)),CODES!$A$12,IF(OR(ISNUMBER(FIND(CODES!$A$10,W51)),ISNUMBER(FIND(CODES!$A$11,W51))),CODES!$A$13,IF(OR(W51&lt;W$63,ISNUMBER(W51)=FALSE),W$64,W51))))</f>
      </c>
      <c r="X103" s="9" t="str">
        <f>IF(ISBLANK(X51),"NO DATA",IF(ISNUMBER(FIND(CODES!$A$12,X51)),CODES!$A$12,IF(OR(ISNUMBER(FIND(CODES!$A$10,X51)),ISNUMBER(FIND(CODES!$A$11,X51))),CODES!$A$13,IF(OR(X51&lt;X$63,ISNUMBER(X51)=FALSE),X$64,X51))))</f>
      </c>
      <c r="Y103" s="9" t="str">
        <f>IF(ISBLANK(Y51),"NO DATA",IF(ISNUMBER(FIND(CODES!$A$12,Y51)),CODES!$A$12,IF(OR(ISNUMBER(FIND(CODES!$A$10,Y51)),ISNUMBER(FIND(CODES!$A$11,Y51))),CODES!$A$13,IF(OR(Y51&lt;Y$63,ISNUMBER(Y51)=FALSE),Y$64,Y51))))</f>
      </c>
      <c r="Z103" s="9" t="str">
        <f>IF(ISBLANK(Z51),"NO DATA",IF(ISNUMBER(FIND(CODES!$A$12,Z51)),CODES!$A$12,IF(OR(ISNUMBER(FIND(CODES!$A$10,Z51)),ISNUMBER(FIND(CODES!$A$11,Z51))),CODES!$A$13,IF(OR(Z51&lt;Z$63,ISNUMBER(Z51)=FALSE),Z$64,Z51))))</f>
      </c>
      <c r="AA103" s="9" t="str">
        <f>IF(ISBLANK(AA51),"NO DATA",IF(ISNUMBER(FIND(CODES!$A$12,AA51)),CODES!$A$12,IF(OR(ISNUMBER(FIND(CODES!$A$10,AA51)),ISNUMBER(FIND(CODES!$A$11,AA51))),CODES!$A$13,IF(OR(AA51&lt;AA$63,ISNUMBER(AA51)=FALSE),AA$64,AA51))))</f>
      </c>
      <c r="AB103" s="9" t="str">
        <f>IF(ISBLANK(AB51),"NO DATA",IF(ISNUMBER(FIND(CODES!$A$12,AB51)),CODES!$A$12,IF(OR(ISNUMBER(FIND(CODES!$A$10,AB51)),ISNUMBER(FIND(CODES!$A$11,AB51))),CODES!$A$13,IF(OR(AB51&lt;AB$63,ISNUMBER(AB51)=FALSE),AB$64,AB51))))</f>
      </c>
      <c r="AC103" s="9" t="str">
        <f>IF(ISBLANK(AC51),"NO DATA",IF(ISNUMBER(FIND(CODES!$A$12,AC51)),CODES!$A$12,IF(OR(ISNUMBER(FIND(CODES!$A$10,AC51)),ISNUMBER(FIND(CODES!$A$11,AC51))),CODES!$A$13,IF(OR(AC51&lt;AC$63,ISNUMBER(AC51)=FALSE),AC$64,AC51))))</f>
      </c>
      <c r="AD103" s="9" t="str">
        <f>IF(ISBLANK(AD51),"NO DATA",IF(ISNUMBER(FIND(CODES!$A$12,AD51)),CODES!$A$12,IF(OR(ISNUMBER(FIND(CODES!$A$10,AD51)),ISNUMBER(FIND(CODES!$A$11,AD51))),CODES!$A$13,IF(OR(AD51&lt;AD$63,ISNUMBER(AD51)=FALSE),AD$64,AD51))))</f>
      </c>
      <c r="AE103" s="9" t="str">
        <f>IF(ISBLANK(AE51),"NO DATA",IF(ISNUMBER(FIND(CODES!$A$12,AE51)),CODES!$A$12,IF(OR(ISNUMBER(FIND(CODES!$A$10,AE51)),ISNUMBER(FIND(CODES!$A$11,AE51))),CODES!$A$13,IF(OR(AE51&lt;AE$63,ISNUMBER(AE51)=FALSE),AE$64,AE51))))</f>
      </c>
      <c r="AF103" s="9" t="str">
        <f>IF(ISBLANK(AF51),"NO DATA",IF(ISNUMBER(FIND(CODES!$A$12,AF51)),CODES!$A$12,IF(OR(ISNUMBER(FIND(CODES!$A$10,AF51)),ISNUMBER(FIND(CODES!$A$11,AF51))),CODES!$A$13,IF(OR(AF51&lt;AF$63,ISNUMBER(AF51)=FALSE),AF$64,AF51))))</f>
      </c>
      <c r="AG103" s="9" t="str">
        <f>IF(ISBLANK(AG51),"NO DATA",IF(ISNUMBER(FIND(CODES!$A$12,AG51)),CODES!$A$12,IF(OR(ISNUMBER(FIND(CODES!$A$10,AG51)),ISNUMBER(FIND(CODES!$A$11,AG51))),CODES!$A$13,IF(OR(AG51&lt;AG$63,ISNUMBER(AG51)=FALSE),AG$64,AG51))))</f>
      </c>
      <c r="AH103" s="9" t="str">
        <f>IF(ISBLANK(AH51),"NO DATA",IF(ISNUMBER(FIND(CODES!$A$12,AH51)),CODES!$A$12,IF(OR(ISNUMBER(FIND(CODES!$A$10,AH51)),ISNUMBER(FIND(CODES!$A$11,AH51))),CODES!$A$13,IF(OR(AH51&lt;AH$63,ISNUMBER(AH51)=FALSE),AH$64,AH51))))</f>
      </c>
      <c r="AI103" s="9" t="str">
        <f>IF(ISBLANK(AI51),"NO DATA",IF(ISNUMBER(FIND(CODES!$A$12,AI51)),CODES!$A$12,IF(OR(ISNUMBER(FIND(CODES!$A$10,AI51)),ISNUMBER(FIND(CODES!$A$11,AI51))),CODES!$A$13,IF(OR(AI51&lt;AI$63,ISNUMBER(AI51)=FALSE),AI$64,AI51))))</f>
      </c>
      <c r="AJ103" s="9" t="str">
        <f>IF(ISBLANK(AJ51),"NO DATA",IF(ISNUMBER(FIND(CODES!$A$12,AJ51)),CODES!$A$12,IF(OR(ISNUMBER(FIND(CODES!$A$10,AJ51)),ISNUMBER(FIND(CODES!$A$11,AJ51))),CODES!$A$13,IF(OR(AJ51&lt;AJ$63,ISNUMBER(AJ51)=FALSE),AJ$64,AJ51))))</f>
      </c>
      <c r="AK103" s="9" t="str">
        <f>IF(ISBLANK(AK51),"NO DATA",IF(ISNUMBER(FIND(CODES!$A$12,AK51)),CODES!$A$12,IF(OR(ISNUMBER(FIND(CODES!$A$10,AK51)),ISNUMBER(FIND(CODES!$A$11,AK51))),CODES!$A$13,IF(OR(AK51&lt;AK$63,ISNUMBER(AK51)=FALSE),AK$64,AK51))))</f>
      </c>
      <c r="AL103" s="9" t="str">
        <f>IF(ISBLANK(AL51),"NO DATA",IF(ISNUMBER(FIND(CODES!$A$12,AL51)),CODES!$A$12,IF(OR(ISNUMBER(FIND(CODES!$A$10,AL51)),ISNUMBER(FIND(CODES!$A$11,AL51))),CODES!$A$13,IF(OR(AL51&lt;AL$63,ISNUMBER(AL51)=FALSE),AL$64,AL51))))</f>
      </c>
      <c r="AM103" s="9" t="str">
        <f>IF(ISBLANK(AM51),"NO DATA",IF(ISNUMBER(FIND(CODES!$A$12,AM51)),CODES!$A$12,IF(OR(ISNUMBER(FIND(CODES!$A$10,AM51)),ISNUMBER(FIND(CODES!$A$11,AM51))),CODES!$A$13,IF(OR(AM51&lt;AM$63,ISNUMBER(AM51)=FALSE),AM$64,AM51))))</f>
      </c>
      <c r="AN103" s="9" t="str">
        <f>IF(ISBLANK(AN51),"NO DATA",IF(ISNUMBER(FIND(CODES!$A$12,AN51)),CODES!$A$12,IF(OR(ISNUMBER(FIND(CODES!$A$10,AN51)),ISNUMBER(FIND(CODES!$A$11,AN51))),CODES!$A$13,IF(OR(AN51&lt;AN$63,ISNUMBER(AN51)=FALSE),AN$64,AN51))))</f>
      </c>
      <c r="AO103" s="9" t="str">
        <f>IF(ISBLANK(AO51),"NO DATA",IF(ISNUMBER(FIND(CODES!$A$12,AO51)),CODES!$A$12,IF(OR(ISNUMBER(FIND(CODES!$A$10,AO51)),ISNUMBER(FIND(CODES!$A$11,AO51))),CODES!$A$13,IF(OR(AO51&lt;AO$63,ISNUMBER(AO51)=FALSE),AO$64,AO51))))</f>
      </c>
      <c r="AP103" s="9" t="str">
        <f>IF(ISBLANK(AP51),"NO DATA",IF(ISNUMBER(FIND(CODES!$A$12,AP51)),CODES!$A$12,IF(OR(ISNUMBER(FIND(CODES!$A$10,AP51)),ISNUMBER(FIND(CODES!$A$11,AP51))),CODES!$A$13,IF(OR(AP51&lt;AP$63,ISNUMBER(AP51)=FALSE),AP$64,AP51))))</f>
      </c>
      <c r="AQ103" s="9" t="str">
        <f>IF(ISBLANK(AQ51),"NO DATA",IF(ISNUMBER(FIND(CODES!$A$12,AQ51)),CODES!$A$12,IF(OR(ISNUMBER(FIND(CODES!$A$10,AQ51)),ISNUMBER(FIND(CODES!$A$11,AQ51))),CODES!$A$13,IF(OR(AQ51&lt;AQ$63,ISNUMBER(AQ51)=FALSE),AQ$64,AQ51))))</f>
      </c>
      <c r="AR103" s="9" t="str">
        <f>IF(ISBLANK(AR51),"NO DATA",IF(ISNUMBER(FIND(CODES!$A$12,AR51)),CODES!$A$12,IF(OR(ISNUMBER(FIND(CODES!$A$10,AR51)),ISNUMBER(FIND(CODES!$A$11,AR51))),CODES!$A$13,IF(OR(AR51&lt;AR$63,ISNUMBER(AR51)=FALSE),AR$64,AR51))))</f>
      </c>
      <c r="AS103" s="9" t="str">
        <f>IF(ISBLANK(AS51),"NO DATA",IF(ISNUMBER(FIND(CODES!$A$12,AS51)),CODES!$A$12,IF(OR(ISNUMBER(FIND(CODES!$A$10,AS51)),ISNUMBER(FIND(CODES!$A$11,AS51))),CODES!$A$13,IF(OR(AS51&lt;AS$63,ISNUMBER(AS51)=FALSE),AS$64,AS51))))</f>
      </c>
      <c r="AT103" s="9" t="str">
        <f>IF(ISBLANK(AT51),"NO DATA",IF(ISNUMBER(FIND(CODES!$A$12,AT51)),CODES!$A$12,IF(OR(ISNUMBER(FIND(CODES!$A$10,AT51)),ISNUMBER(FIND(CODES!$A$11,AT51))),CODES!$A$13,IF(OR(AT51&lt;AT$63,ISNUMBER(AT51)=FALSE),AT$64,AT51))))</f>
      </c>
      <c r="AU103" s="9" t="str">
        <f>IF(ISBLANK(AU51),"NO DATA",IF(ISNUMBER(FIND(CODES!$A$12,AU51)),CODES!$A$12,IF(OR(ISNUMBER(FIND(CODES!$A$10,AU51)),ISNUMBER(FIND(CODES!$A$11,AU51))),CODES!$A$13,IF(OR(AU51&lt;AU$63,ISNUMBER(AU51)=FALSE),AU$64,AU51))))</f>
      </c>
      <c r="AV103" s="9" t="str">
        <f>IF(ISBLANK(AV51),"NO DATA",IF(ISNUMBER(FIND(CODES!$A$12,AV51)),CODES!$A$12,IF(OR(ISNUMBER(FIND(CODES!$A$10,AV51)),ISNUMBER(FIND(CODES!$A$11,AV51))),CODES!$A$13,IF(OR(AV51&lt;AV$63,ISNUMBER(AV51)=FALSE),AV$64,AV51))))</f>
      </c>
      <c r="AW103" s="9" t="str">
        <f>IF(ISBLANK(AW51),"NO DATA",IF(ISNUMBER(FIND(CODES!$A$12,AW51)),CODES!$A$12,IF(OR(ISNUMBER(FIND(CODES!$A$10,AW51)),ISNUMBER(FIND(CODES!$A$11,AW51))),CODES!$A$13,IF(OR(AW51&lt;AW$63,ISNUMBER(AW51)=FALSE),AW$64,AW51))))</f>
      </c>
      <c r="AX103" s="9" t="str">
        <f>IF(ISBLANK(AX51),"NO DATA",IF(ISNUMBER(FIND(CODES!$A$12,AX51)),CODES!$A$12,IF(OR(ISNUMBER(FIND(CODES!$A$10,AX51)),ISNUMBER(FIND(CODES!$A$11,AX51))),CODES!$A$13,IF(OR(AX51&lt;AX$63,ISNUMBER(AX51)=FALSE),AX$64,AX51))))</f>
      </c>
      <c r="AY103" s="9" t="str">
        <f>IF(ISBLANK(AY51),"NO DATA",IF(ISNUMBER(FIND(CODES!$A$12,AY51)),CODES!$A$12,IF(OR(ISNUMBER(FIND(CODES!$A$10,AY51)),ISNUMBER(FIND(CODES!$A$11,AY51))),CODES!$A$13,IF(OR(AY51&lt;AY$63,ISNUMBER(AY51)=FALSE),AY$64,AY51))))</f>
      </c>
      <c r="AZ103" s="9" t="str">
        <f>IF(ISBLANK(AZ51),"NO DATA",IF(ISNUMBER(FIND(CODES!$A$12,AZ51)),CODES!$A$12,IF(OR(ISNUMBER(FIND(CODES!$A$10,AZ51)),ISNUMBER(FIND(CODES!$A$11,AZ51))),CODES!$A$13,IF(OR(AZ51&lt;AZ$63,ISNUMBER(AZ51)=FALSE),AZ$64,AZ51))))</f>
      </c>
      <c r="BA103" s="9" t="str">
        <f>IF(ISBLANK(BA51),"NO DATA",IF(ISNUMBER(FIND(CODES!$A$12,BA51)),CODES!$A$12,IF(OR(ISNUMBER(FIND(CODES!$A$10,BA51)),ISNUMBER(FIND(CODES!$A$11,BA51))),CODES!$A$13,IF(OR(BA51&lt;BA$63,ISNUMBER(BA51)=FALSE),BA$64,BA51))))</f>
      </c>
      <c r="BB103" s="9" t="str">
        <f>IF(ISBLANK(BB51),"NO DATA",IF(ISNUMBER(FIND(CODES!$A$12,BB51)),CODES!$A$12,IF(OR(ISNUMBER(FIND(CODES!$A$10,BB51)),ISNUMBER(FIND(CODES!$A$11,BB51))),CODES!$A$13,IF(OR(BB51&lt;BB$63,ISNUMBER(BB51)=FALSE),BB$64,BB51))))</f>
      </c>
      <c r="BC103" s="9" t="str">
        <f>IF(ISBLANK(BC51),"NO DATA",IF(ISNUMBER(FIND(CODES!$A$12,BC51)),CODES!$A$12,IF(OR(ISNUMBER(FIND(CODES!$A$10,BC51)),ISNUMBER(FIND(CODES!$A$11,BC51))),CODES!$A$13,IF(OR(BC51&lt;BC$63,ISNUMBER(BC51)=FALSE),BC$64,BC51))))</f>
      </c>
      <c r="BD103" s="9" t="str">
        <f>IF(ISBLANK(BD51),"NO DATA",IF(ISNUMBER(FIND(CODES!$A$12,BD51)),CODES!$A$12,IF(OR(ISNUMBER(FIND(CODES!$A$10,BD51)),ISNUMBER(FIND(CODES!$A$11,BD51))),CODES!$A$13,IF(OR(BD51&lt;BD$63,ISNUMBER(BD51)=FALSE),BD$64,BD51))))</f>
      </c>
      <c r="BE103" s="9" t="str">
        <f>IF(ISBLANK(BE51),"NO DATA",IF(ISNUMBER(FIND(CODES!$A$12,BE51)),CODES!$A$12,IF(OR(ISNUMBER(FIND(CODES!$A$10,BE51)),ISNUMBER(FIND(CODES!$A$11,BE51))),CODES!$A$13,IF(OR(BE51&lt;BE$63,ISNUMBER(BE51)=FALSE),BE$64,BE51))))</f>
      </c>
      <c r="BF103" s="9" t="str">
        <f>IF(ISBLANK(BF51),"NO DATA",IF(ISNUMBER(FIND(CODES!$A$12,BF51)),CODES!$A$12,IF(OR(ISNUMBER(FIND(CODES!$A$10,BF51)),ISNUMBER(FIND(CODES!$A$11,BF51))),CODES!$A$13,IF(OR(BF51&lt;BF$63,ISNUMBER(BF51)=FALSE),BF$64,BF51))))</f>
      </c>
      <c r="BG103" s="9" t="str">
        <f>IF(ISBLANK(BG51),"NO DATA",IF(ISNUMBER(FIND(CODES!$A$12,BG51)),CODES!$A$12,IF(OR(ISNUMBER(FIND(CODES!$A$10,BG51)),ISNUMBER(FIND(CODES!$A$11,BG51))),CODES!$A$13,IF(OR(BG51&lt;BG$63,ISNUMBER(BG51)=FALSE),BG$64,BG51))))</f>
      </c>
      <c r="BH103" s="9" t="str">
        <f>IF(ISBLANK(BH51),"NO DATA",IF(ISNUMBER(FIND(CODES!$A$12,BH51)),CODES!$A$12,IF(OR(ISNUMBER(FIND(CODES!$A$10,BH51)),ISNUMBER(FIND(CODES!$A$11,BH51))),CODES!$A$13,IF(OR(BH51&lt;BH$63,ISNUMBER(BH51)=FALSE),BH$64,BH51))))</f>
      </c>
      <c r="BI103" s="9" t="str">
        <f>IF(ISBLANK(BI51),"NO DATA",IF(ISNUMBER(FIND(CODES!$A$12,BI51)),CODES!$A$12,IF(OR(ISNUMBER(FIND(CODES!$A$10,BI51)),ISNUMBER(FIND(CODES!$A$11,BI51))),CODES!$A$13,IF(OR(BI51&lt;BI$63,ISNUMBER(BI51)=FALSE),BI$64,BI51))))</f>
      </c>
      <c r="BJ103" s="9" t="str">
        <f>IF(ISBLANK(BJ51),"NO DATA",IF(ISNUMBER(FIND(CODES!$A$12,BJ51)),CODES!$A$12,IF(OR(ISNUMBER(FIND(CODES!$A$10,BJ51)),ISNUMBER(FIND(CODES!$A$11,BJ51))),CODES!$A$13,IF(OR(BJ51&lt;BJ$63,ISNUMBER(BJ51)=FALSE),BJ$64,BJ51))))</f>
      </c>
      <c r="BK103" s="9" t="str">
        <f>IF(ISBLANK(BK51),"NO DATA",IF(ISNUMBER(FIND(CODES!$A$12,BK51)),CODES!$A$12,IF(OR(ISNUMBER(FIND(CODES!$A$10,BK51)),ISNUMBER(FIND(CODES!$A$11,BK51))),CODES!$A$13,IF(OR(BK51&lt;BK$63,ISNUMBER(BK51)=FALSE),BK$64,BK51))))</f>
      </c>
      <c r="BL103" s="9" t="str">
        <f>IF(ISBLANK(BL51),"NO DATA",IF(ISNUMBER(FIND(CODES!$A$12,BL51)),CODES!$A$12,IF(OR(ISNUMBER(FIND(CODES!$A$10,BL51)),ISNUMBER(FIND(CODES!$A$11,BL51))),CODES!$A$13,IF(OR(BL51&lt;BL$63,ISNUMBER(BL51)=FALSE),BL$64,BL51))))</f>
      </c>
      <c r="BM103" s="9" t="str">
        <f>IF(ISBLANK(BM51),"NO DATA",IF(ISNUMBER(FIND(CODES!$A$12,BM51)),CODES!$A$12,IF(OR(ISNUMBER(FIND(CODES!$A$10,BM51)),ISNUMBER(FIND(CODES!$A$11,BM51))),CODES!$A$13,IF(OR(BM51&lt;BM$63,ISNUMBER(BM51)=FALSE),BM$64,BM51))))</f>
      </c>
      <c r="BN103" s="9" t="str">
        <f>IF(ISBLANK(BN51),"NO DATA",IF(ISNUMBER(FIND(CODES!$A$12,BN51)),CODES!$A$12,IF(OR(ISNUMBER(FIND(CODES!$A$10,BN51)),ISNUMBER(FIND(CODES!$A$11,BN51))),CODES!$A$13,IF(OR(BN51&lt;BN$63,ISNUMBER(BN51)=FALSE),BN$64,BN51))))</f>
      </c>
      <c r="BO103" s="9" t="str">
        <f>IF(ISBLANK(BO51),"NO DATA",IF(ISNUMBER(FIND(CODES!$A$12,BO51)),CODES!$A$12,IF(OR(ISNUMBER(FIND(CODES!$A$10,BO51)),ISNUMBER(FIND(CODES!$A$11,BO51))),CODES!$A$13,IF(OR(BO51&lt;BO$63,ISNUMBER(BO51)=FALSE),BO$64,BO51))))</f>
      </c>
      <c r="BP103" s="9" t="str">
        <f>IF(ISBLANK(BP51),"NO DATA",IF(ISNUMBER(FIND(CODES!$A$12,BP51)),CODES!$A$12,IF(OR(ISNUMBER(FIND(CODES!$A$10,BP51)),ISNUMBER(FIND(CODES!$A$11,BP51))),CODES!$A$13,IF(OR(BP51&lt;BP$63,ISNUMBER(BP51)=FALSE),BP$64,BP51))))</f>
      </c>
      <c r="BQ103" s="9" t="str">
        <f>IF(ISBLANK(BQ51),"NO DATA",IF(ISNUMBER(FIND(CODES!$A$12,BQ51)),CODES!$A$12,IF(OR(ISNUMBER(FIND(CODES!$A$10,BQ51)),ISNUMBER(FIND(CODES!$A$11,BQ51))),CODES!$A$13,IF(OR(BQ51&lt;BQ$63,ISNUMBER(BQ51)=FALSE),BQ$64,BQ51))))</f>
      </c>
      <c r="BR103" s="9" t="str">
        <f>IF(ISBLANK(BR51),"NO DATA",IF(ISNUMBER(FIND(CODES!$A$12,BR51)),CODES!$A$12,IF(OR(ISNUMBER(FIND(CODES!$A$10,BR51)),ISNUMBER(FIND(CODES!$A$11,BR51))),CODES!$A$13,IF(OR(BR51&lt;BR$63,ISNUMBER(BR51)=FALSE),BR$64,BR51))))</f>
      </c>
      <c r="BS103" s="9" t="str">
        <f>IF(ISBLANK(BS51),"NO DATA",IF(ISNUMBER(FIND(CODES!$A$12,BS51)),CODES!$A$12,IF(OR(ISNUMBER(FIND(CODES!$A$10,BS51)),ISNUMBER(FIND(CODES!$A$11,BS51))),CODES!$A$13,IF(OR(BS51&lt;BS$63,ISNUMBER(BS51)=FALSE),BS$64,BS51))))</f>
      </c>
      <c r="BT103" s="9" t="str">
        <f>IF(ISBLANK(BT51),"NO DATA",IF(ISNUMBER(FIND(CODES!$A$12,BT51)),CODES!$A$12,IF(OR(ISNUMBER(FIND(CODES!$A$10,BT51)),ISNUMBER(FIND(CODES!$A$11,BT51))),CODES!$A$13,IF(OR(BT51&lt;BT$63,ISNUMBER(BT51)=FALSE),BT$64,BT51))))</f>
      </c>
      <c r="BU103" s="9" t="str">
        <f>IF(ISBLANK(BU51),"NO DATA",IF(ISNUMBER(FIND(CODES!$A$12,BU51)),CODES!$A$12,IF(OR(ISNUMBER(FIND(CODES!$A$10,BU51)),ISNUMBER(FIND(CODES!$A$11,BU51))),CODES!$A$13,IF(OR(BU51&lt;BU$63,ISNUMBER(BU51)=FALSE),BU$64,BU51))))</f>
      </c>
      <c r="BV103" s="9" t="str">
        <f>IF(ISBLANK(BV51),"NO DATA",IF(ISNUMBER(FIND(CODES!$A$12,BV51)),CODES!$A$12,IF(OR(ISNUMBER(FIND(CODES!$A$10,BV51)),ISNUMBER(FIND(CODES!$A$11,BV51))),CODES!$A$13,IF(OR(BV51&lt;BV$63,ISNUMBER(BV51)=FALSE),BV$64,BV51))))</f>
      </c>
      <c r="BW103" s="9" t="str">
        <f>IF(ISBLANK(BW51),"NO DATA",IF(ISNUMBER(FIND(CODES!$A$12,BW51)),CODES!$A$12,IF(OR(ISNUMBER(FIND(CODES!$A$10,BW51)),ISNUMBER(FIND(CODES!$A$11,BW51))),CODES!$A$13,IF(OR(BW51&lt;BW$63,ISNUMBER(BW51)=FALSE),BW$64,BW51))))</f>
      </c>
      <c r="BX103" s="9" t="str">
        <f>IF(ISBLANK(BX51),"NO DATA",IF(ISNUMBER(FIND(CODES!$A$12,BX51)),CODES!$A$12,IF(OR(ISNUMBER(FIND(CODES!$A$10,BX51)),ISNUMBER(FIND(CODES!$A$11,BX51))),CODES!$A$13,IF(OR(BX51&lt;BX$63,ISNUMBER(BX51)=FALSE),BX$64,BX51))))</f>
      </c>
      <c r="BY103" s="9" t="str">
        <f>IF(ISBLANK(BY51),"NO DATA",IF(ISNUMBER(FIND(CODES!$A$12,BY51)),CODES!$A$12,IF(OR(ISNUMBER(FIND(CODES!$A$10,BY51)),ISNUMBER(FIND(CODES!$A$11,BY51))),CODES!$A$13,IF(OR(BY51&lt;BY$63,ISNUMBER(BY51)=FALSE),BY$64,BY51))))</f>
      </c>
      <c r="BZ103" s="9" t="str">
        <f>IF(ISBLANK(BZ51),"NO DATA",IF(ISNUMBER(FIND(CODES!$A$12,BZ51)),CODES!$A$12,IF(OR(ISNUMBER(FIND(CODES!$A$10,BZ51)),ISNUMBER(FIND(CODES!$A$11,BZ51))),CODES!$A$13,IF(OR(BZ51&lt;BZ$63,ISNUMBER(BZ51)=FALSE),BZ$64,BZ51))))</f>
      </c>
      <c r="CA103" s="9" t="str">
        <f>IF(ISBLANK(CA51),"NO DATA",IF(ISNUMBER(FIND(CODES!$A$12,CA51)),CODES!$A$12,IF(OR(ISNUMBER(FIND(CODES!$A$10,CA51)),ISNUMBER(FIND(CODES!$A$11,CA51))),CODES!$A$13,IF(OR(CA51&lt;CA$63,ISNUMBER(CA51)=FALSE),CA$64,CA51))))</f>
      </c>
      <c r="CB103" s="9" t="str">
        <f>IF(ISBLANK(CB51),"NO DATA",IF(ISNUMBER(FIND(CODES!$A$12,CB51)),CODES!$A$12,IF(OR(ISNUMBER(FIND(CODES!$A$10,CB51)),ISNUMBER(FIND(CODES!$A$11,CB51))),CODES!$A$13,IF(OR(CB51&lt;CB$63,ISNUMBER(CB51)=FALSE),CB$64,CB51))))</f>
      </c>
      <c r="CC103" s="9" t="str">
        <f>IF(ISBLANK(CC51),"NO DATA",IF(ISNUMBER(FIND(CODES!$A$12,CC51)),CODES!$A$12,IF(OR(ISNUMBER(FIND(CODES!$A$10,CC51)),ISNUMBER(FIND(CODES!$A$11,CC51))),CODES!$A$13,IF(OR(CC51&lt;CC$63,ISNUMBER(CC51)=FALSE),CC$64,CC51))))</f>
      </c>
      <c r="CD103" s="9" t="str">
        <f>IF(ISBLANK(CD51),"NO DATA",IF(ISNUMBER(FIND(CODES!$A$12,CD51)),CODES!$A$12,IF(OR(ISNUMBER(FIND(CODES!$A$10,CD51)),ISNUMBER(FIND(CODES!$A$11,CD51))),CODES!$A$13,IF(OR(CD51&lt;CD$63,ISNUMBER(CD51)=FALSE),CD$64,CD51))))</f>
      </c>
      <c r="CE103" s="9" t="str">
        <f>IF(ISBLANK(CE51),"NO DATA",IF(ISNUMBER(FIND(CODES!$A$12,CE51)),CODES!$A$12,IF(OR(ISNUMBER(FIND(CODES!$A$10,CE51)),ISNUMBER(FIND(CODES!$A$11,CE51))),CODES!$A$13,IF(OR(CE51&lt;CE$63,ISNUMBER(CE51)=FALSE),CE$64,CE51))))</f>
      </c>
      <c r="CF103" s="9" t="str">
        <f>IF(ISBLANK(CF51),"NO DATA",IF(ISNUMBER(FIND(CODES!$A$12,CF51)),CODES!$A$12,IF(OR(ISNUMBER(FIND(CODES!$A$10,CF51)),ISNUMBER(FIND(CODES!$A$11,CF51))),CODES!$A$13,IF(OR(CF51&lt;CF$63,ISNUMBER(CF51)=FALSE),CF$64,CF51))))</f>
      </c>
      <c r="CG103" s="9" t="str">
        <f>IF(ISBLANK(CG51),"NO DATA",IF(ISNUMBER(FIND(CODES!$A$12,CG51)),CODES!$A$12,IF(OR(ISNUMBER(FIND(CODES!$A$10,CG51)),ISNUMBER(FIND(CODES!$A$11,CG51))),CODES!$A$13,IF(OR(CG51&lt;CG$63,ISNUMBER(CG51)=FALSE),CG$64,CG51))))</f>
      </c>
      <c r="CH103" s="9" t="str">
        <f>IF(ISBLANK(CH51),"NO DATA",IF(ISNUMBER(FIND(CODES!$A$12,CH51)),CODES!$A$12,IF(OR(ISNUMBER(FIND(CODES!$A$10,CH51)),ISNUMBER(FIND(CODES!$A$11,CH51))),CODES!$A$13,IF(OR(CH51&lt;CH$63,ISNUMBER(CH51)=FALSE),CH$64,CH51))))</f>
      </c>
      <c r="CI103" s="9" t="str">
        <f>IF(ISBLANK(CI51),"NO DATA",IF(ISNUMBER(FIND(CODES!$A$12,CI51)),CODES!$A$12,IF(OR(ISNUMBER(FIND(CODES!$A$10,CI51)),ISNUMBER(FIND(CODES!$A$11,CI51))),CODES!$A$13,IF(OR(CI51&lt;CI$63,ISNUMBER(CI51)=FALSE),CI$64,CI51))))</f>
      </c>
      <c r="CJ103" s="9" t="str">
        <f>IF(ISBLANK(CJ51),"NO DATA",IF(ISNUMBER(FIND(CODES!$A$12,CJ51)),CODES!$A$12,IF(OR(ISNUMBER(FIND(CODES!$A$10,CJ51)),ISNUMBER(FIND(CODES!$A$11,CJ51))),CODES!$A$13,IF(OR(CJ51&lt;CJ$63,ISNUMBER(CJ51)=FALSE),CJ$64,CJ51))))</f>
      </c>
      <c r="CK103" s="9" t="str">
        <f>IF(ISBLANK(CK51),"NO DATA",IF(ISNUMBER(FIND(CODES!$A$12,CK51)),CODES!$A$12,IF(OR(ISNUMBER(FIND(CODES!$A$10,CK51)),ISNUMBER(FIND(CODES!$A$11,CK51))),CODES!$A$13,IF(OR(CK51&lt;CK$63,ISNUMBER(CK51)=FALSE),CK$64,CK51))))</f>
      </c>
      <c r="CL103" s="9" t="str">
        <f>IF(ISBLANK(CL51),"NO DATA",IF(ISNUMBER(FIND(CODES!$A$12,CL51)),CODES!$A$12,IF(OR(ISNUMBER(FIND(CODES!$A$10,CL51)),ISNUMBER(FIND(CODES!$A$11,CL51))),CODES!$A$13,IF(OR(CL51&lt;CL$63,ISNUMBER(CL51)=FALSE),CL$64,CL51))))</f>
      </c>
      <c r="CM103" s="9" t="str">
        <f>IF(ISBLANK(CM51),"NO DATA",IF(ISNUMBER(FIND(CODES!$A$12,CM51)),CODES!$A$12,IF(OR(ISNUMBER(FIND(CODES!$A$10,CM51)),ISNUMBER(FIND(CODES!$A$11,CM51))),CODES!$A$13,IF(OR(CM51&lt;CM$63,ISNUMBER(CM51)=FALSE),CM$64,CM51))))</f>
      </c>
      <c r="CN103" s="9" t="str">
        <f>IF(ISBLANK(CN51),"NO DATA",IF(ISNUMBER(FIND(CODES!$A$12,CN51)),CODES!$A$12,IF(OR(ISNUMBER(FIND(CODES!$A$10,CN51)),ISNUMBER(FIND(CODES!$A$11,CN51))),CODES!$A$13,IF(OR(CN51&lt;CN$63,ISNUMBER(CN51)=FALSE),CN$64,CN51))))</f>
      </c>
      <c r="CO103" s="9" t="str">
        <f>IF(ISBLANK(CO51),"NO DATA",IF(ISNUMBER(FIND(CODES!$A$12,CO51)),CODES!$A$12,IF(OR(ISNUMBER(FIND(CODES!$A$10,CO51)),ISNUMBER(FIND(CODES!$A$11,CO51))),CODES!$A$13,IF(OR(CO51&lt;CO$63,ISNUMBER(CO51)=FALSE),CO$64,CO51))))</f>
      </c>
      <c r="CP103" s="9" t="str">
        <f>IF(ISBLANK(CP51),"NO DATA",IF(ISNUMBER(FIND(CODES!$A$12,CP51)),CODES!$A$12,IF(OR(ISNUMBER(FIND(CODES!$A$10,CP51)),ISNUMBER(FIND(CODES!$A$11,CP51))),CODES!$A$13,IF(OR(CP51&lt;CP$63,ISNUMBER(CP51)=FALSE),CP$64,CP51))))</f>
      </c>
      <c r="CQ103" s="9" t="str">
        <f>IF(ISBLANK(CQ51),"NO DATA",IF(ISNUMBER(FIND(CODES!$A$12,CQ51)),CODES!$A$12,IF(OR(ISNUMBER(FIND(CODES!$A$10,CQ51)),ISNUMBER(FIND(CODES!$A$11,CQ51))),CODES!$A$13,IF(OR(CQ51&lt;CQ$63,ISNUMBER(CQ51)=FALSE),CQ$64,CQ51))))</f>
      </c>
      <c r="CR103" s="9" t="str">
        <f>IF(ISBLANK(CR51),"NO DATA",IF(ISNUMBER(FIND(CODES!$A$12,CR51)),CODES!$A$12,IF(OR(ISNUMBER(FIND(CODES!$A$10,CR51)),ISNUMBER(FIND(CODES!$A$11,CR51))),CODES!$A$13,IF(OR(CR51&lt;CR$63,ISNUMBER(CR51)=FALSE),CR$64,CR51))))</f>
      </c>
      <c r="CS103" s="9" t="str">
        <f>IF(ISBLANK(CS51),"NO DATA",IF(ISNUMBER(FIND(CODES!$A$12,CS51)),CODES!$A$12,IF(OR(ISNUMBER(FIND(CODES!$A$10,CS51)),ISNUMBER(FIND(CODES!$A$11,CS51))),CODES!$A$13,IF(OR(CS51&lt;CS$63,ISNUMBER(CS51)=FALSE),CS$64,CS51))))</f>
      </c>
      <c r="CT103" s="9" t="str">
        <f>IF(ISBLANK(CT51),"NO DATA",IF(ISNUMBER(FIND(CODES!$A$12,CT51)),CODES!$A$12,IF(OR(ISNUMBER(FIND(CODES!$A$10,CT51)),ISNUMBER(FIND(CODES!$A$11,CT51))),CODES!$A$13,IF(OR(CT51&lt;CT$63,ISNUMBER(CT51)=FALSE),CT$64,CT51))))</f>
      </c>
      <c r="CU103" s="9" t="str">
        <f>IF(ISBLANK(CU51),"NO DATA",IF(ISNUMBER(FIND(CODES!$A$12,CU51)),CODES!$A$12,IF(OR(ISNUMBER(FIND(CODES!$A$10,CU51)),ISNUMBER(FIND(CODES!$A$11,CU51))),CODES!$A$13,IF(OR(CU51&lt;CU$63,ISNUMBER(CU51)=FALSE),CU$64,CU51))))</f>
      </c>
      <c r="CV103" s="9" t="str">
        <f>IF(ISBLANK(CV51),"NO DATA",IF(ISNUMBER(FIND(CODES!$A$12,CV51)),CODES!$A$12,IF(OR(ISNUMBER(FIND(CODES!$A$10,CV51)),ISNUMBER(FIND(CODES!$A$11,CV51))),CODES!$A$13,IF(OR(CV51&lt;CV$63,ISNUMBER(CV51)=FALSE),CV$64,CV51))))</f>
      </c>
      <c r="CW103" s="9" t="str">
        <f>IF(ISBLANK(CW51),"NO DATA",IF(ISNUMBER(FIND(CODES!$A$12,CW51)),CODES!$A$12,IF(OR(ISNUMBER(FIND(CODES!$A$10,CW51)),ISNUMBER(FIND(CODES!$A$11,CW51))),CODES!$A$13,IF(OR(CW51&lt;CW$63,ISNUMBER(CW51)=FALSE),CW$64,CW51))))</f>
      </c>
      <c r="CX103" s="9" t="str">
        <f>IF(ISBLANK(CX51),"NO DATA",IF(ISNUMBER(FIND(CODES!$A$12,CX51)),CODES!$A$12,IF(OR(ISNUMBER(FIND(CODES!$A$10,CX51)),ISNUMBER(FIND(CODES!$A$11,CX51))),CODES!$A$13,IF(OR(CX51&lt;CX$63,ISNUMBER(CX51)=FALSE),CX$64,CX51))))</f>
      </c>
      <c r="CY103" s="9" t="str">
        <f>IF(ISBLANK(CY51),"NO DATA",IF(ISNUMBER(FIND(CODES!$A$12,CY51)),CODES!$A$12,IF(OR(ISNUMBER(FIND(CODES!$A$10,CY51)),ISNUMBER(FIND(CODES!$A$11,CY51))),CODES!$A$13,IF(OR(CY51&lt;CY$63,ISNUMBER(CY51)=FALSE),CY$64,CY51))))</f>
      </c>
      <c r="CZ103" s="9" t="str">
        <f>IF(ISBLANK(CZ51),"NO DATA",IF(ISNUMBER(FIND(CODES!$A$12,CZ51)),CODES!$A$12,IF(OR(ISNUMBER(FIND(CODES!$A$10,CZ51)),ISNUMBER(FIND(CODES!$A$11,CZ51))),CODES!$A$13,IF(OR(CZ51&lt;CZ$63,ISNUMBER(CZ51)=FALSE),CZ$64,CZ51))))</f>
      </c>
      <c r="DA103" s="9" t="str">
        <f>IF(ISBLANK(DA51),"NO DATA",IF(ISNUMBER(FIND(CODES!$A$12,DA51)),CODES!$A$12,IF(OR(ISNUMBER(FIND(CODES!$A$10,DA51)),ISNUMBER(FIND(CODES!$A$11,DA51))),CODES!$A$13,IF(OR(DA51&lt;DA$63,ISNUMBER(DA51)=FALSE),DA$64,DA51))))</f>
      </c>
      <c r="DB103" s="9" t="str">
        <f>IF(ISBLANK(DB51),"NO DATA",IF(ISNUMBER(FIND(CODES!$A$12,DB51)),CODES!$A$12,IF(OR(ISNUMBER(FIND(CODES!$A$10,DB51)),ISNUMBER(FIND(CODES!$A$11,DB51))),CODES!$A$13,IF(OR(DB51&lt;DB$63,ISNUMBER(DB51)=FALSE),DB$64,DB51))))</f>
      </c>
      <c r="DC103" s="9" t="str">
        <f>IF(ISBLANK(DC51),"NO DATA",IF(ISNUMBER(FIND(CODES!$A$12,DC51)),CODES!$A$12,IF(OR(ISNUMBER(FIND(CODES!$A$10,DC51)),ISNUMBER(FIND(CODES!$A$11,DC51))),CODES!$A$13,IF(OR(DC51&lt;DC$63,ISNUMBER(DC51)=FALSE),DC$64,DC51))))</f>
      </c>
      <c r="DD103" s="9" t="str">
        <f>IF(ISBLANK(DD51),"NO DATA",IF(ISNUMBER(FIND(CODES!$A$12,DD51)),CODES!$A$12,IF(OR(ISNUMBER(FIND(CODES!$A$10,DD51)),ISNUMBER(FIND(CODES!$A$11,DD51))),CODES!$A$13,IF(OR(DD51&lt;DD$63,ISNUMBER(DD51)=FALSE),DD$64,DD51))))</f>
      </c>
      <c r="DE103" s="9" t="str">
        <f>IF(ISBLANK(DE51),"NO DATA",IF(ISNUMBER(FIND(CODES!$A$12,DE51)),CODES!$A$12,IF(OR(ISNUMBER(FIND(CODES!$A$10,DE51)),ISNUMBER(FIND(CODES!$A$11,DE51))),CODES!$A$13,IF(OR(DE51&lt;DE$63,ISNUMBER(DE51)=FALSE),DE$64,DE51))))</f>
      </c>
      <c r="DF103" s="9" t="str">
        <f>IF(ISBLANK(DF51),"NO DATA",IF(ISNUMBER(FIND(CODES!$A$12,DF51)),CODES!$A$12,IF(OR(ISNUMBER(FIND(CODES!$A$10,DF51)),ISNUMBER(FIND(CODES!$A$11,DF51))),CODES!$A$13,IF(OR(DF51&lt;DF$63,ISNUMBER(DF51)=FALSE),DF$64,DF51))))</f>
      </c>
      <c r="DG103" s="9" t="str">
        <f>IF(ISBLANK(DG51),"NO DATA",IF(ISNUMBER(FIND(CODES!$A$12,DG51)),CODES!$A$12,IF(OR(ISNUMBER(FIND(CODES!$A$10,DG51)),ISNUMBER(FIND(CODES!$A$11,DG51))),CODES!$A$13,IF(OR(DG51&lt;DG$63,ISNUMBER(DG51)=FALSE),DG$64,DG51))))</f>
      </c>
      <c r="DH103" s="9" t="str">
        <f>IF(ISBLANK(DH51),"NO DATA",IF(ISNUMBER(FIND(CODES!$A$12,DH51)),CODES!$A$12,IF(OR(ISNUMBER(FIND(CODES!$A$10,DH51)),ISNUMBER(FIND(CODES!$A$11,DH51))),CODES!$A$13,IF(OR(DH51&lt;DH$63,ISNUMBER(DH51)=FALSE),DH$64,DH51))))</f>
      </c>
      <c r="DI103" s="9" t="str">
        <f>IF(ISBLANK(DI51),"NO DATA",IF(ISNUMBER(FIND(CODES!$A$12,DI51)),CODES!$A$12,IF(OR(ISNUMBER(FIND(CODES!$A$10,DI51)),ISNUMBER(FIND(CODES!$A$11,DI51))),CODES!$A$13,IF(OR(DI51&lt;DI$63,ISNUMBER(DI51)=FALSE),DI$64,DI51))))</f>
      </c>
    </row>
    <row r="104" spans="1:113" x14ac:dyDescent="0.25">
      <c r="A104" s="20" t="str">
        <f t="shared" si="5"/>
      </c>
      <c r="B104" s="20">
        <f t="shared" si="5"/>
      </c>
      <c r="C104" s="9" t="str">
        <f>IF(ISBLANK(C52),"NO DATA",IF(ISNUMBER(FIND(CODES!$A$12,C52)),CODES!$A$12,IF(OR(ISNUMBER(FIND(CODES!$A$10,C52)),ISNUMBER(FIND(CODES!$A$11,C52))),CODES!$A$13,IF(OR(C52&lt;C$63,ISNUMBER(C52)=FALSE),C$64,C52))))</f>
      </c>
      <c r="D104" s="9" t="str">
        <f>IF(ISBLANK(D52),"NO DATA",IF(ISNUMBER(FIND(CODES!$A$12,D52)),CODES!$A$12,IF(OR(ISNUMBER(FIND(CODES!$A$10,D52)),ISNUMBER(FIND(CODES!$A$11,D52))),CODES!$A$13,IF(OR(D52&lt;D$63,ISNUMBER(D52)=FALSE),D$64,D52))))</f>
      </c>
      <c r="E104" s="9" t="str">
        <f>IF(ISBLANK(E52),"NO DATA",IF(ISNUMBER(FIND(CODES!$A$12,E52)),CODES!$A$12,IF(OR(ISNUMBER(FIND(CODES!$A$10,E52)),ISNUMBER(FIND(CODES!$A$11,E52))),CODES!$A$13,IF(OR(E52&lt;E$63,ISNUMBER(E52)=FALSE),E$64,E52))))</f>
      </c>
      <c r="F104" s="9" t="str">
        <f>IF(ISBLANK(F52),"NO DATA",IF(ISNUMBER(FIND(CODES!$A$12,F52)),CODES!$A$12,IF(OR(ISNUMBER(FIND(CODES!$A$10,F52)),ISNUMBER(FIND(CODES!$A$11,F52))),CODES!$A$13,IF(OR(F52&lt;F$63,ISNUMBER(F52)=FALSE),F$64,F52))))</f>
      </c>
      <c r="G104" s="9" t="str">
        <f>IF(ISBLANK(G52),"NO DATA",IF(ISNUMBER(FIND(CODES!$A$12,G52)),CODES!$A$12,IF(OR(ISNUMBER(FIND(CODES!$A$10,G52)),ISNUMBER(FIND(CODES!$A$11,G52))),CODES!$A$13,IF(OR(G52&lt;G$63,ISNUMBER(G52)=FALSE),G$64,G52))))</f>
      </c>
      <c r="H104" s="9" t="str">
        <f>IF(ISBLANK(H52),"NO DATA",IF(ISNUMBER(FIND(CODES!$A$12,H52)),CODES!$A$12,IF(OR(ISNUMBER(FIND(CODES!$A$10,H52)),ISNUMBER(FIND(CODES!$A$11,H52))),CODES!$A$13,IF(OR(H52&lt;H$63,ISNUMBER(H52)=FALSE),H$64,H52))))</f>
      </c>
      <c r="I104" s="9" t="str">
        <f>IF(ISBLANK(I52),"NO DATA",IF(ISNUMBER(FIND(CODES!$A$12,I52)),CODES!$A$12,IF(OR(ISNUMBER(FIND(CODES!$A$10,I52)),ISNUMBER(FIND(CODES!$A$11,I52))),CODES!$A$13,IF(OR(I52&lt;I$63,ISNUMBER(I52)=FALSE),I$64,I52))))</f>
      </c>
      <c r="J104" s="9" t="str">
        <f>IF(ISBLANK(J52),"NO DATA",IF(ISNUMBER(FIND(CODES!$A$12,J52)),CODES!$A$12,IF(OR(ISNUMBER(FIND(CODES!$A$10,J52)),ISNUMBER(FIND(CODES!$A$11,J52))),CODES!$A$13,IF(OR(J52&lt;J$63,ISNUMBER(J52)=FALSE),J$64,J52))))</f>
      </c>
      <c r="K104" s="9" t="str">
        <f>IF(ISBLANK(K52),"NO DATA",IF(ISNUMBER(FIND(CODES!$A$12,K52)),CODES!$A$12,IF(OR(ISNUMBER(FIND(CODES!$A$10,K52)),ISNUMBER(FIND(CODES!$A$11,K52))),CODES!$A$13,IF(OR(K52&lt;K$63,ISNUMBER(K52)=FALSE),K$64,K52))))</f>
      </c>
      <c r="L104" s="9" t="str">
        <f>IF(ISBLANK(L52),"NO DATA",IF(ISNUMBER(FIND(CODES!$A$12,L52)),CODES!$A$12,IF(OR(ISNUMBER(FIND(CODES!$A$10,L52)),ISNUMBER(FIND(CODES!$A$11,L52))),CODES!$A$13,IF(OR(L52&lt;L$63,ISNUMBER(L52)=FALSE),L$64,L52))))</f>
      </c>
      <c r="M104" s="9" t="str">
        <f>IF(ISBLANK(M52),"NO DATA",IF(ISNUMBER(FIND(CODES!$A$12,M52)),CODES!$A$12,IF(OR(ISNUMBER(FIND(CODES!$A$10,M52)),ISNUMBER(FIND(CODES!$A$11,M52))),CODES!$A$13,IF(OR(M52&lt;M$63,ISNUMBER(M52)=FALSE),M$64,M52))))</f>
      </c>
      <c r="N104" s="9" t="str">
        <f>IF(ISBLANK(N52),"NO DATA",IF(ISNUMBER(FIND(CODES!$A$12,N52)),CODES!$A$12,IF(OR(ISNUMBER(FIND(CODES!$A$10,N52)),ISNUMBER(FIND(CODES!$A$11,N52))),CODES!$A$13,IF(OR(N52&lt;N$63,ISNUMBER(N52)=FALSE),N$64,N52))))</f>
      </c>
      <c r="O104" s="9" t="str">
        <f>IF(ISBLANK(O52),"NO DATA",IF(ISNUMBER(FIND(CODES!$A$12,O52)),CODES!$A$12,IF(OR(ISNUMBER(FIND(CODES!$A$10,O52)),ISNUMBER(FIND(CODES!$A$11,O52))),CODES!$A$13,IF(OR(O52&lt;O$63,ISNUMBER(O52)=FALSE),O$64,O52))))</f>
      </c>
      <c r="P104" s="9" t="str">
        <f>IF(ISBLANK(P52),"NO DATA",IF(ISNUMBER(FIND(CODES!$A$12,P52)),CODES!$A$12,IF(OR(ISNUMBER(FIND(CODES!$A$10,P52)),ISNUMBER(FIND(CODES!$A$11,P52))),CODES!$A$13,IF(OR(P52&lt;P$63,ISNUMBER(P52)=FALSE),P$64,P52))))</f>
      </c>
      <c r="Q104" s="9" t="str">
        <f>IF(ISBLANK(Q52),"NO DATA",IF(ISNUMBER(FIND(CODES!$A$12,Q52)),CODES!$A$12,IF(OR(ISNUMBER(FIND(CODES!$A$10,Q52)),ISNUMBER(FIND(CODES!$A$11,Q52))),CODES!$A$13,IF(OR(Q52&lt;Q$63,ISNUMBER(Q52)=FALSE),Q$64,Q52))))</f>
      </c>
      <c r="R104" s="9" t="str">
        <f>IF(ISBLANK(R52),"NO DATA",IF(ISNUMBER(FIND(CODES!$A$12,R52)),CODES!$A$12,IF(OR(ISNUMBER(FIND(CODES!$A$10,R52)),ISNUMBER(FIND(CODES!$A$11,R52))),CODES!$A$13,IF(OR(R52&lt;R$63,ISNUMBER(R52)=FALSE),R$64,R52))))</f>
      </c>
      <c r="S104" s="9" t="str">
        <f>IF(ISBLANK(S52),"NO DATA",IF(ISNUMBER(FIND(CODES!$A$12,S52)),CODES!$A$12,IF(OR(ISNUMBER(FIND(CODES!$A$10,S52)),ISNUMBER(FIND(CODES!$A$11,S52))),CODES!$A$13,IF(OR(S52&lt;S$63,ISNUMBER(S52)=FALSE),S$64,S52))))</f>
      </c>
      <c r="T104" s="9" t="str">
        <f>IF(ISBLANK(T52),"NO DATA",IF(ISNUMBER(FIND(CODES!$A$12,T52)),CODES!$A$12,IF(OR(ISNUMBER(FIND(CODES!$A$10,T52)),ISNUMBER(FIND(CODES!$A$11,T52))),CODES!$A$13,IF(OR(T52&lt;T$63,ISNUMBER(T52)=FALSE),T$64,T52))))</f>
      </c>
      <c r="U104" s="9" t="str">
        <f>IF(ISBLANK(U52),"NO DATA",IF(ISNUMBER(FIND(CODES!$A$12,U52)),CODES!$A$12,IF(OR(ISNUMBER(FIND(CODES!$A$10,U52)),ISNUMBER(FIND(CODES!$A$11,U52))),CODES!$A$13,IF(OR(U52&lt;U$63,ISNUMBER(U52)=FALSE),U$64,U52))))</f>
      </c>
      <c r="V104" s="9" t="str">
        <f>IF(ISBLANK(V52),"NO DATA",IF(ISNUMBER(FIND(CODES!$A$12,V52)),CODES!$A$12,IF(OR(ISNUMBER(FIND(CODES!$A$10,V52)),ISNUMBER(FIND(CODES!$A$11,V52))),CODES!$A$13,IF(OR(V52&lt;V$63,ISNUMBER(V52)=FALSE),V$64,V52))))</f>
      </c>
      <c r="W104" s="9" t="str">
        <f>IF(ISBLANK(W52),"NO DATA",IF(ISNUMBER(FIND(CODES!$A$12,W52)),CODES!$A$12,IF(OR(ISNUMBER(FIND(CODES!$A$10,W52)),ISNUMBER(FIND(CODES!$A$11,W52))),CODES!$A$13,IF(OR(W52&lt;W$63,ISNUMBER(W52)=FALSE),W$64,W52))))</f>
      </c>
      <c r="X104" s="9" t="str">
        <f>IF(ISBLANK(X52),"NO DATA",IF(ISNUMBER(FIND(CODES!$A$12,X52)),CODES!$A$12,IF(OR(ISNUMBER(FIND(CODES!$A$10,X52)),ISNUMBER(FIND(CODES!$A$11,X52))),CODES!$A$13,IF(OR(X52&lt;X$63,ISNUMBER(X52)=FALSE),X$64,X52))))</f>
      </c>
      <c r="Y104" s="9" t="str">
        <f>IF(ISBLANK(Y52),"NO DATA",IF(ISNUMBER(FIND(CODES!$A$12,Y52)),CODES!$A$12,IF(OR(ISNUMBER(FIND(CODES!$A$10,Y52)),ISNUMBER(FIND(CODES!$A$11,Y52))),CODES!$A$13,IF(OR(Y52&lt;Y$63,ISNUMBER(Y52)=FALSE),Y$64,Y52))))</f>
      </c>
      <c r="Z104" s="9" t="str">
        <f>IF(ISBLANK(Z52),"NO DATA",IF(ISNUMBER(FIND(CODES!$A$12,Z52)),CODES!$A$12,IF(OR(ISNUMBER(FIND(CODES!$A$10,Z52)),ISNUMBER(FIND(CODES!$A$11,Z52))),CODES!$A$13,IF(OR(Z52&lt;Z$63,ISNUMBER(Z52)=FALSE),Z$64,Z52))))</f>
      </c>
      <c r="AA104" s="9" t="str">
        <f>IF(ISBLANK(AA52),"NO DATA",IF(ISNUMBER(FIND(CODES!$A$12,AA52)),CODES!$A$12,IF(OR(ISNUMBER(FIND(CODES!$A$10,AA52)),ISNUMBER(FIND(CODES!$A$11,AA52))),CODES!$A$13,IF(OR(AA52&lt;AA$63,ISNUMBER(AA52)=FALSE),AA$64,AA52))))</f>
      </c>
      <c r="AB104" s="9" t="str">
        <f>IF(ISBLANK(AB52),"NO DATA",IF(ISNUMBER(FIND(CODES!$A$12,AB52)),CODES!$A$12,IF(OR(ISNUMBER(FIND(CODES!$A$10,AB52)),ISNUMBER(FIND(CODES!$A$11,AB52))),CODES!$A$13,IF(OR(AB52&lt;AB$63,ISNUMBER(AB52)=FALSE),AB$64,AB52))))</f>
      </c>
      <c r="AC104" s="9" t="str">
        <f>IF(ISBLANK(AC52),"NO DATA",IF(ISNUMBER(FIND(CODES!$A$12,AC52)),CODES!$A$12,IF(OR(ISNUMBER(FIND(CODES!$A$10,AC52)),ISNUMBER(FIND(CODES!$A$11,AC52))),CODES!$A$13,IF(OR(AC52&lt;AC$63,ISNUMBER(AC52)=FALSE),AC$64,AC52))))</f>
      </c>
      <c r="AD104" s="9" t="str">
        <f>IF(ISBLANK(AD52),"NO DATA",IF(ISNUMBER(FIND(CODES!$A$12,AD52)),CODES!$A$12,IF(OR(ISNUMBER(FIND(CODES!$A$10,AD52)),ISNUMBER(FIND(CODES!$A$11,AD52))),CODES!$A$13,IF(OR(AD52&lt;AD$63,ISNUMBER(AD52)=FALSE),AD$64,AD52))))</f>
      </c>
      <c r="AE104" s="9" t="str">
        <f>IF(ISBLANK(AE52),"NO DATA",IF(ISNUMBER(FIND(CODES!$A$12,AE52)),CODES!$A$12,IF(OR(ISNUMBER(FIND(CODES!$A$10,AE52)),ISNUMBER(FIND(CODES!$A$11,AE52))),CODES!$A$13,IF(OR(AE52&lt;AE$63,ISNUMBER(AE52)=FALSE),AE$64,AE52))))</f>
      </c>
      <c r="AF104" s="9" t="str">
        <f>IF(ISBLANK(AF52),"NO DATA",IF(ISNUMBER(FIND(CODES!$A$12,AF52)),CODES!$A$12,IF(OR(ISNUMBER(FIND(CODES!$A$10,AF52)),ISNUMBER(FIND(CODES!$A$11,AF52))),CODES!$A$13,IF(OR(AF52&lt;AF$63,ISNUMBER(AF52)=FALSE),AF$64,AF52))))</f>
      </c>
      <c r="AG104" s="9" t="str">
        <f>IF(ISBLANK(AG52),"NO DATA",IF(ISNUMBER(FIND(CODES!$A$12,AG52)),CODES!$A$12,IF(OR(ISNUMBER(FIND(CODES!$A$10,AG52)),ISNUMBER(FIND(CODES!$A$11,AG52))),CODES!$A$13,IF(OR(AG52&lt;AG$63,ISNUMBER(AG52)=FALSE),AG$64,AG52))))</f>
      </c>
      <c r="AH104" s="9" t="str">
        <f>IF(ISBLANK(AH52),"NO DATA",IF(ISNUMBER(FIND(CODES!$A$12,AH52)),CODES!$A$12,IF(OR(ISNUMBER(FIND(CODES!$A$10,AH52)),ISNUMBER(FIND(CODES!$A$11,AH52))),CODES!$A$13,IF(OR(AH52&lt;AH$63,ISNUMBER(AH52)=FALSE),AH$64,AH52))))</f>
      </c>
      <c r="AI104" s="9" t="str">
        <f>IF(ISBLANK(AI52),"NO DATA",IF(ISNUMBER(FIND(CODES!$A$12,AI52)),CODES!$A$12,IF(OR(ISNUMBER(FIND(CODES!$A$10,AI52)),ISNUMBER(FIND(CODES!$A$11,AI52))),CODES!$A$13,IF(OR(AI52&lt;AI$63,ISNUMBER(AI52)=FALSE),AI$64,AI52))))</f>
      </c>
      <c r="AJ104" s="9" t="str">
        <f>IF(ISBLANK(AJ52),"NO DATA",IF(ISNUMBER(FIND(CODES!$A$12,AJ52)),CODES!$A$12,IF(OR(ISNUMBER(FIND(CODES!$A$10,AJ52)),ISNUMBER(FIND(CODES!$A$11,AJ52))),CODES!$A$13,IF(OR(AJ52&lt;AJ$63,ISNUMBER(AJ52)=FALSE),AJ$64,AJ52))))</f>
      </c>
      <c r="AK104" s="9" t="str">
        <f>IF(ISBLANK(AK52),"NO DATA",IF(ISNUMBER(FIND(CODES!$A$12,AK52)),CODES!$A$12,IF(OR(ISNUMBER(FIND(CODES!$A$10,AK52)),ISNUMBER(FIND(CODES!$A$11,AK52))),CODES!$A$13,IF(OR(AK52&lt;AK$63,ISNUMBER(AK52)=FALSE),AK$64,AK52))))</f>
      </c>
      <c r="AL104" s="9" t="str">
        <f>IF(ISBLANK(AL52),"NO DATA",IF(ISNUMBER(FIND(CODES!$A$12,AL52)),CODES!$A$12,IF(OR(ISNUMBER(FIND(CODES!$A$10,AL52)),ISNUMBER(FIND(CODES!$A$11,AL52))),CODES!$A$13,IF(OR(AL52&lt;AL$63,ISNUMBER(AL52)=FALSE),AL$64,AL52))))</f>
      </c>
      <c r="AM104" s="9" t="str">
        <f>IF(ISBLANK(AM52),"NO DATA",IF(ISNUMBER(FIND(CODES!$A$12,AM52)),CODES!$A$12,IF(OR(ISNUMBER(FIND(CODES!$A$10,AM52)),ISNUMBER(FIND(CODES!$A$11,AM52))),CODES!$A$13,IF(OR(AM52&lt;AM$63,ISNUMBER(AM52)=FALSE),AM$64,AM52))))</f>
      </c>
      <c r="AN104" s="9" t="str">
        <f>IF(ISBLANK(AN52),"NO DATA",IF(ISNUMBER(FIND(CODES!$A$12,AN52)),CODES!$A$12,IF(OR(ISNUMBER(FIND(CODES!$A$10,AN52)),ISNUMBER(FIND(CODES!$A$11,AN52))),CODES!$A$13,IF(OR(AN52&lt;AN$63,ISNUMBER(AN52)=FALSE),AN$64,AN52))))</f>
      </c>
      <c r="AO104" s="9" t="str">
        <f>IF(ISBLANK(AO52),"NO DATA",IF(ISNUMBER(FIND(CODES!$A$12,AO52)),CODES!$A$12,IF(OR(ISNUMBER(FIND(CODES!$A$10,AO52)),ISNUMBER(FIND(CODES!$A$11,AO52))),CODES!$A$13,IF(OR(AO52&lt;AO$63,ISNUMBER(AO52)=FALSE),AO$64,AO52))))</f>
      </c>
      <c r="AP104" s="9" t="str">
        <f>IF(ISBLANK(AP52),"NO DATA",IF(ISNUMBER(FIND(CODES!$A$12,AP52)),CODES!$A$12,IF(OR(ISNUMBER(FIND(CODES!$A$10,AP52)),ISNUMBER(FIND(CODES!$A$11,AP52))),CODES!$A$13,IF(OR(AP52&lt;AP$63,ISNUMBER(AP52)=FALSE),AP$64,AP52))))</f>
      </c>
      <c r="AQ104" s="9" t="str">
        <f>IF(ISBLANK(AQ52),"NO DATA",IF(ISNUMBER(FIND(CODES!$A$12,AQ52)),CODES!$A$12,IF(OR(ISNUMBER(FIND(CODES!$A$10,AQ52)),ISNUMBER(FIND(CODES!$A$11,AQ52))),CODES!$A$13,IF(OR(AQ52&lt;AQ$63,ISNUMBER(AQ52)=FALSE),AQ$64,AQ52))))</f>
      </c>
      <c r="AR104" s="9" t="str">
        <f>IF(ISBLANK(AR52),"NO DATA",IF(ISNUMBER(FIND(CODES!$A$12,AR52)),CODES!$A$12,IF(OR(ISNUMBER(FIND(CODES!$A$10,AR52)),ISNUMBER(FIND(CODES!$A$11,AR52))),CODES!$A$13,IF(OR(AR52&lt;AR$63,ISNUMBER(AR52)=FALSE),AR$64,AR52))))</f>
      </c>
      <c r="AS104" s="9" t="str">
        <f>IF(ISBLANK(AS52),"NO DATA",IF(ISNUMBER(FIND(CODES!$A$12,AS52)),CODES!$A$12,IF(OR(ISNUMBER(FIND(CODES!$A$10,AS52)),ISNUMBER(FIND(CODES!$A$11,AS52))),CODES!$A$13,IF(OR(AS52&lt;AS$63,ISNUMBER(AS52)=FALSE),AS$64,AS52))))</f>
      </c>
      <c r="AT104" s="9" t="str">
        <f>IF(ISBLANK(AT52),"NO DATA",IF(ISNUMBER(FIND(CODES!$A$12,AT52)),CODES!$A$12,IF(OR(ISNUMBER(FIND(CODES!$A$10,AT52)),ISNUMBER(FIND(CODES!$A$11,AT52))),CODES!$A$13,IF(OR(AT52&lt;AT$63,ISNUMBER(AT52)=FALSE),AT$64,AT52))))</f>
      </c>
      <c r="AU104" s="9" t="str">
        <f>IF(ISBLANK(AU52),"NO DATA",IF(ISNUMBER(FIND(CODES!$A$12,AU52)),CODES!$A$12,IF(OR(ISNUMBER(FIND(CODES!$A$10,AU52)),ISNUMBER(FIND(CODES!$A$11,AU52))),CODES!$A$13,IF(OR(AU52&lt;AU$63,ISNUMBER(AU52)=FALSE),AU$64,AU52))))</f>
      </c>
      <c r="AV104" s="9" t="str">
        <f>IF(ISBLANK(AV52),"NO DATA",IF(ISNUMBER(FIND(CODES!$A$12,AV52)),CODES!$A$12,IF(OR(ISNUMBER(FIND(CODES!$A$10,AV52)),ISNUMBER(FIND(CODES!$A$11,AV52))),CODES!$A$13,IF(OR(AV52&lt;AV$63,ISNUMBER(AV52)=FALSE),AV$64,AV52))))</f>
      </c>
      <c r="AW104" s="9" t="str">
        <f>IF(ISBLANK(AW52),"NO DATA",IF(ISNUMBER(FIND(CODES!$A$12,AW52)),CODES!$A$12,IF(OR(ISNUMBER(FIND(CODES!$A$10,AW52)),ISNUMBER(FIND(CODES!$A$11,AW52))),CODES!$A$13,IF(OR(AW52&lt;AW$63,ISNUMBER(AW52)=FALSE),AW$64,AW52))))</f>
      </c>
      <c r="AX104" s="9" t="str">
        <f>IF(ISBLANK(AX52),"NO DATA",IF(ISNUMBER(FIND(CODES!$A$12,AX52)),CODES!$A$12,IF(OR(ISNUMBER(FIND(CODES!$A$10,AX52)),ISNUMBER(FIND(CODES!$A$11,AX52))),CODES!$A$13,IF(OR(AX52&lt;AX$63,ISNUMBER(AX52)=FALSE),AX$64,AX52))))</f>
      </c>
      <c r="AY104" s="9" t="str">
        <f>IF(ISBLANK(AY52),"NO DATA",IF(ISNUMBER(FIND(CODES!$A$12,AY52)),CODES!$A$12,IF(OR(ISNUMBER(FIND(CODES!$A$10,AY52)),ISNUMBER(FIND(CODES!$A$11,AY52))),CODES!$A$13,IF(OR(AY52&lt;AY$63,ISNUMBER(AY52)=FALSE),AY$64,AY52))))</f>
      </c>
      <c r="AZ104" s="9" t="str">
        <f>IF(ISBLANK(AZ52),"NO DATA",IF(ISNUMBER(FIND(CODES!$A$12,AZ52)),CODES!$A$12,IF(OR(ISNUMBER(FIND(CODES!$A$10,AZ52)),ISNUMBER(FIND(CODES!$A$11,AZ52))),CODES!$A$13,IF(OR(AZ52&lt;AZ$63,ISNUMBER(AZ52)=FALSE),AZ$64,AZ52))))</f>
      </c>
      <c r="BA104" s="9" t="str">
        <f>IF(ISBLANK(BA52),"NO DATA",IF(ISNUMBER(FIND(CODES!$A$12,BA52)),CODES!$A$12,IF(OR(ISNUMBER(FIND(CODES!$A$10,BA52)),ISNUMBER(FIND(CODES!$A$11,BA52))),CODES!$A$13,IF(OR(BA52&lt;BA$63,ISNUMBER(BA52)=FALSE),BA$64,BA52))))</f>
      </c>
      <c r="BB104" s="9" t="str">
        <f>IF(ISBLANK(BB52),"NO DATA",IF(ISNUMBER(FIND(CODES!$A$12,BB52)),CODES!$A$12,IF(OR(ISNUMBER(FIND(CODES!$A$10,BB52)),ISNUMBER(FIND(CODES!$A$11,BB52))),CODES!$A$13,IF(OR(BB52&lt;BB$63,ISNUMBER(BB52)=FALSE),BB$64,BB52))))</f>
      </c>
      <c r="BC104" s="9" t="str">
        <f>IF(ISBLANK(BC52),"NO DATA",IF(ISNUMBER(FIND(CODES!$A$12,BC52)),CODES!$A$12,IF(OR(ISNUMBER(FIND(CODES!$A$10,BC52)),ISNUMBER(FIND(CODES!$A$11,BC52))),CODES!$A$13,IF(OR(BC52&lt;BC$63,ISNUMBER(BC52)=FALSE),BC$64,BC52))))</f>
      </c>
      <c r="BD104" s="9" t="str">
        <f>IF(ISBLANK(BD52),"NO DATA",IF(ISNUMBER(FIND(CODES!$A$12,BD52)),CODES!$A$12,IF(OR(ISNUMBER(FIND(CODES!$A$10,BD52)),ISNUMBER(FIND(CODES!$A$11,BD52))),CODES!$A$13,IF(OR(BD52&lt;BD$63,ISNUMBER(BD52)=FALSE),BD$64,BD52))))</f>
      </c>
      <c r="BE104" s="9" t="str">
        <f>IF(ISBLANK(BE52),"NO DATA",IF(ISNUMBER(FIND(CODES!$A$12,BE52)),CODES!$A$12,IF(OR(ISNUMBER(FIND(CODES!$A$10,BE52)),ISNUMBER(FIND(CODES!$A$11,BE52))),CODES!$A$13,IF(OR(BE52&lt;BE$63,ISNUMBER(BE52)=FALSE),BE$64,BE52))))</f>
      </c>
      <c r="BF104" s="9" t="str">
        <f>IF(ISBLANK(BF52),"NO DATA",IF(ISNUMBER(FIND(CODES!$A$12,BF52)),CODES!$A$12,IF(OR(ISNUMBER(FIND(CODES!$A$10,BF52)),ISNUMBER(FIND(CODES!$A$11,BF52))),CODES!$A$13,IF(OR(BF52&lt;BF$63,ISNUMBER(BF52)=FALSE),BF$64,BF52))))</f>
      </c>
      <c r="BG104" s="9" t="str">
        <f>IF(ISBLANK(BG52),"NO DATA",IF(ISNUMBER(FIND(CODES!$A$12,BG52)),CODES!$A$12,IF(OR(ISNUMBER(FIND(CODES!$A$10,BG52)),ISNUMBER(FIND(CODES!$A$11,BG52))),CODES!$A$13,IF(OR(BG52&lt;BG$63,ISNUMBER(BG52)=FALSE),BG$64,BG52))))</f>
      </c>
      <c r="BH104" s="9" t="str">
        <f>IF(ISBLANK(BH52),"NO DATA",IF(ISNUMBER(FIND(CODES!$A$12,BH52)),CODES!$A$12,IF(OR(ISNUMBER(FIND(CODES!$A$10,BH52)),ISNUMBER(FIND(CODES!$A$11,BH52))),CODES!$A$13,IF(OR(BH52&lt;BH$63,ISNUMBER(BH52)=FALSE),BH$64,BH52))))</f>
      </c>
      <c r="BI104" s="9" t="str">
        <f>IF(ISBLANK(BI52),"NO DATA",IF(ISNUMBER(FIND(CODES!$A$12,BI52)),CODES!$A$12,IF(OR(ISNUMBER(FIND(CODES!$A$10,BI52)),ISNUMBER(FIND(CODES!$A$11,BI52))),CODES!$A$13,IF(OR(BI52&lt;BI$63,ISNUMBER(BI52)=FALSE),BI$64,BI52))))</f>
      </c>
      <c r="BJ104" s="9" t="str">
        <f>IF(ISBLANK(BJ52),"NO DATA",IF(ISNUMBER(FIND(CODES!$A$12,BJ52)),CODES!$A$12,IF(OR(ISNUMBER(FIND(CODES!$A$10,BJ52)),ISNUMBER(FIND(CODES!$A$11,BJ52))),CODES!$A$13,IF(OR(BJ52&lt;BJ$63,ISNUMBER(BJ52)=FALSE),BJ$64,BJ52))))</f>
      </c>
      <c r="BK104" s="9" t="str">
        <f>IF(ISBLANK(BK52),"NO DATA",IF(ISNUMBER(FIND(CODES!$A$12,BK52)),CODES!$A$12,IF(OR(ISNUMBER(FIND(CODES!$A$10,BK52)),ISNUMBER(FIND(CODES!$A$11,BK52))),CODES!$A$13,IF(OR(BK52&lt;BK$63,ISNUMBER(BK52)=FALSE),BK$64,BK52))))</f>
      </c>
      <c r="BL104" s="9" t="str">
        <f>IF(ISBLANK(BL52),"NO DATA",IF(ISNUMBER(FIND(CODES!$A$12,BL52)),CODES!$A$12,IF(OR(ISNUMBER(FIND(CODES!$A$10,BL52)),ISNUMBER(FIND(CODES!$A$11,BL52))),CODES!$A$13,IF(OR(BL52&lt;BL$63,ISNUMBER(BL52)=FALSE),BL$64,BL52))))</f>
      </c>
      <c r="BM104" s="9" t="str">
        <f>IF(ISBLANK(BM52),"NO DATA",IF(ISNUMBER(FIND(CODES!$A$12,BM52)),CODES!$A$12,IF(OR(ISNUMBER(FIND(CODES!$A$10,BM52)),ISNUMBER(FIND(CODES!$A$11,BM52))),CODES!$A$13,IF(OR(BM52&lt;BM$63,ISNUMBER(BM52)=FALSE),BM$64,BM52))))</f>
      </c>
      <c r="BN104" s="9" t="str">
        <f>IF(ISBLANK(BN52),"NO DATA",IF(ISNUMBER(FIND(CODES!$A$12,BN52)),CODES!$A$12,IF(OR(ISNUMBER(FIND(CODES!$A$10,BN52)),ISNUMBER(FIND(CODES!$A$11,BN52))),CODES!$A$13,IF(OR(BN52&lt;BN$63,ISNUMBER(BN52)=FALSE),BN$64,BN52))))</f>
      </c>
      <c r="BO104" s="9" t="str">
        <f>IF(ISBLANK(BO52),"NO DATA",IF(ISNUMBER(FIND(CODES!$A$12,BO52)),CODES!$A$12,IF(OR(ISNUMBER(FIND(CODES!$A$10,BO52)),ISNUMBER(FIND(CODES!$A$11,BO52))),CODES!$A$13,IF(OR(BO52&lt;BO$63,ISNUMBER(BO52)=FALSE),BO$64,BO52))))</f>
      </c>
      <c r="BP104" s="9" t="str">
        <f>IF(ISBLANK(BP52),"NO DATA",IF(ISNUMBER(FIND(CODES!$A$12,BP52)),CODES!$A$12,IF(OR(ISNUMBER(FIND(CODES!$A$10,BP52)),ISNUMBER(FIND(CODES!$A$11,BP52))),CODES!$A$13,IF(OR(BP52&lt;BP$63,ISNUMBER(BP52)=FALSE),BP$64,BP52))))</f>
      </c>
      <c r="BQ104" s="9" t="str">
        <f>IF(ISBLANK(BQ52),"NO DATA",IF(ISNUMBER(FIND(CODES!$A$12,BQ52)),CODES!$A$12,IF(OR(ISNUMBER(FIND(CODES!$A$10,BQ52)),ISNUMBER(FIND(CODES!$A$11,BQ52))),CODES!$A$13,IF(OR(BQ52&lt;BQ$63,ISNUMBER(BQ52)=FALSE),BQ$64,BQ52))))</f>
      </c>
      <c r="BR104" s="9" t="str">
        <f>IF(ISBLANK(BR52),"NO DATA",IF(ISNUMBER(FIND(CODES!$A$12,BR52)),CODES!$A$12,IF(OR(ISNUMBER(FIND(CODES!$A$10,BR52)),ISNUMBER(FIND(CODES!$A$11,BR52))),CODES!$A$13,IF(OR(BR52&lt;BR$63,ISNUMBER(BR52)=FALSE),BR$64,BR52))))</f>
      </c>
      <c r="BS104" s="9" t="str">
        <f>IF(ISBLANK(BS52),"NO DATA",IF(ISNUMBER(FIND(CODES!$A$12,BS52)),CODES!$A$12,IF(OR(ISNUMBER(FIND(CODES!$A$10,BS52)),ISNUMBER(FIND(CODES!$A$11,BS52))),CODES!$A$13,IF(OR(BS52&lt;BS$63,ISNUMBER(BS52)=FALSE),BS$64,BS52))))</f>
      </c>
      <c r="BT104" s="9" t="str">
        <f>IF(ISBLANK(BT52),"NO DATA",IF(ISNUMBER(FIND(CODES!$A$12,BT52)),CODES!$A$12,IF(OR(ISNUMBER(FIND(CODES!$A$10,BT52)),ISNUMBER(FIND(CODES!$A$11,BT52))),CODES!$A$13,IF(OR(BT52&lt;BT$63,ISNUMBER(BT52)=FALSE),BT$64,BT52))))</f>
      </c>
      <c r="BU104" s="9" t="str">
        <f>IF(ISBLANK(BU52),"NO DATA",IF(ISNUMBER(FIND(CODES!$A$12,BU52)),CODES!$A$12,IF(OR(ISNUMBER(FIND(CODES!$A$10,BU52)),ISNUMBER(FIND(CODES!$A$11,BU52))),CODES!$A$13,IF(OR(BU52&lt;BU$63,ISNUMBER(BU52)=FALSE),BU$64,BU52))))</f>
      </c>
      <c r="BV104" s="9" t="str">
        <f>IF(ISBLANK(BV52),"NO DATA",IF(ISNUMBER(FIND(CODES!$A$12,BV52)),CODES!$A$12,IF(OR(ISNUMBER(FIND(CODES!$A$10,BV52)),ISNUMBER(FIND(CODES!$A$11,BV52))),CODES!$A$13,IF(OR(BV52&lt;BV$63,ISNUMBER(BV52)=FALSE),BV$64,BV52))))</f>
      </c>
      <c r="BW104" s="9" t="str">
        <f>IF(ISBLANK(BW52),"NO DATA",IF(ISNUMBER(FIND(CODES!$A$12,BW52)),CODES!$A$12,IF(OR(ISNUMBER(FIND(CODES!$A$10,BW52)),ISNUMBER(FIND(CODES!$A$11,BW52))),CODES!$A$13,IF(OR(BW52&lt;BW$63,ISNUMBER(BW52)=FALSE),BW$64,BW52))))</f>
      </c>
      <c r="BX104" s="9" t="str">
        <f>IF(ISBLANK(BX52),"NO DATA",IF(ISNUMBER(FIND(CODES!$A$12,BX52)),CODES!$A$12,IF(OR(ISNUMBER(FIND(CODES!$A$10,BX52)),ISNUMBER(FIND(CODES!$A$11,BX52))),CODES!$A$13,IF(OR(BX52&lt;BX$63,ISNUMBER(BX52)=FALSE),BX$64,BX52))))</f>
      </c>
      <c r="BY104" s="9" t="str">
        <f>IF(ISBLANK(BY52),"NO DATA",IF(ISNUMBER(FIND(CODES!$A$12,BY52)),CODES!$A$12,IF(OR(ISNUMBER(FIND(CODES!$A$10,BY52)),ISNUMBER(FIND(CODES!$A$11,BY52))),CODES!$A$13,IF(OR(BY52&lt;BY$63,ISNUMBER(BY52)=FALSE),BY$64,BY52))))</f>
      </c>
      <c r="BZ104" s="9" t="str">
        <f>IF(ISBLANK(BZ52),"NO DATA",IF(ISNUMBER(FIND(CODES!$A$12,BZ52)),CODES!$A$12,IF(OR(ISNUMBER(FIND(CODES!$A$10,BZ52)),ISNUMBER(FIND(CODES!$A$11,BZ52))),CODES!$A$13,IF(OR(BZ52&lt;BZ$63,ISNUMBER(BZ52)=FALSE),BZ$64,BZ52))))</f>
      </c>
      <c r="CA104" s="9" t="str">
        <f>IF(ISBLANK(CA52),"NO DATA",IF(ISNUMBER(FIND(CODES!$A$12,CA52)),CODES!$A$12,IF(OR(ISNUMBER(FIND(CODES!$A$10,CA52)),ISNUMBER(FIND(CODES!$A$11,CA52))),CODES!$A$13,IF(OR(CA52&lt;CA$63,ISNUMBER(CA52)=FALSE),CA$64,CA52))))</f>
      </c>
      <c r="CB104" s="9" t="str">
        <f>IF(ISBLANK(CB52),"NO DATA",IF(ISNUMBER(FIND(CODES!$A$12,CB52)),CODES!$A$12,IF(OR(ISNUMBER(FIND(CODES!$A$10,CB52)),ISNUMBER(FIND(CODES!$A$11,CB52))),CODES!$A$13,IF(OR(CB52&lt;CB$63,ISNUMBER(CB52)=FALSE),CB$64,CB52))))</f>
      </c>
      <c r="CC104" s="9" t="str">
        <f>IF(ISBLANK(CC52),"NO DATA",IF(ISNUMBER(FIND(CODES!$A$12,CC52)),CODES!$A$12,IF(OR(ISNUMBER(FIND(CODES!$A$10,CC52)),ISNUMBER(FIND(CODES!$A$11,CC52))),CODES!$A$13,IF(OR(CC52&lt;CC$63,ISNUMBER(CC52)=FALSE),CC$64,CC52))))</f>
      </c>
      <c r="CD104" s="9" t="str">
        <f>IF(ISBLANK(CD52),"NO DATA",IF(ISNUMBER(FIND(CODES!$A$12,CD52)),CODES!$A$12,IF(OR(ISNUMBER(FIND(CODES!$A$10,CD52)),ISNUMBER(FIND(CODES!$A$11,CD52))),CODES!$A$13,IF(OR(CD52&lt;CD$63,ISNUMBER(CD52)=FALSE),CD$64,CD52))))</f>
      </c>
      <c r="CE104" s="9" t="str">
        <f>IF(ISBLANK(CE52),"NO DATA",IF(ISNUMBER(FIND(CODES!$A$12,CE52)),CODES!$A$12,IF(OR(ISNUMBER(FIND(CODES!$A$10,CE52)),ISNUMBER(FIND(CODES!$A$11,CE52))),CODES!$A$13,IF(OR(CE52&lt;CE$63,ISNUMBER(CE52)=FALSE),CE$64,CE52))))</f>
      </c>
      <c r="CF104" s="9" t="str">
        <f>IF(ISBLANK(CF52),"NO DATA",IF(ISNUMBER(FIND(CODES!$A$12,CF52)),CODES!$A$12,IF(OR(ISNUMBER(FIND(CODES!$A$10,CF52)),ISNUMBER(FIND(CODES!$A$11,CF52))),CODES!$A$13,IF(OR(CF52&lt;CF$63,ISNUMBER(CF52)=FALSE),CF$64,CF52))))</f>
      </c>
      <c r="CG104" s="9" t="str">
        <f>IF(ISBLANK(CG52),"NO DATA",IF(ISNUMBER(FIND(CODES!$A$12,CG52)),CODES!$A$12,IF(OR(ISNUMBER(FIND(CODES!$A$10,CG52)),ISNUMBER(FIND(CODES!$A$11,CG52))),CODES!$A$13,IF(OR(CG52&lt;CG$63,ISNUMBER(CG52)=FALSE),CG$64,CG52))))</f>
      </c>
      <c r="CH104" s="9" t="str">
        <f>IF(ISBLANK(CH52),"NO DATA",IF(ISNUMBER(FIND(CODES!$A$12,CH52)),CODES!$A$12,IF(OR(ISNUMBER(FIND(CODES!$A$10,CH52)),ISNUMBER(FIND(CODES!$A$11,CH52))),CODES!$A$13,IF(OR(CH52&lt;CH$63,ISNUMBER(CH52)=FALSE),CH$64,CH52))))</f>
      </c>
      <c r="CI104" s="9" t="str">
        <f>IF(ISBLANK(CI52),"NO DATA",IF(ISNUMBER(FIND(CODES!$A$12,CI52)),CODES!$A$12,IF(OR(ISNUMBER(FIND(CODES!$A$10,CI52)),ISNUMBER(FIND(CODES!$A$11,CI52))),CODES!$A$13,IF(OR(CI52&lt;CI$63,ISNUMBER(CI52)=FALSE),CI$64,CI52))))</f>
      </c>
      <c r="CJ104" s="9" t="str">
        <f>IF(ISBLANK(CJ52),"NO DATA",IF(ISNUMBER(FIND(CODES!$A$12,CJ52)),CODES!$A$12,IF(OR(ISNUMBER(FIND(CODES!$A$10,CJ52)),ISNUMBER(FIND(CODES!$A$11,CJ52))),CODES!$A$13,IF(OR(CJ52&lt;CJ$63,ISNUMBER(CJ52)=FALSE),CJ$64,CJ52))))</f>
      </c>
      <c r="CK104" s="9" t="str">
        <f>IF(ISBLANK(CK52),"NO DATA",IF(ISNUMBER(FIND(CODES!$A$12,CK52)),CODES!$A$12,IF(OR(ISNUMBER(FIND(CODES!$A$10,CK52)),ISNUMBER(FIND(CODES!$A$11,CK52))),CODES!$A$13,IF(OR(CK52&lt;CK$63,ISNUMBER(CK52)=FALSE),CK$64,CK52))))</f>
      </c>
      <c r="CL104" s="9" t="str">
        <f>IF(ISBLANK(CL52),"NO DATA",IF(ISNUMBER(FIND(CODES!$A$12,CL52)),CODES!$A$12,IF(OR(ISNUMBER(FIND(CODES!$A$10,CL52)),ISNUMBER(FIND(CODES!$A$11,CL52))),CODES!$A$13,IF(OR(CL52&lt;CL$63,ISNUMBER(CL52)=FALSE),CL$64,CL52))))</f>
      </c>
      <c r="CM104" s="9" t="str">
        <f>IF(ISBLANK(CM52),"NO DATA",IF(ISNUMBER(FIND(CODES!$A$12,CM52)),CODES!$A$12,IF(OR(ISNUMBER(FIND(CODES!$A$10,CM52)),ISNUMBER(FIND(CODES!$A$11,CM52))),CODES!$A$13,IF(OR(CM52&lt;CM$63,ISNUMBER(CM52)=FALSE),CM$64,CM52))))</f>
      </c>
      <c r="CN104" s="9" t="str">
        <f>IF(ISBLANK(CN52),"NO DATA",IF(ISNUMBER(FIND(CODES!$A$12,CN52)),CODES!$A$12,IF(OR(ISNUMBER(FIND(CODES!$A$10,CN52)),ISNUMBER(FIND(CODES!$A$11,CN52))),CODES!$A$13,IF(OR(CN52&lt;CN$63,ISNUMBER(CN52)=FALSE),CN$64,CN52))))</f>
      </c>
      <c r="CO104" s="9" t="str">
        <f>IF(ISBLANK(CO52),"NO DATA",IF(ISNUMBER(FIND(CODES!$A$12,CO52)),CODES!$A$12,IF(OR(ISNUMBER(FIND(CODES!$A$10,CO52)),ISNUMBER(FIND(CODES!$A$11,CO52))),CODES!$A$13,IF(OR(CO52&lt;CO$63,ISNUMBER(CO52)=FALSE),CO$64,CO52))))</f>
      </c>
      <c r="CP104" s="9" t="str">
        <f>IF(ISBLANK(CP52),"NO DATA",IF(ISNUMBER(FIND(CODES!$A$12,CP52)),CODES!$A$12,IF(OR(ISNUMBER(FIND(CODES!$A$10,CP52)),ISNUMBER(FIND(CODES!$A$11,CP52))),CODES!$A$13,IF(OR(CP52&lt;CP$63,ISNUMBER(CP52)=FALSE),CP$64,CP52))))</f>
      </c>
      <c r="CQ104" s="9" t="str">
        <f>IF(ISBLANK(CQ52),"NO DATA",IF(ISNUMBER(FIND(CODES!$A$12,CQ52)),CODES!$A$12,IF(OR(ISNUMBER(FIND(CODES!$A$10,CQ52)),ISNUMBER(FIND(CODES!$A$11,CQ52))),CODES!$A$13,IF(OR(CQ52&lt;CQ$63,ISNUMBER(CQ52)=FALSE),CQ$64,CQ52))))</f>
      </c>
      <c r="CR104" s="9" t="str">
        <f>IF(ISBLANK(CR52),"NO DATA",IF(ISNUMBER(FIND(CODES!$A$12,CR52)),CODES!$A$12,IF(OR(ISNUMBER(FIND(CODES!$A$10,CR52)),ISNUMBER(FIND(CODES!$A$11,CR52))),CODES!$A$13,IF(OR(CR52&lt;CR$63,ISNUMBER(CR52)=FALSE),CR$64,CR52))))</f>
      </c>
      <c r="CS104" s="9" t="str">
        <f>IF(ISBLANK(CS52),"NO DATA",IF(ISNUMBER(FIND(CODES!$A$12,CS52)),CODES!$A$12,IF(OR(ISNUMBER(FIND(CODES!$A$10,CS52)),ISNUMBER(FIND(CODES!$A$11,CS52))),CODES!$A$13,IF(OR(CS52&lt;CS$63,ISNUMBER(CS52)=FALSE),CS$64,CS52))))</f>
      </c>
      <c r="CT104" s="9" t="str">
        <f>IF(ISBLANK(CT52),"NO DATA",IF(ISNUMBER(FIND(CODES!$A$12,CT52)),CODES!$A$12,IF(OR(ISNUMBER(FIND(CODES!$A$10,CT52)),ISNUMBER(FIND(CODES!$A$11,CT52))),CODES!$A$13,IF(OR(CT52&lt;CT$63,ISNUMBER(CT52)=FALSE),CT$64,CT52))))</f>
      </c>
      <c r="CU104" s="9" t="str">
        <f>IF(ISBLANK(CU52),"NO DATA",IF(ISNUMBER(FIND(CODES!$A$12,CU52)),CODES!$A$12,IF(OR(ISNUMBER(FIND(CODES!$A$10,CU52)),ISNUMBER(FIND(CODES!$A$11,CU52))),CODES!$A$13,IF(OR(CU52&lt;CU$63,ISNUMBER(CU52)=FALSE),CU$64,CU52))))</f>
      </c>
      <c r="CV104" s="9" t="str">
        <f>IF(ISBLANK(CV52),"NO DATA",IF(ISNUMBER(FIND(CODES!$A$12,CV52)),CODES!$A$12,IF(OR(ISNUMBER(FIND(CODES!$A$10,CV52)),ISNUMBER(FIND(CODES!$A$11,CV52))),CODES!$A$13,IF(OR(CV52&lt;CV$63,ISNUMBER(CV52)=FALSE),CV$64,CV52))))</f>
      </c>
      <c r="CW104" s="9" t="str">
        <f>IF(ISBLANK(CW52),"NO DATA",IF(ISNUMBER(FIND(CODES!$A$12,CW52)),CODES!$A$12,IF(OR(ISNUMBER(FIND(CODES!$A$10,CW52)),ISNUMBER(FIND(CODES!$A$11,CW52))),CODES!$A$13,IF(OR(CW52&lt;CW$63,ISNUMBER(CW52)=FALSE),CW$64,CW52))))</f>
      </c>
      <c r="CX104" s="9" t="str">
        <f>IF(ISBLANK(CX52),"NO DATA",IF(ISNUMBER(FIND(CODES!$A$12,CX52)),CODES!$A$12,IF(OR(ISNUMBER(FIND(CODES!$A$10,CX52)),ISNUMBER(FIND(CODES!$A$11,CX52))),CODES!$A$13,IF(OR(CX52&lt;CX$63,ISNUMBER(CX52)=FALSE),CX$64,CX52))))</f>
      </c>
      <c r="CY104" s="9" t="str">
        <f>IF(ISBLANK(CY52),"NO DATA",IF(ISNUMBER(FIND(CODES!$A$12,CY52)),CODES!$A$12,IF(OR(ISNUMBER(FIND(CODES!$A$10,CY52)),ISNUMBER(FIND(CODES!$A$11,CY52))),CODES!$A$13,IF(OR(CY52&lt;CY$63,ISNUMBER(CY52)=FALSE),CY$64,CY52))))</f>
      </c>
      <c r="CZ104" s="9" t="str">
        <f>IF(ISBLANK(CZ52),"NO DATA",IF(ISNUMBER(FIND(CODES!$A$12,CZ52)),CODES!$A$12,IF(OR(ISNUMBER(FIND(CODES!$A$10,CZ52)),ISNUMBER(FIND(CODES!$A$11,CZ52))),CODES!$A$13,IF(OR(CZ52&lt;CZ$63,ISNUMBER(CZ52)=FALSE),CZ$64,CZ52))))</f>
      </c>
      <c r="DA104" s="9" t="str">
        <f>IF(ISBLANK(DA52),"NO DATA",IF(ISNUMBER(FIND(CODES!$A$12,DA52)),CODES!$A$12,IF(OR(ISNUMBER(FIND(CODES!$A$10,DA52)),ISNUMBER(FIND(CODES!$A$11,DA52))),CODES!$A$13,IF(OR(DA52&lt;DA$63,ISNUMBER(DA52)=FALSE),DA$64,DA52))))</f>
      </c>
      <c r="DB104" s="9" t="str">
        <f>IF(ISBLANK(DB52),"NO DATA",IF(ISNUMBER(FIND(CODES!$A$12,DB52)),CODES!$A$12,IF(OR(ISNUMBER(FIND(CODES!$A$10,DB52)),ISNUMBER(FIND(CODES!$A$11,DB52))),CODES!$A$13,IF(OR(DB52&lt;DB$63,ISNUMBER(DB52)=FALSE),DB$64,DB52))))</f>
      </c>
      <c r="DC104" s="9" t="str">
        <f>IF(ISBLANK(DC52),"NO DATA",IF(ISNUMBER(FIND(CODES!$A$12,DC52)),CODES!$A$12,IF(OR(ISNUMBER(FIND(CODES!$A$10,DC52)),ISNUMBER(FIND(CODES!$A$11,DC52))),CODES!$A$13,IF(OR(DC52&lt;DC$63,ISNUMBER(DC52)=FALSE),DC$64,DC52))))</f>
      </c>
      <c r="DD104" s="9" t="str">
        <f>IF(ISBLANK(DD52),"NO DATA",IF(ISNUMBER(FIND(CODES!$A$12,DD52)),CODES!$A$12,IF(OR(ISNUMBER(FIND(CODES!$A$10,DD52)),ISNUMBER(FIND(CODES!$A$11,DD52))),CODES!$A$13,IF(OR(DD52&lt;DD$63,ISNUMBER(DD52)=FALSE),DD$64,DD52))))</f>
      </c>
      <c r="DE104" s="9" t="str">
        <f>IF(ISBLANK(DE52),"NO DATA",IF(ISNUMBER(FIND(CODES!$A$12,DE52)),CODES!$A$12,IF(OR(ISNUMBER(FIND(CODES!$A$10,DE52)),ISNUMBER(FIND(CODES!$A$11,DE52))),CODES!$A$13,IF(OR(DE52&lt;DE$63,ISNUMBER(DE52)=FALSE),DE$64,DE52))))</f>
      </c>
      <c r="DF104" s="9" t="str">
        <f>IF(ISBLANK(DF52),"NO DATA",IF(ISNUMBER(FIND(CODES!$A$12,DF52)),CODES!$A$12,IF(OR(ISNUMBER(FIND(CODES!$A$10,DF52)),ISNUMBER(FIND(CODES!$A$11,DF52))),CODES!$A$13,IF(OR(DF52&lt;DF$63,ISNUMBER(DF52)=FALSE),DF$64,DF52))))</f>
      </c>
      <c r="DG104" s="9" t="str">
        <f>IF(ISBLANK(DG52),"NO DATA",IF(ISNUMBER(FIND(CODES!$A$12,DG52)),CODES!$A$12,IF(OR(ISNUMBER(FIND(CODES!$A$10,DG52)),ISNUMBER(FIND(CODES!$A$11,DG52))),CODES!$A$13,IF(OR(DG52&lt;DG$63,ISNUMBER(DG52)=FALSE),DG$64,DG52))))</f>
      </c>
      <c r="DH104" s="9" t="str">
        <f>IF(ISBLANK(DH52),"NO DATA",IF(ISNUMBER(FIND(CODES!$A$12,DH52)),CODES!$A$12,IF(OR(ISNUMBER(FIND(CODES!$A$10,DH52)),ISNUMBER(FIND(CODES!$A$11,DH52))),CODES!$A$13,IF(OR(DH52&lt;DH$63,ISNUMBER(DH52)=FALSE),DH$64,DH52))))</f>
      </c>
      <c r="DI104" s="9" t="str">
        <f>IF(ISBLANK(DI52),"NO DATA",IF(ISNUMBER(FIND(CODES!$A$12,DI52)),CODES!$A$12,IF(OR(ISNUMBER(FIND(CODES!$A$10,DI52)),ISNUMBER(FIND(CODES!$A$11,DI52))),CODES!$A$13,IF(OR(DI52&lt;DI$63,ISNUMBER(DI52)=FALSE),DI$64,DI52))))</f>
      </c>
    </row>
    <row r="105" spans="1:113" x14ac:dyDescent="0.25">
      <c r="A105" s="20" t="str">
        <f t="shared" si="5"/>
      </c>
      <c r="B105" s="20">
        <f t="shared" si="5"/>
      </c>
      <c r="C105" s="9" t="str">
        <f>IF(ISBLANK(C53),"NO DATA",IF(ISNUMBER(FIND(CODES!$A$12,C53)),CODES!$A$12,IF(OR(ISNUMBER(FIND(CODES!$A$10,C53)),ISNUMBER(FIND(CODES!$A$11,C53))),CODES!$A$13,IF(OR(C53&lt;C$63,ISNUMBER(C53)=FALSE),C$64,C53))))</f>
      </c>
      <c r="D105" s="9" t="str">
        <f>IF(ISBLANK(D53),"NO DATA",IF(ISNUMBER(FIND(CODES!$A$12,D53)),CODES!$A$12,IF(OR(ISNUMBER(FIND(CODES!$A$10,D53)),ISNUMBER(FIND(CODES!$A$11,D53))),CODES!$A$13,IF(OR(D53&lt;D$63,ISNUMBER(D53)=FALSE),D$64,D53))))</f>
      </c>
      <c r="E105" s="9" t="str">
        <f>IF(ISBLANK(E53),"NO DATA",IF(ISNUMBER(FIND(CODES!$A$12,E53)),CODES!$A$12,IF(OR(ISNUMBER(FIND(CODES!$A$10,E53)),ISNUMBER(FIND(CODES!$A$11,E53))),CODES!$A$13,IF(OR(E53&lt;E$63,ISNUMBER(E53)=FALSE),E$64,E53))))</f>
      </c>
      <c r="F105" s="9" t="str">
        <f>IF(ISBLANK(F53),"NO DATA",IF(ISNUMBER(FIND(CODES!$A$12,F53)),CODES!$A$12,IF(OR(ISNUMBER(FIND(CODES!$A$10,F53)),ISNUMBER(FIND(CODES!$A$11,F53))),CODES!$A$13,IF(OR(F53&lt;F$63,ISNUMBER(F53)=FALSE),F$64,F53))))</f>
      </c>
      <c r="G105" s="9" t="str">
        <f>IF(ISBLANK(G53),"NO DATA",IF(ISNUMBER(FIND(CODES!$A$12,G53)),CODES!$A$12,IF(OR(ISNUMBER(FIND(CODES!$A$10,G53)),ISNUMBER(FIND(CODES!$A$11,G53))),CODES!$A$13,IF(OR(G53&lt;G$63,ISNUMBER(G53)=FALSE),G$64,G53))))</f>
      </c>
      <c r="H105" s="9" t="str">
        <f>IF(ISBLANK(H53),"NO DATA",IF(ISNUMBER(FIND(CODES!$A$12,H53)),CODES!$A$12,IF(OR(ISNUMBER(FIND(CODES!$A$10,H53)),ISNUMBER(FIND(CODES!$A$11,H53))),CODES!$A$13,IF(OR(H53&lt;H$63,ISNUMBER(H53)=FALSE),H$64,H53))))</f>
      </c>
      <c r="I105" s="9" t="str">
        <f>IF(ISBLANK(I53),"NO DATA",IF(ISNUMBER(FIND(CODES!$A$12,I53)),CODES!$A$12,IF(OR(ISNUMBER(FIND(CODES!$A$10,I53)),ISNUMBER(FIND(CODES!$A$11,I53))),CODES!$A$13,IF(OR(I53&lt;I$63,ISNUMBER(I53)=FALSE),I$64,I53))))</f>
      </c>
      <c r="J105" s="9" t="str">
        <f>IF(ISBLANK(J53),"NO DATA",IF(ISNUMBER(FIND(CODES!$A$12,J53)),CODES!$A$12,IF(OR(ISNUMBER(FIND(CODES!$A$10,J53)),ISNUMBER(FIND(CODES!$A$11,J53))),CODES!$A$13,IF(OR(J53&lt;J$63,ISNUMBER(J53)=FALSE),J$64,J53))))</f>
      </c>
      <c r="K105" s="9" t="str">
        <f>IF(ISBLANK(K53),"NO DATA",IF(ISNUMBER(FIND(CODES!$A$12,K53)),CODES!$A$12,IF(OR(ISNUMBER(FIND(CODES!$A$10,K53)),ISNUMBER(FIND(CODES!$A$11,K53))),CODES!$A$13,IF(OR(K53&lt;K$63,ISNUMBER(K53)=FALSE),K$64,K53))))</f>
      </c>
      <c r="L105" s="9" t="str">
        <f>IF(ISBLANK(L53),"NO DATA",IF(ISNUMBER(FIND(CODES!$A$12,L53)),CODES!$A$12,IF(OR(ISNUMBER(FIND(CODES!$A$10,L53)),ISNUMBER(FIND(CODES!$A$11,L53))),CODES!$A$13,IF(OR(L53&lt;L$63,ISNUMBER(L53)=FALSE),L$64,L53))))</f>
      </c>
      <c r="M105" s="9" t="str">
        <f>IF(ISBLANK(M53),"NO DATA",IF(ISNUMBER(FIND(CODES!$A$12,M53)),CODES!$A$12,IF(OR(ISNUMBER(FIND(CODES!$A$10,M53)),ISNUMBER(FIND(CODES!$A$11,M53))),CODES!$A$13,IF(OR(M53&lt;M$63,ISNUMBER(M53)=FALSE),M$64,M53))))</f>
      </c>
      <c r="N105" s="9" t="str">
        <f>IF(ISBLANK(N53),"NO DATA",IF(ISNUMBER(FIND(CODES!$A$12,N53)),CODES!$A$12,IF(OR(ISNUMBER(FIND(CODES!$A$10,N53)),ISNUMBER(FIND(CODES!$A$11,N53))),CODES!$A$13,IF(OR(N53&lt;N$63,ISNUMBER(N53)=FALSE),N$64,N53))))</f>
      </c>
      <c r="O105" s="9" t="str">
        <f>IF(ISBLANK(O53),"NO DATA",IF(ISNUMBER(FIND(CODES!$A$12,O53)),CODES!$A$12,IF(OR(ISNUMBER(FIND(CODES!$A$10,O53)),ISNUMBER(FIND(CODES!$A$11,O53))),CODES!$A$13,IF(OR(O53&lt;O$63,ISNUMBER(O53)=FALSE),O$64,O53))))</f>
      </c>
      <c r="P105" s="9" t="str">
        <f>IF(ISBLANK(P53),"NO DATA",IF(ISNUMBER(FIND(CODES!$A$12,P53)),CODES!$A$12,IF(OR(ISNUMBER(FIND(CODES!$A$10,P53)),ISNUMBER(FIND(CODES!$A$11,P53))),CODES!$A$13,IF(OR(P53&lt;P$63,ISNUMBER(P53)=FALSE),P$64,P53))))</f>
      </c>
      <c r="Q105" s="9" t="str">
        <f>IF(ISBLANK(Q53),"NO DATA",IF(ISNUMBER(FIND(CODES!$A$12,Q53)),CODES!$A$12,IF(OR(ISNUMBER(FIND(CODES!$A$10,Q53)),ISNUMBER(FIND(CODES!$A$11,Q53))),CODES!$A$13,IF(OR(Q53&lt;Q$63,ISNUMBER(Q53)=FALSE),Q$64,Q53))))</f>
      </c>
      <c r="R105" s="9" t="str">
        <f>IF(ISBLANK(R53),"NO DATA",IF(ISNUMBER(FIND(CODES!$A$12,R53)),CODES!$A$12,IF(OR(ISNUMBER(FIND(CODES!$A$10,R53)),ISNUMBER(FIND(CODES!$A$11,R53))),CODES!$A$13,IF(OR(R53&lt;R$63,ISNUMBER(R53)=FALSE),R$64,R53))))</f>
      </c>
      <c r="S105" s="9" t="str">
        <f>IF(ISBLANK(S53),"NO DATA",IF(ISNUMBER(FIND(CODES!$A$12,S53)),CODES!$A$12,IF(OR(ISNUMBER(FIND(CODES!$A$10,S53)),ISNUMBER(FIND(CODES!$A$11,S53))),CODES!$A$13,IF(OR(S53&lt;S$63,ISNUMBER(S53)=FALSE),S$64,S53))))</f>
      </c>
      <c r="T105" s="9" t="str">
        <f>IF(ISBLANK(T53),"NO DATA",IF(ISNUMBER(FIND(CODES!$A$12,T53)),CODES!$A$12,IF(OR(ISNUMBER(FIND(CODES!$A$10,T53)),ISNUMBER(FIND(CODES!$A$11,T53))),CODES!$A$13,IF(OR(T53&lt;T$63,ISNUMBER(T53)=FALSE),T$64,T53))))</f>
      </c>
      <c r="U105" s="9" t="str">
        <f>IF(ISBLANK(U53),"NO DATA",IF(ISNUMBER(FIND(CODES!$A$12,U53)),CODES!$A$12,IF(OR(ISNUMBER(FIND(CODES!$A$10,U53)),ISNUMBER(FIND(CODES!$A$11,U53))),CODES!$A$13,IF(OR(U53&lt;U$63,ISNUMBER(U53)=FALSE),U$64,U53))))</f>
      </c>
      <c r="V105" s="9" t="str">
        <f>IF(ISBLANK(V53),"NO DATA",IF(ISNUMBER(FIND(CODES!$A$12,V53)),CODES!$A$12,IF(OR(ISNUMBER(FIND(CODES!$A$10,V53)),ISNUMBER(FIND(CODES!$A$11,V53))),CODES!$A$13,IF(OR(V53&lt;V$63,ISNUMBER(V53)=FALSE),V$64,V53))))</f>
      </c>
      <c r="W105" s="9" t="str">
        <f>IF(ISBLANK(W53),"NO DATA",IF(ISNUMBER(FIND(CODES!$A$12,W53)),CODES!$A$12,IF(OR(ISNUMBER(FIND(CODES!$A$10,W53)),ISNUMBER(FIND(CODES!$A$11,W53))),CODES!$A$13,IF(OR(W53&lt;W$63,ISNUMBER(W53)=FALSE),W$64,W53))))</f>
      </c>
      <c r="X105" s="9" t="str">
        <f>IF(ISBLANK(X53),"NO DATA",IF(ISNUMBER(FIND(CODES!$A$12,X53)),CODES!$A$12,IF(OR(ISNUMBER(FIND(CODES!$A$10,X53)),ISNUMBER(FIND(CODES!$A$11,X53))),CODES!$A$13,IF(OR(X53&lt;X$63,ISNUMBER(X53)=FALSE),X$64,X53))))</f>
      </c>
      <c r="Y105" s="9" t="str">
        <f>IF(ISBLANK(Y53),"NO DATA",IF(ISNUMBER(FIND(CODES!$A$12,Y53)),CODES!$A$12,IF(OR(ISNUMBER(FIND(CODES!$A$10,Y53)),ISNUMBER(FIND(CODES!$A$11,Y53))),CODES!$A$13,IF(OR(Y53&lt;Y$63,ISNUMBER(Y53)=FALSE),Y$64,Y53))))</f>
      </c>
      <c r="Z105" s="9" t="str">
        <f>IF(ISBLANK(Z53),"NO DATA",IF(ISNUMBER(FIND(CODES!$A$12,Z53)),CODES!$A$12,IF(OR(ISNUMBER(FIND(CODES!$A$10,Z53)),ISNUMBER(FIND(CODES!$A$11,Z53))),CODES!$A$13,IF(OR(Z53&lt;Z$63,ISNUMBER(Z53)=FALSE),Z$64,Z53))))</f>
      </c>
      <c r="AA105" s="9" t="str">
        <f>IF(ISBLANK(AA53),"NO DATA",IF(ISNUMBER(FIND(CODES!$A$12,AA53)),CODES!$A$12,IF(OR(ISNUMBER(FIND(CODES!$A$10,AA53)),ISNUMBER(FIND(CODES!$A$11,AA53))),CODES!$A$13,IF(OR(AA53&lt;AA$63,ISNUMBER(AA53)=FALSE),AA$64,AA53))))</f>
      </c>
      <c r="AB105" s="9" t="str">
        <f>IF(ISBLANK(AB53),"NO DATA",IF(ISNUMBER(FIND(CODES!$A$12,AB53)),CODES!$A$12,IF(OR(ISNUMBER(FIND(CODES!$A$10,AB53)),ISNUMBER(FIND(CODES!$A$11,AB53))),CODES!$A$13,IF(OR(AB53&lt;AB$63,ISNUMBER(AB53)=FALSE),AB$64,AB53))))</f>
      </c>
      <c r="AC105" s="9" t="str">
        <f>IF(ISBLANK(AC53),"NO DATA",IF(ISNUMBER(FIND(CODES!$A$12,AC53)),CODES!$A$12,IF(OR(ISNUMBER(FIND(CODES!$A$10,AC53)),ISNUMBER(FIND(CODES!$A$11,AC53))),CODES!$A$13,IF(OR(AC53&lt;AC$63,ISNUMBER(AC53)=FALSE),AC$64,AC53))))</f>
      </c>
      <c r="AD105" s="9" t="str">
        <f>IF(ISBLANK(AD53),"NO DATA",IF(ISNUMBER(FIND(CODES!$A$12,AD53)),CODES!$A$12,IF(OR(ISNUMBER(FIND(CODES!$A$10,AD53)),ISNUMBER(FIND(CODES!$A$11,AD53))),CODES!$A$13,IF(OR(AD53&lt;AD$63,ISNUMBER(AD53)=FALSE),AD$64,AD53))))</f>
      </c>
      <c r="AE105" s="9" t="str">
        <f>IF(ISBLANK(AE53),"NO DATA",IF(ISNUMBER(FIND(CODES!$A$12,AE53)),CODES!$A$12,IF(OR(ISNUMBER(FIND(CODES!$A$10,AE53)),ISNUMBER(FIND(CODES!$A$11,AE53))),CODES!$A$13,IF(OR(AE53&lt;AE$63,ISNUMBER(AE53)=FALSE),AE$64,AE53))))</f>
      </c>
      <c r="AF105" s="9" t="str">
        <f>IF(ISBLANK(AF53),"NO DATA",IF(ISNUMBER(FIND(CODES!$A$12,AF53)),CODES!$A$12,IF(OR(ISNUMBER(FIND(CODES!$A$10,AF53)),ISNUMBER(FIND(CODES!$A$11,AF53))),CODES!$A$13,IF(OR(AF53&lt;AF$63,ISNUMBER(AF53)=FALSE),AF$64,AF53))))</f>
      </c>
      <c r="AG105" s="9" t="str">
        <f>IF(ISBLANK(AG53),"NO DATA",IF(ISNUMBER(FIND(CODES!$A$12,AG53)),CODES!$A$12,IF(OR(ISNUMBER(FIND(CODES!$A$10,AG53)),ISNUMBER(FIND(CODES!$A$11,AG53))),CODES!$A$13,IF(OR(AG53&lt;AG$63,ISNUMBER(AG53)=FALSE),AG$64,AG53))))</f>
      </c>
      <c r="AH105" s="9" t="str">
        <f>IF(ISBLANK(AH53),"NO DATA",IF(ISNUMBER(FIND(CODES!$A$12,AH53)),CODES!$A$12,IF(OR(ISNUMBER(FIND(CODES!$A$10,AH53)),ISNUMBER(FIND(CODES!$A$11,AH53))),CODES!$A$13,IF(OR(AH53&lt;AH$63,ISNUMBER(AH53)=FALSE),AH$64,AH53))))</f>
      </c>
      <c r="AI105" s="9" t="str">
        <f>IF(ISBLANK(AI53),"NO DATA",IF(ISNUMBER(FIND(CODES!$A$12,AI53)),CODES!$A$12,IF(OR(ISNUMBER(FIND(CODES!$A$10,AI53)),ISNUMBER(FIND(CODES!$A$11,AI53))),CODES!$A$13,IF(OR(AI53&lt;AI$63,ISNUMBER(AI53)=FALSE),AI$64,AI53))))</f>
      </c>
      <c r="AJ105" s="9" t="str">
        <f>IF(ISBLANK(AJ53),"NO DATA",IF(ISNUMBER(FIND(CODES!$A$12,AJ53)),CODES!$A$12,IF(OR(ISNUMBER(FIND(CODES!$A$10,AJ53)),ISNUMBER(FIND(CODES!$A$11,AJ53))),CODES!$A$13,IF(OR(AJ53&lt;AJ$63,ISNUMBER(AJ53)=FALSE),AJ$64,AJ53))))</f>
      </c>
      <c r="AK105" s="9" t="str">
        <f>IF(ISBLANK(AK53),"NO DATA",IF(ISNUMBER(FIND(CODES!$A$12,AK53)),CODES!$A$12,IF(OR(ISNUMBER(FIND(CODES!$A$10,AK53)),ISNUMBER(FIND(CODES!$A$11,AK53))),CODES!$A$13,IF(OR(AK53&lt;AK$63,ISNUMBER(AK53)=FALSE),AK$64,AK53))))</f>
      </c>
      <c r="AL105" s="9" t="str">
        <f>IF(ISBLANK(AL53),"NO DATA",IF(ISNUMBER(FIND(CODES!$A$12,AL53)),CODES!$A$12,IF(OR(ISNUMBER(FIND(CODES!$A$10,AL53)),ISNUMBER(FIND(CODES!$A$11,AL53))),CODES!$A$13,IF(OR(AL53&lt;AL$63,ISNUMBER(AL53)=FALSE),AL$64,AL53))))</f>
      </c>
      <c r="AM105" s="9" t="str">
        <f>IF(ISBLANK(AM53),"NO DATA",IF(ISNUMBER(FIND(CODES!$A$12,AM53)),CODES!$A$12,IF(OR(ISNUMBER(FIND(CODES!$A$10,AM53)),ISNUMBER(FIND(CODES!$A$11,AM53))),CODES!$A$13,IF(OR(AM53&lt;AM$63,ISNUMBER(AM53)=FALSE),AM$64,AM53))))</f>
      </c>
      <c r="AN105" s="9" t="str">
        <f>IF(ISBLANK(AN53),"NO DATA",IF(ISNUMBER(FIND(CODES!$A$12,AN53)),CODES!$A$12,IF(OR(ISNUMBER(FIND(CODES!$A$10,AN53)),ISNUMBER(FIND(CODES!$A$11,AN53))),CODES!$A$13,IF(OR(AN53&lt;AN$63,ISNUMBER(AN53)=FALSE),AN$64,AN53))))</f>
      </c>
      <c r="AO105" s="9" t="str">
        <f>IF(ISBLANK(AO53),"NO DATA",IF(ISNUMBER(FIND(CODES!$A$12,AO53)),CODES!$A$12,IF(OR(ISNUMBER(FIND(CODES!$A$10,AO53)),ISNUMBER(FIND(CODES!$A$11,AO53))),CODES!$A$13,IF(OR(AO53&lt;AO$63,ISNUMBER(AO53)=FALSE),AO$64,AO53))))</f>
      </c>
      <c r="AP105" s="9" t="str">
        <f>IF(ISBLANK(AP53),"NO DATA",IF(ISNUMBER(FIND(CODES!$A$12,AP53)),CODES!$A$12,IF(OR(ISNUMBER(FIND(CODES!$A$10,AP53)),ISNUMBER(FIND(CODES!$A$11,AP53))),CODES!$A$13,IF(OR(AP53&lt;AP$63,ISNUMBER(AP53)=FALSE),AP$64,AP53))))</f>
      </c>
      <c r="AQ105" s="9" t="str">
        <f>IF(ISBLANK(AQ53),"NO DATA",IF(ISNUMBER(FIND(CODES!$A$12,AQ53)),CODES!$A$12,IF(OR(ISNUMBER(FIND(CODES!$A$10,AQ53)),ISNUMBER(FIND(CODES!$A$11,AQ53))),CODES!$A$13,IF(OR(AQ53&lt;AQ$63,ISNUMBER(AQ53)=FALSE),AQ$64,AQ53))))</f>
      </c>
      <c r="AR105" s="9" t="str">
        <f>IF(ISBLANK(AR53),"NO DATA",IF(ISNUMBER(FIND(CODES!$A$12,AR53)),CODES!$A$12,IF(OR(ISNUMBER(FIND(CODES!$A$10,AR53)),ISNUMBER(FIND(CODES!$A$11,AR53))),CODES!$A$13,IF(OR(AR53&lt;AR$63,ISNUMBER(AR53)=FALSE),AR$64,AR53))))</f>
      </c>
      <c r="AS105" s="9" t="str">
        <f>IF(ISBLANK(AS53),"NO DATA",IF(ISNUMBER(FIND(CODES!$A$12,AS53)),CODES!$A$12,IF(OR(ISNUMBER(FIND(CODES!$A$10,AS53)),ISNUMBER(FIND(CODES!$A$11,AS53))),CODES!$A$13,IF(OR(AS53&lt;AS$63,ISNUMBER(AS53)=FALSE),AS$64,AS53))))</f>
      </c>
      <c r="AT105" s="9" t="str">
        <f>IF(ISBLANK(AT53),"NO DATA",IF(ISNUMBER(FIND(CODES!$A$12,AT53)),CODES!$A$12,IF(OR(ISNUMBER(FIND(CODES!$A$10,AT53)),ISNUMBER(FIND(CODES!$A$11,AT53))),CODES!$A$13,IF(OR(AT53&lt;AT$63,ISNUMBER(AT53)=FALSE),AT$64,AT53))))</f>
      </c>
      <c r="AU105" s="9" t="str">
        <f>IF(ISBLANK(AU53),"NO DATA",IF(ISNUMBER(FIND(CODES!$A$12,AU53)),CODES!$A$12,IF(OR(ISNUMBER(FIND(CODES!$A$10,AU53)),ISNUMBER(FIND(CODES!$A$11,AU53))),CODES!$A$13,IF(OR(AU53&lt;AU$63,ISNUMBER(AU53)=FALSE),AU$64,AU53))))</f>
      </c>
      <c r="AV105" s="9" t="str">
        <f>IF(ISBLANK(AV53),"NO DATA",IF(ISNUMBER(FIND(CODES!$A$12,AV53)),CODES!$A$12,IF(OR(ISNUMBER(FIND(CODES!$A$10,AV53)),ISNUMBER(FIND(CODES!$A$11,AV53))),CODES!$A$13,IF(OR(AV53&lt;AV$63,ISNUMBER(AV53)=FALSE),AV$64,AV53))))</f>
      </c>
      <c r="AW105" s="9" t="str">
        <f>IF(ISBLANK(AW53),"NO DATA",IF(ISNUMBER(FIND(CODES!$A$12,AW53)),CODES!$A$12,IF(OR(ISNUMBER(FIND(CODES!$A$10,AW53)),ISNUMBER(FIND(CODES!$A$11,AW53))),CODES!$A$13,IF(OR(AW53&lt;AW$63,ISNUMBER(AW53)=FALSE),AW$64,AW53))))</f>
      </c>
      <c r="AX105" s="9" t="str">
        <f>IF(ISBLANK(AX53),"NO DATA",IF(ISNUMBER(FIND(CODES!$A$12,AX53)),CODES!$A$12,IF(OR(ISNUMBER(FIND(CODES!$A$10,AX53)),ISNUMBER(FIND(CODES!$A$11,AX53))),CODES!$A$13,IF(OR(AX53&lt;AX$63,ISNUMBER(AX53)=FALSE),AX$64,AX53))))</f>
      </c>
      <c r="AY105" s="9" t="str">
        <f>IF(ISBLANK(AY53),"NO DATA",IF(ISNUMBER(FIND(CODES!$A$12,AY53)),CODES!$A$12,IF(OR(ISNUMBER(FIND(CODES!$A$10,AY53)),ISNUMBER(FIND(CODES!$A$11,AY53))),CODES!$A$13,IF(OR(AY53&lt;AY$63,ISNUMBER(AY53)=FALSE),AY$64,AY53))))</f>
      </c>
      <c r="AZ105" s="9" t="str">
        <f>IF(ISBLANK(AZ53),"NO DATA",IF(ISNUMBER(FIND(CODES!$A$12,AZ53)),CODES!$A$12,IF(OR(ISNUMBER(FIND(CODES!$A$10,AZ53)),ISNUMBER(FIND(CODES!$A$11,AZ53))),CODES!$A$13,IF(OR(AZ53&lt;AZ$63,ISNUMBER(AZ53)=FALSE),AZ$64,AZ53))))</f>
      </c>
      <c r="BA105" s="9" t="str">
        <f>IF(ISBLANK(BA53),"NO DATA",IF(ISNUMBER(FIND(CODES!$A$12,BA53)),CODES!$A$12,IF(OR(ISNUMBER(FIND(CODES!$A$10,BA53)),ISNUMBER(FIND(CODES!$A$11,BA53))),CODES!$A$13,IF(OR(BA53&lt;BA$63,ISNUMBER(BA53)=FALSE),BA$64,BA53))))</f>
      </c>
      <c r="BB105" s="9" t="str">
        <f>IF(ISBLANK(BB53),"NO DATA",IF(ISNUMBER(FIND(CODES!$A$12,BB53)),CODES!$A$12,IF(OR(ISNUMBER(FIND(CODES!$A$10,BB53)),ISNUMBER(FIND(CODES!$A$11,BB53))),CODES!$A$13,IF(OR(BB53&lt;BB$63,ISNUMBER(BB53)=FALSE),BB$64,BB53))))</f>
      </c>
      <c r="BC105" s="9" t="str">
        <f>IF(ISBLANK(BC53),"NO DATA",IF(ISNUMBER(FIND(CODES!$A$12,BC53)),CODES!$A$12,IF(OR(ISNUMBER(FIND(CODES!$A$10,BC53)),ISNUMBER(FIND(CODES!$A$11,BC53))),CODES!$A$13,IF(OR(BC53&lt;BC$63,ISNUMBER(BC53)=FALSE),BC$64,BC53))))</f>
      </c>
      <c r="BD105" s="9" t="str">
        <f>IF(ISBLANK(BD53),"NO DATA",IF(ISNUMBER(FIND(CODES!$A$12,BD53)),CODES!$A$12,IF(OR(ISNUMBER(FIND(CODES!$A$10,BD53)),ISNUMBER(FIND(CODES!$A$11,BD53))),CODES!$A$13,IF(OR(BD53&lt;BD$63,ISNUMBER(BD53)=FALSE),BD$64,BD53))))</f>
      </c>
      <c r="BE105" s="9" t="str">
        <f>IF(ISBLANK(BE53),"NO DATA",IF(ISNUMBER(FIND(CODES!$A$12,BE53)),CODES!$A$12,IF(OR(ISNUMBER(FIND(CODES!$A$10,BE53)),ISNUMBER(FIND(CODES!$A$11,BE53))),CODES!$A$13,IF(OR(BE53&lt;BE$63,ISNUMBER(BE53)=FALSE),BE$64,BE53))))</f>
      </c>
      <c r="BF105" s="9" t="str">
        <f>IF(ISBLANK(BF53),"NO DATA",IF(ISNUMBER(FIND(CODES!$A$12,BF53)),CODES!$A$12,IF(OR(ISNUMBER(FIND(CODES!$A$10,BF53)),ISNUMBER(FIND(CODES!$A$11,BF53))),CODES!$A$13,IF(OR(BF53&lt;BF$63,ISNUMBER(BF53)=FALSE),BF$64,BF53))))</f>
      </c>
      <c r="BG105" s="9" t="str">
        <f>IF(ISBLANK(BG53),"NO DATA",IF(ISNUMBER(FIND(CODES!$A$12,BG53)),CODES!$A$12,IF(OR(ISNUMBER(FIND(CODES!$A$10,BG53)),ISNUMBER(FIND(CODES!$A$11,BG53))),CODES!$A$13,IF(OR(BG53&lt;BG$63,ISNUMBER(BG53)=FALSE),BG$64,BG53))))</f>
      </c>
      <c r="BH105" s="9" t="str">
        <f>IF(ISBLANK(BH53),"NO DATA",IF(ISNUMBER(FIND(CODES!$A$12,BH53)),CODES!$A$12,IF(OR(ISNUMBER(FIND(CODES!$A$10,BH53)),ISNUMBER(FIND(CODES!$A$11,BH53))),CODES!$A$13,IF(OR(BH53&lt;BH$63,ISNUMBER(BH53)=FALSE),BH$64,BH53))))</f>
      </c>
      <c r="BI105" s="9" t="str">
        <f>IF(ISBLANK(BI53),"NO DATA",IF(ISNUMBER(FIND(CODES!$A$12,BI53)),CODES!$A$12,IF(OR(ISNUMBER(FIND(CODES!$A$10,BI53)),ISNUMBER(FIND(CODES!$A$11,BI53))),CODES!$A$13,IF(OR(BI53&lt;BI$63,ISNUMBER(BI53)=FALSE),BI$64,BI53))))</f>
      </c>
      <c r="BJ105" s="9" t="str">
        <f>IF(ISBLANK(BJ53),"NO DATA",IF(ISNUMBER(FIND(CODES!$A$12,BJ53)),CODES!$A$12,IF(OR(ISNUMBER(FIND(CODES!$A$10,BJ53)),ISNUMBER(FIND(CODES!$A$11,BJ53))),CODES!$A$13,IF(OR(BJ53&lt;BJ$63,ISNUMBER(BJ53)=FALSE),BJ$64,BJ53))))</f>
      </c>
      <c r="BK105" s="9" t="str">
        <f>IF(ISBLANK(BK53),"NO DATA",IF(ISNUMBER(FIND(CODES!$A$12,BK53)),CODES!$A$12,IF(OR(ISNUMBER(FIND(CODES!$A$10,BK53)),ISNUMBER(FIND(CODES!$A$11,BK53))),CODES!$A$13,IF(OR(BK53&lt;BK$63,ISNUMBER(BK53)=FALSE),BK$64,BK53))))</f>
      </c>
      <c r="BL105" s="9" t="str">
        <f>IF(ISBLANK(BL53),"NO DATA",IF(ISNUMBER(FIND(CODES!$A$12,BL53)),CODES!$A$12,IF(OR(ISNUMBER(FIND(CODES!$A$10,BL53)),ISNUMBER(FIND(CODES!$A$11,BL53))),CODES!$A$13,IF(OR(BL53&lt;BL$63,ISNUMBER(BL53)=FALSE),BL$64,BL53))))</f>
      </c>
      <c r="BM105" s="9" t="str">
        <f>IF(ISBLANK(BM53),"NO DATA",IF(ISNUMBER(FIND(CODES!$A$12,BM53)),CODES!$A$12,IF(OR(ISNUMBER(FIND(CODES!$A$10,BM53)),ISNUMBER(FIND(CODES!$A$11,BM53))),CODES!$A$13,IF(OR(BM53&lt;BM$63,ISNUMBER(BM53)=FALSE),BM$64,BM53))))</f>
      </c>
      <c r="BN105" s="9" t="str">
        <f>IF(ISBLANK(BN53),"NO DATA",IF(ISNUMBER(FIND(CODES!$A$12,BN53)),CODES!$A$12,IF(OR(ISNUMBER(FIND(CODES!$A$10,BN53)),ISNUMBER(FIND(CODES!$A$11,BN53))),CODES!$A$13,IF(OR(BN53&lt;BN$63,ISNUMBER(BN53)=FALSE),BN$64,BN53))))</f>
      </c>
      <c r="BO105" s="9" t="str">
        <f>IF(ISBLANK(BO53),"NO DATA",IF(ISNUMBER(FIND(CODES!$A$12,BO53)),CODES!$A$12,IF(OR(ISNUMBER(FIND(CODES!$A$10,BO53)),ISNUMBER(FIND(CODES!$A$11,BO53))),CODES!$A$13,IF(OR(BO53&lt;BO$63,ISNUMBER(BO53)=FALSE),BO$64,BO53))))</f>
      </c>
      <c r="BP105" s="9" t="str">
        <f>IF(ISBLANK(BP53),"NO DATA",IF(ISNUMBER(FIND(CODES!$A$12,BP53)),CODES!$A$12,IF(OR(ISNUMBER(FIND(CODES!$A$10,BP53)),ISNUMBER(FIND(CODES!$A$11,BP53))),CODES!$A$13,IF(OR(BP53&lt;BP$63,ISNUMBER(BP53)=FALSE),BP$64,BP53))))</f>
      </c>
      <c r="BQ105" s="9" t="str">
        <f>IF(ISBLANK(BQ53),"NO DATA",IF(ISNUMBER(FIND(CODES!$A$12,BQ53)),CODES!$A$12,IF(OR(ISNUMBER(FIND(CODES!$A$10,BQ53)),ISNUMBER(FIND(CODES!$A$11,BQ53))),CODES!$A$13,IF(OR(BQ53&lt;BQ$63,ISNUMBER(BQ53)=FALSE),BQ$64,BQ53))))</f>
      </c>
      <c r="BR105" s="9" t="str">
        <f>IF(ISBLANK(BR53),"NO DATA",IF(ISNUMBER(FIND(CODES!$A$12,BR53)),CODES!$A$12,IF(OR(ISNUMBER(FIND(CODES!$A$10,BR53)),ISNUMBER(FIND(CODES!$A$11,BR53))),CODES!$A$13,IF(OR(BR53&lt;BR$63,ISNUMBER(BR53)=FALSE),BR$64,BR53))))</f>
      </c>
      <c r="BS105" s="9" t="str">
        <f>IF(ISBLANK(BS53),"NO DATA",IF(ISNUMBER(FIND(CODES!$A$12,BS53)),CODES!$A$12,IF(OR(ISNUMBER(FIND(CODES!$A$10,BS53)),ISNUMBER(FIND(CODES!$A$11,BS53))),CODES!$A$13,IF(OR(BS53&lt;BS$63,ISNUMBER(BS53)=FALSE),BS$64,BS53))))</f>
      </c>
      <c r="BT105" s="9" t="str">
        <f>IF(ISBLANK(BT53),"NO DATA",IF(ISNUMBER(FIND(CODES!$A$12,BT53)),CODES!$A$12,IF(OR(ISNUMBER(FIND(CODES!$A$10,BT53)),ISNUMBER(FIND(CODES!$A$11,BT53))),CODES!$A$13,IF(OR(BT53&lt;BT$63,ISNUMBER(BT53)=FALSE),BT$64,BT53))))</f>
      </c>
      <c r="BU105" s="9" t="str">
        <f>IF(ISBLANK(BU53),"NO DATA",IF(ISNUMBER(FIND(CODES!$A$12,BU53)),CODES!$A$12,IF(OR(ISNUMBER(FIND(CODES!$A$10,BU53)),ISNUMBER(FIND(CODES!$A$11,BU53))),CODES!$A$13,IF(OR(BU53&lt;BU$63,ISNUMBER(BU53)=FALSE),BU$64,BU53))))</f>
      </c>
      <c r="BV105" s="9" t="str">
        <f>IF(ISBLANK(BV53),"NO DATA",IF(ISNUMBER(FIND(CODES!$A$12,BV53)),CODES!$A$12,IF(OR(ISNUMBER(FIND(CODES!$A$10,BV53)),ISNUMBER(FIND(CODES!$A$11,BV53))),CODES!$A$13,IF(OR(BV53&lt;BV$63,ISNUMBER(BV53)=FALSE),BV$64,BV53))))</f>
      </c>
      <c r="BW105" s="9" t="str">
        <f>IF(ISBLANK(BW53),"NO DATA",IF(ISNUMBER(FIND(CODES!$A$12,BW53)),CODES!$A$12,IF(OR(ISNUMBER(FIND(CODES!$A$10,BW53)),ISNUMBER(FIND(CODES!$A$11,BW53))),CODES!$A$13,IF(OR(BW53&lt;BW$63,ISNUMBER(BW53)=FALSE),BW$64,BW53))))</f>
      </c>
      <c r="BX105" s="9" t="str">
        <f>IF(ISBLANK(BX53),"NO DATA",IF(ISNUMBER(FIND(CODES!$A$12,BX53)),CODES!$A$12,IF(OR(ISNUMBER(FIND(CODES!$A$10,BX53)),ISNUMBER(FIND(CODES!$A$11,BX53))),CODES!$A$13,IF(OR(BX53&lt;BX$63,ISNUMBER(BX53)=FALSE),BX$64,BX53))))</f>
      </c>
      <c r="BY105" s="9" t="str">
        <f>IF(ISBLANK(BY53),"NO DATA",IF(ISNUMBER(FIND(CODES!$A$12,BY53)),CODES!$A$12,IF(OR(ISNUMBER(FIND(CODES!$A$10,BY53)),ISNUMBER(FIND(CODES!$A$11,BY53))),CODES!$A$13,IF(OR(BY53&lt;BY$63,ISNUMBER(BY53)=FALSE),BY$64,BY53))))</f>
      </c>
      <c r="BZ105" s="9" t="str">
        <f>IF(ISBLANK(BZ53),"NO DATA",IF(ISNUMBER(FIND(CODES!$A$12,BZ53)),CODES!$A$12,IF(OR(ISNUMBER(FIND(CODES!$A$10,BZ53)),ISNUMBER(FIND(CODES!$A$11,BZ53))),CODES!$A$13,IF(OR(BZ53&lt;BZ$63,ISNUMBER(BZ53)=FALSE),BZ$64,BZ53))))</f>
      </c>
      <c r="CA105" s="9" t="str">
        <f>IF(ISBLANK(CA53),"NO DATA",IF(ISNUMBER(FIND(CODES!$A$12,CA53)),CODES!$A$12,IF(OR(ISNUMBER(FIND(CODES!$A$10,CA53)),ISNUMBER(FIND(CODES!$A$11,CA53))),CODES!$A$13,IF(OR(CA53&lt;CA$63,ISNUMBER(CA53)=FALSE),CA$64,CA53))))</f>
      </c>
      <c r="CB105" s="9" t="str">
        <f>IF(ISBLANK(CB53),"NO DATA",IF(ISNUMBER(FIND(CODES!$A$12,CB53)),CODES!$A$12,IF(OR(ISNUMBER(FIND(CODES!$A$10,CB53)),ISNUMBER(FIND(CODES!$A$11,CB53))),CODES!$A$13,IF(OR(CB53&lt;CB$63,ISNUMBER(CB53)=FALSE),CB$64,CB53))))</f>
      </c>
      <c r="CC105" s="9" t="str">
        <f>IF(ISBLANK(CC53),"NO DATA",IF(ISNUMBER(FIND(CODES!$A$12,CC53)),CODES!$A$12,IF(OR(ISNUMBER(FIND(CODES!$A$10,CC53)),ISNUMBER(FIND(CODES!$A$11,CC53))),CODES!$A$13,IF(OR(CC53&lt;CC$63,ISNUMBER(CC53)=FALSE),CC$64,CC53))))</f>
      </c>
      <c r="CD105" s="9" t="str">
        <f>IF(ISBLANK(CD53),"NO DATA",IF(ISNUMBER(FIND(CODES!$A$12,CD53)),CODES!$A$12,IF(OR(ISNUMBER(FIND(CODES!$A$10,CD53)),ISNUMBER(FIND(CODES!$A$11,CD53))),CODES!$A$13,IF(OR(CD53&lt;CD$63,ISNUMBER(CD53)=FALSE),CD$64,CD53))))</f>
      </c>
      <c r="CE105" s="9" t="str">
        <f>IF(ISBLANK(CE53),"NO DATA",IF(ISNUMBER(FIND(CODES!$A$12,CE53)),CODES!$A$12,IF(OR(ISNUMBER(FIND(CODES!$A$10,CE53)),ISNUMBER(FIND(CODES!$A$11,CE53))),CODES!$A$13,IF(OR(CE53&lt;CE$63,ISNUMBER(CE53)=FALSE),CE$64,CE53))))</f>
      </c>
      <c r="CF105" s="9" t="str">
        <f>IF(ISBLANK(CF53),"NO DATA",IF(ISNUMBER(FIND(CODES!$A$12,CF53)),CODES!$A$12,IF(OR(ISNUMBER(FIND(CODES!$A$10,CF53)),ISNUMBER(FIND(CODES!$A$11,CF53))),CODES!$A$13,IF(OR(CF53&lt;CF$63,ISNUMBER(CF53)=FALSE),CF$64,CF53))))</f>
      </c>
      <c r="CG105" s="9" t="str">
        <f>IF(ISBLANK(CG53),"NO DATA",IF(ISNUMBER(FIND(CODES!$A$12,CG53)),CODES!$A$12,IF(OR(ISNUMBER(FIND(CODES!$A$10,CG53)),ISNUMBER(FIND(CODES!$A$11,CG53))),CODES!$A$13,IF(OR(CG53&lt;CG$63,ISNUMBER(CG53)=FALSE),CG$64,CG53))))</f>
      </c>
      <c r="CH105" s="9" t="str">
        <f>IF(ISBLANK(CH53),"NO DATA",IF(ISNUMBER(FIND(CODES!$A$12,CH53)),CODES!$A$12,IF(OR(ISNUMBER(FIND(CODES!$A$10,CH53)),ISNUMBER(FIND(CODES!$A$11,CH53))),CODES!$A$13,IF(OR(CH53&lt;CH$63,ISNUMBER(CH53)=FALSE),CH$64,CH53))))</f>
      </c>
      <c r="CI105" s="9" t="str">
        <f>IF(ISBLANK(CI53),"NO DATA",IF(ISNUMBER(FIND(CODES!$A$12,CI53)),CODES!$A$12,IF(OR(ISNUMBER(FIND(CODES!$A$10,CI53)),ISNUMBER(FIND(CODES!$A$11,CI53))),CODES!$A$13,IF(OR(CI53&lt;CI$63,ISNUMBER(CI53)=FALSE),CI$64,CI53))))</f>
      </c>
      <c r="CJ105" s="9" t="str">
        <f>IF(ISBLANK(CJ53),"NO DATA",IF(ISNUMBER(FIND(CODES!$A$12,CJ53)),CODES!$A$12,IF(OR(ISNUMBER(FIND(CODES!$A$10,CJ53)),ISNUMBER(FIND(CODES!$A$11,CJ53))),CODES!$A$13,IF(OR(CJ53&lt;CJ$63,ISNUMBER(CJ53)=FALSE),CJ$64,CJ53))))</f>
      </c>
      <c r="CK105" s="9" t="str">
        <f>IF(ISBLANK(CK53),"NO DATA",IF(ISNUMBER(FIND(CODES!$A$12,CK53)),CODES!$A$12,IF(OR(ISNUMBER(FIND(CODES!$A$10,CK53)),ISNUMBER(FIND(CODES!$A$11,CK53))),CODES!$A$13,IF(OR(CK53&lt;CK$63,ISNUMBER(CK53)=FALSE),CK$64,CK53))))</f>
      </c>
      <c r="CL105" s="9" t="str">
        <f>IF(ISBLANK(CL53),"NO DATA",IF(ISNUMBER(FIND(CODES!$A$12,CL53)),CODES!$A$12,IF(OR(ISNUMBER(FIND(CODES!$A$10,CL53)),ISNUMBER(FIND(CODES!$A$11,CL53))),CODES!$A$13,IF(OR(CL53&lt;CL$63,ISNUMBER(CL53)=FALSE),CL$64,CL53))))</f>
      </c>
      <c r="CM105" s="9" t="str">
        <f>IF(ISBLANK(CM53),"NO DATA",IF(ISNUMBER(FIND(CODES!$A$12,CM53)),CODES!$A$12,IF(OR(ISNUMBER(FIND(CODES!$A$10,CM53)),ISNUMBER(FIND(CODES!$A$11,CM53))),CODES!$A$13,IF(OR(CM53&lt;CM$63,ISNUMBER(CM53)=FALSE),CM$64,CM53))))</f>
      </c>
      <c r="CN105" s="9" t="str">
        <f>IF(ISBLANK(CN53),"NO DATA",IF(ISNUMBER(FIND(CODES!$A$12,CN53)),CODES!$A$12,IF(OR(ISNUMBER(FIND(CODES!$A$10,CN53)),ISNUMBER(FIND(CODES!$A$11,CN53))),CODES!$A$13,IF(OR(CN53&lt;CN$63,ISNUMBER(CN53)=FALSE),CN$64,CN53))))</f>
      </c>
      <c r="CO105" s="9" t="str">
        <f>IF(ISBLANK(CO53),"NO DATA",IF(ISNUMBER(FIND(CODES!$A$12,CO53)),CODES!$A$12,IF(OR(ISNUMBER(FIND(CODES!$A$10,CO53)),ISNUMBER(FIND(CODES!$A$11,CO53))),CODES!$A$13,IF(OR(CO53&lt;CO$63,ISNUMBER(CO53)=FALSE),CO$64,CO53))))</f>
      </c>
      <c r="CP105" s="9" t="str">
        <f>IF(ISBLANK(CP53),"NO DATA",IF(ISNUMBER(FIND(CODES!$A$12,CP53)),CODES!$A$12,IF(OR(ISNUMBER(FIND(CODES!$A$10,CP53)),ISNUMBER(FIND(CODES!$A$11,CP53))),CODES!$A$13,IF(OR(CP53&lt;CP$63,ISNUMBER(CP53)=FALSE),CP$64,CP53))))</f>
      </c>
      <c r="CQ105" s="9" t="str">
        <f>IF(ISBLANK(CQ53),"NO DATA",IF(ISNUMBER(FIND(CODES!$A$12,CQ53)),CODES!$A$12,IF(OR(ISNUMBER(FIND(CODES!$A$10,CQ53)),ISNUMBER(FIND(CODES!$A$11,CQ53))),CODES!$A$13,IF(OR(CQ53&lt;CQ$63,ISNUMBER(CQ53)=FALSE),CQ$64,CQ53))))</f>
      </c>
      <c r="CR105" s="9" t="str">
        <f>IF(ISBLANK(CR53),"NO DATA",IF(ISNUMBER(FIND(CODES!$A$12,CR53)),CODES!$A$12,IF(OR(ISNUMBER(FIND(CODES!$A$10,CR53)),ISNUMBER(FIND(CODES!$A$11,CR53))),CODES!$A$13,IF(OR(CR53&lt;CR$63,ISNUMBER(CR53)=FALSE),CR$64,CR53))))</f>
      </c>
      <c r="CS105" s="9" t="str">
        <f>IF(ISBLANK(CS53),"NO DATA",IF(ISNUMBER(FIND(CODES!$A$12,CS53)),CODES!$A$12,IF(OR(ISNUMBER(FIND(CODES!$A$10,CS53)),ISNUMBER(FIND(CODES!$A$11,CS53))),CODES!$A$13,IF(OR(CS53&lt;CS$63,ISNUMBER(CS53)=FALSE),CS$64,CS53))))</f>
      </c>
      <c r="CT105" s="9" t="str">
        <f>IF(ISBLANK(CT53),"NO DATA",IF(ISNUMBER(FIND(CODES!$A$12,CT53)),CODES!$A$12,IF(OR(ISNUMBER(FIND(CODES!$A$10,CT53)),ISNUMBER(FIND(CODES!$A$11,CT53))),CODES!$A$13,IF(OR(CT53&lt;CT$63,ISNUMBER(CT53)=FALSE),CT$64,CT53))))</f>
      </c>
      <c r="CU105" s="9" t="str">
        <f>IF(ISBLANK(CU53),"NO DATA",IF(ISNUMBER(FIND(CODES!$A$12,CU53)),CODES!$A$12,IF(OR(ISNUMBER(FIND(CODES!$A$10,CU53)),ISNUMBER(FIND(CODES!$A$11,CU53))),CODES!$A$13,IF(OR(CU53&lt;CU$63,ISNUMBER(CU53)=FALSE),CU$64,CU53))))</f>
      </c>
      <c r="CV105" s="9" t="str">
        <f>IF(ISBLANK(CV53),"NO DATA",IF(ISNUMBER(FIND(CODES!$A$12,CV53)),CODES!$A$12,IF(OR(ISNUMBER(FIND(CODES!$A$10,CV53)),ISNUMBER(FIND(CODES!$A$11,CV53))),CODES!$A$13,IF(OR(CV53&lt;CV$63,ISNUMBER(CV53)=FALSE),CV$64,CV53))))</f>
      </c>
      <c r="CW105" s="9" t="str">
        <f>IF(ISBLANK(CW53),"NO DATA",IF(ISNUMBER(FIND(CODES!$A$12,CW53)),CODES!$A$12,IF(OR(ISNUMBER(FIND(CODES!$A$10,CW53)),ISNUMBER(FIND(CODES!$A$11,CW53))),CODES!$A$13,IF(OR(CW53&lt;CW$63,ISNUMBER(CW53)=FALSE),CW$64,CW53))))</f>
      </c>
      <c r="CX105" s="9" t="str">
        <f>IF(ISBLANK(CX53),"NO DATA",IF(ISNUMBER(FIND(CODES!$A$12,CX53)),CODES!$A$12,IF(OR(ISNUMBER(FIND(CODES!$A$10,CX53)),ISNUMBER(FIND(CODES!$A$11,CX53))),CODES!$A$13,IF(OR(CX53&lt;CX$63,ISNUMBER(CX53)=FALSE),CX$64,CX53))))</f>
      </c>
      <c r="CY105" s="9" t="str">
        <f>IF(ISBLANK(CY53),"NO DATA",IF(ISNUMBER(FIND(CODES!$A$12,CY53)),CODES!$A$12,IF(OR(ISNUMBER(FIND(CODES!$A$10,CY53)),ISNUMBER(FIND(CODES!$A$11,CY53))),CODES!$A$13,IF(OR(CY53&lt;CY$63,ISNUMBER(CY53)=FALSE),CY$64,CY53))))</f>
      </c>
      <c r="CZ105" s="9" t="str">
        <f>IF(ISBLANK(CZ53),"NO DATA",IF(ISNUMBER(FIND(CODES!$A$12,CZ53)),CODES!$A$12,IF(OR(ISNUMBER(FIND(CODES!$A$10,CZ53)),ISNUMBER(FIND(CODES!$A$11,CZ53))),CODES!$A$13,IF(OR(CZ53&lt;CZ$63,ISNUMBER(CZ53)=FALSE),CZ$64,CZ53))))</f>
      </c>
      <c r="DA105" s="9" t="str">
        <f>IF(ISBLANK(DA53),"NO DATA",IF(ISNUMBER(FIND(CODES!$A$12,DA53)),CODES!$A$12,IF(OR(ISNUMBER(FIND(CODES!$A$10,DA53)),ISNUMBER(FIND(CODES!$A$11,DA53))),CODES!$A$13,IF(OR(DA53&lt;DA$63,ISNUMBER(DA53)=FALSE),DA$64,DA53))))</f>
      </c>
      <c r="DB105" s="9" t="str">
        <f>IF(ISBLANK(DB53),"NO DATA",IF(ISNUMBER(FIND(CODES!$A$12,DB53)),CODES!$A$12,IF(OR(ISNUMBER(FIND(CODES!$A$10,DB53)),ISNUMBER(FIND(CODES!$A$11,DB53))),CODES!$A$13,IF(OR(DB53&lt;DB$63,ISNUMBER(DB53)=FALSE),DB$64,DB53))))</f>
      </c>
      <c r="DC105" s="9" t="str">
        <f>IF(ISBLANK(DC53),"NO DATA",IF(ISNUMBER(FIND(CODES!$A$12,DC53)),CODES!$A$12,IF(OR(ISNUMBER(FIND(CODES!$A$10,DC53)),ISNUMBER(FIND(CODES!$A$11,DC53))),CODES!$A$13,IF(OR(DC53&lt;DC$63,ISNUMBER(DC53)=FALSE),DC$64,DC53))))</f>
      </c>
      <c r="DD105" s="9" t="str">
        <f>IF(ISBLANK(DD53),"NO DATA",IF(ISNUMBER(FIND(CODES!$A$12,DD53)),CODES!$A$12,IF(OR(ISNUMBER(FIND(CODES!$A$10,DD53)),ISNUMBER(FIND(CODES!$A$11,DD53))),CODES!$A$13,IF(OR(DD53&lt;DD$63,ISNUMBER(DD53)=FALSE),DD$64,DD53))))</f>
      </c>
      <c r="DE105" s="9" t="str">
        <f>IF(ISBLANK(DE53),"NO DATA",IF(ISNUMBER(FIND(CODES!$A$12,DE53)),CODES!$A$12,IF(OR(ISNUMBER(FIND(CODES!$A$10,DE53)),ISNUMBER(FIND(CODES!$A$11,DE53))),CODES!$A$13,IF(OR(DE53&lt;DE$63,ISNUMBER(DE53)=FALSE),DE$64,DE53))))</f>
      </c>
      <c r="DF105" s="9" t="str">
        <f>IF(ISBLANK(DF53),"NO DATA",IF(ISNUMBER(FIND(CODES!$A$12,DF53)),CODES!$A$12,IF(OR(ISNUMBER(FIND(CODES!$A$10,DF53)),ISNUMBER(FIND(CODES!$A$11,DF53))),CODES!$A$13,IF(OR(DF53&lt;DF$63,ISNUMBER(DF53)=FALSE),DF$64,DF53))))</f>
      </c>
      <c r="DG105" s="9" t="str">
        <f>IF(ISBLANK(DG53),"NO DATA",IF(ISNUMBER(FIND(CODES!$A$12,DG53)),CODES!$A$12,IF(OR(ISNUMBER(FIND(CODES!$A$10,DG53)),ISNUMBER(FIND(CODES!$A$11,DG53))),CODES!$A$13,IF(OR(DG53&lt;DG$63,ISNUMBER(DG53)=FALSE),DG$64,DG53))))</f>
      </c>
      <c r="DH105" s="9" t="str">
        <f>IF(ISBLANK(DH53),"NO DATA",IF(ISNUMBER(FIND(CODES!$A$12,DH53)),CODES!$A$12,IF(OR(ISNUMBER(FIND(CODES!$A$10,DH53)),ISNUMBER(FIND(CODES!$A$11,DH53))),CODES!$A$13,IF(OR(DH53&lt;DH$63,ISNUMBER(DH53)=FALSE),DH$64,DH53))))</f>
      </c>
      <c r="DI105" s="9" t="str">
        <f>IF(ISBLANK(DI53),"NO DATA",IF(ISNUMBER(FIND(CODES!$A$12,DI53)),CODES!$A$12,IF(OR(ISNUMBER(FIND(CODES!$A$10,DI53)),ISNUMBER(FIND(CODES!$A$11,DI53))),CODES!$A$13,IF(OR(DI53&lt;DI$63,ISNUMBER(DI53)=FALSE),DI$64,DI53))))</f>
      </c>
    </row>
    <row r="106" spans="1:113" x14ac:dyDescent="0.25">
      <c r="A106" s="20" t="str">
        <f t="shared" si="5"/>
      </c>
      <c r="B106" s="20">
        <f t="shared" si="5"/>
      </c>
      <c r="C106" s="9" t="str">
        <f>IF(ISBLANK(C54),"NO DATA",IF(ISNUMBER(FIND(CODES!$A$12,C54)),CODES!$A$12,IF(OR(ISNUMBER(FIND(CODES!$A$10,C54)),ISNUMBER(FIND(CODES!$A$11,C54))),CODES!$A$13,IF(OR(C54&lt;C$63,ISNUMBER(C54)=FALSE),C$64,C54))))</f>
      </c>
      <c r="D106" s="9" t="str">
        <f>IF(ISBLANK(D54),"NO DATA",IF(ISNUMBER(FIND(CODES!$A$12,D54)),CODES!$A$12,IF(OR(ISNUMBER(FIND(CODES!$A$10,D54)),ISNUMBER(FIND(CODES!$A$11,D54))),CODES!$A$13,IF(OR(D54&lt;D$63,ISNUMBER(D54)=FALSE),D$64,D54))))</f>
      </c>
      <c r="E106" s="9" t="str">
        <f>IF(ISBLANK(E54),"NO DATA",IF(ISNUMBER(FIND(CODES!$A$12,E54)),CODES!$A$12,IF(OR(ISNUMBER(FIND(CODES!$A$10,E54)),ISNUMBER(FIND(CODES!$A$11,E54))),CODES!$A$13,IF(OR(E54&lt;E$63,ISNUMBER(E54)=FALSE),E$64,E54))))</f>
      </c>
      <c r="F106" s="9" t="str">
        <f>IF(ISBLANK(F54),"NO DATA",IF(ISNUMBER(FIND(CODES!$A$12,F54)),CODES!$A$12,IF(OR(ISNUMBER(FIND(CODES!$A$10,F54)),ISNUMBER(FIND(CODES!$A$11,F54))),CODES!$A$13,IF(OR(F54&lt;F$63,ISNUMBER(F54)=FALSE),F$64,F54))))</f>
      </c>
      <c r="G106" s="9" t="str">
        <f>IF(ISBLANK(G54),"NO DATA",IF(ISNUMBER(FIND(CODES!$A$12,G54)),CODES!$A$12,IF(OR(ISNUMBER(FIND(CODES!$A$10,G54)),ISNUMBER(FIND(CODES!$A$11,G54))),CODES!$A$13,IF(OR(G54&lt;G$63,ISNUMBER(G54)=FALSE),G$64,G54))))</f>
      </c>
      <c r="H106" s="9" t="str">
        <f>IF(ISBLANK(H54),"NO DATA",IF(ISNUMBER(FIND(CODES!$A$12,H54)),CODES!$A$12,IF(OR(ISNUMBER(FIND(CODES!$A$10,H54)),ISNUMBER(FIND(CODES!$A$11,H54))),CODES!$A$13,IF(OR(H54&lt;H$63,ISNUMBER(H54)=FALSE),H$64,H54))))</f>
      </c>
      <c r="I106" s="9" t="str">
        <f>IF(ISBLANK(I54),"NO DATA",IF(ISNUMBER(FIND(CODES!$A$12,I54)),CODES!$A$12,IF(OR(ISNUMBER(FIND(CODES!$A$10,I54)),ISNUMBER(FIND(CODES!$A$11,I54))),CODES!$A$13,IF(OR(I54&lt;I$63,ISNUMBER(I54)=FALSE),I$64,I54))))</f>
      </c>
      <c r="J106" s="9" t="str">
        <f>IF(ISBLANK(J54),"NO DATA",IF(ISNUMBER(FIND(CODES!$A$12,J54)),CODES!$A$12,IF(OR(ISNUMBER(FIND(CODES!$A$10,J54)),ISNUMBER(FIND(CODES!$A$11,J54))),CODES!$A$13,IF(OR(J54&lt;J$63,ISNUMBER(J54)=FALSE),J$64,J54))))</f>
      </c>
      <c r="K106" s="9" t="str">
        <f>IF(ISBLANK(K54),"NO DATA",IF(ISNUMBER(FIND(CODES!$A$12,K54)),CODES!$A$12,IF(OR(ISNUMBER(FIND(CODES!$A$10,K54)),ISNUMBER(FIND(CODES!$A$11,K54))),CODES!$A$13,IF(OR(K54&lt;K$63,ISNUMBER(K54)=FALSE),K$64,K54))))</f>
      </c>
      <c r="L106" s="9" t="str">
        <f>IF(ISBLANK(L54),"NO DATA",IF(ISNUMBER(FIND(CODES!$A$12,L54)),CODES!$A$12,IF(OR(ISNUMBER(FIND(CODES!$A$10,L54)),ISNUMBER(FIND(CODES!$A$11,L54))),CODES!$A$13,IF(OR(L54&lt;L$63,ISNUMBER(L54)=FALSE),L$64,L54))))</f>
      </c>
      <c r="M106" s="9" t="str">
        <f>IF(ISBLANK(M54),"NO DATA",IF(ISNUMBER(FIND(CODES!$A$12,M54)),CODES!$A$12,IF(OR(ISNUMBER(FIND(CODES!$A$10,M54)),ISNUMBER(FIND(CODES!$A$11,M54))),CODES!$A$13,IF(OR(M54&lt;M$63,ISNUMBER(M54)=FALSE),M$64,M54))))</f>
      </c>
      <c r="N106" s="9" t="str">
        <f>IF(ISBLANK(N54),"NO DATA",IF(ISNUMBER(FIND(CODES!$A$12,N54)),CODES!$A$12,IF(OR(ISNUMBER(FIND(CODES!$A$10,N54)),ISNUMBER(FIND(CODES!$A$11,N54))),CODES!$A$13,IF(OR(N54&lt;N$63,ISNUMBER(N54)=FALSE),N$64,N54))))</f>
      </c>
      <c r="O106" s="9" t="str">
        <f>IF(ISBLANK(O54),"NO DATA",IF(ISNUMBER(FIND(CODES!$A$12,O54)),CODES!$A$12,IF(OR(ISNUMBER(FIND(CODES!$A$10,O54)),ISNUMBER(FIND(CODES!$A$11,O54))),CODES!$A$13,IF(OR(O54&lt;O$63,ISNUMBER(O54)=FALSE),O$64,O54))))</f>
      </c>
      <c r="P106" s="9" t="str">
        <f>IF(ISBLANK(P54),"NO DATA",IF(ISNUMBER(FIND(CODES!$A$12,P54)),CODES!$A$12,IF(OR(ISNUMBER(FIND(CODES!$A$10,P54)),ISNUMBER(FIND(CODES!$A$11,P54))),CODES!$A$13,IF(OR(P54&lt;P$63,ISNUMBER(P54)=FALSE),P$64,P54))))</f>
      </c>
      <c r="Q106" s="9" t="str">
        <f>IF(ISBLANK(Q54),"NO DATA",IF(ISNUMBER(FIND(CODES!$A$12,Q54)),CODES!$A$12,IF(OR(ISNUMBER(FIND(CODES!$A$10,Q54)),ISNUMBER(FIND(CODES!$A$11,Q54))),CODES!$A$13,IF(OR(Q54&lt;Q$63,ISNUMBER(Q54)=FALSE),Q$64,Q54))))</f>
      </c>
      <c r="R106" s="9" t="str">
        <f>IF(ISBLANK(R54),"NO DATA",IF(ISNUMBER(FIND(CODES!$A$12,R54)),CODES!$A$12,IF(OR(ISNUMBER(FIND(CODES!$A$10,R54)),ISNUMBER(FIND(CODES!$A$11,R54))),CODES!$A$13,IF(OR(R54&lt;R$63,ISNUMBER(R54)=FALSE),R$64,R54))))</f>
      </c>
      <c r="S106" s="9" t="str">
        <f>IF(ISBLANK(S54),"NO DATA",IF(ISNUMBER(FIND(CODES!$A$12,S54)),CODES!$A$12,IF(OR(ISNUMBER(FIND(CODES!$A$10,S54)),ISNUMBER(FIND(CODES!$A$11,S54))),CODES!$A$13,IF(OR(S54&lt;S$63,ISNUMBER(S54)=FALSE),S$64,S54))))</f>
      </c>
      <c r="T106" s="9" t="str">
        <f>IF(ISBLANK(T54),"NO DATA",IF(ISNUMBER(FIND(CODES!$A$12,T54)),CODES!$A$12,IF(OR(ISNUMBER(FIND(CODES!$A$10,T54)),ISNUMBER(FIND(CODES!$A$11,T54))),CODES!$A$13,IF(OR(T54&lt;T$63,ISNUMBER(T54)=FALSE),T$64,T54))))</f>
      </c>
      <c r="U106" s="9" t="str">
        <f>IF(ISBLANK(U54),"NO DATA",IF(ISNUMBER(FIND(CODES!$A$12,U54)),CODES!$A$12,IF(OR(ISNUMBER(FIND(CODES!$A$10,U54)),ISNUMBER(FIND(CODES!$A$11,U54))),CODES!$A$13,IF(OR(U54&lt;U$63,ISNUMBER(U54)=FALSE),U$64,U54))))</f>
      </c>
      <c r="V106" s="9" t="str">
        <f>IF(ISBLANK(V54),"NO DATA",IF(ISNUMBER(FIND(CODES!$A$12,V54)),CODES!$A$12,IF(OR(ISNUMBER(FIND(CODES!$A$10,V54)),ISNUMBER(FIND(CODES!$A$11,V54))),CODES!$A$13,IF(OR(V54&lt;V$63,ISNUMBER(V54)=FALSE),V$64,V54))))</f>
      </c>
      <c r="W106" s="9" t="str">
        <f>IF(ISBLANK(W54),"NO DATA",IF(ISNUMBER(FIND(CODES!$A$12,W54)),CODES!$A$12,IF(OR(ISNUMBER(FIND(CODES!$A$10,W54)),ISNUMBER(FIND(CODES!$A$11,W54))),CODES!$A$13,IF(OR(W54&lt;W$63,ISNUMBER(W54)=FALSE),W$64,W54))))</f>
      </c>
      <c r="X106" s="9" t="str">
        <f>IF(ISBLANK(X54),"NO DATA",IF(ISNUMBER(FIND(CODES!$A$12,X54)),CODES!$A$12,IF(OR(ISNUMBER(FIND(CODES!$A$10,X54)),ISNUMBER(FIND(CODES!$A$11,X54))),CODES!$A$13,IF(OR(X54&lt;X$63,ISNUMBER(X54)=FALSE),X$64,X54))))</f>
      </c>
      <c r="Y106" s="9" t="str">
        <f>IF(ISBLANK(Y54),"NO DATA",IF(ISNUMBER(FIND(CODES!$A$12,Y54)),CODES!$A$12,IF(OR(ISNUMBER(FIND(CODES!$A$10,Y54)),ISNUMBER(FIND(CODES!$A$11,Y54))),CODES!$A$13,IF(OR(Y54&lt;Y$63,ISNUMBER(Y54)=FALSE),Y$64,Y54))))</f>
      </c>
      <c r="Z106" s="9" t="str">
        <f>IF(ISBLANK(Z54),"NO DATA",IF(ISNUMBER(FIND(CODES!$A$12,Z54)),CODES!$A$12,IF(OR(ISNUMBER(FIND(CODES!$A$10,Z54)),ISNUMBER(FIND(CODES!$A$11,Z54))),CODES!$A$13,IF(OR(Z54&lt;Z$63,ISNUMBER(Z54)=FALSE),Z$64,Z54))))</f>
      </c>
      <c r="AA106" s="9" t="str">
        <f>IF(ISBLANK(AA54),"NO DATA",IF(ISNUMBER(FIND(CODES!$A$12,AA54)),CODES!$A$12,IF(OR(ISNUMBER(FIND(CODES!$A$10,AA54)),ISNUMBER(FIND(CODES!$A$11,AA54))),CODES!$A$13,IF(OR(AA54&lt;AA$63,ISNUMBER(AA54)=FALSE),AA$64,AA54))))</f>
      </c>
      <c r="AB106" s="9" t="str">
        <f>IF(ISBLANK(AB54),"NO DATA",IF(ISNUMBER(FIND(CODES!$A$12,AB54)),CODES!$A$12,IF(OR(ISNUMBER(FIND(CODES!$A$10,AB54)),ISNUMBER(FIND(CODES!$A$11,AB54))),CODES!$A$13,IF(OR(AB54&lt;AB$63,ISNUMBER(AB54)=FALSE),AB$64,AB54))))</f>
      </c>
      <c r="AC106" s="9" t="str">
        <f>IF(ISBLANK(AC54),"NO DATA",IF(ISNUMBER(FIND(CODES!$A$12,AC54)),CODES!$A$12,IF(OR(ISNUMBER(FIND(CODES!$A$10,AC54)),ISNUMBER(FIND(CODES!$A$11,AC54))),CODES!$A$13,IF(OR(AC54&lt;AC$63,ISNUMBER(AC54)=FALSE),AC$64,AC54))))</f>
      </c>
      <c r="AD106" s="9" t="str">
        <f>IF(ISBLANK(AD54),"NO DATA",IF(ISNUMBER(FIND(CODES!$A$12,AD54)),CODES!$A$12,IF(OR(ISNUMBER(FIND(CODES!$A$10,AD54)),ISNUMBER(FIND(CODES!$A$11,AD54))),CODES!$A$13,IF(OR(AD54&lt;AD$63,ISNUMBER(AD54)=FALSE),AD$64,AD54))))</f>
      </c>
      <c r="AE106" s="9" t="str">
        <f>IF(ISBLANK(AE54),"NO DATA",IF(ISNUMBER(FIND(CODES!$A$12,AE54)),CODES!$A$12,IF(OR(ISNUMBER(FIND(CODES!$A$10,AE54)),ISNUMBER(FIND(CODES!$A$11,AE54))),CODES!$A$13,IF(OR(AE54&lt;AE$63,ISNUMBER(AE54)=FALSE),AE$64,AE54))))</f>
      </c>
      <c r="AF106" s="9" t="str">
        <f>IF(ISBLANK(AF54),"NO DATA",IF(ISNUMBER(FIND(CODES!$A$12,AF54)),CODES!$A$12,IF(OR(ISNUMBER(FIND(CODES!$A$10,AF54)),ISNUMBER(FIND(CODES!$A$11,AF54))),CODES!$A$13,IF(OR(AF54&lt;AF$63,ISNUMBER(AF54)=FALSE),AF$64,AF54))))</f>
      </c>
      <c r="AG106" s="9" t="str">
        <f>IF(ISBLANK(AG54),"NO DATA",IF(ISNUMBER(FIND(CODES!$A$12,AG54)),CODES!$A$12,IF(OR(ISNUMBER(FIND(CODES!$A$10,AG54)),ISNUMBER(FIND(CODES!$A$11,AG54))),CODES!$A$13,IF(OR(AG54&lt;AG$63,ISNUMBER(AG54)=FALSE),AG$64,AG54))))</f>
      </c>
      <c r="AH106" s="9" t="str">
        <f>IF(ISBLANK(AH54),"NO DATA",IF(ISNUMBER(FIND(CODES!$A$12,AH54)),CODES!$A$12,IF(OR(ISNUMBER(FIND(CODES!$A$10,AH54)),ISNUMBER(FIND(CODES!$A$11,AH54))),CODES!$A$13,IF(OR(AH54&lt;AH$63,ISNUMBER(AH54)=FALSE),AH$64,AH54))))</f>
      </c>
      <c r="AI106" s="9" t="str">
        <f>IF(ISBLANK(AI54),"NO DATA",IF(ISNUMBER(FIND(CODES!$A$12,AI54)),CODES!$A$12,IF(OR(ISNUMBER(FIND(CODES!$A$10,AI54)),ISNUMBER(FIND(CODES!$A$11,AI54))),CODES!$A$13,IF(OR(AI54&lt;AI$63,ISNUMBER(AI54)=FALSE),AI$64,AI54))))</f>
      </c>
      <c r="AJ106" s="9" t="str">
        <f>IF(ISBLANK(AJ54),"NO DATA",IF(ISNUMBER(FIND(CODES!$A$12,AJ54)),CODES!$A$12,IF(OR(ISNUMBER(FIND(CODES!$A$10,AJ54)),ISNUMBER(FIND(CODES!$A$11,AJ54))),CODES!$A$13,IF(OR(AJ54&lt;AJ$63,ISNUMBER(AJ54)=FALSE),AJ$64,AJ54))))</f>
      </c>
      <c r="AK106" s="9" t="str">
        <f>IF(ISBLANK(AK54),"NO DATA",IF(ISNUMBER(FIND(CODES!$A$12,AK54)),CODES!$A$12,IF(OR(ISNUMBER(FIND(CODES!$A$10,AK54)),ISNUMBER(FIND(CODES!$A$11,AK54))),CODES!$A$13,IF(OR(AK54&lt;AK$63,ISNUMBER(AK54)=FALSE),AK$64,AK54))))</f>
      </c>
      <c r="AL106" s="9" t="str">
        <f>IF(ISBLANK(AL54),"NO DATA",IF(ISNUMBER(FIND(CODES!$A$12,AL54)),CODES!$A$12,IF(OR(ISNUMBER(FIND(CODES!$A$10,AL54)),ISNUMBER(FIND(CODES!$A$11,AL54))),CODES!$A$13,IF(OR(AL54&lt;AL$63,ISNUMBER(AL54)=FALSE),AL$64,AL54))))</f>
      </c>
      <c r="AM106" s="9" t="str">
        <f>IF(ISBLANK(AM54),"NO DATA",IF(ISNUMBER(FIND(CODES!$A$12,AM54)),CODES!$A$12,IF(OR(ISNUMBER(FIND(CODES!$A$10,AM54)),ISNUMBER(FIND(CODES!$A$11,AM54))),CODES!$A$13,IF(OR(AM54&lt;AM$63,ISNUMBER(AM54)=FALSE),AM$64,AM54))))</f>
      </c>
      <c r="AN106" s="9" t="str">
        <f>IF(ISBLANK(AN54),"NO DATA",IF(ISNUMBER(FIND(CODES!$A$12,AN54)),CODES!$A$12,IF(OR(ISNUMBER(FIND(CODES!$A$10,AN54)),ISNUMBER(FIND(CODES!$A$11,AN54))),CODES!$A$13,IF(OR(AN54&lt;AN$63,ISNUMBER(AN54)=FALSE),AN$64,AN54))))</f>
      </c>
      <c r="AO106" s="9" t="str">
        <f>IF(ISBLANK(AO54),"NO DATA",IF(ISNUMBER(FIND(CODES!$A$12,AO54)),CODES!$A$12,IF(OR(ISNUMBER(FIND(CODES!$A$10,AO54)),ISNUMBER(FIND(CODES!$A$11,AO54))),CODES!$A$13,IF(OR(AO54&lt;AO$63,ISNUMBER(AO54)=FALSE),AO$64,AO54))))</f>
      </c>
      <c r="AP106" s="9" t="str">
        <f>IF(ISBLANK(AP54),"NO DATA",IF(ISNUMBER(FIND(CODES!$A$12,AP54)),CODES!$A$12,IF(OR(ISNUMBER(FIND(CODES!$A$10,AP54)),ISNUMBER(FIND(CODES!$A$11,AP54))),CODES!$A$13,IF(OR(AP54&lt;AP$63,ISNUMBER(AP54)=FALSE),AP$64,AP54))))</f>
      </c>
      <c r="AQ106" s="9" t="str">
        <f>IF(ISBLANK(AQ54),"NO DATA",IF(ISNUMBER(FIND(CODES!$A$12,AQ54)),CODES!$A$12,IF(OR(ISNUMBER(FIND(CODES!$A$10,AQ54)),ISNUMBER(FIND(CODES!$A$11,AQ54))),CODES!$A$13,IF(OR(AQ54&lt;AQ$63,ISNUMBER(AQ54)=FALSE),AQ$64,AQ54))))</f>
      </c>
      <c r="AR106" s="9" t="str">
        <f>IF(ISBLANK(AR54),"NO DATA",IF(ISNUMBER(FIND(CODES!$A$12,AR54)),CODES!$A$12,IF(OR(ISNUMBER(FIND(CODES!$A$10,AR54)),ISNUMBER(FIND(CODES!$A$11,AR54))),CODES!$A$13,IF(OR(AR54&lt;AR$63,ISNUMBER(AR54)=FALSE),AR$64,AR54))))</f>
      </c>
      <c r="AS106" s="9" t="str">
        <f>IF(ISBLANK(AS54),"NO DATA",IF(ISNUMBER(FIND(CODES!$A$12,AS54)),CODES!$A$12,IF(OR(ISNUMBER(FIND(CODES!$A$10,AS54)),ISNUMBER(FIND(CODES!$A$11,AS54))),CODES!$A$13,IF(OR(AS54&lt;AS$63,ISNUMBER(AS54)=FALSE),AS$64,AS54))))</f>
      </c>
      <c r="AT106" s="9" t="str">
        <f>IF(ISBLANK(AT54),"NO DATA",IF(ISNUMBER(FIND(CODES!$A$12,AT54)),CODES!$A$12,IF(OR(ISNUMBER(FIND(CODES!$A$10,AT54)),ISNUMBER(FIND(CODES!$A$11,AT54))),CODES!$A$13,IF(OR(AT54&lt;AT$63,ISNUMBER(AT54)=FALSE),AT$64,AT54))))</f>
      </c>
      <c r="AU106" s="9" t="str">
        <f>IF(ISBLANK(AU54),"NO DATA",IF(ISNUMBER(FIND(CODES!$A$12,AU54)),CODES!$A$12,IF(OR(ISNUMBER(FIND(CODES!$A$10,AU54)),ISNUMBER(FIND(CODES!$A$11,AU54))),CODES!$A$13,IF(OR(AU54&lt;AU$63,ISNUMBER(AU54)=FALSE),AU$64,AU54))))</f>
      </c>
      <c r="AV106" s="9" t="str">
        <f>IF(ISBLANK(AV54),"NO DATA",IF(ISNUMBER(FIND(CODES!$A$12,AV54)),CODES!$A$12,IF(OR(ISNUMBER(FIND(CODES!$A$10,AV54)),ISNUMBER(FIND(CODES!$A$11,AV54))),CODES!$A$13,IF(OR(AV54&lt;AV$63,ISNUMBER(AV54)=FALSE),AV$64,AV54))))</f>
      </c>
      <c r="AW106" s="9" t="str">
        <f>IF(ISBLANK(AW54),"NO DATA",IF(ISNUMBER(FIND(CODES!$A$12,AW54)),CODES!$A$12,IF(OR(ISNUMBER(FIND(CODES!$A$10,AW54)),ISNUMBER(FIND(CODES!$A$11,AW54))),CODES!$A$13,IF(OR(AW54&lt;AW$63,ISNUMBER(AW54)=FALSE),AW$64,AW54))))</f>
      </c>
      <c r="AX106" s="9" t="str">
        <f>IF(ISBLANK(AX54),"NO DATA",IF(ISNUMBER(FIND(CODES!$A$12,AX54)),CODES!$A$12,IF(OR(ISNUMBER(FIND(CODES!$A$10,AX54)),ISNUMBER(FIND(CODES!$A$11,AX54))),CODES!$A$13,IF(OR(AX54&lt;AX$63,ISNUMBER(AX54)=FALSE),AX$64,AX54))))</f>
      </c>
      <c r="AY106" s="9" t="str">
        <f>IF(ISBLANK(AY54),"NO DATA",IF(ISNUMBER(FIND(CODES!$A$12,AY54)),CODES!$A$12,IF(OR(ISNUMBER(FIND(CODES!$A$10,AY54)),ISNUMBER(FIND(CODES!$A$11,AY54))),CODES!$A$13,IF(OR(AY54&lt;AY$63,ISNUMBER(AY54)=FALSE),AY$64,AY54))))</f>
      </c>
      <c r="AZ106" s="9" t="str">
        <f>IF(ISBLANK(AZ54),"NO DATA",IF(ISNUMBER(FIND(CODES!$A$12,AZ54)),CODES!$A$12,IF(OR(ISNUMBER(FIND(CODES!$A$10,AZ54)),ISNUMBER(FIND(CODES!$A$11,AZ54))),CODES!$A$13,IF(OR(AZ54&lt;AZ$63,ISNUMBER(AZ54)=FALSE),AZ$64,AZ54))))</f>
      </c>
      <c r="BA106" s="9" t="str">
        <f>IF(ISBLANK(BA54),"NO DATA",IF(ISNUMBER(FIND(CODES!$A$12,BA54)),CODES!$A$12,IF(OR(ISNUMBER(FIND(CODES!$A$10,BA54)),ISNUMBER(FIND(CODES!$A$11,BA54))),CODES!$A$13,IF(OR(BA54&lt;BA$63,ISNUMBER(BA54)=FALSE),BA$64,BA54))))</f>
      </c>
      <c r="BB106" s="9" t="str">
        <f>IF(ISBLANK(BB54),"NO DATA",IF(ISNUMBER(FIND(CODES!$A$12,BB54)),CODES!$A$12,IF(OR(ISNUMBER(FIND(CODES!$A$10,BB54)),ISNUMBER(FIND(CODES!$A$11,BB54))),CODES!$A$13,IF(OR(BB54&lt;BB$63,ISNUMBER(BB54)=FALSE),BB$64,BB54))))</f>
      </c>
      <c r="BC106" s="9" t="str">
        <f>IF(ISBLANK(BC54),"NO DATA",IF(ISNUMBER(FIND(CODES!$A$12,BC54)),CODES!$A$12,IF(OR(ISNUMBER(FIND(CODES!$A$10,BC54)),ISNUMBER(FIND(CODES!$A$11,BC54))),CODES!$A$13,IF(OR(BC54&lt;BC$63,ISNUMBER(BC54)=FALSE),BC$64,BC54))))</f>
      </c>
      <c r="BD106" s="9" t="str">
        <f>IF(ISBLANK(BD54),"NO DATA",IF(ISNUMBER(FIND(CODES!$A$12,BD54)),CODES!$A$12,IF(OR(ISNUMBER(FIND(CODES!$A$10,BD54)),ISNUMBER(FIND(CODES!$A$11,BD54))),CODES!$A$13,IF(OR(BD54&lt;BD$63,ISNUMBER(BD54)=FALSE),BD$64,BD54))))</f>
      </c>
      <c r="BE106" s="9" t="str">
        <f>IF(ISBLANK(BE54),"NO DATA",IF(ISNUMBER(FIND(CODES!$A$12,BE54)),CODES!$A$12,IF(OR(ISNUMBER(FIND(CODES!$A$10,BE54)),ISNUMBER(FIND(CODES!$A$11,BE54))),CODES!$A$13,IF(OR(BE54&lt;BE$63,ISNUMBER(BE54)=FALSE),BE$64,BE54))))</f>
      </c>
      <c r="BF106" s="9" t="str">
        <f>IF(ISBLANK(BF54),"NO DATA",IF(ISNUMBER(FIND(CODES!$A$12,BF54)),CODES!$A$12,IF(OR(ISNUMBER(FIND(CODES!$A$10,BF54)),ISNUMBER(FIND(CODES!$A$11,BF54))),CODES!$A$13,IF(OR(BF54&lt;BF$63,ISNUMBER(BF54)=FALSE),BF$64,BF54))))</f>
      </c>
      <c r="BG106" s="9" t="str">
        <f>IF(ISBLANK(BG54),"NO DATA",IF(ISNUMBER(FIND(CODES!$A$12,BG54)),CODES!$A$12,IF(OR(ISNUMBER(FIND(CODES!$A$10,BG54)),ISNUMBER(FIND(CODES!$A$11,BG54))),CODES!$A$13,IF(OR(BG54&lt;BG$63,ISNUMBER(BG54)=FALSE),BG$64,BG54))))</f>
      </c>
      <c r="BH106" s="9" t="str">
        <f>IF(ISBLANK(BH54),"NO DATA",IF(ISNUMBER(FIND(CODES!$A$12,BH54)),CODES!$A$12,IF(OR(ISNUMBER(FIND(CODES!$A$10,BH54)),ISNUMBER(FIND(CODES!$A$11,BH54))),CODES!$A$13,IF(OR(BH54&lt;BH$63,ISNUMBER(BH54)=FALSE),BH$64,BH54))))</f>
      </c>
      <c r="BI106" s="9" t="str">
        <f>IF(ISBLANK(BI54),"NO DATA",IF(ISNUMBER(FIND(CODES!$A$12,BI54)),CODES!$A$12,IF(OR(ISNUMBER(FIND(CODES!$A$10,BI54)),ISNUMBER(FIND(CODES!$A$11,BI54))),CODES!$A$13,IF(OR(BI54&lt;BI$63,ISNUMBER(BI54)=FALSE),BI$64,BI54))))</f>
      </c>
      <c r="BJ106" s="9" t="str">
        <f>IF(ISBLANK(BJ54),"NO DATA",IF(ISNUMBER(FIND(CODES!$A$12,BJ54)),CODES!$A$12,IF(OR(ISNUMBER(FIND(CODES!$A$10,BJ54)),ISNUMBER(FIND(CODES!$A$11,BJ54))),CODES!$A$13,IF(OR(BJ54&lt;BJ$63,ISNUMBER(BJ54)=FALSE),BJ$64,BJ54))))</f>
      </c>
      <c r="BK106" s="9" t="str">
        <f>IF(ISBLANK(BK54),"NO DATA",IF(ISNUMBER(FIND(CODES!$A$12,BK54)),CODES!$A$12,IF(OR(ISNUMBER(FIND(CODES!$A$10,BK54)),ISNUMBER(FIND(CODES!$A$11,BK54))),CODES!$A$13,IF(OR(BK54&lt;BK$63,ISNUMBER(BK54)=FALSE),BK$64,BK54))))</f>
      </c>
      <c r="BL106" s="9" t="str">
        <f>IF(ISBLANK(BL54),"NO DATA",IF(ISNUMBER(FIND(CODES!$A$12,BL54)),CODES!$A$12,IF(OR(ISNUMBER(FIND(CODES!$A$10,BL54)),ISNUMBER(FIND(CODES!$A$11,BL54))),CODES!$A$13,IF(OR(BL54&lt;BL$63,ISNUMBER(BL54)=FALSE),BL$64,BL54))))</f>
      </c>
      <c r="BM106" s="9" t="str">
        <f>IF(ISBLANK(BM54),"NO DATA",IF(ISNUMBER(FIND(CODES!$A$12,BM54)),CODES!$A$12,IF(OR(ISNUMBER(FIND(CODES!$A$10,BM54)),ISNUMBER(FIND(CODES!$A$11,BM54))),CODES!$A$13,IF(OR(BM54&lt;BM$63,ISNUMBER(BM54)=FALSE),BM$64,BM54))))</f>
      </c>
      <c r="BN106" s="9" t="str">
        <f>IF(ISBLANK(BN54),"NO DATA",IF(ISNUMBER(FIND(CODES!$A$12,BN54)),CODES!$A$12,IF(OR(ISNUMBER(FIND(CODES!$A$10,BN54)),ISNUMBER(FIND(CODES!$A$11,BN54))),CODES!$A$13,IF(OR(BN54&lt;BN$63,ISNUMBER(BN54)=FALSE),BN$64,BN54))))</f>
      </c>
      <c r="BO106" s="9" t="str">
        <f>IF(ISBLANK(BO54),"NO DATA",IF(ISNUMBER(FIND(CODES!$A$12,BO54)),CODES!$A$12,IF(OR(ISNUMBER(FIND(CODES!$A$10,BO54)),ISNUMBER(FIND(CODES!$A$11,BO54))),CODES!$A$13,IF(OR(BO54&lt;BO$63,ISNUMBER(BO54)=FALSE),BO$64,BO54))))</f>
      </c>
      <c r="BP106" s="9" t="str">
        <f>IF(ISBLANK(BP54),"NO DATA",IF(ISNUMBER(FIND(CODES!$A$12,BP54)),CODES!$A$12,IF(OR(ISNUMBER(FIND(CODES!$A$10,BP54)),ISNUMBER(FIND(CODES!$A$11,BP54))),CODES!$A$13,IF(OR(BP54&lt;BP$63,ISNUMBER(BP54)=FALSE),BP$64,BP54))))</f>
      </c>
      <c r="BQ106" s="9" t="str">
        <f>IF(ISBLANK(BQ54),"NO DATA",IF(ISNUMBER(FIND(CODES!$A$12,BQ54)),CODES!$A$12,IF(OR(ISNUMBER(FIND(CODES!$A$10,BQ54)),ISNUMBER(FIND(CODES!$A$11,BQ54))),CODES!$A$13,IF(OR(BQ54&lt;BQ$63,ISNUMBER(BQ54)=FALSE),BQ$64,BQ54))))</f>
      </c>
      <c r="BR106" s="9" t="str">
        <f>IF(ISBLANK(BR54),"NO DATA",IF(ISNUMBER(FIND(CODES!$A$12,BR54)),CODES!$A$12,IF(OR(ISNUMBER(FIND(CODES!$A$10,BR54)),ISNUMBER(FIND(CODES!$A$11,BR54))),CODES!$A$13,IF(OR(BR54&lt;BR$63,ISNUMBER(BR54)=FALSE),BR$64,BR54))))</f>
      </c>
      <c r="BS106" s="9" t="str">
        <f>IF(ISBLANK(BS54),"NO DATA",IF(ISNUMBER(FIND(CODES!$A$12,BS54)),CODES!$A$12,IF(OR(ISNUMBER(FIND(CODES!$A$10,BS54)),ISNUMBER(FIND(CODES!$A$11,BS54))),CODES!$A$13,IF(OR(BS54&lt;BS$63,ISNUMBER(BS54)=FALSE),BS$64,BS54))))</f>
      </c>
      <c r="BT106" s="9" t="str">
        <f>IF(ISBLANK(BT54),"NO DATA",IF(ISNUMBER(FIND(CODES!$A$12,BT54)),CODES!$A$12,IF(OR(ISNUMBER(FIND(CODES!$A$10,BT54)),ISNUMBER(FIND(CODES!$A$11,BT54))),CODES!$A$13,IF(OR(BT54&lt;BT$63,ISNUMBER(BT54)=FALSE),BT$64,BT54))))</f>
      </c>
      <c r="BU106" s="9" t="str">
        <f>IF(ISBLANK(BU54),"NO DATA",IF(ISNUMBER(FIND(CODES!$A$12,BU54)),CODES!$A$12,IF(OR(ISNUMBER(FIND(CODES!$A$10,BU54)),ISNUMBER(FIND(CODES!$A$11,BU54))),CODES!$A$13,IF(OR(BU54&lt;BU$63,ISNUMBER(BU54)=FALSE),BU$64,BU54))))</f>
      </c>
      <c r="BV106" s="9" t="str">
        <f>IF(ISBLANK(BV54),"NO DATA",IF(ISNUMBER(FIND(CODES!$A$12,BV54)),CODES!$A$12,IF(OR(ISNUMBER(FIND(CODES!$A$10,BV54)),ISNUMBER(FIND(CODES!$A$11,BV54))),CODES!$A$13,IF(OR(BV54&lt;BV$63,ISNUMBER(BV54)=FALSE),BV$64,BV54))))</f>
      </c>
      <c r="BW106" s="9" t="str">
        <f>IF(ISBLANK(BW54),"NO DATA",IF(ISNUMBER(FIND(CODES!$A$12,BW54)),CODES!$A$12,IF(OR(ISNUMBER(FIND(CODES!$A$10,BW54)),ISNUMBER(FIND(CODES!$A$11,BW54))),CODES!$A$13,IF(OR(BW54&lt;BW$63,ISNUMBER(BW54)=FALSE),BW$64,BW54))))</f>
      </c>
      <c r="BX106" s="9" t="str">
        <f>IF(ISBLANK(BX54),"NO DATA",IF(ISNUMBER(FIND(CODES!$A$12,BX54)),CODES!$A$12,IF(OR(ISNUMBER(FIND(CODES!$A$10,BX54)),ISNUMBER(FIND(CODES!$A$11,BX54))),CODES!$A$13,IF(OR(BX54&lt;BX$63,ISNUMBER(BX54)=FALSE),BX$64,BX54))))</f>
      </c>
      <c r="BY106" s="9" t="str">
        <f>IF(ISBLANK(BY54),"NO DATA",IF(ISNUMBER(FIND(CODES!$A$12,BY54)),CODES!$A$12,IF(OR(ISNUMBER(FIND(CODES!$A$10,BY54)),ISNUMBER(FIND(CODES!$A$11,BY54))),CODES!$A$13,IF(OR(BY54&lt;BY$63,ISNUMBER(BY54)=FALSE),BY$64,BY54))))</f>
      </c>
      <c r="BZ106" s="9" t="str">
        <f>IF(ISBLANK(BZ54),"NO DATA",IF(ISNUMBER(FIND(CODES!$A$12,BZ54)),CODES!$A$12,IF(OR(ISNUMBER(FIND(CODES!$A$10,BZ54)),ISNUMBER(FIND(CODES!$A$11,BZ54))),CODES!$A$13,IF(OR(BZ54&lt;BZ$63,ISNUMBER(BZ54)=FALSE),BZ$64,BZ54))))</f>
      </c>
      <c r="CA106" s="9" t="str">
        <f>IF(ISBLANK(CA54),"NO DATA",IF(ISNUMBER(FIND(CODES!$A$12,CA54)),CODES!$A$12,IF(OR(ISNUMBER(FIND(CODES!$A$10,CA54)),ISNUMBER(FIND(CODES!$A$11,CA54))),CODES!$A$13,IF(OR(CA54&lt;CA$63,ISNUMBER(CA54)=FALSE),CA$64,CA54))))</f>
      </c>
      <c r="CB106" s="9" t="str">
        <f>IF(ISBLANK(CB54),"NO DATA",IF(ISNUMBER(FIND(CODES!$A$12,CB54)),CODES!$A$12,IF(OR(ISNUMBER(FIND(CODES!$A$10,CB54)),ISNUMBER(FIND(CODES!$A$11,CB54))),CODES!$A$13,IF(OR(CB54&lt;CB$63,ISNUMBER(CB54)=FALSE),CB$64,CB54))))</f>
      </c>
      <c r="CC106" s="9" t="str">
        <f>IF(ISBLANK(CC54),"NO DATA",IF(ISNUMBER(FIND(CODES!$A$12,CC54)),CODES!$A$12,IF(OR(ISNUMBER(FIND(CODES!$A$10,CC54)),ISNUMBER(FIND(CODES!$A$11,CC54))),CODES!$A$13,IF(OR(CC54&lt;CC$63,ISNUMBER(CC54)=FALSE),CC$64,CC54))))</f>
      </c>
      <c r="CD106" s="9" t="str">
        <f>IF(ISBLANK(CD54),"NO DATA",IF(ISNUMBER(FIND(CODES!$A$12,CD54)),CODES!$A$12,IF(OR(ISNUMBER(FIND(CODES!$A$10,CD54)),ISNUMBER(FIND(CODES!$A$11,CD54))),CODES!$A$13,IF(OR(CD54&lt;CD$63,ISNUMBER(CD54)=FALSE),CD$64,CD54))))</f>
      </c>
      <c r="CE106" s="9" t="str">
        <f>IF(ISBLANK(CE54),"NO DATA",IF(ISNUMBER(FIND(CODES!$A$12,CE54)),CODES!$A$12,IF(OR(ISNUMBER(FIND(CODES!$A$10,CE54)),ISNUMBER(FIND(CODES!$A$11,CE54))),CODES!$A$13,IF(OR(CE54&lt;CE$63,ISNUMBER(CE54)=FALSE),CE$64,CE54))))</f>
      </c>
      <c r="CF106" s="9" t="str">
        <f>IF(ISBLANK(CF54),"NO DATA",IF(ISNUMBER(FIND(CODES!$A$12,CF54)),CODES!$A$12,IF(OR(ISNUMBER(FIND(CODES!$A$10,CF54)),ISNUMBER(FIND(CODES!$A$11,CF54))),CODES!$A$13,IF(OR(CF54&lt;CF$63,ISNUMBER(CF54)=FALSE),CF$64,CF54))))</f>
      </c>
      <c r="CG106" s="9" t="str">
        <f>IF(ISBLANK(CG54),"NO DATA",IF(ISNUMBER(FIND(CODES!$A$12,CG54)),CODES!$A$12,IF(OR(ISNUMBER(FIND(CODES!$A$10,CG54)),ISNUMBER(FIND(CODES!$A$11,CG54))),CODES!$A$13,IF(OR(CG54&lt;CG$63,ISNUMBER(CG54)=FALSE),CG$64,CG54))))</f>
      </c>
      <c r="CH106" s="9" t="str">
        <f>IF(ISBLANK(CH54),"NO DATA",IF(ISNUMBER(FIND(CODES!$A$12,CH54)),CODES!$A$12,IF(OR(ISNUMBER(FIND(CODES!$A$10,CH54)),ISNUMBER(FIND(CODES!$A$11,CH54))),CODES!$A$13,IF(OR(CH54&lt;CH$63,ISNUMBER(CH54)=FALSE),CH$64,CH54))))</f>
      </c>
      <c r="CI106" s="9" t="str">
        <f>IF(ISBLANK(CI54),"NO DATA",IF(ISNUMBER(FIND(CODES!$A$12,CI54)),CODES!$A$12,IF(OR(ISNUMBER(FIND(CODES!$A$10,CI54)),ISNUMBER(FIND(CODES!$A$11,CI54))),CODES!$A$13,IF(OR(CI54&lt;CI$63,ISNUMBER(CI54)=FALSE),CI$64,CI54))))</f>
      </c>
      <c r="CJ106" s="9" t="str">
        <f>IF(ISBLANK(CJ54),"NO DATA",IF(ISNUMBER(FIND(CODES!$A$12,CJ54)),CODES!$A$12,IF(OR(ISNUMBER(FIND(CODES!$A$10,CJ54)),ISNUMBER(FIND(CODES!$A$11,CJ54))),CODES!$A$13,IF(OR(CJ54&lt;CJ$63,ISNUMBER(CJ54)=FALSE),CJ$64,CJ54))))</f>
      </c>
      <c r="CK106" s="9" t="str">
        <f>IF(ISBLANK(CK54),"NO DATA",IF(ISNUMBER(FIND(CODES!$A$12,CK54)),CODES!$A$12,IF(OR(ISNUMBER(FIND(CODES!$A$10,CK54)),ISNUMBER(FIND(CODES!$A$11,CK54))),CODES!$A$13,IF(OR(CK54&lt;CK$63,ISNUMBER(CK54)=FALSE),CK$64,CK54))))</f>
      </c>
      <c r="CL106" s="9" t="str">
        <f>IF(ISBLANK(CL54),"NO DATA",IF(ISNUMBER(FIND(CODES!$A$12,CL54)),CODES!$A$12,IF(OR(ISNUMBER(FIND(CODES!$A$10,CL54)),ISNUMBER(FIND(CODES!$A$11,CL54))),CODES!$A$13,IF(OR(CL54&lt;CL$63,ISNUMBER(CL54)=FALSE),CL$64,CL54))))</f>
      </c>
      <c r="CM106" s="9" t="str">
        <f>IF(ISBLANK(CM54),"NO DATA",IF(ISNUMBER(FIND(CODES!$A$12,CM54)),CODES!$A$12,IF(OR(ISNUMBER(FIND(CODES!$A$10,CM54)),ISNUMBER(FIND(CODES!$A$11,CM54))),CODES!$A$13,IF(OR(CM54&lt;CM$63,ISNUMBER(CM54)=FALSE),CM$64,CM54))))</f>
      </c>
      <c r="CN106" s="9" t="str">
        <f>IF(ISBLANK(CN54),"NO DATA",IF(ISNUMBER(FIND(CODES!$A$12,CN54)),CODES!$A$12,IF(OR(ISNUMBER(FIND(CODES!$A$10,CN54)),ISNUMBER(FIND(CODES!$A$11,CN54))),CODES!$A$13,IF(OR(CN54&lt;CN$63,ISNUMBER(CN54)=FALSE),CN$64,CN54))))</f>
      </c>
      <c r="CO106" s="9" t="str">
        <f>IF(ISBLANK(CO54),"NO DATA",IF(ISNUMBER(FIND(CODES!$A$12,CO54)),CODES!$A$12,IF(OR(ISNUMBER(FIND(CODES!$A$10,CO54)),ISNUMBER(FIND(CODES!$A$11,CO54))),CODES!$A$13,IF(OR(CO54&lt;CO$63,ISNUMBER(CO54)=FALSE),CO$64,CO54))))</f>
      </c>
      <c r="CP106" s="9" t="str">
        <f>IF(ISBLANK(CP54),"NO DATA",IF(ISNUMBER(FIND(CODES!$A$12,CP54)),CODES!$A$12,IF(OR(ISNUMBER(FIND(CODES!$A$10,CP54)),ISNUMBER(FIND(CODES!$A$11,CP54))),CODES!$A$13,IF(OR(CP54&lt;CP$63,ISNUMBER(CP54)=FALSE),CP$64,CP54))))</f>
      </c>
      <c r="CQ106" s="9" t="str">
        <f>IF(ISBLANK(CQ54),"NO DATA",IF(ISNUMBER(FIND(CODES!$A$12,CQ54)),CODES!$A$12,IF(OR(ISNUMBER(FIND(CODES!$A$10,CQ54)),ISNUMBER(FIND(CODES!$A$11,CQ54))),CODES!$A$13,IF(OR(CQ54&lt;CQ$63,ISNUMBER(CQ54)=FALSE),CQ$64,CQ54))))</f>
      </c>
      <c r="CR106" s="9" t="str">
        <f>IF(ISBLANK(CR54),"NO DATA",IF(ISNUMBER(FIND(CODES!$A$12,CR54)),CODES!$A$12,IF(OR(ISNUMBER(FIND(CODES!$A$10,CR54)),ISNUMBER(FIND(CODES!$A$11,CR54))),CODES!$A$13,IF(OR(CR54&lt;CR$63,ISNUMBER(CR54)=FALSE),CR$64,CR54))))</f>
      </c>
      <c r="CS106" s="9" t="str">
        <f>IF(ISBLANK(CS54),"NO DATA",IF(ISNUMBER(FIND(CODES!$A$12,CS54)),CODES!$A$12,IF(OR(ISNUMBER(FIND(CODES!$A$10,CS54)),ISNUMBER(FIND(CODES!$A$11,CS54))),CODES!$A$13,IF(OR(CS54&lt;CS$63,ISNUMBER(CS54)=FALSE),CS$64,CS54))))</f>
      </c>
      <c r="CT106" s="9" t="str">
        <f>IF(ISBLANK(CT54),"NO DATA",IF(ISNUMBER(FIND(CODES!$A$12,CT54)),CODES!$A$12,IF(OR(ISNUMBER(FIND(CODES!$A$10,CT54)),ISNUMBER(FIND(CODES!$A$11,CT54))),CODES!$A$13,IF(OR(CT54&lt;CT$63,ISNUMBER(CT54)=FALSE),CT$64,CT54))))</f>
      </c>
      <c r="CU106" s="9" t="str">
        <f>IF(ISBLANK(CU54),"NO DATA",IF(ISNUMBER(FIND(CODES!$A$12,CU54)),CODES!$A$12,IF(OR(ISNUMBER(FIND(CODES!$A$10,CU54)),ISNUMBER(FIND(CODES!$A$11,CU54))),CODES!$A$13,IF(OR(CU54&lt;CU$63,ISNUMBER(CU54)=FALSE),CU$64,CU54))))</f>
      </c>
      <c r="CV106" s="9" t="str">
        <f>IF(ISBLANK(CV54),"NO DATA",IF(ISNUMBER(FIND(CODES!$A$12,CV54)),CODES!$A$12,IF(OR(ISNUMBER(FIND(CODES!$A$10,CV54)),ISNUMBER(FIND(CODES!$A$11,CV54))),CODES!$A$13,IF(OR(CV54&lt;CV$63,ISNUMBER(CV54)=FALSE),CV$64,CV54))))</f>
      </c>
      <c r="CW106" s="9" t="str">
        <f>IF(ISBLANK(CW54),"NO DATA",IF(ISNUMBER(FIND(CODES!$A$12,CW54)),CODES!$A$12,IF(OR(ISNUMBER(FIND(CODES!$A$10,CW54)),ISNUMBER(FIND(CODES!$A$11,CW54))),CODES!$A$13,IF(OR(CW54&lt;CW$63,ISNUMBER(CW54)=FALSE),CW$64,CW54))))</f>
      </c>
      <c r="CX106" s="9" t="str">
        <f>IF(ISBLANK(CX54),"NO DATA",IF(ISNUMBER(FIND(CODES!$A$12,CX54)),CODES!$A$12,IF(OR(ISNUMBER(FIND(CODES!$A$10,CX54)),ISNUMBER(FIND(CODES!$A$11,CX54))),CODES!$A$13,IF(OR(CX54&lt;CX$63,ISNUMBER(CX54)=FALSE),CX$64,CX54))))</f>
      </c>
      <c r="CY106" s="9" t="str">
        <f>IF(ISBLANK(CY54),"NO DATA",IF(ISNUMBER(FIND(CODES!$A$12,CY54)),CODES!$A$12,IF(OR(ISNUMBER(FIND(CODES!$A$10,CY54)),ISNUMBER(FIND(CODES!$A$11,CY54))),CODES!$A$13,IF(OR(CY54&lt;CY$63,ISNUMBER(CY54)=FALSE),CY$64,CY54))))</f>
      </c>
      <c r="CZ106" s="9" t="str">
        <f>IF(ISBLANK(CZ54),"NO DATA",IF(ISNUMBER(FIND(CODES!$A$12,CZ54)),CODES!$A$12,IF(OR(ISNUMBER(FIND(CODES!$A$10,CZ54)),ISNUMBER(FIND(CODES!$A$11,CZ54))),CODES!$A$13,IF(OR(CZ54&lt;CZ$63,ISNUMBER(CZ54)=FALSE),CZ$64,CZ54))))</f>
      </c>
      <c r="DA106" s="9" t="str">
        <f>IF(ISBLANK(DA54),"NO DATA",IF(ISNUMBER(FIND(CODES!$A$12,DA54)),CODES!$A$12,IF(OR(ISNUMBER(FIND(CODES!$A$10,DA54)),ISNUMBER(FIND(CODES!$A$11,DA54))),CODES!$A$13,IF(OR(DA54&lt;DA$63,ISNUMBER(DA54)=FALSE),DA$64,DA54))))</f>
      </c>
      <c r="DB106" s="9" t="str">
        <f>IF(ISBLANK(DB54),"NO DATA",IF(ISNUMBER(FIND(CODES!$A$12,DB54)),CODES!$A$12,IF(OR(ISNUMBER(FIND(CODES!$A$10,DB54)),ISNUMBER(FIND(CODES!$A$11,DB54))),CODES!$A$13,IF(OR(DB54&lt;DB$63,ISNUMBER(DB54)=FALSE),DB$64,DB54))))</f>
      </c>
      <c r="DC106" s="9" t="str">
        <f>IF(ISBLANK(DC54),"NO DATA",IF(ISNUMBER(FIND(CODES!$A$12,DC54)),CODES!$A$12,IF(OR(ISNUMBER(FIND(CODES!$A$10,DC54)),ISNUMBER(FIND(CODES!$A$11,DC54))),CODES!$A$13,IF(OR(DC54&lt;DC$63,ISNUMBER(DC54)=FALSE),DC$64,DC54))))</f>
      </c>
      <c r="DD106" s="9" t="str">
        <f>IF(ISBLANK(DD54),"NO DATA",IF(ISNUMBER(FIND(CODES!$A$12,DD54)),CODES!$A$12,IF(OR(ISNUMBER(FIND(CODES!$A$10,DD54)),ISNUMBER(FIND(CODES!$A$11,DD54))),CODES!$A$13,IF(OR(DD54&lt;DD$63,ISNUMBER(DD54)=FALSE),DD$64,DD54))))</f>
      </c>
      <c r="DE106" s="9" t="str">
        <f>IF(ISBLANK(DE54),"NO DATA",IF(ISNUMBER(FIND(CODES!$A$12,DE54)),CODES!$A$12,IF(OR(ISNUMBER(FIND(CODES!$A$10,DE54)),ISNUMBER(FIND(CODES!$A$11,DE54))),CODES!$A$13,IF(OR(DE54&lt;DE$63,ISNUMBER(DE54)=FALSE),DE$64,DE54))))</f>
      </c>
      <c r="DF106" s="9" t="str">
        <f>IF(ISBLANK(DF54),"NO DATA",IF(ISNUMBER(FIND(CODES!$A$12,DF54)),CODES!$A$12,IF(OR(ISNUMBER(FIND(CODES!$A$10,DF54)),ISNUMBER(FIND(CODES!$A$11,DF54))),CODES!$A$13,IF(OR(DF54&lt;DF$63,ISNUMBER(DF54)=FALSE),DF$64,DF54))))</f>
      </c>
      <c r="DG106" s="9" t="str">
        <f>IF(ISBLANK(DG54),"NO DATA",IF(ISNUMBER(FIND(CODES!$A$12,DG54)),CODES!$A$12,IF(OR(ISNUMBER(FIND(CODES!$A$10,DG54)),ISNUMBER(FIND(CODES!$A$11,DG54))),CODES!$A$13,IF(OR(DG54&lt;DG$63,ISNUMBER(DG54)=FALSE),DG$64,DG54))))</f>
      </c>
      <c r="DH106" s="9" t="str">
        <f>IF(ISBLANK(DH54),"NO DATA",IF(ISNUMBER(FIND(CODES!$A$12,DH54)),CODES!$A$12,IF(OR(ISNUMBER(FIND(CODES!$A$10,DH54)),ISNUMBER(FIND(CODES!$A$11,DH54))),CODES!$A$13,IF(OR(DH54&lt;DH$63,ISNUMBER(DH54)=FALSE),DH$64,DH54))))</f>
      </c>
      <c r="DI106" s="9" t="str">
        <f>IF(ISBLANK(DI54),"NO DATA",IF(ISNUMBER(FIND(CODES!$A$12,DI54)),CODES!$A$12,IF(OR(ISNUMBER(FIND(CODES!$A$10,DI54)),ISNUMBER(FIND(CODES!$A$11,DI54))),CODES!$A$13,IF(OR(DI54&lt;DI$63,ISNUMBER(DI54)=FALSE),DI$64,DI54))))</f>
      </c>
    </row>
    <row r="107" spans="1:113" x14ac:dyDescent="0.25">
      <c r="A107" s="20" t="str">
        <f t="shared" si="5"/>
      </c>
      <c r="B107" s="20">
        <f t="shared" si="5"/>
      </c>
      <c r="C107" s="9" t="str">
        <f>IF(ISBLANK(C55),"NO DATA",IF(ISNUMBER(FIND(CODES!$A$12,C55)),CODES!$A$12,IF(OR(ISNUMBER(FIND(CODES!$A$10,C55)),ISNUMBER(FIND(CODES!$A$11,C55))),CODES!$A$13,IF(OR(C55&lt;C$63,ISNUMBER(C55)=FALSE),C$64,C55))))</f>
      </c>
      <c r="D107" s="9" t="str">
        <f>IF(ISBLANK(D55),"NO DATA",IF(ISNUMBER(FIND(CODES!$A$12,D55)),CODES!$A$12,IF(OR(ISNUMBER(FIND(CODES!$A$10,D55)),ISNUMBER(FIND(CODES!$A$11,D55))),CODES!$A$13,IF(OR(D55&lt;D$63,ISNUMBER(D55)=FALSE),D$64,D55))))</f>
      </c>
      <c r="E107" s="9" t="str">
        <f>IF(ISBLANK(E55),"NO DATA",IF(ISNUMBER(FIND(CODES!$A$12,E55)),CODES!$A$12,IF(OR(ISNUMBER(FIND(CODES!$A$10,E55)),ISNUMBER(FIND(CODES!$A$11,E55))),CODES!$A$13,IF(OR(E55&lt;E$63,ISNUMBER(E55)=FALSE),E$64,E55))))</f>
      </c>
      <c r="F107" s="9" t="str">
        <f>IF(ISBLANK(F55),"NO DATA",IF(ISNUMBER(FIND(CODES!$A$12,F55)),CODES!$A$12,IF(OR(ISNUMBER(FIND(CODES!$A$10,F55)),ISNUMBER(FIND(CODES!$A$11,F55))),CODES!$A$13,IF(OR(F55&lt;F$63,ISNUMBER(F55)=FALSE),F$64,F55))))</f>
      </c>
      <c r="G107" s="9" t="str">
        <f>IF(ISBLANK(G55),"NO DATA",IF(ISNUMBER(FIND(CODES!$A$12,G55)),CODES!$A$12,IF(OR(ISNUMBER(FIND(CODES!$A$10,G55)),ISNUMBER(FIND(CODES!$A$11,G55))),CODES!$A$13,IF(OR(G55&lt;G$63,ISNUMBER(G55)=FALSE),G$64,G55))))</f>
      </c>
      <c r="H107" s="9" t="str">
        <f>IF(ISBLANK(H55),"NO DATA",IF(ISNUMBER(FIND(CODES!$A$12,H55)),CODES!$A$12,IF(OR(ISNUMBER(FIND(CODES!$A$10,H55)),ISNUMBER(FIND(CODES!$A$11,H55))),CODES!$A$13,IF(OR(H55&lt;H$63,ISNUMBER(H55)=FALSE),H$64,H55))))</f>
      </c>
      <c r="I107" s="9" t="str">
        <f>IF(ISBLANK(I55),"NO DATA",IF(ISNUMBER(FIND(CODES!$A$12,I55)),CODES!$A$12,IF(OR(ISNUMBER(FIND(CODES!$A$10,I55)),ISNUMBER(FIND(CODES!$A$11,I55))),CODES!$A$13,IF(OR(I55&lt;I$63,ISNUMBER(I55)=FALSE),I$64,I55))))</f>
      </c>
      <c r="J107" s="9" t="str">
        <f>IF(ISBLANK(J55),"NO DATA",IF(ISNUMBER(FIND(CODES!$A$12,J55)),CODES!$A$12,IF(OR(ISNUMBER(FIND(CODES!$A$10,J55)),ISNUMBER(FIND(CODES!$A$11,J55))),CODES!$A$13,IF(OR(J55&lt;J$63,ISNUMBER(J55)=FALSE),J$64,J55))))</f>
      </c>
      <c r="K107" s="9" t="str">
        <f>IF(ISBLANK(K55),"NO DATA",IF(ISNUMBER(FIND(CODES!$A$12,K55)),CODES!$A$12,IF(OR(ISNUMBER(FIND(CODES!$A$10,K55)),ISNUMBER(FIND(CODES!$A$11,K55))),CODES!$A$13,IF(OR(K55&lt;K$63,ISNUMBER(K55)=FALSE),K$64,K55))))</f>
      </c>
      <c r="L107" s="9" t="str">
        <f>IF(ISBLANK(L55),"NO DATA",IF(ISNUMBER(FIND(CODES!$A$12,L55)),CODES!$A$12,IF(OR(ISNUMBER(FIND(CODES!$A$10,L55)),ISNUMBER(FIND(CODES!$A$11,L55))),CODES!$A$13,IF(OR(L55&lt;L$63,ISNUMBER(L55)=FALSE),L$64,L55))))</f>
      </c>
      <c r="M107" s="9" t="str">
        <f>IF(ISBLANK(M55),"NO DATA",IF(ISNUMBER(FIND(CODES!$A$12,M55)),CODES!$A$12,IF(OR(ISNUMBER(FIND(CODES!$A$10,M55)),ISNUMBER(FIND(CODES!$A$11,M55))),CODES!$A$13,IF(OR(M55&lt;M$63,ISNUMBER(M55)=FALSE),M$64,M55))))</f>
      </c>
      <c r="N107" s="9" t="str">
        <f>IF(ISBLANK(N55),"NO DATA",IF(ISNUMBER(FIND(CODES!$A$12,N55)),CODES!$A$12,IF(OR(ISNUMBER(FIND(CODES!$A$10,N55)),ISNUMBER(FIND(CODES!$A$11,N55))),CODES!$A$13,IF(OR(N55&lt;N$63,ISNUMBER(N55)=FALSE),N$64,N55))))</f>
      </c>
      <c r="O107" s="9" t="str">
        <f>IF(ISBLANK(O55),"NO DATA",IF(ISNUMBER(FIND(CODES!$A$12,O55)),CODES!$A$12,IF(OR(ISNUMBER(FIND(CODES!$A$10,O55)),ISNUMBER(FIND(CODES!$A$11,O55))),CODES!$A$13,IF(OR(O55&lt;O$63,ISNUMBER(O55)=FALSE),O$64,O55))))</f>
      </c>
      <c r="P107" s="9" t="str">
        <f>IF(ISBLANK(P55),"NO DATA",IF(ISNUMBER(FIND(CODES!$A$12,P55)),CODES!$A$12,IF(OR(ISNUMBER(FIND(CODES!$A$10,P55)),ISNUMBER(FIND(CODES!$A$11,P55))),CODES!$A$13,IF(OR(P55&lt;P$63,ISNUMBER(P55)=FALSE),P$64,P55))))</f>
      </c>
      <c r="Q107" s="9" t="str">
        <f>IF(ISBLANK(Q55),"NO DATA",IF(ISNUMBER(FIND(CODES!$A$12,Q55)),CODES!$A$12,IF(OR(ISNUMBER(FIND(CODES!$A$10,Q55)),ISNUMBER(FIND(CODES!$A$11,Q55))),CODES!$A$13,IF(OR(Q55&lt;Q$63,ISNUMBER(Q55)=FALSE),Q$64,Q55))))</f>
      </c>
      <c r="R107" s="9" t="str">
        <f>IF(ISBLANK(R55),"NO DATA",IF(ISNUMBER(FIND(CODES!$A$12,R55)),CODES!$A$12,IF(OR(ISNUMBER(FIND(CODES!$A$10,R55)),ISNUMBER(FIND(CODES!$A$11,R55))),CODES!$A$13,IF(OR(R55&lt;R$63,ISNUMBER(R55)=FALSE),R$64,R55))))</f>
      </c>
      <c r="S107" s="9" t="str">
        <f>IF(ISBLANK(S55),"NO DATA",IF(ISNUMBER(FIND(CODES!$A$12,S55)),CODES!$A$12,IF(OR(ISNUMBER(FIND(CODES!$A$10,S55)),ISNUMBER(FIND(CODES!$A$11,S55))),CODES!$A$13,IF(OR(S55&lt;S$63,ISNUMBER(S55)=FALSE),S$64,S55))))</f>
      </c>
      <c r="T107" s="9" t="str">
        <f>IF(ISBLANK(T55),"NO DATA",IF(ISNUMBER(FIND(CODES!$A$12,T55)),CODES!$A$12,IF(OR(ISNUMBER(FIND(CODES!$A$10,T55)),ISNUMBER(FIND(CODES!$A$11,T55))),CODES!$A$13,IF(OR(T55&lt;T$63,ISNUMBER(T55)=FALSE),T$64,T55))))</f>
      </c>
      <c r="U107" s="9" t="str">
        <f>IF(ISBLANK(U55),"NO DATA",IF(ISNUMBER(FIND(CODES!$A$12,U55)),CODES!$A$12,IF(OR(ISNUMBER(FIND(CODES!$A$10,U55)),ISNUMBER(FIND(CODES!$A$11,U55))),CODES!$A$13,IF(OR(U55&lt;U$63,ISNUMBER(U55)=FALSE),U$64,U55))))</f>
      </c>
      <c r="V107" s="9" t="str">
        <f>IF(ISBLANK(V55),"NO DATA",IF(ISNUMBER(FIND(CODES!$A$12,V55)),CODES!$A$12,IF(OR(ISNUMBER(FIND(CODES!$A$10,V55)),ISNUMBER(FIND(CODES!$A$11,V55))),CODES!$A$13,IF(OR(V55&lt;V$63,ISNUMBER(V55)=FALSE),V$64,V55))))</f>
      </c>
      <c r="W107" s="9" t="str">
        <f>IF(ISBLANK(W55),"NO DATA",IF(ISNUMBER(FIND(CODES!$A$12,W55)),CODES!$A$12,IF(OR(ISNUMBER(FIND(CODES!$A$10,W55)),ISNUMBER(FIND(CODES!$A$11,W55))),CODES!$A$13,IF(OR(W55&lt;W$63,ISNUMBER(W55)=FALSE),W$64,W55))))</f>
      </c>
      <c r="X107" s="9" t="str">
        <f>IF(ISBLANK(X55),"NO DATA",IF(ISNUMBER(FIND(CODES!$A$12,X55)),CODES!$A$12,IF(OR(ISNUMBER(FIND(CODES!$A$10,X55)),ISNUMBER(FIND(CODES!$A$11,X55))),CODES!$A$13,IF(OR(X55&lt;X$63,ISNUMBER(X55)=FALSE),X$64,X55))))</f>
      </c>
      <c r="Y107" s="9" t="str">
        <f>IF(ISBLANK(Y55),"NO DATA",IF(ISNUMBER(FIND(CODES!$A$12,Y55)),CODES!$A$12,IF(OR(ISNUMBER(FIND(CODES!$A$10,Y55)),ISNUMBER(FIND(CODES!$A$11,Y55))),CODES!$A$13,IF(OR(Y55&lt;Y$63,ISNUMBER(Y55)=FALSE),Y$64,Y55))))</f>
      </c>
      <c r="Z107" s="9" t="str">
        <f>IF(ISBLANK(Z55),"NO DATA",IF(ISNUMBER(FIND(CODES!$A$12,Z55)),CODES!$A$12,IF(OR(ISNUMBER(FIND(CODES!$A$10,Z55)),ISNUMBER(FIND(CODES!$A$11,Z55))),CODES!$A$13,IF(OR(Z55&lt;Z$63,ISNUMBER(Z55)=FALSE),Z$64,Z55))))</f>
      </c>
      <c r="AA107" s="9" t="str">
        <f>IF(ISBLANK(AA55),"NO DATA",IF(ISNUMBER(FIND(CODES!$A$12,AA55)),CODES!$A$12,IF(OR(ISNUMBER(FIND(CODES!$A$10,AA55)),ISNUMBER(FIND(CODES!$A$11,AA55))),CODES!$A$13,IF(OR(AA55&lt;AA$63,ISNUMBER(AA55)=FALSE),AA$64,AA55))))</f>
      </c>
      <c r="AB107" s="9" t="str">
        <f>IF(ISBLANK(AB55),"NO DATA",IF(ISNUMBER(FIND(CODES!$A$12,AB55)),CODES!$A$12,IF(OR(ISNUMBER(FIND(CODES!$A$10,AB55)),ISNUMBER(FIND(CODES!$A$11,AB55))),CODES!$A$13,IF(OR(AB55&lt;AB$63,ISNUMBER(AB55)=FALSE),AB$64,AB55))))</f>
      </c>
      <c r="AC107" s="9" t="str">
        <f>IF(ISBLANK(AC55),"NO DATA",IF(ISNUMBER(FIND(CODES!$A$12,AC55)),CODES!$A$12,IF(OR(ISNUMBER(FIND(CODES!$A$10,AC55)),ISNUMBER(FIND(CODES!$A$11,AC55))),CODES!$A$13,IF(OR(AC55&lt;AC$63,ISNUMBER(AC55)=FALSE),AC$64,AC55))))</f>
      </c>
      <c r="AD107" s="9" t="str">
        <f>IF(ISBLANK(AD55),"NO DATA",IF(ISNUMBER(FIND(CODES!$A$12,AD55)),CODES!$A$12,IF(OR(ISNUMBER(FIND(CODES!$A$10,AD55)),ISNUMBER(FIND(CODES!$A$11,AD55))),CODES!$A$13,IF(OR(AD55&lt;AD$63,ISNUMBER(AD55)=FALSE),AD$64,AD55))))</f>
      </c>
      <c r="AE107" s="9" t="str">
        <f>IF(ISBLANK(AE55),"NO DATA",IF(ISNUMBER(FIND(CODES!$A$12,AE55)),CODES!$A$12,IF(OR(ISNUMBER(FIND(CODES!$A$10,AE55)),ISNUMBER(FIND(CODES!$A$11,AE55))),CODES!$A$13,IF(OR(AE55&lt;AE$63,ISNUMBER(AE55)=FALSE),AE$64,AE55))))</f>
      </c>
      <c r="AF107" s="9" t="str">
        <f>IF(ISBLANK(AF55),"NO DATA",IF(ISNUMBER(FIND(CODES!$A$12,AF55)),CODES!$A$12,IF(OR(ISNUMBER(FIND(CODES!$A$10,AF55)),ISNUMBER(FIND(CODES!$A$11,AF55))),CODES!$A$13,IF(OR(AF55&lt;AF$63,ISNUMBER(AF55)=FALSE),AF$64,AF55))))</f>
      </c>
      <c r="AG107" s="9" t="str">
        <f>IF(ISBLANK(AG55),"NO DATA",IF(ISNUMBER(FIND(CODES!$A$12,AG55)),CODES!$A$12,IF(OR(ISNUMBER(FIND(CODES!$A$10,AG55)),ISNUMBER(FIND(CODES!$A$11,AG55))),CODES!$A$13,IF(OR(AG55&lt;AG$63,ISNUMBER(AG55)=FALSE),AG$64,AG55))))</f>
      </c>
      <c r="AH107" s="9" t="str">
        <f>IF(ISBLANK(AH55),"NO DATA",IF(ISNUMBER(FIND(CODES!$A$12,AH55)),CODES!$A$12,IF(OR(ISNUMBER(FIND(CODES!$A$10,AH55)),ISNUMBER(FIND(CODES!$A$11,AH55))),CODES!$A$13,IF(OR(AH55&lt;AH$63,ISNUMBER(AH55)=FALSE),AH$64,AH55))))</f>
      </c>
      <c r="AI107" s="9" t="str">
        <f>IF(ISBLANK(AI55),"NO DATA",IF(ISNUMBER(FIND(CODES!$A$12,AI55)),CODES!$A$12,IF(OR(ISNUMBER(FIND(CODES!$A$10,AI55)),ISNUMBER(FIND(CODES!$A$11,AI55))),CODES!$A$13,IF(OR(AI55&lt;AI$63,ISNUMBER(AI55)=FALSE),AI$64,AI55))))</f>
      </c>
      <c r="AJ107" s="9" t="str">
        <f>IF(ISBLANK(AJ55),"NO DATA",IF(ISNUMBER(FIND(CODES!$A$12,AJ55)),CODES!$A$12,IF(OR(ISNUMBER(FIND(CODES!$A$10,AJ55)),ISNUMBER(FIND(CODES!$A$11,AJ55))),CODES!$A$13,IF(OR(AJ55&lt;AJ$63,ISNUMBER(AJ55)=FALSE),AJ$64,AJ55))))</f>
      </c>
      <c r="AK107" s="9" t="str">
        <f>IF(ISBLANK(AK55),"NO DATA",IF(ISNUMBER(FIND(CODES!$A$12,AK55)),CODES!$A$12,IF(OR(ISNUMBER(FIND(CODES!$A$10,AK55)),ISNUMBER(FIND(CODES!$A$11,AK55))),CODES!$A$13,IF(OR(AK55&lt;AK$63,ISNUMBER(AK55)=FALSE),AK$64,AK55))))</f>
      </c>
      <c r="AL107" s="9" t="str">
        <f>IF(ISBLANK(AL55),"NO DATA",IF(ISNUMBER(FIND(CODES!$A$12,AL55)),CODES!$A$12,IF(OR(ISNUMBER(FIND(CODES!$A$10,AL55)),ISNUMBER(FIND(CODES!$A$11,AL55))),CODES!$A$13,IF(OR(AL55&lt;AL$63,ISNUMBER(AL55)=FALSE),AL$64,AL55))))</f>
      </c>
      <c r="AM107" s="9" t="str">
        <f>IF(ISBLANK(AM55),"NO DATA",IF(ISNUMBER(FIND(CODES!$A$12,AM55)),CODES!$A$12,IF(OR(ISNUMBER(FIND(CODES!$A$10,AM55)),ISNUMBER(FIND(CODES!$A$11,AM55))),CODES!$A$13,IF(OR(AM55&lt;AM$63,ISNUMBER(AM55)=FALSE),AM$64,AM55))))</f>
      </c>
      <c r="AN107" s="9" t="str">
        <f>IF(ISBLANK(AN55),"NO DATA",IF(ISNUMBER(FIND(CODES!$A$12,AN55)),CODES!$A$12,IF(OR(ISNUMBER(FIND(CODES!$A$10,AN55)),ISNUMBER(FIND(CODES!$A$11,AN55))),CODES!$A$13,IF(OR(AN55&lt;AN$63,ISNUMBER(AN55)=FALSE),AN$64,AN55))))</f>
      </c>
      <c r="AO107" s="9" t="str">
        <f>IF(ISBLANK(AO55),"NO DATA",IF(ISNUMBER(FIND(CODES!$A$12,AO55)),CODES!$A$12,IF(OR(ISNUMBER(FIND(CODES!$A$10,AO55)),ISNUMBER(FIND(CODES!$A$11,AO55))),CODES!$A$13,IF(OR(AO55&lt;AO$63,ISNUMBER(AO55)=FALSE),AO$64,AO55))))</f>
      </c>
      <c r="AP107" s="9" t="str">
        <f>IF(ISBLANK(AP55),"NO DATA",IF(ISNUMBER(FIND(CODES!$A$12,AP55)),CODES!$A$12,IF(OR(ISNUMBER(FIND(CODES!$A$10,AP55)),ISNUMBER(FIND(CODES!$A$11,AP55))),CODES!$A$13,IF(OR(AP55&lt;AP$63,ISNUMBER(AP55)=FALSE),AP$64,AP55))))</f>
      </c>
      <c r="AQ107" s="9" t="str">
        <f>IF(ISBLANK(AQ55),"NO DATA",IF(ISNUMBER(FIND(CODES!$A$12,AQ55)),CODES!$A$12,IF(OR(ISNUMBER(FIND(CODES!$A$10,AQ55)),ISNUMBER(FIND(CODES!$A$11,AQ55))),CODES!$A$13,IF(OR(AQ55&lt;AQ$63,ISNUMBER(AQ55)=FALSE),AQ$64,AQ55))))</f>
      </c>
      <c r="AR107" s="9" t="str">
        <f>IF(ISBLANK(AR55),"NO DATA",IF(ISNUMBER(FIND(CODES!$A$12,AR55)),CODES!$A$12,IF(OR(ISNUMBER(FIND(CODES!$A$10,AR55)),ISNUMBER(FIND(CODES!$A$11,AR55))),CODES!$A$13,IF(OR(AR55&lt;AR$63,ISNUMBER(AR55)=FALSE),AR$64,AR55))))</f>
      </c>
      <c r="AS107" s="9" t="str">
        <f>IF(ISBLANK(AS55),"NO DATA",IF(ISNUMBER(FIND(CODES!$A$12,AS55)),CODES!$A$12,IF(OR(ISNUMBER(FIND(CODES!$A$10,AS55)),ISNUMBER(FIND(CODES!$A$11,AS55))),CODES!$A$13,IF(OR(AS55&lt;AS$63,ISNUMBER(AS55)=FALSE),AS$64,AS55))))</f>
      </c>
      <c r="AT107" s="9" t="str">
        <f>IF(ISBLANK(AT55),"NO DATA",IF(ISNUMBER(FIND(CODES!$A$12,AT55)),CODES!$A$12,IF(OR(ISNUMBER(FIND(CODES!$A$10,AT55)),ISNUMBER(FIND(CODES!$A$11,AT55))),CODES!$A$13,IF(OR(AT55&lt;AT$63,ISNUMBER(AT55)=FALSE),AT$64,AT55))))</f>
      </c>
      <c r="AU107" s="9" t="str">
        <f>IF(ISBLANK(AU55),"NO DATA",IF(ISNUMBER(FIND(CODES!$A$12,AU55)),CODES!$A$12,IF(OR(ISNUMBER(FIND(CODES!$A$10,AU55)),ISNUMBER(FIND(CODES!$A$11,AU55))),CODES!$A$13,IF(OR(AU55&lt;AU$63,ISNUMBER(AU55)=FALSE),AU$64,AU55))))</f>
      </c>
      <c r="AV107" s="9" t="str">
        <f>IF(ISBLANK(AV55),"NO DATA",IF(ISNUMBER(FIND(CODES!$A$12,AV55)),CODES!$A$12,IF(OR(ISNUMBER(FIND(CODES!$A$10,AV55)),ISNUMBER(FIND(CODES!$A$11,AV55))),CODES!$A$13,IF(OR(AV55&lt;AV$63,ISNUMBER(AV55)=FALSE),AV$64,AV55))))</f>
      </c>
      <c r="AW107" s="9" t="str">
        <f>IF(ISBLANK(AW55),"NO DATA",IF(ISNUMBER(FIND(CODES!$A$12,AW55)),CODES!$A$12,IF(OR(ISNUMBER(FIND(CODES!$A$10,AW55)),ISNUMBER(FIND(CODES!$A$11,AW55))),CODES!$A$13,IF(OR(AW55&lt;AW$63,ISNUMBER(AW55)=FALSE),AW$64,AW55))))</f>
      </c>
      <c r="AX107" s="9" t="str">
        <f>IF(ISBLANK(AX55),"NO DATA",IF(ISNUMBER(FIND(CODES!$A$12,AX55)),CODES!$A$12,IF(OR(ISNUMBER(FIND(CODES!$A$10,AX55)),ISNUMBER(FIND(CODES!$A$11,AX55))),CODES!$A$13,IF(OR(AX55&lt;AX$63,ISNUMBER(AX55)=FALSE),AX$64,AX55))))</f>
      </c>
      <c r="AY107" s="9" t="str">
        <f>IF(ISBLANK(AY55),"NO DATA",IF(ISNUMBER(FIND(CODES!$A$12,AY55)),CODES!$A$12,IF(OR(ISNUMBER(FIND(CODES!$A$10,AY55)),ISNUMBER(FIND(CODES!$A$11,AY55))),CODES!$A$13,IF(OR(AY55&lt;AY$63,ISNUMBER(AY55)=FALSE),AY$64,AY55))))</f>
      </c>
      <c r="AZ107" s="9" t="str">
        <f>IF(ISBLANK(AZ55),"NO DATA",IF(ISNUMBER(FIND(CODES!$A$12,AZ55)),CODES!$A$12,IF(OR(ISNUMBER(FIND(CODES!$A$10,AZ55)),ISNUMBER(FIND(CODES!$A$11,AZ55))),CODES!$A$13,IF(OR(AZ55&lt;AZ$63,ISNUMBER(AZ55)=FALSE),AZ$64,AZ55))))</f>
      </c>
      <c r="BA107" s="9" t="str">
        <f>IF(ISBLANK(BA55),"NO DATA",IF(ISNUMBER(FIND(CODES!$A$12,BA55)),CODES!$A$12,IF(OR(ISNUMBER(FIND(CODES!$A$10,BA55)),ISNUMBER(FIND(CODES!$A$11,BA55))),CODES!$A$13,IF(OR(BA55&lt;BA$63,ISNUMBER(BA55)=FALSE),BA$64,BA55))))</f>
      </c>
      <c r="BB107" s="9" t="str">
        <f>IF(ISBLANK(BB55),"NO DATA",IF(ISNUMBER(FIND(CODES!$A$12,BB55)),CODES!$A$12,IF(OR(ISNUMBER(FIND(CODES!$A$10,BB55)),ISNUMBER(FIND(CODES!$A$11,BB55))),CODES!$A$13,IF(OR(BB55&lt;BB$63,ISNUMBER(BB55)=FALSE),BB$64,BB55))))</f>
      </c>
      <c r="BC107" s="9" t="str">
        <f>IF(ISBLANK(BC55),"NO DATA",IF(ISNUMBER(FIND(CODES!$A$12,BC55)),CODES!$A$12,IF(OR(ISNUMBER(FIND(CODES!$A$10,BC55)),ISNUMBER(FIND(CODES!$A$11,BC55))),CODES!$A$13,IF(OR(BC55&lt;BC$63,ISNUMBER(BC55)=FALSE),BC$64,BC55))))</f>
      </c>
      <c r="BD107" s="9" t="str">
        <f>IF(ISBLANK(BD55),"NO DATA",IF(ISNUMBER(FIND(CODES!$A$12,BD55)),CODES!$A$12,IF(OR(ISNUMBER(FIND(CODES!$A$10,BD55)),ISNUMBER(FIND(CODES!$A$11,BD55))),CODES!$A$13,IF(OR(BD55&lt;BD$63,ISNUMBER(BD55)=FALSE),BD$64,BD55))))</f>
      </c>
      <c r="BE107" s="9" t="str">
        <f>IF(ISBLANK(BE55),"NO DATA",IF(ISNUMBER(FIND(CODES!$A$12,BE55)),CODES!$A$12,IF(OR(ISNUMBER(FIND(CODES!$A$10,BE55)),ISNUMBER(FIND(CODES!$A$11,BE55))),CODES!$A$13,IF(OR(BE55&lt;BE$63,ISNUMBER(BE55)=FALSE),BE$64,BE55))))</f>
      </c>
      <c r="BF107" s="9" t="str">
        <f>IF(ISBLANK(BF55),"NO DATA",IF(ISNUMBER(FIND(CODES!$A$12,BF55)),CODES!$A$12,IF(OR(ISNUMBER(FIND(CODES!$A$10,BF55)),ISNUMBER(FIND(CODES!$A$11,BF55))),CODES!$A$13,IF(OR(BF55&lt;BF$63,ISNUMBER(BF55)=FALSE),BF$64,BF55))))</f>
      </c>
      <c r="BG107" s="9" t="str">
        <f>IF(ISBLANK(BG55),"NO DATA",IF(ISNUMBER(FIND(CODES!$A$12,BG55)),CODES!$A$12,IF(OR(ISNUMBER(FIND(CODES!$A$10,BG55)),ISNUMBER(FIND(CODES!$A$11,BG55))),CODES!$A$13,IF(OR(BG55&lt;BG$63,ISNUMBER(BG55)=FALSE),BG$64,BG55))))</f>
      </c>
      <c r="BH107" s="9" t="str">
        <f>IF(ISBLANK(BH55),"NO DATA",IF(ISNUMBER(FIND(CODES!$A$12,BH55)),CODES!$A$12,IF(OR(ISNUMBER(FIND(CODES!$A$10,BH55)),ISNUMBER(FIND(CODES!$A$11,BH55))),CODES!$A$13,IF(OR(BH55&lt;BH$63,ISNUMBER(BH55)=FALSE),BH$64,BH55))))</f>
      </c>
      <c r="BI107" s="9" t="str">
        <f>IF(ISBLANK(BI55),"NO DATA",IF(ISNUMBER(FIND(CODES!$A$12,BI55)),CODES!$A$12,IF(OR(ISNUMBER(FIND(CODES!$A$10,BI55)),ISNUMBER(FIND(CODES!$A$11,BI55))),CODES!$A$13,IF(OR(BI55&lt;BI$63,ISNUMBER(BI55)=FALSE),BI$64,BI55))))</f>
      </c>
      <c r="BJ107" s="9" t="str">
        <f>IF(ISBLANK(BJ55),"NO DATA",IF(ISNUMBER(FIND(CODES!$A$12,BJ55)),CODES!$A$12,IF(OR(ISNUMBER(FIND(CODES!$A$10,BJ55)),ISNUMBER(FIND(CODES!$A$11,BJ55))),CODES!$A$13,IF(OR(BJ55&lt;BJ$63,ISNUMBER(BJ55)=FALSE),BJ$64,BJ55))))</f>
      </c>
      <c r="BK107" s="9" t="str">
        <f>IF(ISBLANK(BK55),"NO DATA",IF(ISNUMBER(FIND(CODES!$A$12,BK55)),CODES!$A$12,IF(OR(ISNUMBER(FIND(CODES!$A$10,BK55)),ISNUMBER(FIND(CODES!$A$11,BK55))),CODES!$A$13,IF(OR(BK55&lt;BK$63,ISNUMBER(BK55)=FALSE),BK$64,BK55))))</f>
      </c>
      <c r="BL107" s="9" t="str">
        <f>IF(ISBLANK(BL55),"NO DATA",IF(ISNUMBER(FIND(CODES!$A$12,BL55)),CODES!$A$12,IF(OR(ISNUMBER(FIND(CODES!$A$10,BL55)),ISNUMBER(FIND(CODES!$A$11,BL55))),CODES!$A$13,IF(OR(BL55&lt;BL$63,ISNUMBER(BL55)=FALSE),BL$64,BL55))))</f>
      </c>
      <c r="BM107" s="9" t="str">
        <f>IF(ISBLANK(BM55),"NO DATA",IF(ISNUMBER(FIND(CODES!$A$12,BM55)),CODES!$A$12,IF(OR(ISNUMBER(FIND(CODES!$A$10,BM55)),ISNUMBER(FIND(CODES!$A$11,BM55))),CODES!$A$13,IF(OR(BM55&lt;BM$63,ISNUMBER(BM55)=FALSE),BM$64,BM55))))</f>
      </c>
      <c r="BN107" s="9" t="str">
        <f>IF(ISBLANK(BN55),"NO DATA",IF(ISNUMBER(FIND(CODES!$A$12,BN55)),CODES!$A$12,IF(OR(ISNUMBER(FIND(CODES!$A$10,BN55)),ISNUMBER(FIND(CODES!$A$11,BN55))),CODES!$A$13,IF(OR(BN55&lt;BN$63,ISNUMBER(BN55)=FALSE),BN$64,BN55))))</f>
      </c>
      <c r="BO107" s="9" t="str">
        <f>IF(ISBLANK(BO55),"NO DATA",IF(ISNUMBER(FIND(CODES!$A$12,BO55)),CODES!$A$12,IF(OR(ISNUMBER(FIND(CODES!$A$10,BO55)),ISNUMBER(FIND(CODES!$A$11,BO55))),CODES!$A$13,IF(OR(BO55&lt;BO$63,ISNUMBER(BO55)=FALSE),BO$64,BO55))))</f>
      </c>
      <c r="BP107" s="9" t="str">
        <f>IF(ISBLANK(BP55),"NO DATA",IF(ISNUMBER(FIND(CODES!$A$12,BP55)),CODES!$A$12,IF(OR(ISNUMBER(FIND(CODES!$A$10,BP55)),ISNUMBER(FIND(CODES!$A$11,BP55))),CODES!$A$13,IF(OR(BP55&lt;BP$63,ISNUMBER(BP55)=FALSE),BP$64,BP55))))</f>
      </c>
      <c r="BQ107" s="9" t="str">
        <f>IF(ISBLANK(BQ55),"NO DATA",IF(ISNUMBER(FIND(CODES!$A$12,BQ55)),CODES!$A$12,IF(OR(ISNUMBER(FIND(CODES!$A$10,BQ55)),ISNUMBER(FIND(CODES!$A$11,BQ55))),CODES!$A$13,IF(OR(BQ55&lt;BQ$63,ISNUMBER(BQ55)=FALSE),BQ$64,BQ55))))</f>
      </c>
      <c r="BR107" s="9" t="str">
        <f>IF(ISBLANK(BR55),"NO DATA",IF(ISNUMBER(FIND(CODES!$A$12,BR55)),CODES!$A$12,IF(OR(ISNUMBER(FIND(CODES!$A$10,BR55)),ISNUMBER(FIND(CODES!$A$11,BR55))),CODES!$A$13,IF(OR(BR55&lt;BR$63,ISNUMBER(BR55)=FALSE),BR$64,BR55))))</f>
      </c>
      <c r="BS107" s="9" t="str">
        <f>IF(ISBLANK(BS55),"NO DATA",IF(ISNUMBER(FIND(CODES!$A$12,BS55)),CODES!$A$12,IF(OR(ISNUMBER(FIND(CODES!$A$10,BS55)),ISNUMBER(FIND(CODES!$A$11,BS55))),CODES!$A$13,IF(OR(BS55&lt;BS$63,ISNUMBER(BS55)=FALSE),BS$64,BS55))))</f>
      </c>
      <c r="BT107" s="9" t="str">
        <f>IF(ISBLANK(BT55),"NO DATA",IF(ISNUMBER(FIND(CODES!$A$12,BT55)),CODES!$A$12,IF(OR(ISNUMBER(FIND(CODES!$A$10,BT55)),ISNUMBER(FIND(CODES!$A$11,BT55))),CODES!$A$13,IF(OR(BT55&lt;BT$63,ISNUMBER(BT55)=FALSE),BT$64,BT55))))</f>
      </c>
      <c r="BU107" s="9" t="str">
        <f>IF(ISBLANK(BU55),"NO DATA",IF(ISNUMBER(FIND(CODES!$A$12,BU55)),CODES!$A$12,IF(OR(ISNUMBER(FIND(CODES!$A$10,BU55)),ISNUMBER(FIND(CODES!$A$11,BU55))),CODES!$A$13,IF(OR(BU55&lt;BU$63,ISNUMBER(BU55)=FALSE),BU$64,BU55))))</f>
      </c>
      <c r="BV107" s="9" t="str">
        <f>IF(ISBLANK(BV55),"NO DATA",IF(ISNUMBER(FIND(CODES!$A$12,BV55)),CODES!$A$12,IF(OR(ISNUMBER(FIND(CODES!$A$10,BV55)),ISNUMBER(FIND(CODES!$A$11,BV55))),CODES!$A$13,IF(OR(BV55&lt;BV$63,ISNUMBER(BV55)=FALSE),BV$64,BV55))))</f>
      </c>
      <c r="BW107" s="9" t="str">
        <f>IF(ISBLANK(BW55),"NO DATA",IF(ISNUMBER(FIND(CODES!$A$12,BW55)),CODES!$A$12,IF(OR(ISNUMBER(FIND(CODES!$A$10,BW55)),ISNUMBER(FIND(CODES!$A$11,BW55))),CODES!$A$13,IF(OR(BW55&lt;BW$63,ISNUMBER(BW55)=FALSE),BW$64,BW55))))</f>
      </c>
      <c r="BX107" s="9" t="str">
        <f>IF(ISBLANK(BX55),"NO DATA",IF(ISNUMBER(FIND(CODES!$A$12,BX55)),CODES!$A$12,IF(OR(ISNUMBER(FIND(CODES!$A$10,BX55)),ISNUMBER(FIND(CODES!$A$11,BX55))),CODES!$A$13,IF(OR(BX55&lt;BX$63,ISNUMBER(BX55)=FALSE),BX$64,BX55))))</f>
      </c>
      <c r="BY107" s="9" t="str">
        <f>IF(ISBLANK(BY55),"NO DATA",IF(ISNUMBER(FIND(CODES!$A$12,BY55)),CODES!$A$12,IF(OR(ISNUMBER(FIND(CODES!$A$10,BY55)),ISNUMBER(FIND(CODES!$A$11,BY55))),CODES!$A$13,IF(OR(BY55&lt;BY$63,ISNUMBER(BY55)=FALSE),BY$64,BY55))))</f>
      </c>
      <c r="BZ107" s="9" t="str">
        <f>IF(ISBLANK(BZ55),"NO DATA",IF(ISNUMBER(FIND(CODES!$A$12,BZ55)),CODES!$A$12,IF(OR(ISNUMBER(FIND(CODES!$A$10,BZ55)),ISNUMBER(FIND(CODES!$A$11,BZ55))),CODES!$A$13,IF(OR(BZ55&lt;BZ$63,ISNUMBER(BZ55)=FALSE),BZ$64,BZ55))))</f>
      </c>
      <c r="CA107" s="9" t="str">
        <f>IF(ISBLANK(CA55),"NO DATA",IF(ISNUMBER(FIND(CODES!$A$12,CA55)),CODES!$A$12,IF(OR(ISNUMBER(FIND(CODES!$A$10,CA55)),ISNUMBER(FIND(CODES!$A$11,CA55))),CODES!$A$13,IF(OR(CA55&lt;CA$63,ISNUMBER(CA55)=FALSE),CA$64,CA55))))</f>
      </c>
      <c r="CB107" s="9" t="str">
        <f>IF(ISBLANK(CB55),"NO DATA",IF(ISNUMBER(FIND(CODES!$A$12,CB55)),CODES!$A$12,IF(OR(ISNUMBER(FIND(CODES!$A$10,CB55)),ISNUMBER(FIND(CODES!$A$11,CB55))),CODES!$A$13,IF(OR(CB55&lt;CB$63,ISNUMBER(CB55)=FALSE),CB$64,CB55))))</f>
      </c>
      <c r="CC107" s="9" t="str">
        <f>IF(ISBLANK(CC55),"NO DATA",IF(ISNUMBER(FIND(CODES!$A$12,CC55)),CODES!$A$12,IF(OR(ISNUMBER(FIND(CODES!$A$10,CC55)),ISNUMBER(FIND(CODES!$A$11,CC55))),CODES!$A$13,IF(OR(CC55&lt;CC$63,ISNUMBER(CC55)=FALSE),CC$64,CC55))))</f>
      </c>
      <c r="CD107" s="9" t="str">
        <f>IF(ISBLANK(CD55),"NO DATA",IF(ISNUMBER(FIND(CODES!$A$12,CD55)),CODES!$A$12,IF(OR(ISNUMBER(FIND(CODES!$A$10,CD55)),ISNUMBER(FIND(CODES!$A$11,CD55))),CODES!$A$13,IF(OR(CD55&lt;CD$63,ISNUMBER(CD55)=FALSE),CD$64,CD55))))</f>
      </c>
      <c r="CE107" s="9" t="str">
        <f>IF(ISBLANK(CE55),"NO DATA",IF(ISNUMBER(FIND(CODES!$A$12,CE55)),CODES!$A$12,IF(OR(ISNUMBER(FIND(CODES!$A$10,CE55)),ISNUMBER(FIND(CODES!$A$11,CE55))),CODES!$A$13,IF(OR(CE55&lt;CE$63,ISNUMBER(CE55)=FALSE),CE$64,CE55))))</f>
      </c>
      <c r="CF107" s="9" t="str">
        <f>IF(ISBLANK(CF55),"NO DATA",IF(ISNUMBER(FIND(CODES!$A$12,CF55)),CODES!$A$12,IF(OR(ISNUMBER(FIND(CODES!$A$10,CF55)),ISNUMBER(FIND(CODES!$A$11,CF55))),CODES!$A$13,IF(OR(CF55&lt;CF$63,ISNUMBER(CF55)=FALSE),CF$64,CF55))))</f>
      </c>
      <c r="CG107" s="9" t="str">
        <f>IF(ISBLANK(CG55),"NO DATA",IF(ISNUMBER(FIND(CODES!$A$12,CG55)),CODES!$A$12,IF(OR(ISNUMBER(FIND(CODES!$A$10,CG55)),ISNUMBER(FIND(CODES!$A$11,CG55))),CODES!$A$13,IF(OR(CG55&lt;CG$63,ISNUMBER(CG55)=FALSE),CG$64,CG55))))</f>
      </c>
      <c r="CH107" s="9" t="str">
        <f>IF(ISBLANK(CH55),"NO DATA",IF(ISNUMBER(FIND(CODES!$A$12,CH55)),CODES!$A$12,IF(OR(ISNUMBER(FIND(CODES!$A$10,CH55)),ISNUMBER(FIND(CODES!$A$11,CH55))),CODES!$A$13,IF(OR(CH55&lt;CH$63,ISNUMBER(CH55)=FALSE),CH$64,CH55))))</f>
      </c>
      <c r="CI107" s="9" t="str">
        <f>IF(ISBLANK(CI55),"NO DATA",IF(ISNUMBER(FIND(CODES!$A$12,CI55)),CODES!$A$12,IF(OR(ISNUMBER(FIND(CODES!$A$10,CI55)),ISNUMBER(FIND(CODES!$A$11,CI55))),CODES!$A$13,IF(OR(CI55&lt;CI$63,ISNUMBER(CI55)=FALSE),CI$64,CI55))))</f>
      </c>
      <c r="CJ107" s="9" t="str">
        <f>IF(ISBLANK(CJ55),"NO DATA",IF(ISNUMBER(FIND(CODES!$A$12,CJ55)),CODES!$A$12,IF(OR(ISNUMBER(FIND(CODES!$A$10,CJ55)),ISNUMBER(FIND(CODES!$A$11,CJ55))),CODES!$A$13,IF(OR(CJ55&lt;CJ$63,ISNUMBER(CJ55)=FALSE),CJ$64,CJ55))))</f>
      </c>
      <c r="CK107" s="9" t="str">
        <f>IF(ISBLANK(CK55),"NO DATA",IF(ISNUMBER(FIND(CODES!$A$12,CK55)),CODES!$A$12,IF(OR(ISNUMBER(FIND(CODES!$A$10,CK55)),ISNUMBER(FIND(CODES!$A$11,CK55))),CODES!$A$13,IF(OR(CK55&lt;CK$63,ISNUMBER(CK55)=FALSE),CK$64,CK55))))</f>
      </c>
      <c r="CL107" s="9" t="str">
        <f>IF(ISBLANK(CL55),"NO DATA",IF(ISNUMBER(FIND(CODES!$A$12,CL55)),CODES!$A$12,IF(OR(ISNUMBER(FIND(CODES!$A$10,CL55)),ISNUMBER(FIND(CODES!$A$11,CL55))),CODES!$A$13,IF(OR(CL55&lt;CL$63,ISNUMBER(CL55)=FALSE),CL$64,CL55))))</f>
      </c>
      <c r="CM107" s="9" t="str">
        <f>IF(ISBLANK(CM55),"NO DATA",IF(ISNUMBER(FIND(CODES!$A$12,CM55)),CODES!$A$12,IF(OR(ISNUMBER(FIND(CODES!$A$10,CM55)),ISNUMBER(FIND(CODES!$A$11,CM55))),CODES!$A$13,IF(OR(CM55&lt;CM$63,ISNUMBER(CM55)=FALSE),CM$64,CM55))))</f>
      </c>
      <c r="CN107" s="9" t="str">
        <f>IF(ISBLANK(CN55),"NO DATA",IF(ISNUMBER(FIND(CODES!$A$12,CN55)),CODES!$A$12,IF(OR(ISNUMBER(FIND(CODES!$A$10,CN55)),ISNUMBER(FIND(CODES!$A$11,CN55))),CODES!$A$13,IF(OR(CN55&lt;CN$63,ISNUMBER(CN55)=FALSE),CN$64,CN55))))</f>
      </c>
      <c r="CO107" s="9" t="str">
        <f>IF(ISBLANK(CO55),"NO DATA",IF(ISNUMBER(FIND(CODES!$A$12,CO55)),CODES!$A$12,IF(OR(ISNUMBER(FIND(CODES!$A$10,CO55)),ISNUMBER(FIND(CODES!$A$11,CO55))),CODES!$A$13,IF(OR(CO55&lt;CO$63,ISNUMBER(CO55)=FALSE),CO$64,CO55))))</f>
      </c>
      <c r="CP107" s="9" t="str">
        <f>IF(ISBLANK(CP55),"NO DATA",IF(ISNUMBER(FIND(CODES!$A$12,CP55)),CODES!$A$12,IF(OR(ISNUMBER(FIND(CODES!$A$10,CP55)),ISNUMBER(FIND(CODES!$A$11,CP55))),CODES!$A$13,IF(OR(CP55&lt;CP$63,ISNUMBER(CP55)=FALSE),CP$64,CP55))))</f>
      </c>
      <c r="CQ107" s="9" t="str">
        <f>IF(ISBLANK(CQ55),"NO DATA",IF(ISNUMBER(FIND(CODES!$A$12,CQ55)),CODES!$A$12,IF(OR(ISNUMBER(FIND(CODES!$A$10,CQ55)),ISNUMBER(FIND(CODES!$A$11,CQ55))),CODES!$A$13,IF(OR(CQ55&lt;CQ$63,ISNUMBER(CQ55)=FALSE),CQ$64,CQ55))))</f>
      </c>
      <c r="CR107" s="9" t="str">
        <f>IF(ISBLANK(CR55),"NO DATA",IF(ISNUMBER(FIND(CODES!$A$12,CR55)),CODES!$A$12,IF(OR(ISNUMBER(FIND(CODES!$A$10,CR55)),ISNUMBER(FIND(CODES!$A$11,CR55))),CODES!$A$13,IF(OR(CR55&lt;CR$63,ISNUMBER(CR55)=FALSE),CR$64,CR55))))</f>
      </c>
      <c r="CS107" s="9" t="str">
        <f>IF(ISBLANK(CS55),"NO DATA",IF(ISNUMBER(FIND(CODES!$A$12,CS55)),CODES!$A$12,IF(OR(ISNUMBER(FIND(CODES!$A$10,CS55)),ISNUMBER(FIND(CODES!$A$11,CS55))),CODES!$A$13,IF(OR(CS55&lt;CS$63,ISNUMBER(CS55)=FALSE),CS$64,CS55))))</f>
      </c>
      <c r="CT107" s="9" t="str">
        <f>IF(ISBLANK(CT55),"NO DATA",IF(ISNUMBER(FIND(CODES!$A$12,CT55)),CODES!$A$12,IF(OR(ISNUMBER(FIND(CODES!$A$10,CT55)),ISNUMBER(FIND(CODES!$A$11,CT55))),CODES!$A$13,IF(OR(CT55&lt;CT$63,ISNUMBER(CT55)=FALSE),CT$64,CT55))))</f>
      </c>
      <c r="CU107" s="9" t="str">
        <f>IF(ISBLANK(CU55),"NO DATA",IF(ISNUMBER(FIND(CODES!$A$12,CU55)),CODES!$A$12,IF(OR(ISNUMBER(FIND(CODES!$A$10,CU55)),ISNUMBER(FIND(CODES!$A$11,CU55))),CODES!$A$13,IF(OR(CU55&lt;CU$63,ISNUMBER(CU55)=FALSE),CU$64,CU55))))</f>
      </c>
      <c r="CV107" s="9" t="str">
        <f>IF(ISBLANK(CV55),"NO DATA",IF(ISNUMBER(FIND(CODES!$A$12,CV55)),CODES!$A$12,IF(OR(ISNUMBER(FIND(CODES!$A$10,CV55)),ISNUMBER(FIND(CODES!$A$11,CV55))),CODES!$A$13,IF(OR(CV55&lt;CV$63,ISNUMBER(CV55)=FALSE),CV$64,CV55))))</f>
      </c>
      <c r="CW107" s="9" t="str">
        <f>IF(ISBLANK(CW55),"NO DATA",IF(ISNUMBER(FIND(CODES!$A$12,CW55)),CODES!$A$12,IF(OR(ISNUMBER(FIND(CODES!$A$10,CW55)),ISNUMBER(FIND(CODES!$A$11,CW55))),CODES!$A$13,IF(OR(CW55&lt;CW$63,ISNUMBER(CW55)=FALSE),CW$64,CW55))))</f>
      </c>
      <c r="CX107" s="9" t="str">
        <f>IF(ISBLANK(CX55),"NO DATA",IF(ISNUMBER(FIND(CODES!$A$12,CX55)),CODES!$A$12,IF(OR(ISNUMBER(FIND(CODES!$A$10,CX55)),ISNUMBER(FIND(CODES!$A$11,CX55))),CODES!$A$13,IF(OR(CX55&lt;CX$63,ISNUMBER(CX55)=FALSE),CX$64,CX55))))</f>
      </c>
      <c r="CY107" s="9" t="str">
        <f>IF(ISBLANK(CY55),"NO DATA",IF(ISNUMBER(FIND(CODES!$A$12,CY55)),CODES!$A$12,IF(OR(ISNUMBER(FIND(CODES!$A$10,CY55)),ISNUMBER(FIND(CODES!$A$11,CY55))),CODES!$A$13,IF(OR(CY55&lt;CY$63,ISNUMBER(CY55)=FALSE),CY$64,CY55))))</f>
      </c>
      <c r="CZ107" s="9" t="str">
        <f>IF(ISBLANK(CZ55),"NO DATA",IF(ISNUMBER(FIND(CODES!$A$12,CZ55)),CODES!$A$12,IF(OR(ISNUMBER(FIND(CODES!$A$10,CZ55)),ISNUMBER(FIND(CODES!$A$11,CZ55))),CODES!$A$13,IF(OR(CZ55&lt;CZ$63,ISNUMBER(CZ55)=FALSE),CZ$64,CZ55))))</f>
      </c>
      <c r="DA107" s="9" t="str">
        <f>IF(ISBLANK(DA55),"NO DATA",IF(ISNUMBER(FIND(CODES!$A$12,DA55)),CODES!$A$12,IF(OR(ISNUMBER(FIND(CODES!$A$10,DA55)),ISNUMBER(FIND(CODES!$A$11,DA55))),CODES!$A$13,IF(OR(DA55&lt;DA$63,ISNUMBER(DA55)=FALSE),DA$64,DA55))))</f>
      </c>
      <c r="DB107" s="9" t="str">
        <f>IF(ISBLANK(DB55),"NO DATA",IF(ISNUMBER(FIND(CODES!$A$12,DB55)),CODES!$A$12,IF(OR(ISNUMBER(FIND(CODES!$A$10,DB55)),ISNUMBER(FIND(CODES!$A$11,DB55))),CODES!$A$13,IF(OR(DB55&lt;DB$63,ISNUMBER(DB55)=FALSE),DB$64,DB55))))</f>
      </c>
      <c r="DC107" s="9" t="str">
        <f>IF(ISBLANK(DC55),"NO DATA",IF(ISNUMBER(FIND(CODES!$A$12,DC55)),CODES!$A$12,IF(OR(ISNUMBER(FIND(CODES!$A$10,DC55)),ISNUMBER(FIND(CODES!$A$11,DC55))),CODES!$A$13,IF(OR(DC55&lt;DC$63,ISNUMBER(DC55)=FALSE),DC$64,DC55))))</f>
      </c>
      <c r="DD107" s="9" t="str">
        <f>IF(ISBLANK(DD55),"NO DATA",IF(ISNUMBER(FIND(CODES!$A$12,DD55)),CODES!$A$12,IF(OR(ISNUMBER(FIND(CODES!$A$10,DD55)),ISNUMBER(FIND(CODES!$A$11,DD55))),CODES!$A$13,IF(OR(DD55&lt;DD$63,ISNUMBER(DD55)=FALSE),DD$64,DD55))))</f>
      </c>
      <c r="DE107" s="9" t="str">
        <f>IF(ISBLANK(DE55),"NO DATA",IF(ISNUMBER(FIND(CODES!$A$12,DE55)),CODES!$A$12,IF(OR(ISNUMBER(FIND(CODES!$A$10,DE55)),ISNUMBER(FIND(CODES!$A$11,DE55))),CODES!$A$13,IF(OR(DE55&lt;DE$63,ISNUMBER(DE55)=FALSE),DE$64,DE55))))</f>
      </c>
      <c r="DF107" s="9" t="str">
        <f>IF(ISBLANK(DF55),"NO DATA",IF(ISNUMBER(FIND(CODES!$A$12,DF55)),CODES!$A$12,IF(OR(ISNUMBER(FIND(CODES!$A$10,DF55)),ISNUMBER(FIND(CODES!$A$11,DF55))),CODES!$A$13,IF(OR(DF55&lt;DF$63,ISNUMBER(DF55)=FALSE),DF$64,DF55))))</f>
      </c>
      <c r="DG107" s="9" t="str">
        <f>IF(ISBLANK(DG55),"NO DATA",IF(ISNUMBER(FIND(CODES!$A$12,DG55)),CODES!$A$12,IF(OR(ISNUMBER(FIND(CODES!$A$10,DG55)),ISNUMBER(FIND(CODES!$A$11,DG55))),CODES!$A$13,IF(OR(DG55&lt;DG$63,ISNUMBER(DG55)=FALSE),DG$64,DG55))))</f>
      </c>
      <c r="DH107" s="9" t="str">
        <f>IF(ISBLANK(DH55),"NO DATA",IF(ISNUMBER(FIND(CODES!$A$12,DH55)),CODES!$A$12,IF(OR(ISNUMBER(FIND(CODES!$A$10,DH55)),ISNUMBER(FIND(CODES!$A$11,DH55))),CODES!$A$13,IF(OR(DH55&lt;DH$63,ISNUMBER(DH55)=FALSE),DH$64,DH55))))</f>
      </c>
      <c r="DI107" s="9" t="str">
        <f>IF(ISBLANK(DI55),"NO DATA",IF(ISNUMBER(FIND(CODES!$A$12,DI55)),CODES!$A$12,IF(OR(ISNUMBER(FIND(CODES!$A$10,DI55)),ISNUMBER(FIND(CODES!$A$11,DI55))),CODES!$A$13,IF(OR(DI55&lt;DI$63,ISNUMBER(DI55)=FALSE),DI$64,DI55))))</f>
      </c>
    </row>
    <row r="108" spans="1:113" x14ac:dyDescent="0.25">
      <c r="A108" s="20" t="str">
        <f t="shared" si="5"/>
      </c>
      <c r="B108" s="20">
        <f t="shared" si="5"/>
      </c>
      <c r="C108" s="9" t="str">
        <f>IF(ISBLANK(C56),"NO DATA",IF(ISNUMBER(FIND(CODES!$A$12,C56)),CODES!$A$12,IF(OR(ISNUMBER(FIND(CODES!$A$10,C56)),ISNUMBER(FIND(CODES!$A$11,C56))),CODES!$A$13,IF(OR(C56&lt;C$63,ISNUMBER(C56)=FALSE),C$64,C56))))</f>
      </c>
      <c r="D108" s="9" t="str">
        <f>IF(ISBLANK(D56),"NO DATA",IF(ISNUMBER(FIND(CODES!$A$12,D56)),CODES!$A$12,IF(OR(ISNUMBER(FIND(CODES!$A$10,D56)),ISNUMBER(FIND(CODES!$A$11,D56))),CODES!$A$13,IF(OR(D56&lt;D$63,ISNUMBER(D56)=FALSE),D$64,D56))))</f>
      </c>
      <c r="E108" s="9" t="str">
        <f>IF(ISBLANK(E56),"NO DATA",IF(ISNUMBER(FIND(CODES!$A$12,E56)),CODES!$A$12,IF(OR(ISNUMBER(FIND(CODES!$A$10,E56)),ISNUMBER(FIND(CODES!$A$11,E56))),CODES!$A$13,IF(OR(E56&lt;E$63,ISNUMBER(E56)=FALSE),E$64,E56))))</f>
      </c>
      <c r="F108" s="9" t="str">
        <f>IF(ISBLANK(F56),"NO DATA",IF(ISNUMBER(FIND(CODES!$A$12,F56)),CODES!$A$12,IF(OR(ISNUMBER(FIND(CODES!$A$10,F56)),ISNUMBER(FIND(CODES!$A$11,F56))),CODES!$A$13,IF(OR(F56&lt;F$63,ISNUMBER(F56)=FALSE),F$64,F56))))</f>
      </c>
      <c r="G108" s="9" t="str">
        <f>IF(ISBLANK(G56),"NO DATA",IF(ISNUMBER(FIND(CODES!$A$12,G56)),CODES!$A$12,IF(OR(ISNUMBER(FIND(CODES!$A$10,G56)),ISNUMBER(FIND(CODES!$A$11,G56))),CODES!$A$13,IF(OR(G56&lt;G$63,ISNUMBER(G56)=FALSE),G$64,G56))))</f>
      </c>
      <c r="H108" s="9" t="str">
        <f>IF(ISBLANK(H56),"NO DATA",IF(ISNUMBER(FIND(CODES!$A$12,H56)),CODES!$A$12,IF(OR(ISNUMBER(FIND(CODES!$A$10,H56)),ISNUMBER(FIND(CODES!$A$11,H56))),CODES!$A$13,IF(OR(H56&lt;H$63,ISNUMBER(H56)=FALSE),H$64,H56))))</f>
      </c>
      <c r="I108" s="9" t="str">
        <f>IF(ISBLANK(I56),"NO DATA",IF(ISNUMBER(FIND(CODES!$A$12,I56)),CODES!$A$12,IF(OR(ISNUMBER(FIND(CODES!$A$10,I56)),ISNUMBER(FIND(CODES!$A$11,I56))),CODES!$A$13,IF(OR(I56&lt;I$63,ISNUMBER(I56)=FALSE),I$64,I56))))</f>
      </c>
      <c r="J108" s="9" t="str">
        <f>IF(ISBLANK(J56),"NO DATA",IF(ISNUMBER(FIND(CODES!$A$12,J56)),CODES!$A$12,IF(OR(ISNUMBER(FIND(CODES!$A$10,J56)),ISNUMBER(FIND(CODES!$A$11,J56))),CODES!$A$13,IF(OR(J56&lt;J$63,ISNUMBER(J56)=FALSE),J$64,J56))))</f>
      </c>
      <c r="K108" s="9" t="str">
        <f>IF(ISBLANK(K56),"NO DATA",IF(ISNUMBER(FIND(CODES!$A$12,K56)),CODES!$A$12,IF(OR(ISNUMBER(FIND(CODES!$A$10,K56)),ISNUMBER(FIND(CODES!$A$11,K56))),CODES!$A$13,IF(OR(K56&lt;K$63,ISNUMBER(K56)=FALSE),K$64,K56))))</f>
      </c>
      <c r="L108" s="9" t="str">
        <f>IF(ISBLANK(L56),"NO DATA",IF(ISNUMBER(FIND(CODES!$A$12,L56)),CODES!$A$12,IF(OR(ISNUMBER(FIND(CODES!$A$10,L56)),ISNUMBER(FIND(CODES!$A$11,L56))),CODES!$A$13,IF(OR(L56&lt;L$63,ISNUMBER(L56)=FALSE),L$64,L56))))</f>
      </c>
      <c r="M108" s="9" t="str">
        <f>IF(ISBLANK(M56),"NO DATA",IF(ISNUMBER(FIND(CODES!$A$12,M56)),CODES!$A$12,IF(OR(ISNUMBER(FIND(CODES!$A$10,M56)),ISNUMBER(FIND(CODES!$A$11,M56))),CODES!$A$13,IF(OR(M56&lt;M$63,ISNUMBER(M56)=FALSE),M$64,M56))))</f>
      </c>
      <c r="N108" s="9" t="str">
        <f>IF(ISBLANK(N56),"NO DATA",IF(ISNUMBER(FIND(CODES!$A$12,N56)),CODES!$A$12,IF(OR(ISNUMBER(FIND(CODES!$A$10,N56)),ISNUMBER(FIND(CODES!$A$11,N56))),CODES!$A$13,IF(OR(N56&lt;N$63,ISNUMBER(N56)=FALSE),N$64,N56))))</f>
      </c>
      <c r="O108" s="9" t="str">
        <f>IF(ISBLANK(O56),"NO DATA",IF(ISNUMBER(FIND(CODES!$A$12,O56)),CODES!$A$12,IF(OR(ISNUMBER(FIND(CODES!$A$10,O56)),ISNUMBER(FIND(CODES!$A$11,O56))),CODES!$A$13,IF(OR(O56&lt;O$63,ISNUMBER(O56)=FALSE),O$64,O56))))</f>
      </c>
      <c r="P108" s="9" t="str">
        <f>IF(ISBLANK(P56),"NO DATA",IF(ISNUMBER(FIND(CODES!$A$12,P56)),CODES!$A$12,IF(OR(ISNUMBER(FIND(CODES!$A$10,P56)),ISNUMBER(FIND(CODES!$A$11,P56))),CODES!$A$13,IF(OR(P56&lt;P$63,ISNUMBER(P56)=FALSE),P$64,P56))))</f>
      </c>
      <c r="Q108" s="9" t="str">
        <f>IF(ISBLANK(Q56),"NO DATA",IF(ISNUMBER(FIND(CODES!$A$12,Q56)),CODES!$A$12,IF(OR(ISNUMBER(FIND(CODES!$A$10,Q56)),ISNUMBER(FIND(CODES!$A$11,Q56))),CODES!$A$13,IF(OR(Q56&lt;Q$63,ISNUMBER(Q56)=FALSE),Q$64,Q56))))</f>
      </c>
      <c r="R108" s="9" t="str">
        <f>IF(ISBLANK(R56),"NO DATA",IF(ISNUMBER(FIND(CODES!$A$12,R56)),CODES!$A$12,IF(OR(ISNUMBER(FIND(CODES!$A$10,R56)),ISNUMBER(FIND(CODES!$A$11,R56))),CODES!$A$13,IF(OR(R56&lt;R$63,ISNUMBER(R56)=FALSE),R$64,R56))))</f>
      </c>
      <c r="S108" s="9" t="str">
        <f>IF(ISBLANK(S56),"NO DATA",IF(ISNUMBER(FIND(CODES!$A$12,S56)),CODES!$A$12,IF(OR(ISNUMBER(FIND(CODES!$A$10,S56)),ISNUMBER(FIND(CODES!$A$11,S56))),CODES!$A$13,IF(OR(S56&lt;S$63,ISNUMBER(S56)=FALSE),S$64,S56))))</f>
      </c>
      <c r="T108" s="9" t="str">
        <f>IF(ISBLANK(T56),"NO DATA",IF(ISNUMBER(FIND(CODES!$A$12,T56)),CODES!$A$12,IF(OR(ISNUMBER(FIND(CODES!$A$10,T56)),ISNUMBER(FIND(CODES!$A$11,T56))),CODES!$A$13,IF(OR(T56&lt;T$63,ISNUMBER(T56)=FALSE),T$64,T56))))</f>
      </c>
      <c r="U108" s="9" t="str">
        <f>IF(ISBLANK(U56),"NO DATA",IF(ISNUMBER(FIND(CODES!$A$12,U56)),CODES!$A$12,IF(OR(ISNUMBER(FIND(CODES!$A$10,U56)),ISNUMBER(FIND(CODES!$A$11,U56))),CODES!$A$13,IF(OR(U56&lt;U$63,ISNUMBER(U56)=FALSE),U$64,U56))))</f>
      </c>
      <c r="V108" s="9" t="str">
        <f>IF(ISBLANK(V56),"NO DATA",IF(ISNUMBER(FIND(CODES!$A$12,V56)),CODES!$A$12,IF(OR(ISNUMBER(FIND(CODES!$A$10,V56)),ISNUMBER(FIND(CODES!$A$11,V56))),CODES!$A$13,IF(OR(V56&lt;V$63,ISNUMBER(V56)=FALSE),V$64,V56))))</f>
      </c>
      <c r="W108" s="9" t="str">
        <f>IF(ISBLANK(W56),"NO DATA",IF(ISNUMBER(FIND(CODES!$A$12,W56)),CODES!$A$12,IF(OR(ISNUMBER(FIND(CODES!$A$10,W56)),ISNUMBER(FIND(CODES!$A$11,W56))),CODES!$A$13,IF(OR(W56&lt;W$63,ISNUMBER(W56)=FALSE),W$64,W56))))</f>
      </c>
      <c r="X108" s="9" t="str">
        <f>IF(ISBLANK(X56),"NO DATA",IF(ISNUMBER(FIND(CODES!$A$12,X56)),CODES!$A$12,IF(OR(ISNUMBER(FIND(CODES!$A$10,X56)),ISNUMBER(FIND(CODES!$A$11,X56))),CODES!$A$13,IF(OR(X56&lt;X$63,ISNUMBER(X56)=FALSE),X$64,X56))))</f>
      </c>
      <c r="Y108" s="9" t="str">
        <f>IF(ISBLANK(Y56),"NO DATA",IF(ISNUMBER(FIND(CODES!$A$12,Y56)),CODES!$A$12,IF(OR(ISNUMBER(FIND(CODES!$A$10,Y56)),ISNUMBER(FIND(CODES!$A$11,Y56))),CODES!$A$13,IF(OR(Y56&lt;Y$63,ISNUMBER(Y56)=FALSE),Y$64,Y56))))</f>
      </c>
      <c r="Z108" s="9" t="str">
        <f>IF(ISBLANK(Z56),"NO DATA",IF(ISNUMBER(FIND(CODES!$A$12,Z56)),CODES!$A$12,IF(OR(ISNUMBER(FIND(CODES!$A$10,Z56)),ISNUMBER(FIND(CODES!$A$11,Z56))),CODES!$A$13,IF(OR(Z56&lt;Z$63,ISNUMBER(Z56)=FALSE),Z$64,Z56))))</f>
      </c>
      <c r="AA108" s="9" t="str">
        <f>IF(ISBLANK(AA56),"NO DATA",IF(ISNUMBER(FIND(CODES!$A$12,AA56)),CODES!$A$12,IF(OR(ISNUMBER(FIND(CODES!$A$10,AA56)),ISNUMBER(FIND(CODES!$A$11,AA56))),CODES!$A$13,IF(OR(AA56&lt;AA$63,ISNUMBER(AA56)=FALSE),AA$64,AA56))))</f>
      </c>
      <c r="AB108" s="9" t="str">
        <f>IF(ISBLANK(AB56),"NO DATA",IF(ISNUMBER(FIND(CODES!$A$12,AB56)),CODES!$A$12,IF(OR(ISNUMBER(FIND(CODES!$A$10,AB56)),ISNUMBER(FIND(CODES!$A$11,AB56))),CODES!$A$13,IF(OR(AB56&lt;AB$63,ISNUMBER(AB56)=FALSE),AB$64,AB56))))</f>
      </c>
      <c r="AC108" s="9" t="str">
        <f>IF(ISBLANK(AC56),"NO DATA",IF(ISNUMBER(FIND(CODES!$A$12,AC56)),CODES!$A$12,IF(OR(ISNUMBER(FIND(CODES!$A$10,AC56)),ISNUMBER(FIND(CODES!$A$11,AC56))),CODES!$A$13,IF(OR(AC56&lt;AC$63,ISNUMBER(AC56)=FALSE),AC$64,AC56))))</f>
      </c>
      <c r="AD108" s="9" t="str">
        <f>IF(ISBLANK(AD56),"NO DATA",IF(ISNUMBER(FIND(CODES!$A$12,AD56)),CODES!$A$12,IF(OR(ISNUMBER(FIND(CODES!$A$10,AD56)),ISNUMBER(FIND(CODES!$A$11,AD56))),CODES!$A$13,IF(OR(AD56&lt;AD$63,ISNUMBER(AD56)=FALSE),AD$64,AD56))))</f>
      </c>
      <c r="AE108" s="9" t="str">
        <f>IF(ISBLANK(AE56),"NO DATA",IF(ISNUMBER(FIND(CODES!$A$12,AE56)),CODES!$A$12,IF(OR(ISNUMBER(FIND(CODES!$A$10,AE56)),ISNUMBER(FIND(CODES!$A$11,AE56))),CODES!$A$13,IF(OR(AE56&lt;AE$63,ISNUMBER(AE56)=FALSE),AE$64,AE56))))</f>
      </c>
      <c r="AF108" s="9" t="str">
        <f>IF(ISBLANK(AF56),"NO DATA",IF(ISNUMBER(FIND(CODES!$A$12,AF56)),CODES!$A$12,IF(OR(ISNUMBER(FIND(CODES!$A$10,AF56)),ISNUMBER(FIND(CODES!$A$11,AF56))),CODES!$A$13,IF(OR(AF56&lt;AF$63,ISNUMBER(AF56)=FALSE),AF$64,AF56))))</f>
      </c>
      <c r="AG108" s="9" t="str">
        <f>IF(ISBLANK(AG56),"NO DATA",IF(ISNUMBER(FIND(CODES!$A$12,AG56)),CODES!$A$12,IF(OR(ISNUMBER(FIND(CODES!$A$10,AG56)),ISNUMBER(FIND(CODES!$A$11,AG56))),CODES!$A$13,IF(OR(AG56&lt;AG$63,ISNUMBER(AG56)=FALSE),AG$64,AG56))))</f>
      </c>
      <c r="AH108" s="9" t="str">
        <f>IF(ISBLANK(AH56),"NO DATA",IF(ISNUMBER(FIND(CODES!$A$12,AH56)),CODES!$A$12,IF(OR(ISNUMBER(FIND(CODES!$A$10,AH56)),ISNUMBER(FIND(CODES!$A$11,AH56))),CODES!$A$13,IF(OR(AH56&lt;AH$63,ISNUMBER(AH56)=FALSE),AH$64,AH56))))</f>
      </c>
      <c r="AI108" s="9" t="str">
        <f>IF(ISBLANK(AI56),"NO DATA",IF(ISNUMBER(FIND(CODES!$A$12,AI56)),CODES!$A$12,IF(OR(ISNUMBER(FIND(CODES!$A$10,AI56)),ISNUMBER(FIND(CODES!$A$11,AI56))),CODES!$A$13,IF(OR(AI56&lt;AI$63,ISNUMBER(AI56)=FALSE),AI$64,AI56))))</f>
      </c>
      <c r="AJ108" s="9" t="str">
        <f>IF(ISBLANK(AJ56),"NO DATA",IF(ISNUMBER(FIND(CODES!$A$12,AJ56)),CODES!$A$12,IF(OR(ISNUMBER(FIND(CODES!$A$10,AJ56)),ISNUMBER(FIND(CODES!$A$11,AJ56))),CODES!$A$13,IF(OR(AJ56&lt;AJ$63,ISNUMBER(AJ56)=FALSE),AJ$64,AJ56))))</f>
      </c>
      <c r="AK108" s="9" t="str">
        <f>IF(ISBLANK(AK56),"NO DATA",IF(ISNUMBER(FIND(CODES!$A$12,AK56)),CODES!$A$12,IF(OR(ISNUMBER(FIND(CODES!$A$10,AK56)),ISNUMBER(FIND(CODES!$A$11,AK56))),CODES!$A$13,IF(OR(AK56&lt;AK$63,ISNUMBER(AK56)=FALSE),AK$64,AK56))))</f>
      </c>
      <c r="AL108" s="9" t="str">
        <f>IF(ISBLANK(AL56),"NO DATA",IF(ISNUMBER(FIND(CODES!$A$12,AL56)),CODES!$A$12,IF(OR(ISNUMBER(FIND(CODES!$A$10,AL56)),ISNUMBER(FIND(CODES!$A$11,AL56))),CODES!$A$13,IF(OR(AL56&lt;AL$63,ISNUMBER(AL56)=FALSE),AL$64,AL56))))</f>
      </c>
      <c r="AM108" s="9" t="str">
        <f>IF(ISBLANK(AM56),"NO DATA",IF(ISNUMBER(FIND(CODES!$A$12,AM56)),CODES!$A$12,IF(OR(ISNUMBER(FIND(CODES!$A$10,AM56)),ISNUMBER(FIND(CODES!$A$11,AM56))),CODES!$A$13,IF(OR(AM56&lt;AM$63,ISNUMBER(AM56)=FALSE),AM$64,AM56))))</f>
      </c>
      <c r="AN108" s="9" t="str">
        <f>IF(ISBLANK(AN56),"NO DATA",IF(ISNUMBER(FIND(CODES!$A$12,AN56)),CODES!$A$12,IF(OR(ISNUMBER(FIND(CODES!$A$10,AN56)),ISNUMBER(FIND(CODES!$A$11,AN56))),CODES!$A$13,IF(OR(AN56&lt;AN$63,ISNUMBER(AN56)=FALSE),AN$64,AN56))))</f>
      </c>
      <c r="AO108" s="9" t="str">
        <f>IF(ISBLANK(AO56),"NO DATA",IF(ISNUMBER(FIND(CODES!$A$12,AO56)),CODES!$A$12,IF(OR(ISNUMBER(FIND(CODES!$A$10,AO56)),ISNUMBER(FIND(CODES!$A$11,AO56))),CODES!$A$13,IF(OR(AO56&lt;AO$63,ISNUMBER(AO56)=FALSE),AO$64,AO56))))</f>
      </c>
      <c r="AP108" s="9" t="str">
        <f>IF(ISBLANK(AP56),"NO DATA",IF(ISNUMBER(FIND(CODES!$A$12,AP56)),CODES!$A$12,IF(OR(ISNUMBER(FIND(CODES!$A$10,AP56)),ISNUMBER(FIND(CODES!$A$11,AP56))),CODES!$A$13,IF(OR(AP56&lt;AP$63,ISNUMBER(AP56)=FALSE),AP$64,AP56))))</f>
      </c>
      <c r="AQ108" s="9" t="str">
        <f>IF(ISBLANK(AQ56),"NO DATA",IF(ISNUMBER(FIND(CODES!$A$12,AQ56)),CODES!$A$12,IF(OR(ISNUMBER(FIND(CODES!$A$10,AQ56)),ISNUMBER(FIND(CODES!$A$11,AQ56))),CODES!$A$13,IF(OR(AQ56&lt;AQ$63,ISNUMBER(AQ56)=FALSE),AQ$64,AQ56))))</f>
      </c>
      <c r="AR108" s="9" t="str">
        <f>IF(ISBLANK(AR56),"NO DATA",IF(ISNUMBER(FIND(CODES!$A$12,AR56)),CODES!$A$12,IF(OR(ISNUMBER(FIND(CODES!$A$10,AR56)),ISNUMBER(FIND(CODES!$A$11,AR56))),CODES!$A$13,IF(OR(AR56&lt;AR$63,ISNUMBER(AR56)=FALSE),AR$64,AR56))))</f>
      </c>
      <c r="AS108" s="9" t="str">
        <f>IF(ISBLANK(AS56),"NO DATA",IF(ISNUMBER(FIND(CODES!$A$12,AS56)),CODES!$A$12,IF(OR(ISNUMBER(FIND(CODES!$A$10,AS56)),ISNUMBER(FIND(CODES!$A$11,AS56))),CODES!$A$13,IF(OR(AS56&lt;AS$63,ISNUMBER(AS56)=FALSE),AS$64,AS56))))</f>
      </c>
      <c r="AT108" s="9" t="str">
        <f>IF(ISBLANK(AT56),"NO DATA",IF(ISNUMBER(FIND(CODES!$A$12,AT56)),CODES!$A$12,IF(OR(ISNUMBER(FIND(CODES!$A$10,AT56)),ISNUMBER(FIND(CODES!$A$11,AT56))),CODES!$A$13,IF(OR(AT56&lt;AT$63,ISNUMBER(AT56)=FALSE),AT$64,AT56))))</f>
      </c>
      <c r="AU108" s="9" t="str">
        <f>IF(ISBLANK(AU56),"NO DATA",IF(ISNUMBER(FIND(CODES!$A$12,AU56)),CODES!$A$12,IF(OR(ISNUMBER(FIND(CODES!$A$10,AU56)),ISNUMBER(FIND(CODES!$A$11,AU56))),CODES!$A$13,IF(OR(AU56&lt;AU$63,ISNUMBER(AU56)=FALSE),AU$64,AU56))))</f>
      </c>
      <c r="AV108" s="9" t="str">
        <f>IF(ISBLANK(AV56),"NO DATA",IF(ISNUMBER(FIND(CODES!$A$12,AV56)),CODES!$A$12,IF(OR(ISNUMBER(FIND(CODES!$A$10,AV56)),ISNUMBER(FIND(CODES!$A$11,AV56))),CODES!$A$13,IF(OR(AV56&lt;AV$63,ISNUMBER(AV56)=FALSE),AV$64,AV56))))</f>
      </c>
      <c r="AW108" s="9" t="str">
        <f>IF(ISBLANK(AW56),"NO DATA",IF(ISNUMBER(FIND(CODES!$A$12,AW56)),CODES!$A$12,IF(OR(ISNUMBER(FIND(CODES!$A$10,AW56)),ISNUMBER(FIND(CODES!$A$11,AW56))),CODES!$A$13,IF(OR(AW56&lt;AW$63,ISNUMBER(AW56)=FALSE),AW$64,AW56))))</f>
      </c>
      <c r="AX108" s="9" t="str">
        <f>IF(ISBLANK(AX56),"NO DATA",IF(ISNUMBER(FIND(CODES!$A$12,AX56)),CODES!$A$12,IF(OR(ISNUMBER(FIND(CODES!$A$10,AX56)),ISNUMBER(FIND(CODES!$A$11,AX56))),CODES!$A$13,IF(OR(AX56&lt;AX$63,ISNUMBER(AX56)=FALSE),AX$64,AX56))))</f>
      </c>
      <c r="AY108" s="9" t="str">
        <f>IF(ISBLANK(AY56),"NO DATA",IF(ISNUMBER(FIND(CODES!$A$12,AY56)),CODES!$A$12,IF(OR(ISNUMBER(FIND(CODES!$A$10,AY56)),ISNUMBER(FIND(CODES!$A$11,AY56))),CODES!$A$13,IF(OR(AY56&lt;AY$63,ISNUMBER(AY56)=FALSE),AY$64,AY56))))</f>
      </c>
      <c r="AZ108" s="9" t="str">
        <f>IF(ISBLANK(AZ56),"NO DATA",IF(ISNUMBER(FIND(CODES!$A$12,AZ56)),CODES!$A$12,IF(OR(ISNUMBER(FIND(CODES!$A$10,AZ56)),ISNUMBER(FIND(CODES!$A$11,AZ56))),CODES!$A$13,IF(OR(AZ56&lt;AZ$63,ISNUMBER(AZ56)=FALSE),AZ$64,AZ56))))</f>
      </c>
      <c r="BA108" s="9" t="str">
        <f>IF(ISBLANK(BA56),"NO DATA",IF(ISNUMBER(FIND(CODES!$A$12,BA56)),CODES!$A$12,IF(OR(ISNUMBER(FIND(CODES!$A$10,BA56)),ISNUMBER(FIND(CODES!$A$11,BA56))),CODES!$A$13,IF(OR(BA56&lt;BA$63,ISNUMBER(BA56)=FALSE),BA$64,BA56))))</f>
      </c>
      <c r="BB108" s="9" t="str">
        <f>IF(ISBLANK(BB56),"NO DATA",IF(ISNUMBER(FIND(CODES!$A$12,BB56)),CODES!$A$12,IF(OR(ISNUMBER(FIND(CODES!$A$10,BB56)),ISNUMBER(FIND(CODES!$A$11,BB56))),CODES!$A$13,IF(OR(BB56&lt;BB$63,ISNUMBER(BB56)=FALSE),BB$64,BB56))))</f>
      </c>
      <c r="BC108" s="9" t="str">
        <f>IF(ISBLANK(BC56),"NO DATA",IF(ISNUMBER(FIND(CODES!$A$12,BC56)),CODES!$A$12,IF(OR(ISNUMBER(FIND(CODES!$A$10,BC56)),ISNUMBER(FIND(CODES!$A$11,BC56))),CODES!$A$13,IF(OR(BC56&lt;BC$63,ISNUMBER(BC56)=FALSE),BC$64,BC56))))</f>
      </c>
      <c r="BD108" s="9" t="str">
        <f>IF(ISBLANK(BD56),"NO DATA",IF(ISNUMBER(FIND(CODES!$A$12,BD56)),CODES!$A$12,IF(OR(ISNUMBER(FIND(CODES!$A$10,BD56)),ISNUMBER(FIND(CODES!$A$11,BD56))),CODES!$A$13,IF(OR(BD56&lt;BD$63,ISNUMBER(BD56)=FALSE),BD$64,BD56))))</f>
      </c>
      <c r="BE108" s="9" t="str">
        <f>IF(ISBLANK(BE56),"NO DATA",IF(ISNUMBER(FIND(CODES!$A$12,BE56)),CODES!$A$12,IF(OR(ISNUMBER(FIND(CODES!$A$10,BE56)),ISNUMBER(FIND(CODES!$A$11,BE56))),CODES!$A$13,IF(OR(BE56&lt;BE$63,ISNUMBER(BE56)=FALSE),BE$64,BE56))))</f>
      </c>
      <c r="BF108" s="9" t="str">
        <f>IF(ISBLANK(BF56),"NO DATA",IF(ISNUMBER(FIND(CODES!$A$12,BF56)),CODES!$A$12,IF(OR(ISNUMBER(FIND(CODES!$A$10,BF56)),ISNUMBER(FIND(CODES!$A$11,BF56))),CODES!$A$13,IF(OR(BF56&lt;BF$63,ISNUMBER(BF56)=FALSE),BF$64,BF56))))</f>
      </c>
      <c r="BG108" s="9" t="str">
        <f>IF(ISBLANK(BG56),"NO DATA",IF(ISNUMBER(FIND(CODES!$A$12,BG56)),CODES!$A$12,IF(OR(ISNUMBER(FIND(CODES!$A$10,BG56)),ISNUMBER(FIND(CODES!$A$11,BG56))),CODES!$A$13,IF(OR(BG56&lt;BG$63,ISNUMBER(BG56)=FALSE),BG$64,BG56))))</f>
      </c>
      <c r="BH108" s="9" t="str">
        <f>IF(ISBLANK(BH56),"NO DATA",IF(ISNUMBER(FIND(CODES!$A$12,BH56)),CODES!$A$12,IF(OR(ISNUMBER(FIND(CODES!$A$10,BH56)),ISNUMBER(FIND(CODES!$A$11,BH56))),CODES!$A$13,IF(OR(BH56&lt;BH$63,ISNUMBER(BH56)=FALSE),BH$64,BH56))))</f>
      </c>
      <c r="BI108" s="9" t="str">
        <f>IF(ISBLANK(BI56),"NO DATA",IF(ISNUMBER(FIND(CODES!$A$12,BI56)),CODES!$A$12,IF(OR(ISNUMBER(FIND(CODES!$A$10,BI56)),ISNUMBER(FIND(CODES!$A$11,BI56))),CODES!$A$13,IF(OR(BI56&lt;BI$63,ISNUMBER(BI56)=FALSE),BI$64,BI56))))</f>
      </c>
      <c r="BJ108" s="9" t="str">
        <f>IF(ISBLANK(BJ56),"NO DATA",IF(ISNUMBER(FIND(CODES!$A$12,BJ56)),CODES!$A$12,IF(OR(ISNUMBER(FIND(CODES!$A$10,BJ56)),ISNUMBER(FIND(CODES!$A$11,BJ56))),CODES!$A$13,IF(OR(BJ56&lt;BJ$63,ISNUMBER(BJ56)=FALSE),BJ$64,BJ56))))</f>
      </c>
      <c r="BK108" s="9" t="str">
        <f>IF(ISBLANK(BK56),"NO DATA",IF(ISNUMBER(FIND(CODES!$A$12,BK56)),CODES!$A$12,IF(OR(ISNUMBER(FIND(CODES!$A$10,BK56)),ISNUMBER(FIND(CODES!$A$11,BK56))),CODES!$A$13,IF(OR(BK56&lt;BK$63,ISNUMBER(BK56)=FALSE),BK$64,BK56))))</f>
      </c>
      <c r="BL108" s="9" t="str">
        <f>IF(ISBLANK(BL56),"NO DATA",IF(ISNUMBER(FIND(CODES!$A$12,BL56)),CODES!$A$12,IF(OR(ISNUMBER(FIND(CODES!$A$10,BL56)),ISNUMBER(FIND(CODES!$A$11,BL56))),CODES!$A$13,IF(OR(BL56&lt;BL$63,ISNUMBER(BL56)=FALSE),BL$64,BL56))))</f>
      </c>
      <c r="BM108" s="9" t="str">
        <f>IF(ISBLANK(BM56),"NO DATA",IF(ISNUMBER(FIND(CODES!$A$12,BM56)),CODES!$A$12,IF(OR(ISNUMBER(FIND(CODES!$A$10,BM56)),ISNUMBER(FIND(CODES!$A$11,BM56))),CODES!$A$13,IF(OR(BM56&lt;BM$63,ISNUMBER(BM56)=FALSE),BM$64,BM56))))</f>
      </c>
      <c r="BN108" s="9" t="str">
        <f>IF(ISBLANK(BN56),"NO DATA",IF(ISNUMBER(FIND(CODES!$A$12,BN56)),CODES!$A$12,IF(OR(ISNUMBER(FIND(CODES!$A$10,BN56)),ISNUMBER(FIND(CODES!$A$11,BN56))),CODES!$A$13,IF(OR(BN56&lt;BN$63,ISNUMBER(BN56)=FALSE),BN$64,BN56))))</f>
      </c>
      <c r="BO108" s="9" t="str">
        <f>IF(ISBLANK(BO56),"NO DATA",IF(ISNUMBER(FIND(CODES!$A$12,BO56)),CODES!$A$12,IF(OR(ISNUMBER(FIND(CODES!$A$10,BO56)),ISNUMBER(FIND(CODES!$A$11,BO56))),CODES!$A$13,IF(OR(BO56&lt;BO$63,ISNUMBER(BO56)=FALSE),BO$64,BO56))))</f>
      </c>
      <c r="BP108" s="9" t="str">
        <f>IF(ISBLANK(BP56),"NO DATA",IF(ISNUMBER(FIND(CODES!$A$12,BP56)),CODES!$A$12,IF(OR(ISNUMBER(FIND(CODES!$A$10,BP56)),ISNUMBER(FIND(CODES!$A$11,BP56))),CODES!$A$13,IF(OR(BP56&lt;BP$63,ISNUMBER(BP56)=FALSE),BP$64,BP56))))</f>
      </c>
      <c r="BQ108" s="9" t="str">
        <f>IF(ISBLANK(BQ56),"NO DATA",IF(ISNUMBER(FIND(CODES!$A$12,BQ56)),CODES!$A$12,IF(OR(ISNUMBER(FIND(CODES!$A$10,BQ56)),ISNUMBER(FIND(CODES!$A$11,BQ56))),CODES!$A$13,IF(OR(BQ56&lt;BQ$63,ISNUMBER(BQ56)=FALSE),BQ$64,BQ56))))</f>
      </c>
      <c r="BR108" s="9" t="str">
        <f>IF(ISBLANK(BR56),"NO DATA",IF(ISNUMBER(FIND(CODES!$A$12,BR56)),CODES!$A$12,IF(OR(ISNUMBER(FIND(CODES!$A$10,BR56)),ISNUMBER(FIND(CODES!$A$11,BR56))),CODES!$A$13,IF(OR(BR56&lt;BR$63,ISNUMBER(BR56)=FALSE),BR$64,BR56))))</f>
      </c>
      <c r="BS108" s="9" t="str">
        <f>IF(ISBLANK(BS56),"NO DATA",IF(ISNUMBER(FIND(CODES!$A$12,BS56)),CODES!$A$12,IF(OR(ISNUMBER(FIND(CODES!$A$10,BS56)),ISNUMBER(FIND(CODES!$A$11,BS56))),CODES!$A$13,IF(OR(BS56&lt;BS$63,ISNUMBER(BS56)=FALSE),BS$64,BS56))))</f>
      </c>
      <c r="BT108" s="9" t="str">
        <f>IF(ISBLANK(BT56),"NO DATA",IF(ISNUMBER(FIND(CODES!$A$12,BT56)),CODES!$A$12,IF(OR(ISNUMBER(FIND(CODES!$A$10,BT56)),ISNUMBER(FIND(CODES!$A$11,BT56))),CODES!$A$13,IF(OR(BT56&lt;BT$63,ISNUMBER(BT56)=FALSE),BT$64,BT56))))</f>
      </c>
      <c r="BU108" s="9" t="str">
        <f>IF(ISBLANK(BU56),"NO DATA",IF(ISNUMBER(FIND(CODES!$A$12,BU56)),CODES!$A$12,IF(OR(ISNUMBER(FIND(CODES!$A$10,BU56)),ISNUMBER(FIND(CODES!$A$11,BU56))),CODES!$A$13,IF(OR(BU56&lt;BU$63,ISNUMBER(BU56)=FALSE),BU$64,BU56))))</f>
      </c>
      <c r="BV108" s="9" t="str">
        <f>IF(ISBLANK(BV56),"NO DATA",IF(ISNUMBER(FIND(CODES!$A$12,BV56)),CODES!$A$12,IF(OR(ISNUMBER(FIND(CODES!$A$10,BV56)),ISNUMBER(FIND(CODES!$A$11,BV56))),CODES!$A$13,IF(OR(BV56&lt;BV$63,ISNUMBER(BV56)=FALSE),BV$64,BV56))))</f>
      </c>
      <c r="BW108" s="9" t="str">
        <f>IF(ISBLANK(BW56),"NO DATA",IF(ISNUMBER(FIND(CODES!$A$12,BW56)),CODES!$A$12,IF(OR(ISNUMBER(FIND(CODES!$A$10,BW56)),ISNUMBER(FIND(CODES!$A$11,BW56))),CODES!$A$13,IF(OR(BW56&lt;BW$63,ISNUMBER(BW56)=FALSE),BW$64,BW56))))</f>
      </c>
      <c r="BX108" s="9" t="str">
        <f>IF(ISBLANK(BX56),"NO DATA",IF(ISNUMBER(FIND(CODES!$A$12,BX56)),CODES!$A$12,IF(OR(ISNUMBER(FIND(CODES!$A$10,BX56)),ISNUMBER(FIND(CODES!$A$11,BX56))),CODES!$A$13,IF(OR(BX56&lt;BX$63,ISNUMBER(BX56)=FALSE),BX$64,BX56))))</f>
      </c>
      <c r="BY108" s="9" t="str">
        <f>IF(ISBLANK(BY56),"NO DATA",IF(ISNUMBER(FIND(CODES!$A$12,BY56)),CODES!$A$12,IF(OR(ISNUMBER(FIND(CODES!$A$10,BY56)),ISNUMBER(FIND(CODES!$A$11,BY56))),CODES!$A$13,IF(OR(BY56&lt;BY$63,ISNUMBER(BY56)=FALSE),BY$64,BY56))))</f>
      </c>
      <c r="BZ108" s="9" t="str">
        <f>IF(ISBLANK(BZ56),"NO DATA",IF(ISNUMBER(FIND(CODES!$A$12,BZ56)),CODES!$A$12,IF(OR(ISNUMBER(FIND(CODES!$A$10,BZ56)),ISNUMBER(FIND(CODES!$A$11,BZ56))),CODES!$A$13,IF(OR(BZ56&lt;BZ$63,ISNUMBER(BZ56)=FALSE),BZ$64,BZ56))))</f>
      </c>
      <c r="CA108" s="9" t="str">
        <f>IF(ISBLANK(CA56),"NO DATA",IF(ISNUMBER(FIND(CODES!$A$12,CA56)),CODES!$A$12,IF(OR(ISNUMBER(FIND(CODES!$A$10,CA56)),ISNUMBER(FIND(CODES!$A$11,CA56))),CODES!$A$13,IF(OR(CA56&lt;CA$63,ISNUMBER(CA56)=FALSE),CA$64,CA56))))</f>
      </c>
      <c r="CB108" s="9" t="str">
        <f>IF(ISBLANK(CB56),"NO DATA",IF(ISNUMBER(FIND(CODES!$A$12,CB56)),CODES!$A$12,IF(OR(ISNUMBER(FIND(CODES!$A$10,CB56)),ISNUMBER(FIND(CODES!$A$11,CB56))),CODES!$A$13,IF(OR(CB56&lt;CB$63,ISNUMBER(CB56)=FALSE),CB$64,CB56))))</f>
      </c>
      <c r="CC108" s="9" t="str">
        <f>IF(ISBLANK(CC56),"NO DATA",IF(ISNUMBER(FIND(CODES!$A$12,CC56)),CODES!$A$12,IF(OR(ISNUMBER(FIND(CODES!$A$10,CC56)),ISNUMBER(FIND(CODES!$A$11,CC56))),CODES!$A$13,IF(OR(CC56&lt;CC$63,ISNUMBER(CC56)=FALSE),CC$64,CC56))))</f>
      </c>
      <c r="CD108" s="9" t="str">
        <f>IF(ISBLANK(CD56),"NO DATA",IF(ISNUMBER(FIND(CODES!$A$12,CD56)),CODES!$A$12,IF(OR(ISNUMBER(FIND(CODES!$A$10,CD56)),ISNUMBER(FIND(CODES!$A$11,CD56))),CODES!$A$13,IF(OR(CD56&lt;CD$63,ISNUMBER(CD56)=FALSE),CD$64,CD56))))</f>
      </c>
      <c r="CE108" s="9" t="str">
        <f>IF(ISBLANK(CE56),"NO DATA",IF(ISNUMBER(FIND(CODES!$A$12,CE56)),CODES!$A$12,IF(OR(ISNUMBER(FIND(CODES!$A$10,CE56)),ISNUMBER(FIND(CODES!$A$11,CE56))),CODES!$A$13,IF(OR(CE56&lt;CE$63,ISNUMBER(CE56)=FALSE),CE$64,CE56))))</f>
      </c>
      <c r="CF108" s="9" t="str">
        <f>IF(ISBLANK(CF56),"NO DATA",IF(ISNUMBER(FIND(CODES!$A$12,CF56)),CODES!$A$12,IF(OR(ISNUMBER(FIND(CODES!$A$10,CF56)),ISNUMBER(FIND(CODES!$A$11,CF56))),CODES!$A$13,IF(OR(CF56&lt;CF$63,ISNUMBER(CF56)=FALSE),CF$64,CF56))))</f>
      </c>
      <c r="CG108" s="9" t="str">
        <f>IF(ISBLANK(CG56),"NO DATA",IF(ISNUMBER(FIND(CODES!$A$12,CG56)),CODES!$A$12,IF(OR(ISNUMBER(FIND(CODES!$A$10,CG56)),ISNUMBER(FIND(CODES!$A$11,CG56))),CODES!$A$13,IF(OR(CG56&lt;CG$63,ISNUMBER(CG56)=FALSE),CG$64,CG56))))</f>
      </c>
      <c r="CH108" s="9" t="str">
        <f>IF(ISBLANK(CH56),"NO DATA",IF(ISNUMBER(FIND(CODES!$A$12,CH56)),CODES!$A$12,IF(OR(ISNUMBER(FIND(CODES!$A$10,CH56)),ISNUMBER(FIND(CODES!$A$11,CH56))),CODES!$A$13,IF(OR(CH56&lt;CH$63,ISNUMBER(CH56)=FALSE),CH$64,CH56))))</f>
      </c>
      <c r="CI108" s="9" t="str">
        <f>IF(ISBLANK(CI56),"NO DATA",IF(ISNUMBER(FIND(CODES!$A$12,CI56)),CODES!$A$12,IF(OR(ISNUMBER(FIND(CODES!$A$10,CI56)),ISNUMBER(FIND(CODES!$A$11,CI56))),CODES!$A$13,IF(OR(CI56&lt;CI$63,ISNUMBER(CI56)=FALSE),CI$64,CI56))))</f>
      </c>
      <c r="CJ108" s="9" t="str">
        <f>IF(ISBLANK(CJ56),"NO DATA",IF(ISNUMBER(FIND(CODES!$A$12,CJ56)),CODES!$A$12,IF(OR(ISNUMBER(FIND(CODES!$A$10,CJ56)),ISNUMBER(FIND(CODES!$A$11,CJ56))),CODES!$A$13,IF(OR(CJ56&lt;CJ$63,ISNUMBER(CJ56)=FALSE),CJ$64,CJ56))))</f>
      </c>
      <c r="CK108" s="9" t="str">
        <f>IF(ISBLANK(CK56),"NO DATA",IF(ISNUMBER(FIND(CODES!$A$12,CK56)),CODES!$A$12,IF(OR(ISNUMBER(FIND(CODES!$A$10,CK56)),ISNUMBER(FIND(CODES!$A$11,CK56))),CODES!$A$13,IF(OR(CK56&lt;CK$63,ISNUMBER(CK56)=FALSE),CK$64,CK56))))</f>
      </c>
      <c r="CL108" s="9" t="str">
        <f>IF(ISBLANK(CL56),"NO DATA",IF(ISNUMBER(FIND(CODES!$A$12,CL56)),CODES!$A$12,IF(OR(ISNUMBER(FIND(CODES!$A$10,CL56)),ISNUMBER(FIND(CODES!$A$11,CL56))),CODES!$A$13,IF(OR(CL56&lt;CL$63,ISNUMBER(CL56)=FALSE),CL$64,CL56))))</f>
      </c>
      <c r="CM108" s="9" t="str">
        <f>IF(ISBLANK(CM56),"NO DATA",IF(ISNUMBER(FIND(CODES!$A$12,CM56)),CODES!$A$12,IF(OR(ISNUMBER(FIND(CODES!$A$10,CM56)),ISNUMBER(FIND(CODES!$A$11,CM56))),CODES!$A$13,IF(OR(CM56&lt;CM$63,ISNUMBER(CM56)=FALSE),CM$64,CM56))))</f>
      </c>
      <c r="CN108" s="9" t="str">
        <f>IF(ISBLANK(CN56),"NO DATA",IF(ISNUMBER(FIND(CODES!$A$12,CN56)),CODES!$A$12,IF(OR(ISNUMBER(FIND(CODES!$A$10,CN56)),ISNUMBER(FIND(CODES!$A$11,CN56))),CODES!$A$13,IF(OR(CN56&lt;CN$63,ISNUMBER(CN56)=FALSE),CN$64,CN56))))</f>
      </c>
      <c r="CO108" s="9" t="str">
        <f>IF(ISBLANK(CO56),"NO DATA",IF(ISNUMBER(FIND(CODES!$A$12,CO56)),CODES!$A$12,IF(OR(ISNUMBER(FIND(CODES!$A$10,CO56)),ISNUMBER(FIND(CODES!$A$11,CO56))),CODES!$A$13,IF(OR(CO56&lt;CO$63,ISNUMBER(CO56)=FALSE),CO$64,CO56))))</f>
      </c>
      <c r="CP108" s="9" t="str">
        <f>IF(ISBLANK(CP56),"NO DATA",IF(ISNUMBER(FIND(CODES!$A$12,CP56)),CODES!$A$12,IF(OR(ISNUMBER(FIND(CODES!$A$10,CP56)),ISNUMBER(FIND(CODES!$A$11,CP56))),CODES!$A$13,IF(OR(CP56&lt;CP$63,ISNUMBER(CP56)=FALSE),CP$64,CP56))))</f>
      </c>
      <c r="CQ108" s="9" t="str">
        <f>IF(ISBLANK(CQ56),"NO DATA",IF(ISNUMBER(FIND(CODES!$A$12,CQ56)),CODES!$A$12,IF(OR(ISNUMBER(FIND(CODES!$A$10,CQ56)),ISNUMBER(FIND(CODES!$A$11,CQ56))),CODES!$A$13,IF(OR(CQ56&lt;CQ$63,ISNUMBER(CQ56)=FALSE),CQ$64,CQ56))))</f>
      </c>
      <c r="CR108" s="9" t="str">
        <f>IF(ISBLANK(CR56),"NO DATA",IF(ISNUMBER(FIND(CODES!$A$12,CR56)),CODES!$A$12,IF(OR(ISNUMBER(FIND(CODES!$A$10,CR56)),ISNUMBER(FIND(CODES!$A$11,CR56))),CODES!$A$13,IF(OR(CR56&lt;CR$63,ISNUMBER(CR56)=FALSE),CR$64,CR56))))</f>
      </c>
      <c r="CS108" s="9" t="str">
        <f>IF(ISBLANK(CS56),"NO DATA",IF(ISNUMBER(FIND(CODES!$A$12,CS56)),CODES!$A$12,IF(OR(ISNUMBER(FIND(CODES!$A$10,CS56)),ISNUMBER(FIND(CODES!$A$11,CS56))),CODES!$A$13,IF(OR(CS56&lt;CS$63,ISNUMBER(CS56)=FALSE),CS$64,CS56))))</f>
      </c>
      <c r="CT108" s="9" t="str">
        <f>IF(ISBLANK(CT56),"NO DATA",IF(ISNUMBER(FIND(CODES!$A$12,CT56)),CODES!$A$12,IF(OR(ISNUMBER(FIND(CODES!$A$10,CT56)),ISNUMBER(FIND(CODES!$A$11,CT56))),CODES!$A$13,IF(OR(CT56&lt;CT$63,ISNUMBER(CT56)=FALSE),CT$64,CT56))))</f>
      </c>
      <c r="CU108" s="9" t="str">
        <f>IF(ISBLANK(CU56),"NO DATA",IF(ISNUMBER(FIND(CODES!$A$12,CU56)),CODES!$A$12,IF(OR(ISNUMBER(FIND(CODES!$A$10,CU56)),ISNUMBER(FIND(CODES!$A$11,CU56))),CODES!$A$13,IF(OR(CU56&lt;CU$63,ISNUMBER(CU56)=FALSE),CU$64,CU56))))</f>
      </c>
      <c r="CV108" s="9" t="str">
        <f>IF(ISBLANK(CV56),"NO DATA",IF(ISNUMBER(FIND(CODES!$A$12,CV56)),CODES!$A$12,IF(OR(ISNUMBER(FIND(CODES!$A$10,CV56)),ISNUMBER(FIND(CODES!$A$11,CV56))),CODES!$A$13,IF(OR(CV56&lt;CV$63,ISNUMBER(CV56)=FALSE),CV$64,CV56))))</f>
      </c>
      <c r="CW108" s="9" t="str">
        <f>IF(ISBLANK(CW56),"NO DATA",IF(ISNUMBER(FIND(CODES!$A$12,CW56)),CODES!$A$12,IF(OR(ISNUMBER(FIND(CODES!$A$10,CW56)),ISNUMBER(FIND(CODES!$A$11,CW56))),CODES!$A$13,IF(OR(CW56&lt;CW$63,ISNUMBER(CW56)=FALSE),CW$64,CW56))))</f>
      </c>
      <c r="CX108" s="9" t="str">
        <f>IF(ISBLANK(CX56),"NO DATA",IF(ISNUMBER(FIND(CODES!$A$12,CX56)),CODES!$A$12,IF(OR(ISNUMBER(FIND(CODES!$A$10,CX56)),ISNUMBER(FIND(CODES!$A$11,CX56))),CODES!$A$13,IF(OR(CX56&lt;CX$63,ISNUMBER(CX56)=FALSE),CX$64,CX56))))</f>
      </c>
      <c r="CY108" s="9" t="str">
        <f>IF(ISBLANK(CY56),"NO DATA",IF(ISNUMBER(FIND(CODES!$A$12,CY56)),CODES!$A$12,IF(OR(ISNUMBER(FIND(CODES!$A$10,CY56)),ISNUMBER(FIND(CODES!$A$11,CY56))),CODES!$A$13,IF(OR(CY56&lt;CY$63,ISNUMBER(CY56)=FALSE),CY$64,CY56))))</f>
      </c>
      <c r="CZ108" s="9" t="str">
        <f>IF(ISBLANK(CZ56),"NO DATA",IF(ISNUMBER(FIND(CODES!$A$12,CZ56)),CODES!$A$12,IF(OR(ISNUMBER(FIND(CODES!$A$10,CZ56)),ISNUMBER(FIND(CODES!$A$11,CZ56))),CODES!$A$13,IF(OR(CZ56&lt;CZ$63,ISNUMBER(CZ56)=FALSE),CZ$64,CZ56))))</f>
      </c>
      <c r="DA108" s="9" t="str">
        <f>IF(ISBLANK(DA56),"NO DATA",IF(ISNUMBER(FIND(CODES!$A$12,DA56)),CODES!$A$12,IF(OR(ISNUMBER(FIND(CODES!$A$10,DA56)),ISNUMBER(FIND(CODES!$A$11,DA56))),CODES!$A$13,IF(OR(DA56&lt;DA$63,ISNUMBER(DA56)=FALSE),DA$64,DA56))))</f>
      </c>
      <c r="DB108" s="9" t="str">
        <f>IF(ISBLANK(DB56),"NO DATA",IF(ISNUMBER(FIND(CODES!$A$12,DB56)),CODES!$A$12,IF(OR(ISNUMBER(FIND(CODES!$A$10,DB56)),ISNUMBER(FIND(CODES!$A$11,DB56))),CODES!$A$13,IF(OR(DB56&lt;DB$63,ISNUMBER(DB56)=FALSE),DB$64,DB56))))</f>
      </c>
      <c r="DC108" s="9" t="str">
        <f>IF(ISBLANK(DC56),"NO DATA",IF(ISNUMBER(FIND(CODES!$A$12,DC56)),CODES!$A$12,IF(OR(ISNUMBER(FIND(CODES!$A$10,DC56)),ISNUMBER(FIND(CODES!$A$11,DC56))),CODES!$A$13,IF(OR(DC56&lt;DC$63,ISNUMBER(DC56)=FALSE),DC$64,DC56))))</f>
      </c>
      <c r="DD108" s="9" t="str">
        <f>IF(ISBLANK(DD56),"NO DATA",IF(ISNUMBER(FIND(CODES!$A$12,DD56)),CODES!$A$12,IF(OR(ISNUMBER(FIND(CODES!$A$10,DD56)),ISNUMBER(FIND(CODES!$A$11,DD56))),CODES!$A$13,IF(OR(DD56&lt;DD$63,ISNUMBER(DD56)=FALSE),DD$64,DD56))))</f>
      </c>
      <c r="DE108" s="9" t="str">
        <f>IF(ISBLANK(DE56),"NO DATA",IF(ISNUMBER(FIND(CODES!$A$12,DE56)),CODES!$A$12,IF(OR(ISNUMBER(FIND(CODES!$A$10,DE56)),ISNUMBER(FIND(CODES!$A$11,DE56))),CODES!$A$13,IF(OR(DE56&lt;DE$63,ISNUMBER(DE56)=FALSE),DE$64,DE56))))</f>
      </c>
      <c r="DF108" s="9" t="str">
        <f>IF(ISBLANK(DF56),"NO DATA",IF(ISNUMBER(FIND(CODES!$A$12,DF56)),CODES!$A$12,IF(OR(ISNUMBER(FIND(CODES!$A$10,DF56)),ISNUMBER(FIND(CODES!$A$11,DF56))),CODES!$A$13,IF(OR(DF56&lt;DF$63,ISNUMBER(DF56)=FALSE),DF$64,DF56))))</f>
      </c>
      <c r="DG108" s="9" t="str">
        <f>IF(ISBLANK(DG56),"NO DATA",IF(ISNUMBER(FIND(CODES!$A$12,DG56)),CODES!$A$12,IF(OR(ISNUMBER(FIND(CODES!$A$10,DG56)),ISNUMBER(FIND(CODES!$A$11,DG56))),CODES!$A$13,IF(OR(DG56&lt;DG$63,ISNUMBER(DG56)=FALSE),DG$64,DG56))))</f>
      </c>
      <c r="DH108" s="9" t="str">
        <f>IF(ISBLANK(DH56),"NO DATA",IF(ISNUMBER(FIND(CODES!$A$12,DH56)),CODES!$A$12,IF(OR(ISNUMBER(FIND(CODES!$A$10,DH56)),ISNUMBER(FIND(CODES!$A$11,DH56))),CODES!$A$13,IF(OR(DH56&lt;DH$63,ISNUMBER(DH56)=FALSE),DH$64,DH56))))</f>
      </c>
      <c r="DI108" s="9" t="str">
        <f>IF(ISBLANK(DI56),"NO DATA",IF(ISNUMBER(FIND(CODES!$A$12,DI56)),CODES!$A$12,IF(OR(ISNUMBER(FIND(CODES!$A$10,DI56)),ISNUMBER(FIND(CODES!$A$11,DI56))),CODES!$A$13,IF(OR(DI56&lt;DI$63,ISNUMBER(DI56)=FALSE),DI$64,DI56))))</f>
      </c>
    </row>
    <row r="109" spans="1:113" x14ac:dyDescent="0.25">
      <c r="A109" s="20" t="str">
        <f t="shared" si="5"/>
      </c>
      <c r="B109" s="20">
        <f t="shared" si="5"/>
      </c>
      <c r="C109" s="9" t="str">
        <f>IF(ISBLANK(C57),"NO DATA",IF(ISNUMBER(FIND(CODES!$A$12,C57)),CODES!$A$12,IF(OR(ISNUMBER(FIND(CODES!$A$10,C57)),ISNUMBER(FIND(CODES!$A$11,C57))),CODES!$A$13,IF(OR(C57&lt;C$63,ISNUMBER(C57)=FALSE),C$64,C57))))</f>
      </c>
      <c r="D109" s="9" t="str">
        <f>IF(ISBLANK(D57),"NO DATA",IF(ISNUMBER(FIND(CODES!$A$12,D57)),CODES!$A$12,IF(OR(ISNUMBER(FIND(CODES!$A$10,D57)),ISNUMBER(FIND(CODES!$A$11,D57))),CODES!$A$13,IF(OR(D57&lt;D$63,ISNUMBER(D57)=FALSE),D$64,D57))))</f>
      </c>
      <c r="E109" s="9" t="str">
        <f>IF(ISBLANK(E57),"NO DATA",IF(ISNUMBER(FIND(CODES!$A$12,E57)),CODES!$A$12,IF(OR(ISNUMBER(FIND(CODES!$A$10,E57)),ISNUMBER(FIND(CODES!$A$11,E57))),CODES!$A$13,IF(OR(E57&lt;E$63,ISNUMBER(E57)=FALSE),E$64,E57))))</f>
      </c>
      <c r="F109" s="9" t="str">
        <f>IF(ISBLANK(F57),"NO DATA",IF(ISNUMBER(FIND(CODES!$A$12,F57)),CODES!$A$12,IF(OR(ISNUMBER(FIND(CODES!$A$10,F57)),ISNUMBER(FIND(CODES!$A$11,F57))),CODES!$A$13,IF(OR(F57&lt;F$63,ISNUMBER(F57)=FALSE),F$64,F57))))</f>
      </c>
      <c r="G109" s="9" t="str">
        <f>IF(ISBLANK(G57),"NO DATA",IF(ISNUMBER(FIND(CODES!$A$12,G57)),CODES!$A$12,IF(OR(ISNUMBER(FIND(CODES!$A$10,G57)),ISNUMBER(FIND(CODES!$A$11,G57))),CODES!$A$13,IF(OR(G57&lt;G$63,ISNUMBER(G57)=FALSE),G$64,G57))))</f>
      </c>
      <c r="H109" s="9" t="str">
        <f>IF(ISBLANK(H57),"NO DATA",IF(ISNUMBER(FIND(CODES!$A$12,H57)),CODES!$A$12,IF(OR(ISNUMBER(FIND(CODES!$A$10,H57)),ISNUMBER(FIND(CODES!$A$11,H57))),CODES!$A$13,IF(OR(H57&lt;H$63,ISNUMBER(H57)=FALSE),H$64,H57))))</f>
      </c>
      <c r="I109" s="9" t="str">
        <f>IF(ISBLANK(I57),"NO DATA",IF(ISNUMBER(FIND(CODES!$A$12,I57)),CODES!$A$12,IF(OR(ISNUMBER(FIND(CODES!$A$10,I57)),ISNUMBER(FIND(CODES!$A$11,I57))),CODES!$A$13,IF(OR(I57&lt;I$63,ISNUMBER(I57)=FALSE),I$64,I57))))</f>
      </c>
      <c r="J109" s="9" t="str">
        <f>IF(ISBLANK(J57),"NO DATA",IF(ISNUMBER(FIND(CODES!$A$12,J57)),CODES!$A$12,IF(OR(ISNUMBER(FIND(CODES!$A$10,J57)),ISNUMBER(FIND(CODES!$A$11,J57))),CODES!$A$13,IF(OR(J57&lt;J$63,ISNUMBER(J57)=FALSE),J$64,J57))))</f>
      </c>
      <c r="K109" s="9" t="str">
        <f>IF(ISBLANK(K57),"NO DATA",IF(ISNUMBER(FIND(CODES!$A$12,K57)),CODES!$A$12,IF(OR(ISNUMBER(FIND(CODES!$A$10,K57)),ISNUMBER(FIND(CODES!$A$11,K57))),CODES!$A$13,IF(OR(K57&lt;K$63,ISNUMBER(K57)=FALSE),K$64,K57))))</f>
      </c>
      <c r="L109" s="9" t="str">
        <f>IF(ISBLANK(L57),"NO DATA",IF(ISNUMBER(FIND(CODES!$A$12,L57)),CODES!$A$12,IF(OR(ISNUMBER(FIND(CODES!$A$10,L57)),ISNUMBER(FIND(CODES!$A$11,L57))),CODES!$A$13,IF(OR(L57&lt;L$63,ISNUMBER(L57)=FALSE),L$64,L57))))</f>
      </c>
      <c r="M109" s="9" t="str">
        <f>IF(ISBLANK(M57),"NO DATA",IF(ISNUMBER(FIND(CODES!$A$12,M57)),CODES!$A$12,IF(OR(ISNUMBER(FIND(CODES!$A$10,M57)),ISNUMBER(FIND(CODES!$A$11,M57))),CODES!$A$13,IF(OR(M57&lt;M$63,ISNUMBER(M57)=FALSE),M$64,M57))))</f>
      </c>
      <c r="N109" s="9" t="str">
        <f>IF(ISBLANK(N57),"NO DATA",IF(ISNUMBER(FIND(CODES!$A$12,N57)),CODES!$A$12,IF(OR(ISNUMBER(FIND(CODES!$A$10,N57)),ISNUMBER(FIND(CODES!$A$11,N57))),CODES!$A$13,IF(OR(N57&lt;N$63,ISNUMBER(N57)=FALSE),N$64,N57))))</f>
      </c>
      <c r="O109" s="9" t="str">
        <f>IF(ISBLANK(O57),"NO DATA",IF(ISNUMBER(FIND(CODES!$A$12,O57)),CODES!$A$12,IF(OR(ISNUMBER(FIND(CODES!$A$10,O57)),ISNUMBER(FIND(CODES!$A$11,O57))),CODES!$A$13,IF(OR(O57&lt;O$63,ISNUMBER(O57)=FALSE),O$64,O57))))</f>
      </c>
      <c r="P109" s="9" t="str">
        <f>IF(ISBLANK(P57),"NO DATA",IF(ISNUMBER(FIND(CODES!$A$12,P57)),CODES!$A$12,IF(OR(ISNUMBER(FIND(CODES!$A$10,P57)),ISNUMBER(FIND(CODES!$A$11,P57))),CODES!$A$13,IF(OR(P57&lt;P$63,ISNUMBER(P57)=FALSE),P$64,P57))))</f>
      </c>
      <c r="Q109" s="9" t="str">
        <f>IF(ISBLANK(Q57),"NO DATA",IF(ISNUMBER(FIND(CODES!$A$12,Q57)),CODES!$A$12,IF(OR(ISNUMBER(FIND(CODES!$A$10,Q57)),ISNUMBER(FIND(CODES!$A$11,Q57))),CODES!$A$13,IF(OR(Q57&lt;Q$63,ISNUMBER(Q57)=FALSE),Q$64,Q57))))</f>
      </c>
      <c r="R109" s="9" t="str">
        <f>IF(ISBLANK(R57),"NO DATA",IF(ISNUMBER(FIND(CODES!$A$12,R57)),CODES!$A$12,IF(OR(ISNUMBER(FIND(CODES!$A$10,R57)),ISNUMBER(FIND(CODES!$A$11,R57))),CODES!$A$13,IF(OR(R57&lt;R$63,ISNUMBER(R57)=FALSE),R$64,R57))))</f>
      </c>
      <c r="S109" s="9" t="str">
        <f>IF(ISBLANK(S57),"NO DATA",IF(ISNUMBER(FIND(CODES!$A$12,S57)),CODES!$A$12,IF(OR(ISNUMBER(FIND(CODES!$A$10,S57)),ISNUMBER(FIND(CODES!$A$11,S57))),CODES!$A$13,IF(OR(S57&lt;S$63,ISNUMBER(S57)=FALSE),S$64,S57))))</f>
      </c>
      <c r="T109" s="9" t="str">
        <f>IF(ISBLANK(T57),"NO DATA",IF(ISNUMBER(FIND(CODES!$A$12,T57)),CODES!$A$12,IF(OR(ISNUMBER(FIND(CODES!$A$10,T57)),ISNUMBER(FIND(CODES!$A$11,T57))),CODES!$A$13,IF(OR(T57&lt;T$63,ISNUMBER(T57)=FALSE),T$64,T57))))</f>
      </c>
      <c r="U109" s="9" t="str">
        <f>IF(ISBLANK(U57),"NO DATA",IF(ISNUMBER(FIND(CODES!$A$12,U57)),CODES!$A$12,IF(OR(ISNUMBER(FIND(CODES!$A$10,U57)),ISNUMBER(FIND(CODES!$A$11,U57))),CODES!$A$13,IF(OR(U57&lt;U$63,ISNUMBER(U57)=FALSE),U$64,U57))))</f>
      </c>
      <c r="V109" s="9" t="str">
        <f>IF(ISBLANK(V57),"NO DATA",IF(ISNUMBER(FIND(CODES!$A$12,V57)),CODES!$A$12,IF(OR(ISNUMBER(FIND(CODES!$A$10,V57)),ISNUMBER(FIND(CODES!$A$11,V57))),CODES!$A$13,IF(OR(V57&lt;V$63,ISNUMBER(V57)=FALSE),V$64,V57))))</f>
      </c>
      <c r="W109" s="9" t="str">
        <f>IF(ISBLANK(W57),"NO DATA",IF(ISNUMBER(FIND(CODES!$A$12,W57)),CODES!$A$12,IF(OR(ISNUMBER(FIND(CODES!$A$10,W57)),ISNUMBER(FIND(CODES!$A$11,W57))),CODES!$A$13,IF(OR(W57&lt;W$63,ISNUMBER(W57)=FALSE),W$64,W57))))</f>
      </c>
      <c r="X109" s="9" t="str">
        <f>IF(ISBLANK(X57),"NO DATA",IF(ISNUMBER(FIND(CODES!$A$12,X57)),CODES!$A$12,IF(OR(ISNUMBER(FIND(CODES!$A$10,X57)),ISNUMBER(FIND(CODES!$A$11,X57))),CODES!$A$13,IF(OR(X57&lt;X$63,ISNUMBER(X57)=FALSE),X$64,X57))))</f>
      </c>
      <c r="Y109" s="9" t="str">
        <f>IF(ISBLANK(Y57),"NO DATA",IF(ISNUMBER(FIND(CODES!$A$12,Y57)),CODES!$A$12,IF(OR(ISNUMBER(FIND(CODES!$A$10,Y57)),ISNUMBER(FIND(CODES!$A$11,Y57))),CODES!$A$13,IF(OR(Y57&lt;Y$63,ISNUMBER(Y57)=FALSE),Y$64,Y57))))</f>
      </c>
      <c r="Z109" s="9" t="str">
        <f>IF(ISBLANK(Z57),"NO DATA",IF(ISNUMBER(FIND(CODES!$A$12,Z57)),CODES!$A$12,IF(OR(ISNUMBER(FIND(CODES!$A$10,Z57)),ISNUMBER(FIND(CODES!$A$11,Z57))),CODES!$A$13,IF(OR(Z57&lt;Z$63,ISNUMBER(Z57)=FALSE),Z$64,Z57))))</f>
      </c>
      <c r="AA109" s="9" t="str">
        <f>IF(ISBLANK(AA57),"NO DATA",IF(ISNUMBER(FIND(CODES!$A$12,AA57)),CODES!$A$12,IF(OR(ISNUMBER(FIND(CODES!$A$10,AA57)),ISNUMBER(FIND(CODES!$A$11,AA57))),CODES!$A$13,IF(OR(AA57&lt;AA$63,ISNUMBER(AA57)=FALSE),AA$64,AA57))))</f>
      </c>
      <c r="AB109" s="9" t="str">
        <f>IF(ISBLANK(AB57),"NO DATA",IF(ISNUMBER(FIND(CODES!$A$12,AB57)),CODES!$A$12,IF(OR(ISNUMBER(FIND(CODES!$A$10,AB57)),ISNUMBER(FIND(CODES!$A$11,AB57))),CODES!$A$13,IF(OR(AB57&lt;AB$63,ISNUMBER(AB57)=FALSE),AB$64,AB57))))</f>
      </c>
      <c r="AC109" s="9" t="str">
        <f>IF(ISBLANK(AC57),"NO DATA",IF(ISNUMBER(FIND(CODES!$A$12,AC57)),CODES!$A$12,IF(OR(ISNUMBER(FIND(CODES!$A$10,AC57)),ISNUMBER(FIND(CODES!$A$11,AC57))),CODES!$A$13,IF(OR(AC57&lt;AC$63,ISNUMBER(AC57)=FALSE),AC$64,AC57))))</f>
      </c>
      <c r="AD109" s="9" t="str">
        <f>IF(ISBLANK(AD57),"NO DATA",IF(ISNUMBER(FIND(CODES!$A$12,AD57)),CODES!$A$12,IF(OR(ISNUMBER(FIND(CODES!$A$10,AD57)),ISNUMBER(FIND(CODES!$A$11,AD57))),CODES!$A$13,IF(OR(AD57&lt;AD$63,ISNUMBER(AD57)=FALSE),AD$64,AD57))))</f>
      </c>
      <c r="AE109" s="9" t="str">
        <f>IF(ISBLANK(AE57),"NO DATA",IF(ISNUMBER(FIND(CODES!$A$12,AE57)),CODES!$A$12,IF(OR(ISNUMBER(FIND(CODES!$A$10,AE57)),ISNUMBER(FIND(CODES!$A$11,AE57))),CODES!$A$13,IF(OR(AE57&lt;AE$63,ISNUMBER(AE57)=FALSE),AE$64,AE57))))</f>
      </c>
      <c r="AF109" s="9" t="str">
        <f>IF(ISBLANK(AF57),"NO DATA",IF(ISNUMBER(FIND(CODES!$A$12,AF57)),CODES!$A$12,IF(OR(ISNUMBER(FIND(CODES!$A$10,AF57)),ISNUMBER(FIND(CODES!$A$11,AF57))),CODES!$A$13,IF(OR(AF57&lt;AF$63,ISNUMBER(AF57)=FALSE),AF$64,AF57))))</f>
      </c>
      <c r="AG109" s="9" t="str">
        <f>IF(ISBLANK(AG57),"NO DATA",IF(ISNUMBER(FIND(CODES!$A$12,AG57)),CODES!$A$12,IF(OR(ISNUMBER(FIND(CODES!$A$10,AG57)),ISNUMBER(FIND(CODES!$A$11,AG57))),CODES!$A$13,IF(OR(AG57&lt;AG$63,ISNUMBER(AG57)=FALSE),AG$64,AG57))))</f>
      </c>
      <c r="AH109" s="9" t="str">
        <f>IF(ISBLANK(AH57),"NO DATA",IF(ISNUMBER(FIND(CODES!$A$12,AH57)),CODES!$A$12,IF(OR(ISNUMBER(FIND(CODES!$A$10,AH57)),ISNUMBER(FIND(CODES!$A$11,AH57))),CODES!$A$13,IF(OR(AH57&lt;AH$63,ISNUMBER(AH57)=FALSE),AH$64,AH57))))</f>
      </c>
      <c r="AI109" s="9" t="str">
        <f>IF(ISBLANK(AI57),"NO DATA",IF(ISNUMBER(FIND(CODES!$A$12,AI57)),CODES!$A$12,IF(OR(ISNUMBER(FIND(CODES!$A$10,AI57)),ISNUMBER(FIND(CODES!$A$11,AI57))),CODES!$A$13,IF(OR(AI57&lt;AI$63,ISNUMBER(AI57)=FALSE),AI$64,AI57))))</f>
      </c>
      <c r="AJ109" s="9" t="str">
        <f>IF(ISBLANK(AJ57),"NO DATA",IF(ISNUMBER(FIND(CODES!$A$12,AJ57)),CODES!$A$12,IF(OR(ISNUMBER(FIND(CODES!$A$10,AJ57)),ISNUMBER(FIND(CODES!$A$11,AJ57))),CODES!$A$13,IF(OR(AJ57&lt;AJ$63,ISNUMBER(AJ57)=FALSE),AJ$64,AJ57))))</f>
      </c>
      <c r="AK109" s="9" t="str">
        <f>IF(ISBLANK(AK57),"NO DATA",IF(ISNUMBER(FIND(CODES!$A$12,AK57)),CODES!$A$12,IF(OR(ISNUMBER(FIND(CODES!$A$10,AK57)),ISNUMBER(FIND(CODES!$A$11,AK57))),CODES!$A$13,IF(OR(AK57&lt;AK$63,ISNUMBER(AK57)=FALSE),AK$64,AK57))))</f>
      </c>
      <c r="AL109" s="9" t="str">
        <f>IF(ISBLANK(AL57),"NO DATA",IF(ISNUMBER(FIND(CODES!$A$12,AL57)),CODES!$A$12,IF(OR(ISNUMBER(FIND(CODES!$A$10,AL57)),ISNUMBER(FIND(CODES!$A$11,AL57))),CODES!$A$13,IF(OR(AL57&lt;AL$63,ISNUMBER(AL57)=FALSE),AL$64,AL57))))</f>
      </c>
      <c r="AM109" s="9" t="str">
        <f>IF(ISBLANK(AM57),"NO DATA",IF(ISNUMBER(FIND(CODES!$A$12,AM57)),CODES!$A$12,IF(OR(ISNUMBER(FIND(CODES!$A$10,AM57)),ISNUMBER(FIND(CODES!$A$11,AM57))),CODES!$A$13,IF(OR(AM57&lt;AM$63,ISNUMBER(AM57)=FALSE),AM$64,AM57))))</f>
      </c>
      <c r="AN109" s="9" t="str">
        <f>IF(ISBLANK(AN57),"NO DATA",IF(ISNUMBER(FIND(CODES!$A$12,AN57)),CODES!$A$12,IF(OR(ISNUMBER(FIND(CODES!$A$10,AN57)),ISNUMBER(FIND(CODES!$A$11,AN57))),CODES!$A$13,IF(OR(AN57&lt;AN$63,ISNUMBER(AN57)=FALSE),AN$64,AN57))))</f>
      </c>
      <c r="AO109" s="9" t="str">
        <f>IF(ISBLANK(AO57),"NO DATA",IF(ISNUMBER(FIND(CODES!$A$12,AO57)),CODES!$A$12,IF(OR(ISNUMBER(FIND(CODES!$A$10,AO57)),ISNUMBER(FIND(CODES!$A$11,AO57))),CODES!$A$13,IF(OR(AO57&lt;AO$63,ISNUMBER(AO57)=FALSE),AO$64,AO57))))</f>
      </c>
      <c r="AP109" s="9" t="str">
        <f>IF(ISBLANK(AP57),"NO DATA",IF(ISNUMBER(FIND(CODES!$A$12,AP57)),CODES!$A$12,IF(OR(ISNUMBER(FIND(CODES!$A$10,AP57)),ISNUMBER(FIND(CODES!$A$11,AP57))),CODES!$A$13,IF(OR(AP57&lt;AP$63,ISNUMBER(AP57)=FALSE),AP$64,AP57))))</f>
      </c>
      <c r="AQ109" s="9" t="str">
        <f>IF(ISBLANK(AQ57),"NO DATA",IF(ISNUMBER(FIND(CODES!$A$12,AQ57)),CODES!$A$12,IF(OR(ISNUMBER(FIND(CODES!$A$10,AQ57)),ISNUMBER(FIND(CODES!$A$11,AQ57))),CODES!$A$13,IF(OR(AQ57&lt;AQ$63,ISNUMBER(AQ57)=FALSE),AQ$64,AQ57))))</f>
      </c>
      <c r="AR109" s="9" t="str">
        <f>IF(ISBLANK(AR57),"NO DATA",IF(ISNUMBER(FIND(CODES!$A$12,AR57)),CODES!$A$12,IF(OR(ISNUMBER(FIND(CODES!$A$10,AR57)),ISNUMBER(FIND(CODES!$A$11,AR57))),CODES!$A$13,IF(OR(AR57&lt;AR$63,ISNUMBER(AR57)=FALSE),AR$64,AR57))))</f>
      </c>
      <c r="AS109" s="9" t="str">
        <f>IF(ISBLANK(AS57),"NO DATA",IF(ISNUMBER(FIND(CODES!$A$12,AS57)),CODES!$A$12,IF(OR(ISNUMBER(FIND(CODES!$A$10,AS57)),ISNUMBER(FIND(CODES!$A$11,AS57))),CODES!$A$13,IF(OR(AS57&lt;AS$63,ISNUMBER(AS57)=FALSE),AS$64,AS57))))</f>
      </c>
      <c r="AT109" s="9" t="str">
        <f>IF(ISBLANK(AT57),"NO DATA",IF(ISNUMBER(FIND(CODES!$A$12,AT57)),CODES!$A$12,IF(OR(ISNUMBER(FIND(CODES!$A$10,AT57)),ISNUMBER(FIND(CODES!$A$11,AT57))),CODES!$A$13,IF(OR(AT57&lt;AT$63,ISNUMBER(AT57)=FALSE),AT$64,AT57))))</f>
      </c>
      <c r="AU109" s="9" t="str">
        <f>IF(ISBLANK(AU57),"NO DATA",IF(ISNUMBER(FIND(CODES!$A$12,AU57)),CODES!$A$12,IF(OR(ISNUMBER(FIND(CODES!$A$10,AU57)),ISNUMBER(FIND(CODES!$A$11,AU57))),CODES!$A$13,IF(OR(AU57&lt;AU$63,ISNUMBER(AU57)=FALSE),AU$64,AU57))))</f>
      </c>
      <c r="AV109" s="9" t="str">
        <f>IF(ISBLANK(AV57),"NO DATA",IF(ISNUMBER(FIND(CODES!$A$12,AV57)),CODES!$A$12,IF(OR(ISNUMBER(FIND(CODES!$A$10,AV57)),ISNUMBER(FIND(CODES!$A$11,AV57))),CODES!$A$13,IF(OR(AV57&lt;AV$63,ISNUMBER(AV57)=FALSE),AV$64,AV57))))</f>
      </c>
      <c r="AW109" s="9" t="str">
        <f>IF(ISBLANK(AW57),"NO DATA",IF(ISNUMBER(FIND(CODES!$A$12,AW57)),CODES!$A$12,IF(OR(ISNUMBER(FIND(CODES!$A$10,AW57)),ISNUMBER(FIND(CODES!$A$11,AW57))),CODES!$A$13,IF(OR(AW57&lt;AW$63,ISNUMBER(AW57)=FALSE),AW$64,AW57))))</f>
      </c>
      <c r="AX109" s="9" t="str">
        <f>IF(ISBLANK(AX57),"NO DATA",IF(ISNUMBER(FIND(CODES!$A$12,AX57)),CODES!$A$12,IF(OR(ISNUMBER(FIND(CODES!$A$10,AX57)),ISNUMBER(FIND(CODES!$A$11,AX57))),CODES!$A$13,IF(OR(AX57&lt;AX$63,ISNUMBER(AX57)=FALSE),AX$64,AX57))))</f>
      </c>
      <c r="AY109" s="9" t="str">
        <f>IF(ISBLANK(AY57),"NO DATA",IF(ISNUMBER(FIND(CODES!$A$12,AY57)),CODES!$A$12,IF(OR(ISNUMBER(FIND(CODES!$A$10,AY57)),ISNUMBER(FIND(CODES!$A$11,AY57))),CODES!$A$13,IF(OR(AY57&lt;AY$63,ISNUMBER(AY57)=FALSE),AY$64,AY57))))</f>
      </c>
      <c r="AZ109" s="9" t="str">
        <f>IF(ISBLANK(AZ57),"NO DATA",IF(ISNUMBER(FIND(CODES!$A$12,AZ57)),CODES!$A$12,IF(OR(ISNUMBER(FIND(CODES!$A$10,AZ57)),ISNUMBER(FIND(CODES!$A$11,AZ57))),CODES!$A$13,IF(OR(AZ57&lt;AZ$63,ISNUMBER(AZ57)=FALSE),AZ$64,AZ57))))</f>
      </c>
      <c r="BA109" s="9" t="str">
        <f>IF(ISBLANK(BA57),"NO DATA",IF(ISNUMBER(FIND(CODES!$A$12,BA57)),CODES!$A$12,IF(OR(ISNUMBER(FIND(CODES!$A$10,BA57)),ISNUMBER(FIND(CODES!$A$11,BA57))),CODES!$A$13,IF(OR(BA57&lt;BA$63,ISNUMBER(BA57)=FALSE),BA$64,BA57))))</f>
      </c>
      <c r="BB109" s="9" t="str">
        <f>IF(ISBLANK(BB57),"NO DATA",IF(ISNUMBER(FIND(CODES!$A$12,BB57)),CODES!$A$12,IF(OR(ISNUMBER(FIND(CODES!$A$10,BB57)),ISNUMBER(FIND(CODES!$A$11,BB57))),CODES!$A$13,IF(OR(BB57&lt;BB$63,ISNUMBER(BB57)=FALSE),BB$64,BB57))))</f>
      </c>
      <c r="BC109" s="9" t="str">
        <f>IF(ISBLANK(BC57),"NO DATA",IF(ISNUMBER(FIND(CODES!$A$12,BC57)),CODES!$A$12,IF(OR(ISNUMBER(FIND(CODES!$A$10,BC57)),ISNUMBER(FIND(CODES!$A$11,BC57))),CODES!$A$13,IF(OR(BC57&lt;BC$63,ISNUMBER(BC57)=FALSE),BC$64,BC57))))</f>
      </c>
      <c r="BD109" s="9" t="str">
        <f>IF(ISBLANK(BD57),"NO DATA",IF(ISNUMBER(FIND(CODES!$A$12,BD57)),CODES!$A$12,IF(OR(ISNUMBER(FIND(CODES!$A$10,BD57)),ISNUMBER(FIND(CODES!$A$11,BD57))),CODES!$A$13,IF(OR(BD57&lt;BD$63,ISNUMBER(BD57)=FALSE),BD$64,BD57))))</f>
      </c>
      <c r="BE109" s="9" t="str">
        <f>IF(ISBLANK(BE57),"NO DATA",IF(ISNUMBER(FIND(CODES!$A$12,BE57)),CODES!$A$12,IF(OR(ISNUMBER(FIND(CODES!$A$10,BE57)),ISNUMBER(FIND(CODES!$A$11,BE57))),CODES!$A$13,IF(OR(BE57&lt;BE$63,ISNUMBER(BE57)=FALSE),BE$64,BE57))))</f>
      </c>
      <c r="BF109" s="9" t="str">
        <f>IF(ISBLANK(BF57),"NO DATA",IF(ISNUMBER(FIND(CODES!$A$12,BF57)),CODES!$A$12,IF(OR(ISNUMBER(FIND(CODES!$A$10,BF57)),ISNUMBER(FIND(CODES!$A$11,BF57))),CODES!$A$13,IF(OR(BF57&lt;BF$63,ISNUMBER(BF57)=FALSE),BF$64,BF57))))</f>
      </c>
      <c r="BG109" s="9" t="str">
        <f>IF(ISBLANK(BG57),"NO DATA",IF(ISNUMBER(FIND(CODES!$A$12,BG57)),CODES!$A$12,IF(OR(ISNUMBER(FIND(CODES!$A$10,BG57)),ISNUMBER(FIND(CODES!$A$11,BG57))),CODES!$A$13,IF(OR(BG57&lt;BG$63,ISNUMBER(BG57)=FALSE),BG$64,BG57))))</f>
      </c>
      <c r="BH109" s="9" t="str">
        <f>IF(ISBLANK(BH57),"NO DATA",IF(ISNUMBER(FIND(CODES!$A$12,BH57)),CODES!$A$12,IF(OR(ISNUMBER(FIND(CODES!$A$10,BH57)),ISNUMBER(FIND(CODES!$A$11,BH57))),CODES!$A$13,IF(OR(BH57&lt;BH$63,ISNUMBER(BH57)=FALSE),BH$64,BH57))))</f>
      </c>
      <c r="BI109" s="9" t="str">
        <f>IF(ISBLANK(BI57),"NO DATA",IF(ISNUMBER(FIND(CODES!$A$12,BI57)),CODES!$A$12,IF(OR(ISNUMBER(FIND(CODES!$A$10,BI57)),ISNUMBER(FIND(CODES!$A$11,BI57))),CODES!$A$13,IF(OR(BI57&lt;BI$63,ISNUMBER(BI57)=FALSE),BI$64,BI57))))</f>
      </c>
      <c r="BJ109" s="9" t="str">
        <f>IF(ISBLANK(BJ57),"NO DATA",IF(ISNUMBER(FIND(CODES!$A$12,BJ57)),CODES!$A$12,IF(OR(ISNUMBER(FIND(CODES!$A$10,BJ57)),ISNUMBER(FIND(CODES!$A$11,BJ57))),CODES!$A$13,IF(OR(BJ57&lt;BJ$63,ISNUMBER(BJ57)=FALSE),BJ$64,BJ57))))</f>
      </c>
      <c r="BK109" s="9" t="str">
        <f>IF(ISBLANK(BK57),"NO DATA",IF(ISNUMBER(FIND(CODES!$A$12,BK57)),CODES!$A$12,IF(OR(ISNUMBER(FIND(CODES!$A$10,BK57)),ISNUMBER(FIND(CODES!$A$11,BK57))),CODES!$A$13,IF(OR(BK57&lt;BK$63,ISNUMBER(BK57)=FALSE),BK$64,BK57))))</f>
      </c>
      <c r="BL109" s="9" t="str">
        <f>IF(ISBLANK(BL57),"NO DATA",IF(ISNUMBER(FIND(CODES!$A$12,BL57)),CODES!$A$12,IF(OR(ISNUMBER(FIND(CODES!$A$10,BL57)),ISNUMBER(FIND(CODES!$A$11,BL57))),CODES!$A$13,IF(OR(BL57&lt;BL$63,ISNUMBER(BL57)=FALSE),BL$64,BL57))))</f>
      </c>
      <c r="BM109" s="9" t="str">
        <f>IF(ISBLANK(BM57),"NO DATA",IF(ISNUMBER(FIND(CODES!$A$12,BM57)),CODES!$A$12,IF(OR(ISNUMBER(FIND(CODES!$A$10,BM57)),ISNUMBER(FIND(CODES!$A$11,BM57))),CODES!$A$13,IF(OR(BM57&lt;BM$63,ISNUMBER(BM57)=FALSE),BM$64,BM57))))</f>
      </c>
      <c r="BN109" s="9" t="str">
        <f>IF(ISBLANK(BN57),"NO DATA",IF(ISNUMBER(FIND(CODES!$A$12,BN57)),CODES!$A$12,IF(OR(ISNUMBER(FIND(CODES!$A$10,BN57)),ISNUMBER(FIND(CODES!$A$11,BN57))),CODES!$A$13,IF(OR(BN57&lt;BN$63,ISNUMBER(BN57)=FALSE),BN$64,BN57))))</f>
      </c>
      <c r="BO109" s="9" t="str">
        <f>IF(ISBLANK(BO57),"NO DATA",IF(ISNUMBER(FIND(CODES!$A$12,BO57)),CODES!$A$12,IF(OR(ISNUMBER(FIND(CODES!$A$10,BO57)),ISNUMBER(FIND(CODES!$A$11,BO57))),CODES!$A$13,IF(OR(BO57&lt;BO$63,ISNUMBER(BO57)=FALSE),BO$64,BO57))))</f>
      </c>
      <c r="BP109" s="9" t="str">
        <f>IF(ISBLANK(BP57),"NO DATA",IF(ISNUMBER(FIND(CODES!$A$12,BP57)),CODES!$A$12,IF(OR(ISNUMBER(FIND(CODES!$A$10,BP57)),ISNUMBER(FIND(CODES!$A$11,BP57))),CODES!$A$13,IF(OR(BP57&lt;BP$63,ISNUMBER(BP57)=FALSE),BP$64,BP57))))</f>
      </c>
      <c r="BQ109" s="9" t="str">
        <f>IF(ISBLANK(BQ57),"NO DATA",IF(ISNUMBER(FIND(CODES!$A$12,BQ57)),CODES!$A$12,IF(OR(ISNUMBER(FIND(CODES!$A$10,BQ57)),ISNUMBER(FIND(CODES!$A$11,BQ57))),CODES!$A$13,IF(OR(BQ57&lt;BQ$63,ISNUMBER(BQ57)=FALSE),BQ$64,BQ57))))</f>
      </c>
      <c r="BR109" s="9" t="str">
        <f>IF(ISBLANK(BR57),"NO DATA",IF(ISNUMBER(FIND(CODES!$A$12,BR57)),CODES!$A$12,IF(OR(ISNUMBER(FIND(CODES!$A$10,BR57)),ISNUMBER(FIND(CODES!$A$11,BR57))),CODES!$A$13,IF(OR(BR57&lt;BR$63,ISNUMBER(BR57)=FALSE),BR$64,BR57))))</f>
      </c>
      <c r="BS109" s="9" t="str">
        <f>IF(ISBLANK(BS57),"NO DATA",IF(ISNUMBER(FIND(CODES!$A$12,BS57)),CODES!$A$12,IF(OR(ISNUMBER(FIND(CODES!$A$10,BS57)),ISNUMBER(FIND(CODES!$A$11,BS57))),CODES!$A$13,IF(OR(BS57&lt;BS$63,ISNUMBER(BS57)=FALSE),BS$64,BS57))))</f>
      </c>
      <c r="BT109" s="9" t="str">
        <f>IF(ISBLANK(BT57),"NO DATA",IF(ISNUMBER(FIND(CODES!$A$12,BT57)),CODES!$A$12,IF(OR(ISNUMBER(FIND(CODES!$A$10,BT57)),ISNUMBER(FIND(CODES!$A$11,BT57))),CODES!$A$13,IF(OR(BT57&lt;BT$63,ISNUMBER(BT57)=FALSE),BT$64,BT57))))</f>
      </c>
      <c r="BU109" s="9" t="str">
        <f>IF(ISBLANK(BU57),"NO DATA",IF(ISNUMBER(FIND(CODES!$A$12,BU57)),CODES!$A$12,IF(OR(ISNUMBER(FIND(CODES!$A$10,BU57)),ISNUMBER(FIND(CODES!$A$11,BU57))),CODES!$A$13,IF(OR(BU57&lt;BU$63,ISNUMBER(BU57)=FALSE),BU$64,BU57))))</f>
      </c>
      <c r="BV109" s="9" t="str">
        <f>IF(ISBLANK(BV57),"NO DATA",IF(ISNUMBER(FIND(CODES!$A$12,BV57)),CODES!$A$12,IF(OR(ISNUMBER(FIND(CODES!$A$10,BV57)),ISNUMBER(FIND(CODES!$A$11,BV57))),CODES!$A$13,IF(OR(BV57&lt;BV$63,ISNUMBER(BV57)=FALSE),BV$64,BV57))))</f>
      </c>
      <c r="BW109" s="9" t="str">
        <f>IF(ISBLANK(BW57),"NO DATA",IF(ISNUMBER(FIND(CODES!$A$12,BW57)),CODES!$A$12,IF(OR(ISNUMBER(FIND(CODES!$A$10,BW57)),ISNUMBER(FIND(CODES!$A$11,BW57))),CODES!$A$13,IF(OR(BW57&lt;BW$63,ISNUMBER(BW57)=FALSE),BW$64,BW57))))</f>
      </c>
      <c r="BX109" s="9" t="str">
        <f>IF(ISBLANK(BX57),"NO DATA",IF(ISNUMBER(FIND(CODES!$A$12,BX57)),CODES!$A$12,IF(OR(ISNUMBER(FIND(CODES!$A$10,BX57)),ISNUMBER(FIND(CODES!$A$11,BX57))),CODES!$A$13,IF(OR(BX57&lt;BX$63,ISNUMBER(BX57)=FALSE),BX$64,BX57))))</f>
      </c>
      <c r="BY109" s="9" t="str">
        <f>IF(ISBLANK(BY57),"NO DATA",IF(ISNUMBER(FIND(CODES!$A$12,BY57)),CODES!$A$12,IF(OR(ISNUMBER(FIND(CODES!$A$10,BY57)),ISNUMBER(FIND(CODES!$A$11,BY57))),CODES!$A$13,IF(OR(BY57&lt;BY$63,ISNUMBER(BY57)=FALSE),BY$64,BY57))))</f>
      </c>
      <c r="BZ109" s="9" t="str">
        <f>IF(ISBLANK(BZ57),"NO DATA",IF(ISNUMBER(FIND(CODES!$A$12,BZ57)),CODES!$A$12,IF(OR(ISNUMBER(FIND(CODES!$A$10,BZ57)),ISNUMBER(FIND(CODES!$A$11,BZ57))),CODES!$A$13,IF(OR(BZ57&lt;BZ$63,ISNUMBER(BZ57)=FALSE),BZ$64,BZ57))))</f>
      </c>
      <c r="CA109" s="9" t="str">
        <f>IF(ISBLANK(CA57),"NO DATA",IF(ISNUMBER(FIND(CODES!$A$12,CA57)),CODES!$A$12,IF(OR(ISNUMBER(FIND(CODES!$A$10,CA57)),ISNUMBER(FIND(CODES!$A$11,CA57))),CODES!$A$13,IF(OR(CA57&lt;CA$63,ISNUMBER(CA57)=FALSE),CA$64,CA57))))</f>
      </c>
      <c r="CB109" s="9" t="str">
        <f>IF(ISBLANK(CB57),"NO DATA",IF(ISNUMBER(FIND(CODES!$A$12,CB57)),CODES!$A$12,IF(OR(ISNUMBER(FIND(CODES!$A$10,CB57)),ISNUMBER(FIND(CODES!$A$11,CB57))),CODES!$A$13,IF(OR(CB57&lt;CB$63,ISNUMBER(CB57)=FALSE),CB$64,CB57))))</f>
      </c>
      <c r="CC109" s="9" t="str">
        <f>IF(ISBLANK(CC57),"NO DATA",IF(ISNUMBER(FIND(CODES!$A$12,CC57)),CODES!$A$12,IF(OR(ISNUMBER(FIND(CODES!$A$10,CC57)),ISNUMBER(FIND(CODES!$A$11,CC57))),CODES!$A$13,IF(OR(CC57&lt;CC$63,ISNUMBER(CC57)=FALSE),CC$64,CC57))))</f>
      </c>
      <c r="CD109" s="9" t="str">
        <f>IF(ISBLANK(CD57),"NO DATA",IF(ISNUMBER(FIND(CODES!$A$12,CD57)),CODES!$A$12,IF(OR(ISNUMBER(FIND(CODES!$A$10,CD57)),ISNUMBER(FIND(CODES!$A$11,CD57))),CODES!$A$13,IF(OR(CD57&lt;CD$63,ISNUMBER(CD57)=FALSE),CD$64,CD57))))</f>
      </c>
      <c r="CE109" s="9" t="str">
        <f>IF(ISBLANK(CE57),"NO DATA",IF(ISNUMBER(FIND(CODES!$A$12,CE57)),CODES!$A$12,IF(OR(ISNUMBER(FIND(CODES!$A$10,CE57)),ISNUMBER(FIND(CODES!$A$11,CE57))),CODES!$A$13,IF(OR(CE57&lt;CE$63,ISNUMBER(CE57)=FALSE),CE$64,CE57))))</f>
      </c>
      <c r="CF109" s="9" t="str">
        <f>IF(ISBLANK(CF57),"NO DATA",IF(ISNUMBER(FIND(CODES!$A$12,CF57)),CODES!$A$12,IF(OR(ISNUMBER(FIND(CODES!$A$10,CF57)),ISNUMBER(FIND(CODES!$A$11,CF57))),CODES!$A$13,IF(OR(CF57&lt;CF$63,ISNUMBER(CF57)=FALSE),CF$64,CF57))))</f>
      </c>
      <c r="CG109" s="9" t="str">
        <f>IF(ISBLANK(CG57),"NO DATA",IF(ISNUMBER(FIND(CODES!$A$12,CG57)),CODES!$A$12,IF(OR(ISNUMBER(FIND(CODES!$A$10,CG57)),ISNUMBER(FIND(CODES!$A$11,CG57))),CODES!$A$13,IF(OR(CG57&lt;CG$63,ISNUMBER(CG57)=FALSE),CG$64,CG57))))</f>
      </c>
      <c r="CH109" s="9" t="str">
        <f>IF(ISBLANK(CH57),"NO DATA",IF(ISNUMBER(FIND(CODES!$A$12,CH57)),CODES!$A$12,IF(OR(ISNUMBER(FIND(CODES!$A$10,CH57)),ISNUMBER(FIND(CODES!$A$11,CH57))),CODES!$A$13,IF(OR(CH57&lt;CH$63,ISNUMBER(CH57)=FALSE),CH$64,CH57))))</f>
      </c>
      <c r="CI109" s="9" t="str">
        <f>IF(ISBLANK(CI57),"NO DATA",IF(ISNUMBER(FIND(CODES!$A$12,CI57)),CODES!$A$12,IF(OR(ISNUMBER(FIND(CODES!$A$10,CI57)),ISNUMBER(FIND(CODES!$A$11,CI57))),CODES!$A$13,IF(OR(CI57&lt;CI$63,ISNUMBER(CI57)=FALSE),CI$64,CI57))))</f>
      </c>
      <c r="CJ109" s="9" t="str">
        <f>IF(ISBLANK(CJ57),"NO DATA",IF(ISNUMBER(FIND(CODES!$A$12,CJ57)),CODES!$A$12,IF(OR(ISNUMBER(FIND(CODES!$A$10,CJ57)),ISNUMBER(FIND(CODES!$A$11,CJ57))),CODES!$A$13,IF(OR(CJ57&lt;CJ$63,ISNUMBER(CJ57)=FALSE),CJ$64,CJ57))))</f>
      </c>
      <c r="CK109" s="9" t="str">
        <f>IF(ISBLANK(CK57),"NO DATA",IF(ISNUMBER(FIND(CODES!$A$12,CK57)),CODES!$A$12,IF(OR(ISNUMBER(FIND(CODES!$A$10,CK57)),ISNUMBER(FIND(CODES!$A$11,CK57))),CODES!$A$13,IF(OR(CK57&lt;CK$63,ISNUMBER(CK57)=FALSE),CK$64,CK57))))</f>
      </c>
      <c r="CL109" s="9" t="str">
        <f>IF(ISBLANK(CL57),"NO DATA",IF(ISNUMBER(FIND(CODES!$A$12,CL57)),CODES!$A$12,IF(OR(ISNUMBER(FIND(CODES!$A$10,CL57)),ISNUMBER(FIND(CODES!$A$11,CL57))),CODES!$A$13,IF(OR(CL57&lt;CL$63,ISNUMBER(CL57)=FALSE),CL$64,CL57))))</f>
      </c>
      <c r="CM109" s="9" t="str">
        <f>IF(ISBLANK(CM57),"NO DATA",IF(ISNUMBER(FIND(CODES!$A$12,CM57)),CODES!$A$12,IF(OR(ISNUMBER(FIND(CODES!$A$10,CM57)),ISNUMBER(FIND(CODES!$A$11,CM57))),CODES!$A$13,IF(OR(CM57&lt;CM$63,ISNUMBER(CM57)=FALSE),CM$64,CM57))))</f>
      </c>
      <c r="CN109" s="9" t="str">
        <f>IF(ISBLANK(CN57),"NO DATA",IF(ISNUMBER(FIND(CODES!$A$12,CN57)),CODES!$A$12,IF(OR(ISNUMBER(FIND(CODES!$A$10,CN57)),ISNUMBER(FIND(CODES!$A$11,CN57))),CODES!$A$13,IF(OR(CN57&lt;CN$63,ISNUMBER(CN57)=FALSE),CN$64,CN57))))</f>
      </c>
      <c r="CO109" s="9" t="str">
        <f>IF(ISBLANK(CO57),"NO DATA",IF(ISNUMBER(FIND(CODES!$A$12,CO57)),CODES!$A$12,IF(OR(ISNUMBER(FIND(CODES!$A$10,CO57)),ISNUMBER(FIND(CODES!$A$11,CO57))),CODES!$A$13,IF(OR(CO57&lt;CO$63,ISNUMBER(CO57)=FALSE),CO$64,CO57))))</f>
      </c>
      <c r="CP109" s="9" t="str">
        <f>IF(ISBLANK(CP57),"NO DATA",IF(ISNUMBER(FIND(CODES!$A$12,CP57)),CODES!$A$12,IF(OR(ISNUMBER(FIND(CODES!$A$10,CP57)),ISNUMBER(FIND(CODES!$A$11,CP57))),CODES!$A$13,IF(OR(CP57&lt;CP$63,ISNUMBER(CP57)=FALSE),CP$64,CP57))))</f>
      </c>
      <c r="CQ109" s="9" t="str">
        <f>IF(ISBLANK(CQ57),"NO DATA",IF(ISNUMBER(FIND(CODES!$A$12,CQ57)),CODES!$A$12,IF(OR(ISNUMBER(FIND(CODES!$A$10,CQ57)),ISNUMBER(FIND(CODES!$A$11,CQ57))),CODES!$A$13,IF(OR(CQ57&lt;CQ$63,ISNUMBER(CQ57)=FALSE),CQ$64,CQ57))))</f>
      </c>
      <c r="CR109" s="9" t="str">
        <f>IF(ISBLANK(CR57),"NO DATA",IF(ISNUMBER(FIND(CODES!$A$12,CR57)),CODES!$A$12,IF(OR(ISNUMBER(FIND(CODES!$A$10,CR57)),ISNUMBER(FIND(CODES!$A$11,CR57))),CODES!$A$13,IF(OR(CR57&lt;CR$63,ISNUMBER(CR57)=FALSE),CR$64,CR57))))</f>
      </c>
      <c r="CS109" s="9" t="str">
        <f>IF(ISBLANK(CS57),"NO DATA",IF(ISNUMBER(FIND(CODES!$A$12,CS57)),CODES!$A$12,IF(OR(ISNUMBER(FIND(CODES!$A$10,CS57)),ISNUMBER(FIND(CODES!$A$11,CS57))),CODES!$A$13,IF(OR(CS57&lt;CS$63,ISNUMBER(CS57)=FALSE),CS$64,CS57))))</f>
      </c>
      <c r="CT109" s="9" t="str">
        <f>IF(ISBLANK(CT57),"NO DATA",IF(ISNUMBER(FIND(CODES!$A$12,CT57)),CODES!$A$12,IF(OR(ISNUMBER(FIND(CODES!$A$10,CT57)),ISNUMBER(FIND(CODES!$A$11,CT57))),CODES!$A$13,IF(OR(CT57&lt;CT$63,ISNUMBER(CT57)=FALSE),CT$64,CT57))))</f>
      </c>
      <c r="CU109" s="9" t="str">
        <f>IF(ISBLANK(CU57),"NO DATA",IF(ISNUMBER(FIND(CODES!$A$12,CU57)),CODES!$A$12,IF(OR(ISNUMBER(FIND(CODES!$A$10,CU57)),ISNUMBER(FIND(CODES!$A$11,CU57))),CODES!$A$13,IF(OR(CU57&lt;CU$63,ISNUMBER(CU57)=FALSE),CU$64,CU57))))</f>
      </c>
      <c r="CV109" s="9" t="str">
        <f>IF(ISBLANK(CV57),"NO DATA",IF(ISNUMBER(FIND(CODES!$A$12,CV57)),CODES!$A$12,IF(OR(ISNUMBER(FIND(CODES!$A$10,CV57)),ISNUMBER(FIND(CODES!$A$11,CV57))),CODES!$A$13,IF(OR(CV57&lt;CV$63,ISNUMBER(CV57)=FALSE),CV$64,CV57))))</f>
      </c>
      <c r="CW109" s="9" t="str">
        <f>IF(ISBLANK(CW57),"NO DATA",IF(ISNUMBER(FIND(CODES!$A$12,CW57)),CODES!$A$12,IF(OR(ISNUMBER(FIND(CODES!$A$10,CW57)),ISNUMBER(FIND(CODES!$A$11,CW57))),CODES!$A$13,IF(OR(CW57&lt;CW$63,ISNUMBER(CW57)=FALSE),CW$64,CW57))))</f>
      </c>
      <c r="CX109" s="9" t="str">
        <f>IF(ISBLANK(CX57),"NO DATA",IF(ISNUMBER(FIND(CODES!$A$12,CX57)),CODES!$A$12,IF(OR(ISNUMBER(FIND(CODES!$A$10,CX57)),ISNUMBER(FIND(CODES!$A$11,CX57))),CODES!$A$13,IF(OR(CX57&lt;CX$63,ISNUMBER(CX57)=FALSE),CX$64,CX57))))</f>
      </c>
      <c r="CY109" s="9" t="str">
        <f>IF(ISBLANK(CY57),"NO DATA",IF(ISNUMBER(FIND(CODES!$A$12,CY57)),CODES!$A$12,IF(OR(ISNUMBER(FIND(CODES!$A$10,CY57)),ISNUMBER(FIND(CODES!$A$11,CY57))),CODES!$A$13,IF(OR(CY57&lt;CY$63,ISNUMBER(CY57)=FALSE),CY$64,CY57))))</f>
      </c>
      <c r="CZ109" s="9" t="str">
        <f>IF(ISBLANK(CZ57),"NO DATA",IF(ISNUMBER(FIND(CODES!$A$12,CZ57)),CODES!$A$12,IF(OR(ISNUMBER(FIND(CODES!$A$10,CZ57)),ISNUMBER(FIND(CODES!$A$11,CZ57))),CODES!$A$13,IF(OR(CZ57&lt;CZ$63,ISNUMBER(CZ57)=FALSE),CZ$64,CZ57))))</f>
      </c>
      <c r="DA109" s="9" t="str">
        <f>IF(ISBLANK(DA57),"NO DATA",IF(ISNUMBER(FIND(CODES!$A$12,DA57)),CODES!$A$12,IF(OR(ISNUMBER(FIND(CODES!$A$10,DA57)),ISNUMBER(FIND(CODES!$A$11,DA57))),CODES!$A$13,IF(OR(DA57&lt;DA$63,ISNUMBER(DA57)=FALSE),DA$64,DA57))))</f>
      </c>
      <c r="DB109" s="9" t="str">
        <f>IF(ISBLANK(DB57),"NO DATA",IF(ISNUMBER(FIND(CODES!$A$12,DB57)),CODES!$A$12,IF(OR(ISNUMBER(FIND(CODES!$A$10,DB57)),ISNUMBER(FIND(CODES!$A$11,DB57))),CODES!$A$13,IF(OR(DB57&lt;DB$63,ISNUMBER(DB57)=FALSE),DB$64,DB57))))</f>
      </c>
      <c r="DC109" s="9" t="str">
        <f>IF(ISBLANK(DC57),"NO DATA",IF(ISNUMBER(FIND(CODES!$A$12,DC57)),CODES!$A$12,IF(OR(ISNUMBER(FIND(CODES!$A$10,DC57)),ISNUMBER(FIND(CODES!$A$11,DC57))),CODES!$A$13,IF(OR(DC57&lt;DC$63,ISNUMBER(DC57)=FALSE),DC$64,DC57))))</f>
      </c>
      <c r="DD109" s="9" t="str">
        <f>IF(ISBLANK(DD57),"NO DATA",IF(ISNUMBER(FIND(CODES!$A$12,DD57)),CODES!$A$12,IF(OR(ISNUMBER(FIND(CODES!$A$10,DD57)),ISNUMBER(FIND(CODES!$A$11,DD57))),CODES!$A$13,IF(OR(DD57&lt;DD$63,ISNUMBER(DD57)=FALSE),DD$64,DD57))))</f>
      </c>
      <c r="DE109" s="9" t="str">
        <f>IF(ISBLANK(DE57),"NO DATA",IF(ISNUMBER(FIND(CODES!$A$12,DE57)),CODES!$A$12,IF(OR(ISNUMBER(FIND(CODES!$A$10,DE57)),ISNUMBER(FIND(CODES!$A$11,DE57))),CODES!$A$13,IF(OR(DE57&lt;DE$63,ISNUMBER(DE57)=FALSE),DE$64,DE57))))</f>
      </c>
      <c r="DF109" s="9" t="str">
        <f>IF(ISBLANK(DF57),"NO DATA",IF(ISNUMBER(FIND(CODES!$A$12,DF57)),CODES!$A$12,IF(OR(ISNUMBER(FIND(CODES!$A$10,DF57)),ISNUMBER(FIND(CODES!$A$11,DF57))),CODES!$A$13,IF(OR(DF57&lt;DF$63,ISNUMBER(DF57)=FALSE),DF$64,DF57))))</f>
      </c>
      <c r="DG109" s="9" t="str">
        <f>IF(ISBLANK(DG57),"NO DATA",IF(ISNUMBER(FIND(CODES!$A$12,DG57)),CODES!$A$12,IF(OR(ISNUMBER(FIND(CODES!$A$10,DG57)),ISNUMBER(FIND(CODES!$A$11,DG57))),CODES!$A$13,IF(OR(DG57&lt;DG$63,ISNUMBER(DG57)=FALSE),DG$64,DG57))))</f>
      </c>
      <c r="DH109" s="9" t="str">
        <f>IF(ISBLANK(DH57),"NO DATA",IF(ISNUMBER(FIND(CODES!$A$12,DH57)),CODES!$A$12,IF(OR(ISNUMBER(FIND(CODES!$A$10,DH57)),ISNUMBER(FIND(CODES!$A$11,DH57))),CODES!$A$13,IF(OR(DH57&lt;DH$63,ISNUMBER(DH57)=FALSE),DH$64,DH57))))</f>
      </c>
      <c r="DI109" s="9" t="str">
        <f>IF(ISBLANK(DI57),"NO DATA",IF(ISNUMBER(FIND(CODES!$A$12,DI57)),CODES!$A$12,IF(OR(ISNUMBER(FIND(CODES!$A$10,DI57)),ISNUMBER(FIND(CODES!$A$11,DI57))),CODES!$A$13,IF(OR(DI57&lt;DI$63,ISNUMBER(DI57)=FALSE),DI$64,DI57))))</f>
      </c>
    </row>
    <row r="110" spans="1:113" x14ac:dyDescent="0.25">
      <c r="A110" s="20" t="str">
        <f t="shared" ref="A110:B114" si="6">A58</f>
      </c>
      <c r="B110" s="20">
        <f t="shared" si="6"/>
      </c>
      <c r="C110" s="9" t="str">
        <f>IF(ISBLANK(C58),"NO DATA",IF(ISNUMBER(FIND(CODES!$A$12,C58)),CODES!$A$12,IF(OR(ISNUMBER(FIND(CODES!$A$10,C58)),ISNUMBER(FIND(CODES!$A$11,C58))),CODES!$A$13,IF(OR(C58&lt;C$63,ISNUMBER(C58)=FALSE),C$64,C58))))</f>
      </c>
      <c r="D110" s="9" t="str">
        <f>IF(ISBLANK(D58),"NO DATA",IF(ISNUMBER(FIND(CODES!$A$12,D58)),CODES!$A$12,IF(OR(ISNUMBER(FIND(CODES!$A$10,D58)),ISNUMBER(FIND(CODES!$A$11,D58))),CODES!$A$13,IF(OR(D58&lt;D$63,ISNUMBER(D58)=FALSE),D$64,D58))))</f>
      </c>
      <c r="E110" s="9" t="str">
        <f>IF(ISBLANK(E58),"NO DATA",IF(ISNUMBER(FIND(CODES!$A$12,E58)),CODES!$A$12,IF(OR(ISNUMBER(FIND(CODES!$A$10,E58)),ISNUMBER(FIND(CODES!$A$11,E58))),CODES!$A$13,IF(OR(E58&lt;E$63,ISNUMBER(E58)=FALSE),E$64,E58))))</f>
      </c>
      <c r="F110" s="9" t="str">
        <f>IF(ISBLANK(F58),"NO DATA",IF(ISNUMBER(FIND(CODES!$A$12,F58)),CODES!$A$12,IF(OR(ISNUMBER(FIND(CODES!$A$10,F58)),ISNUMBER(FIND(CODES!$A$11,F58))),CODES!$A$13,IF(OR(F58&lt;F$63,ISNUMBER(F58)=FALSE),F$64,F58))))</f>
      </c>
      <c r="G110" s="9" t="str">
        <f>IF(ISBLANK(G58),"NO DATA",IF(ISNUMBER(FIND(CODES!$A$12,G58)),CODES!$A$12,IF(OR(ISNUMBER(FIND(CODES!$A$10,G58)),ISNUMBER(FIND(CODES!$A$11,G58))),CODES!$A$13,IF(OR(G58&lt;G$63,ISNUMBER(G58)=FALSE),G$64,G58))))</f>
      </c>
      <c r="H110" s="9" t="str">
        <f>IF(ISBLANK(H58),"NO DATA",IF(ISNUMBER(FIND(CODES!$A$12,H58)),CODES!$A$12,IF(OR(ISNUMBER(FIND(CODES!$A$10,H58)),ISNUMBER(FIND(CODES!$A$11,H58))),CODES!$A$13,IF(OR(H58&lt;H$63,ISNUMBER(H58)=FALSE),H$64,H58))))</f>
      </c>
      <c r="I110" s="9" t="str">
        <f>IF(ISBLANK(I58),"NO DATA",IF(ISNUMBER(FIND(CODES!$A$12,I58)),CODES!$A$12,IF(OR(ISNUMBER(FIND(CODES!$A$10,I58)),ISNUMBER(FIND(CODES!$A$11,I58))),CODES!$A$13,IF(OR(I58&lt;I$63,ISNUMBER(I58)=FALSE),I$64,I58))))</f>
      </c>
      <c r="J110" s="9" t="str">
        <f>IF(ISBLANK(J58),"NO DATA",IF(ISNUMBER(FIND(CODES!$A$12,J58)),CODES!$A$12,IF(OR(ISNUMBER(FIND(CODES!$A$10,J58)),ISNUMBER(FIND(CODES!$A$11,J58))),CODES!$A$13,IF(OR(J58&lt;J$63,ISNUMBER(J58)=FALSE),J$64,J58))))</f>
      </c>
      <c r="K110" s="9" t="str">
        <f>IF(ISBLANK(K58),"NO DATA",IF(ISNUMBER(FIND(CODES!$A$12,K58)),CODES!$A$12,IF(OR(ISNUMBER(FIND(CODES!$A$10,K58)),ISNUMBER(FIND(CODES!$A$11,K58))),CODES!$A$13,IF(OR(K58&lt;K$63,ISNUMBER(K58)=FALSE),K$64,K58))))</f>
      </c>
      <c r="L110" s="9" t="str">
        <f>IF(ISBLANK(L58),"NO DATA",IF(ISNUMBER(FIND(CODES!$A$12,L58)),CODES!$A$12,IF(OR(ISNUMBER(FIND(CODES!$A$10,L58)),ISNUMBER(FIND(CODES!$A$11,L58))),CODES!$A$13,IF(OR(L58&lt;L$63,ISNUMBER(L58)=FALSE),L$64,L58))))</f>
      </c>
      <c r="M110" s="9" t="str">
        <f>IF(ISBLANK(M58),"NO DATA",IF(ISNUMBER(FIND(CODES!$A$12,M58)),CODES!$A$12,IF(OR(ISNUMBER(FIND(CODES!$A$10,M58)),ISNUMBER(FIND(CODES!$A$11,M58))),CODES!$A$13,IF(OR(M58&lt;M$63,ISNUMBER(M58)=FALSE),M$64,M58))))</f>
      </c>
      <c r="N110" s="9" t="str">
        <f>IF(ISBLANK(N58),"NO DATA",IF(ISNUMBER(FIND(CODES!$A$12,N58)),CODES!$A$12,IF(OR(ISNUMBER(FIND(CODES!$A$10,N58)),ISNUMBER(FIND(CODES!$A$11,N58))),CODES!$A$13,IF(OR(N58&lt;N$63,ISNUMBER(N58)=FALSE),N$64,N58))))</f>
      </c>
      <c r="O110" s="9" t="str">
        <f>IF(ISBLANK(O58),"NO DATA",IF(ISNUMBER(FIND(CODES!$A$12,O58)),CODES!$A$12,IF(OR(ISNUMBER(FIND(CODES!$A$10,O58)),ISNUMBER(FIND(CODES!$A$11,O58))),CODES!$A$13,IF(OR(O58&lt;O$63,ISNUMBER(O58)=FALSE),O$64,O58))))</f>
      </c>
      <c r="P110" s="9" t="str">
        <f>IF(ISBLANK(P58),"NO DATA",IF(ISNUMBER(FIND(CODES!$A$12,P58)),CODES!$A$12,IF(OR(ISNUMBER(FIND(CODES!$A$10,P58)),ISNUMBER(FIND(CODES!$A$11,P58))),CODES!$A$13,IF(OR(P58&lt;P$63,ISNUMBER(P58)=FALSE),P$64,P58))))</f>
      </c>
      <c r="Q110" s="9" t="str">
        <f>IF(ISBLANK(Q58),"NO DATA",IF(ISNUMBER(FIND(CODES!$A$12,Q58)),CODES!$A$12,IF(OR(ISNUMBER(FIND(CODES!$A$10,Q58)),ISNUMBER(FIND(CODES!$A$11,Q58))),CODES!$A$13,IF(OR(Q58&lt;Q$63,ISNUMBER(Q58)=FALSE),Q$64,Q58))))</f>
      </c>
      <c r="R110" s="9" t="str">
        <f>IF(ISBLANK(R58),"NO DATA",IF(ISNUMBER(FIND(CODES!$A$12,R58)),CODES!$A$12,IF(OR(ISNUMBER(FIND(CODES!$A$10,R58)),ISNUMBER(FIND(CODES!$A$11,R58))),CODES!$A$13,IF(OR(R58&lt;R$63,ISNUMBER(R58)=FALSE),R$64,R58))))</f>
      </c>
      <c r="S110" s="9" t="str">
        <f>IF(ISBLANK(S58),"NO DATA",IF(ISNUMBER(FIND(CODES!$A$12,S58)),CODES!$A$12,IF(OR(ISNUMBER(FIND(CODES!$A$10,S58)),ISNUMBER(FIND(CODES!$A$11,S58))),CODES!$A$13,IF(OR(S58&lt;S$63,ISNUMBER(S58)=FALSE),S$64,S58))))</f>
      </c>
      <c r="T110" s="9" t="str">
        <f>IF(ISBLANK(T58),"NO DATA",IF(ISNUMBER(FIND(CODES!$A$12,T58)),CODES!$A$12,IF(OR(ISNUMBER(FIND(CODES!$A$10,T58)),ISNUMBER(FIND(CODES!$A$11,T58))),CODES!$A$13,IF(OR(T58&lt;T$63,ISNUMBER(T58)=FALSE),T$64,T58))))</f>
      </c>
      <c r="U110" s="9" t="str">
        <f>IF(ISBLANK(U58),"NO DATA",IF(ISNUMBER(FIND(CODES!$A$12,U58)),CODES!$A$12,IF(OR(ISNUMBER(FIND(CODES!$A$10,U58)),ISNUMBER(FIND(CODES!$A$11,U58))),CODES!$A$13,IF(OR(U58&lt;U$63,ISNUMBER(U58)=FALSE),U$64,U58))))</f>
      </c>
      <c r="V110" s="9" t="str">
        <f>IF(ISBLANK(V58),"NO DATA",IF(ISNUMBER(FIND(CODES!$A$12,V58)),CODES!$A$12,IF(OR(ISNUMBER(FIND(CODES!$A$10,V58)),ISNUMBER(FIND(CODES!$A$11,V58))),CODES!$A$13,IF(OR(V58&lt;V$63,ISNUMBER(V58)=FALSE),V$64,V58))))</f>
      </c>
      <c r="W110" s="9" t="str">
        <f>IF(ISBLANK(W58),"NO DATA",IF(ISNUMBER(FIND(CODES!$A$12,W58)),CODES!$A$12,IF(OR(ISNUMBER(FIND(CODES!$A$10,W58)),ISNUMBER(FIND(CODES!$A$11,W58))),CODES!$A$13,IF(OR(W58&lt;W$63,ISNUMBER(W58)=FALSE),W$64,W58))))</f>
      </c>
      <c r="X110" s="9" t="str">
        <f>IF(ISBLANK(X58),"NO DATA",IF(ISNUMBER(FIND(CODES!$A$12,X58)),CODES!$A$12,IF(OR(ISNUMBER(FIND(CODES!$A$10,X58)),ISNUMBER(FIND(CODES!$A$11,X58))),CODES!$A$13,IF(OR(X58&lt;X$63,ISNUMBER(X58)=FALSE),X$64,X58))))</f>
      </c>
      <c r="Y110" s="9" t="str">
        <f>IF(ISBLANK(Y58),"NO DATA",IF(ISNUMBER(FIND(CODES!$A$12,Y58)),CODES!$A$12,IF(OR(ISNUMBER(FIND(CODES!$A$10,Y58)),ISNUMBER(FIND(CODES!$A$11,Y58))),CODES!$A$13,IF(OR(Y58&lt;Y$63,ISNUMBER(Y58)=FALSE),Y$64,Y58))))</f>
      </c>
      <c r="Z110" s="9" t="str">
        <f>IF(ISBLANK(Z58),"NO DATA",IF(ISNUMBER(FIND(CODES!$A$12,Z58)),CODES!$A$12,IF(OR(ISNUMBER(FIND(CODES!$A$10,Z58)),ISNUMBER(FIND(CODES!$A$11,Z58))),CODES!$A$13,IF(OR(Z58&lt;Z$63,ISNUMBER(Z58)=FALSE),Z$64,Z58))))</f>
      </c>
      <c r="AA110" s="9" t="str">
        <f>IF(ISBLANK(AA58),"NO DATA",IF(ISNUMBER(FIND(CODES!$A$12,AA58)),CODES!$A$12,IF(OR(ISNUMBER(FIND(CODES!$A$10,AA58)),ISNUMBER(FIND(CODES!$A$11,AA58))),CODES!$A$13,IF(OR(AA58&lt;AA$63,ISNUMBER(AA58)=FALSE),AA$64,AA58))))</f>
      </c>
      <c r="AB110" s="9" t="str">
        <f>IF(ISBLANK(AB58),"NO DATA",IF(ISNUMBER(FIND(CODES!$A$12,AB58)),CODES!$A$12,IF(OR(ISNUMBER(FIND(CODES!$A$10,AB58)),ISNUMBER(FIND(CODES!$A$11,AB58))),CODES!$A$13,IF(OR(AB58&lt;AB$63,ISNUMBER(AB58)=FALSE),AB$64,AB58))))</f>
      </c>
      <c r="AC110" s="9" t="str">
        <f>IF(ISBLANK(AC58),"NO DATA",IF(ISNUMBER(FIND(CODES!$A$12,AC58)),CODES!$A$12,IF(OR(ISNUMBER(FIND(CODES!$A$10,AC58)),ISNUMBER(FIND(CODES!$A$11,AC58))),CODES!$A$13,IF(OR(AC58&lt;AC$63,ISNUMBER(AC58)=FALSE),AC$64,AC58))))</f>
      </c>
      <c r="AD110" s="9" t="str">
        <f>IF(ISBLANK(AD58),"NO DATA",IF(ISNUMBER(FIND(CODES!$A$12,AD58)),CODES!$A$12,IF(OR(ISNUMBER(FIND(CODES!$A$10,AD58)),ISNUMBER(FIND(CODES!$A$11,AD58))),CODES!$A$13,IF(OR(AD58&lt;AD$63,ISNUMBER(AD58)=FALSE),AD$64,AD58))))</f>
      </c>
      <c r="AE110" s="9" t="str">
        <f>IF(ISBLANK(AE58),"NO DATA",IF(ISNUMBER(FIND(CODES!$A$12,AE58)),CODES!$A$12,IF(OR(ISNUMBER(FIND(CODES!$A$10,AE58)),ISNUMBER(FIND(CODES!$A$11,AE58))),CODES!$A$13,IF(OR(AE58&lt;AE$63,ISNUMBER(AE58)=FALSE),AE$64,AE58))))</f>
      </c>
      <c r="AF110" s="9" t="str">
        <f>IF(ISBLANK(AF58),"NO DATA",IF(ISNUMBER(FIND(CODES!$A$12,AF58)),CODES!$A$12,IF(OR(ISNUMBER(FIND(CODES!$A$10,AF58)),ISNUMBER(FIND(CODES!$A$11,AF58))),CODES!$A$13,IF(OR(AF58&lt;AF$63,ISNUMBER(AF58)=FALSE),AF$64,AF58))))</f>
      </c>
      <c r="AG110" s="9" t="str">
        <f>IF(ISBLANK(AG58),"NO DATA",IF(ISNUMBER(FIND(CODES!$A$12,AG58)),CODES!$A$12,IF(OR(ISNUMBER(FIND(CODES!$A$10,AG58)),ISNUMBER(FIND(CODES!$A$11,AG58))),CODES!$A$13,IF(OR(AG58&lt;AG$63,ISNUMBER(AG58)=FALSE),AG$64,AG58))))</f>
      </c>
      <c r="AH110" s="9" t="str">
        <f>IF(ISBLANK(AH58),"NO DATA",IF(ISNUMBER(FIND(CODES!$A$12,AH58)),CODES!$A$12,IF(OR(ISNUMBER(FIND(CODES!$A$10,AH58)),ISNUMBER(FIND(CODES!$A$11,AH58))),CODES!$A$13,IF(OR(AH58&lt;AH$63,ISNUMBER(AH58)=FALSE),AH$64,AH58))))</f>
      </c>
      <c r="AI110" s="9" t="str">
        <f>IF(ISBLANK(AI58),"NO DATA",IF(ISNUMBER(FIND(CODES!$A$12,AI58)),CODES!$A$12,IF(OR(ISNUMBER(FIND(CODES!$A$10,AI58)),ISNUMBER(FIND(CODES!$A$11,AI58))),CODES!$A$13,IF(OR(AI58&lt;AI$63,ISNUMBER(AI58)=FALSE),AI$64,AI58))))</f>
      </c>
      <c r="AJ110" s="9" t="str">
        <f>IF(ISBLANK(AJ58),"NO DATA",IF(ISNUMBER(FIND(CODES!$A$12,AJ58)),CODES!$A$12,IF(OR(ISNUMBER(FIND(CODES!$A$10,AJ58)),ISNUMBER(FIND(CODES!$A$11,AJ58))),CODES!$A$13,IF(OR(AJ58&lt;AJ$63,ISNUMBER(AJ58)=FALSE),AJ$64,AJ58))))</f>
      </c>
      <c r="AK110" s="9" t="str">
        <f>IF(ISBLANK(AK58),"NO DATA",IF(ISNUMBER(FIND(CODES!$A$12,AK58)),CODES!$A$12,IF(OR(ISNUMBER(FIND(CODES!$A$10,AK58)),ISNUMBER(FIND(CODES!$A$11,AK58))),CODES!$A$13,IF(OR(AK58&lt;AK$63,ISNUMBER(AK58)=FALSE),AK$64,AK58))))</f>
      </c>
      <c r="AL110" s="9" t="str">
        <f>IF(ISBLANK(AL58),"NO DATA",IF(ISNUMBER(FIND(CODES!$A$12,AL58)),CODES!$A$12,IF(OR(ISNUMBER(FIND(CODES!$A$10,AL58)),ISNUMBER(FIND(CODES!$A$11,AL58))),CODES!$A$13,IF(OR(AL58&lt;AL$63,ISNUMBER(AL58)=FALSE),AL$64,AL58))))</f>
      </c>
      <c r="AM110" s="9" t="str">
        <f>IF(ISBLANK(AM58),"NO DATA",IF(ISNUMBER(FIND(CODES!$A$12,AM58)),CODES!$A$12,IF(OR(ISNUMBER(FIND(CODES!$A$10,AM58)),ISNUMBER(FIND(CODES!$A$11,AM58))),CODES!$A$13,IF(OR(AM58&lt;AM$63,ISNUMBER(AM58)=FALSE),AM$64,AM58))))</f>
      </c>
      <c r="AN110" s="9" t="str">
        <f>IF(ISBLANK(AN58),"NO DATA",IF(ISNUMBER(FIND(CODES!$A$12,AN58)),CODES!$A$12,IF(OR(ISNUMBER(FIND(CODES!$A$10,AN58)),ISNUMBER(FIND(CODES!$A$11,AN58))),CODES!$A$13,IF(OR(AN58&lt;AN$63,ISNUMBER(AN58)=FALSE),AN$64,AN58))))</f>
      </c>
      <c r="AO110" s="9" t="str">
        <f>IF(ISBLANK(AO58),"NO DATA",IF(ISNUMBER(FIND(CODES!$A$12,AO58)),CODES!$A$12,IF(OR(ISNUMBER(FIND(CODES!$A$10,AO58)),ISNUMBER(FIND(CODES!$A$11,AO58))),CODES!$A$13,IF(OR(AO58&lt;AO$63,ISNUMBER(AO58)=FALSE),AO$64,AO58))))</f>
      </c>
      <c r="AP110" s="9" t="str">
        <f>IF(ISBLANK(AP58),"NO DATA",IF(ISNUMBER(FIND(CODES!$A$12,AP58)),CODES!$A$12,IF(OR(ISNUMBER(FIND(CODES!$A$10,AP58)),ISNUMBER(FIND(CODES!$A$11,AP58))),CODES!$A$13,IF(OR(AP58&lt;AP$63,ISNUMBER(AP58)=FALSE),AP$64,AP58))))</f>
      </c>
      <c r="AQ110" s="9" t="str">
        <f>IF(ISBLANK(AQ58),"NO DATA",IF(ISNUMBER(FIND(CODES!$A$12,AQ58)),CODES!$A$12,IF(OR(ISNUMBER(FIND(CODES!$A$10,AQ58)),ISNUMBER(FIND(CODES!$A$11,AQ58))),CODES!$A$13,IF(OR(AQ58&lt;AQ$63,ISNUMBER(AQ58)=FALSE),AQ$64,AQ58))))</f>
      </c>
      <c r="AR110" s="9" t="str">
        <f>IF(ISBLANK(AR58),"NO DATA",IF(ISNUMBER(FIND(CODES!$A$12,AR58)),CODES!$A$12,IF(OR(ISNUMBER(FIND(CODES!$A$10,AR58)),ISNUMBER(FIND(CODES!$A$11,AR58))),CODES!$A$13,IF(OR(AR58&lt;AR$63,ISNUMBER(AR58)=FALSE),AR$64,AR58))))</f>
      </c>
      <c r="AS110" s="9" t="str">
        <f>IF(ISBLANK(AS58),"NO DATA",IF(ISNUMBER(FIND(CODES!$A$12,AS58)),CODES!$A$12,IF(OR(ISNUMBER(FIND(CODES!$A$10,AS58)),ISNUMBER(FIND(CODES!$A$11,AS58))),CODES!$A$13,IF(OR(AS58&lt;AS$63,ISNUMBER(AS58)=FALSE),AS$64,AS58))))</f>
      </c>
      <c r="AT110" s="9" t="str">
        <f>IF(ISBLANK(AT58),"NO DATA",IF(ISNUMBER(FIND(CODES!$A$12,AT58)),CODES!$A$12,IF(OR(ISNUMBER(FIND(CODES!$A$10,AT58)),ISNUMBER(FIND(CODES!$A$11,AT58))),CODES!$A$13,IF(OR(AT58&lt;AT$63,ISNUMBER(AT58)=FALSE),AT$64,AT58))))</f>
      </c>
      <c r="AU110" s="9" t="str">
        <f>IF(ISBLANK(AU58),"NO DATA",IF(ISNUMBER(FIND(CODES!$A$12,AU58)),CODES!$A$12,IF(OR(ISNUMBER(FIND(CODES!$A$10,AU58)),ISNUMBER(FIND(CODES!$A$11,AU58))),CODES!$A$13,IF(OR(AU58&lt;AU$63,ISNUMBER(AU58)=FALSE),AU$64,AU58))))</f>
      </c>
      <c r="AV110" s="9" t="str">
        <f>IF(ISBLANK(AV58),"NO DATA",IF(ISNUMBER(FIND(CODES!$A$12,AV58)),CODES!$A$12,IF(OR(ISNUMBER(FIND(CODES!$A$10,AV58)),ISNUMBER(FIND(CODES!$A$11,AV58))),CODES!$A$13,IF(OR(AV58&lt;AV$63,ISNUMBER(AV58)=FALSE),AV$64,AV58))))</f>
      </c>
      <c r="AW110" s="9" t="str">
        <f>IF(ISBLANK(AW58),"NO DATA",IF(ISNUMBER(FIND(CODES!$A$12,AW58)),CODES!$A$12,IF(OR(ISNUMBER(FIND(CODES!$A$10,AW58)),ISNUMBER(FIND(CODES!$A$11,AW58))),CODES!$A$13,IF(OR(AW58&lt;AW$63,ISNUMBER(AW58)=FALSE),AW$64,AW58))))</f>
      </c>
      <c r="AX110" s="9" t="str">
        <f>IF(ISBLANK(AX58),"NO DATA",IF(ISNUMBER(FIND(CODES!$A$12,AX58)),CODES!$A$12,IF(OR(ISNUMBER(FIND(CODES!$A$10,AX58)),ISNUMBER(FIND(CODES!$A$11,AX58))),CODES!$A$13,IF(OR(AX58&lt;AX$63,ISNUMBER(AX58)=FALSE),AX$64,AX58))))</f>
      </c>
      <c r="AY110" s="9" t="str">
        <f>IF(ISBLANK(AY58),"NO DATA",IF(ISNUMBER(FIND(CODES!$A$12,AY58)),CODES!$A$12,IF(OR(ISNUMBER(FIND(CODES!$A$10,AY58)),ISNUMBER(FIND(CODES!$A$11,AY58))),CODES!$A$13,IF(OR(AY58&lt;AY$63,ISNUMBER(AY58)=FALSE),AY$64,AY58))))</f>
      </c>
      <c r="AZ110" s="9" t="str">
        <f>IF(ISBLANK(AZ58),"NO DATA",IF(ISNUMBER(FIND(CODES!$A$12,AZ58)),CODES!$A$12,IF(OR(ISNUMBER(FIND(CODES!$A$10,AZ58)),ISNUMBER(FIND(CODES!$A$11,AZ58))),CODES!$A$13,IF(OR(AZ58&lt;AZ$63,ISNUMBER(AZ58)=FALSE),AZ$64,AZ58))))</f>
      </c>
      <c r="BA110" s="9" t="str">
        <f>IF(ISBLANK(BA58),"NO DATA",IF(ISNUMBER(FIND(CODES!$A$12,BA58)),CODES!$A$12,IF(OR(ISNUMBER(FIND(CODES!$A$10,BA58)),ISNUMBER(FIND(CODES!$A$11,BA58))),CODES!$A$13,IF(OR(BA58&lt;BA$63,ISNUMBER(BA58)=FALSE),BA$64,BA58))))</f>
      </c>
      <c r="BB110" s="9" t="str">
        <f>IF(ISBLANK(BB58),"NO DATA",IF(ISNUMBER(FIND(CODES!$A$12,BB58)),CODES!$A$12,IF(OR(ISNUMBER(FIND(CODES!$A$10,BB58)),ISNUMBER(FIND(CODES!$A$11,BB58))),CODES!$A$13,IF(OR(BB58&lt;BB$63,ISNUMBER(BB58)=FALSE),BB$64,BB58))))</f>
      </c>
      <c r="BC110" s="9" t="str">
        <f>IF(ISBLANK(BC58),"NO DATA",IF(ISNUMBER(FIND(CODES!$A$12,BC58)),CODES!$A$12,IF(OR(ISNUMBER(FIND(CODES!$A$10,BC58)),ISNUMBER(FIND(CODES!$A$11,BC58))),CODES!$A$13,IF(OR(BC58&lt;BC$63,ISNUMBER(BC58)=FALSE),BC$64,BC58))))</f>
      </c>
      <c r="BD110" s="9" t="str">
        <f>IF(ISBLANK(BD58),"NO DATA",IF(ISNUMBER(FIND(CODES!$A$12,BD58)),CODES!$A$12,IF(OR(ISNUMBER(FIND(CODES!$A$10,BD58)),ISNUMBER(FIND(CODES!$A$11,BD58))),CODES!$A$13,IF(OR(BD58&lt;BD$63,ISNUMBER(BD58)=FALSE),BD$64,BD58))))</f>
      </c>
      <c r="BE110" s="9" t="str">
        <f>IF(ISBLANK(BE58),"NO DATA",IF(ISNUMBER(FIND(CODES!$A$12,BE58)),CODES!$A$12,IF(OR(ISNUMBER(FIND(CODES!$A$10,BE58)),ISNUMBER(FIND(CODES!$A$11,BE58))),CODES!$A$13,IF(OR(BE58&lt;BE$63,ISNUMBER(BE58)=FALSE),BE$64,BE58))))</f>
      </c>
      <c r="BF110" s="9" t="str">
        <f>IF(ISBLANK(BF58),"NO DATA",IF(ISNUMBER(FIND(CODES!$A$12,BF58)),CODES!$A$12,IF(OR(ISNUMBER(FIND(CODES!$A$10,BF58)),ISNUMBER(FIND(CODES!$A$11,BF58))),CODES!$A$13,IF(OR(BF58&lt;BF$63,ISNUMBER(BF58)=FALSE),BF$64,BF58))))</f>
      </c>
      <c r="BG110" s="9" t="str">
        <f>IF(ISBLANK(BG58),"NO DATA",IF(ISNUMBER(FIND(CODES!$A$12,BG58)),CODES!$A$12,IF(OR(ISNUMBER(FIND(CODES!$A$10,BG58)),ISNUMBER(FIND(CODES!$A$11,BG58))),CODES!$A$13,IF(OR(BG58&lt;BG$63,ISNUMBER(BG58)=FALSE),BG$64,BG58))))</f>
      </c>
      <c r="BH110" s="9" t="str">
        <f>IF(ISBLANK(BH58),"NO DATA",IF(ISNUMBER(FIND(CODES!$A$12,BH58)),CODES!$A$12,IF(OR(ISNUMBER(FIND(CODES!$A$10,BH58)),ISNUMBER(FIND(CODES!$A$11,BH58))),CODES!$A$13,IF(OR(BH58&lt;BH$63,ISNUMBER(BH58)=FALSE),BH$64,BH58))))</f>
      </c>
      <c r="BI110" s="9" t="str">
        <f>IF(ISBLANK(BI58),"NO DATA",IF(ISNUMBER(FIND(CODES!$A$12,BI58)),CODES!$A$12,IF(OR(ISNUMBER(FIND(CODES!$A$10,BI58)),ISNUMBER(FIND(CODES!$A$11,BI58))),CODES!$A$13,IF(OR(BI58&lt;BI$63,ISNUMBER(BI58)=FALSE),BI$64,BI58))))</f>
      </c>
      <c r="BJ110" s="9" t="str">
        <f>IF(ISBLANK(BJ58),"NO DATA",IF(ISNUMBER(FIND(CODES!$A$12,BJ58)),CODES!$A$12,IF(OR(ISNUMBER(FIND(CODES!$A$10,BJ58)),ISNUMBER(FIND(CODES!$A$11,BJ58))),CODES!$A$13,IF(OR(BJ58&lt;BJ$63,ISNUMBER(BJ58)=FALSE),BJ$64,BJ58))))</f>
      </c>
      <c r="BK110" s="9" t="str">
        <f>IF(ISBLANK(BK58),"NO DATA",IF(ISNUMBER(FIND(CODES!$A$12,BK58)),CODES!$A$12,IF(OR(ISNUMBER(FIND(CODES!$A$10,BK58)),ISNUMBER(FIND(CODES!$A$11,BK58))),CODES!$A$13,IF(OR(BK58&lt;BK$63,ISNUMBER(BK58)=FALSE),BK$64,BK58))))</f>
      </c>
      <c r="BL110" s="9" t="str">
        <f>IF(ISBLANK(BL58),"NO DATA",IF(ISNUMBER(FIND(CODES!$A$12,BL58)),CODES!$A$12,IF(OR(ISNUMBER(FIND(CODES!$A$10,BL58)),ISNUMBER(FIND(CODES!$A$11,BL58))),CODES!$A$13,IF(OR(BL58&lt;BL$63,ISNUMBER(BL58)=FALSE),BL$64,BL58))))</f>
      </c>
      <c r="BM110" s="9" t="str">
        <f>IF(ISBLANK(BM58),"NO DATA",IF(ISNUMBER(FIND(CODES!$A$12,BM58)),CODES!$A$12,IF(OR(ISNUMBER(FIND(CODES!$A$10,BM58)),ISNUMBER(FIND(CODES!$A$11,BM58))),CODES!$A$13,IF(OR(BM58&lt;BM$63,ISNUMBER(BM58)=FALSE),BM$64,BM58))))</f>
      </c>
      <c r="BN110" s="9" t="str">
        <f>IF(ISBLANK(BN58),"NO DATA",IF(ISNUMBER(FIND(CODES!$A$12,BN58)),CODES!$A$12,IF(OR(ISNUMBER(FIND(CODES!$A$10,BN58)),ISNUMBER(FIND(CODES!$A$11,BN58))),CODES!$A$13,IF(OR(BN58&lt;BN$63,ISNUMBER(BN58)=FALSE),BN$64,BN58))))</f>
      </c>
      <c r="BO110" s="9" t="str">
        <f>IF(ISBLANK(BO58),"NO DATA",IF(ISNUMBER(FIND(CODES!$A$12,BO58)),CODES!$A$12,IF(OR(ISNUMBER(FIND(CODES!$A$10,BO58)),ISNUMBER(FIND(CODES!$A$11,BO58))),CODES!$A$13,IF(OR(BO58&lt;BO$63,ISNUMBER(BO58)=FALSE),BO$64,BO58))))</f>
      </c>
      <c r="BP110" s="9" t="str">
        <f>IF(ISBLANK(BP58),"NO DATA",IF(ISNUMBER(FIND(CODES!$A$12,BP58)),CODES!$A$12,IF(OR(ISNUMBER(FIND(CODES!$A$10,BP58)),ISNUMBER(FIND(CODES!$A$11,BP58))),CODES!$A$13,IF(OR(BP58&lt;BP$63,ISNUMBER(BP58)=FALSE),BP$64,BP58))))</f>
      </c>
      <c r="BQ110" s="9" t="str">
        <f>IF(ISBLANK(BQ58),"NO DATA",IF(ISNUMBER(FIND(CODES!$A$12,BQ58)),CODES!$A$12,IF(OR(ISNUMBER(FIND(CODES!$A$10,BQ58)),ISNUMBER(FIND(CODES!$A$11,BQ58))),CODES!$A$13,IF(OR(BQ58&lt;BQ$63,ISNUMBER(BQ58)=FALSE),BQ$64,BQ58))))</f>
      </c>
      <c r="BR110" s="9" t="str">
        <f>IF(ISBLANK(BR58),"NO DATA",IF(ISNUMBER(FIND(CODES!$A$12,BR58)),CODES!$A$12,IF(OR(ISNUMBER(FIND(CODES!$A$10,BR58)),ISNUMBER(FIND(CODES!$A$11,BR58))),CODES!$A$13,IF(OR(BR58&lt;BR$63,ISNUMBER(BR58)=FALSE),BR$64,BR58))))</f>
      </c>
      <c r="BS110" s="9" t="str">
        <f>IF(ISBLANK(BS58),"NO DATA",IF(ISNUMBER(FIND(CODES!$A$12,BS58)),CODES!$A$12,IF(OR(ISNUMBER(FIND(CODES!$A$10,BS58)),ISNUMBER(FIND(CODES!$A$11,BS58))),CODES!$A$13,IF(OR(BS58&lt;BS$63,ISNUMBER(BS58)=FALSE),BS$64,BS58))))</f>
      </c>
      <c r="BT110" s="9" t="str">
        <f>IF(ISBLANK(BT58),"NO DATA",IF(ISNUMBER(FIND(CODES!$A$12,BT58)),CODES!$A$12,IF(OR(ISNUMBER(FIND(CODES!$A$10,BT58)),ISNUMBER(FIND(CODES!$A$11,BT58))),CODES!$A$13,IF(OR(BT58&lt;BT$63,ISNUMBER(BT58)=FALSE),BT$64,BT58))))</f>
      </c>
      <c r="BU110" s="9" t="str">
        <f>IF(ISBLANK(BU58),"NO DATA",IF(ISNUMBER(FIND(CODES!$A$12,BU58)),CODES!$A$12,IF(OR(ISNUMBER(FIND(CODES!$A$10,BU58)),ISNUMBER(FIND(CODES!$A$11,BU58))),CODES!$A$13,IF(OR(BU58&lt;BU$63,ISNUMBER(BU58)=FALSE),BU$64,BU58))))</f>
      </c>
      <c r="BV110" s="9" t="str">
        <f>IF(ISBLANK(BV58),"NO DATA",IF(ISNUMBER(FIND(CODES!$A$12,BV58)),CODES!$A$12,IF(OR(ISNUMBER(FIND(CODES!$A$10,BV58)),ISNUMBER(FIND(CODES!$A$11,BV58))),CODES!$A$13,IF(OR(BV58&lt;BV$63,ISNUMBER(BV58)=FALSE),BV$64,BV58))))</f>
      </c>
      <c r="BW110" s="9" t="str">
        <f>IF(ISBLANK(BW58),"NO DATA",IF(ISNUMBER(FIND(CODES!$A$12,BW58)),CODES!$A$12,IF(OR(ISNUMBER(FIND(CODES!$A$10,BW58)),ISNUMBER(FIND(CODES!$A$11,BW58))),CODES!$A$13,IF(OR(BW58&lt;BW$63,ISNUMBER(BW58)=FALSE),BW$64,BW58))))</f>
      </c>
      <c r="BX110" s="9" t="str">
        <f>IF(ISBLANK(BX58),"NO DATA",IF(ISNUMBER(FIND(CODES!$A$12,BX58)),CODES!$A$12,IF(OR(ISNUMBER(FIND(CODES!$A$10,BX58)),ISNUMBER(FIND(CODES!$A$11,BX58))),CODES!$A$13,IF(OR(BX58&lt;BX$63,ISNUMBER(BX58)=FALSE),BX$64,BX58))))</f>
      </c>
      <c r="BY110" s="9" t="str">
        <f>IF(ISBLANK(BY58),"NO DATA",IF(ISNUMBER(FIND(CODES!$A$12,BY58)),CODES!$A$12,IF(OR(ISNUMBER(FIND(CODES!$A$10,BY58)),ISNUMBER(FIND(CODES!$A$11,BY58))),CODES!$A$13,IF(OR(BY58&lt;BY$63,ISNUMBER(BY58)=FALSE),BY$64,BY58))))</f>
      </c>
      <c r="BZ110" s="9" t="str">
        <f>IF(ISBLANK(BZ58),"NO DATA",IF(ISNUMBER(FIND(CODES!$A$12,BZ58)),CODES!$A$12,IF(OR(ISNUMBER(FIND(CODES!$A$10,BZ58)),ISNUMBER(FIND(CODES!$A$11,BZ58))),CODES!$A$13,IF(OR(BZ58&lt;BZ$63,ISNUMBER(BZ58)=FALSE),BZ$64,BZ58))))</f>
      </c>
      <c r="CA110" s="9" t="str">
        <f>IF(ISBLANK(CA58),"NO DATA",IF(ISNUMBER(FIND(CODES!$A$12,CA58)),CODES!$A$12,IF(OR(ISNUMBER(FIND(CODES!$A$10,CA58)),ISNUMBER(FIND(CODES!$A$11,CA58))),CODES!$A$13,IF(OR(CA58&lt;CA$63,ISNUMBER(CA58)=FALSE),CA$64,CA58))))</f>
      </c>
      <c r="CB110" s="9" t="str">
        <f>IF(ISBLANK(CB58),"NO DATA",IF(ISNUMBER(FIND(CODES!$A$12,CB58)),CODES!$A$12,IF(OR(ISNUMBER(FIND(CODES!$A$10,CB58)),ISNUMBER(FIND(CODES!$A$11,CB58))),CODES!$A$13,IF(OR(CB58&lt;CB$63,ISNUMBER(CB58)=FALSE),CB$64,CB58))))</f>
      </c>
      <c r="CC110" s="9" t="str">
        <f>IF(ISBLANK(CC58),"NO DATA",IF(ISNUMBER(FIND(CODES!$A$12,CC58)),CODES!$A$12,IF(OR(ISNUMBER(FIND(CODES!$A$10,CC58)),ISNUMBER(FIND(CODES!$A$11,CC58))),CODES!$A$13,IF(OR(CC58&lt;CC$63,ISNUMBER(CC58)=FALSE),CC$64,CC58))))</f>
      </c>
      <c r="CD110" s="9" t="str">
        <f>IF(ISBLANK(CD58),"NO DATA",IF(ISNUMBER(FIND(CODES!$A$12,CD58)),CODES!$A$12,IF(OR(ISNUMBER(FIND(CODES!$A$10,CD58)),ISNUMBER(FIND(CODES!$A$11,CD58))),CODES!$A$13,IF(OR(CD58&lt;CD$63,ISNUMBER(CD58)=FALSE),CD$64,CD58))))</f>
      </c>
      <c r="CE110" s="9" t="str">
        <f>IF(ISBLANK(CE58),"NO DATA",IF(ISNUMBER(FIND(CODES!$A$12,CE58)),CODES!$A$12,IF(OR(ISNUMBER(FIND(CODES!$A$10,CE58)),ISNUMBER(FIND(CODES!$A$11,CE58))),CODES!$A$13,IF(OR(CE58&lt;CE$63,ISNUMBER(CE58)=FALSE),CE$64,CE58))))</f>
      </c>
      <c r="CF110" s="9" t="str">
        <f>IF(ISBLANK(CF58),"NO DATA",IF(ISNUMBER(FIND(CODES!$A$12,CF58)),CODES!$A$12,IF(OR(ISNUMBER(FIND(CODES!$A$10,CF58)),ISNUMBER(FIND(CODES!$A$11,CF58))),CODES!$A$13,IF(OR(CF58&lt;CF$63,ISNUMBER(CF58)=FALSE),CF$64,CF58))))</f>
      </c>
      <c r="CG110" s="9" t="str">
        <f>IF(ISBLANK(CG58),"NO DATA",IF(ISNUMBER(FIND(CODES!$A$12,CG58)),CODES!$A$12,IF(OR(ISNUMBER(FIND(CODES!$A$10,CG58)),ISNUMBER(FIND(CODES!$A$11,CG58))),CODES!$A$13,IF(OR(CG58&lt;CG$63,ISNUMBER(CG58)=FALSE),CG$64,CG58))))</f>
      </c>
      <c r="CH110" s="9" t="str">
        <f>IF(ISBLANK(CH58),"NO DATA",IF(ISNUMBER(FIND(CODES!$A$12,CH58)),CODES!$A$12,IF(OR(ISNUMBER(FIND(CODES!$A$10,CH58)),ISNUMBER(FIND(CODES!$A$11,CH58))),CODES!$A$13,IF(OR(CH58&lt;CH$63,ISNUMBER(CH58)=FALSE),CH$64,CH58))))</f>
      </c>
      <c r="CI110" s="9" t="str">
        <f>IF(ISBLANK(CI58),"NO DATA",IF(ISNUMBER(FIND(CODES!$A$12,CI58)),CODES!$A$12,IF(OR(ISNUMBER(FIND(CODES!$A$10,CI58)),ISNUMBER(FIND(CODES!$A$11,CI58))),CODES!$A$13,IF(OR(CI58&lt;CI$63,ISNUMBER(CI58)=FALSE),CI$64,CI58))))</f>
      </c>
      <c r="CJ110" s="9" t="str">
        <f>IF(ISBLANK(CJ58),"NO DATA",IF(ISNUMBER(FIND(CODES!$A$12,CJ58)),CODES!$A$12,IF(OR(ISNUMBER(FIND(CODES!$A$10,CJ58)),ISNUMBER(FIND(CODES!$A$11,CJ58))),CODES!$A$13,IF(OR(CJ58&lt;CJ$63,ISNUMBER(CJ58)=FALSE),CJ$64,CJ58))))</f>
      </c>
      <c r="CK110" s="9" t="str">
        <f>IF(ISBLANK(CK58),"NO DATA",IF(ISNUMBER(FIND(CODES!$A$12,CK58)),CODES!$A$12,IF(OR(ISNUMBER(FIND(CODES!$A$10,CK58)),ISNUMBER(FIND(CODES!$A$11,CK58))),CODES!$A$13,IF(OR(CK58&lt;CK$63,ISNUMBER(CK58)=FALSE),CK$64,CK58))))</f>
      </c>
      <c r="CL110" s="9" t="str">
        <f>IF(ISBLANK(CL58),"NO DATA",IF(ISNUMBER(FIND(CODES!$A$12,CL58)),CODES!$A$12,IF(OR(ISNUMBER(FIND(CODES!$A$10,CL58)),ISNUMBER(FIND(CODES!$A$11,CL58))),CODES!$A$13,IF(OR(CL58&lt;CL$63,ISNUMBER(CL58)=FALSE),CL$64,CL58))))</f>
      </c>
      <c r="CM110" s="9" t="str">
        <f>IF(ISBLANK(CM58),"NO DATA",IF(ISNUMBER(FIND(CODES!$A$12,CM58)),CODES!$A$12,IF(OR(ISNUMBER(FIND(CODES!$A$10,CM58)),ISNUMBER(FIND(CODES!$A$11,CM58))),CODES!$A$13,IF(OR(CM58&lt;CM$63,ISNUMBER(CM58)=FALSE),CM$64,CM58))))</f>
      </c>
      <c r="CN110" s="9" t="str">
        <f>IF(ISBLANK(CN58),"NO DATA",IF(ISNUMBER(FIND(CODES!$A$12,CN58)),CODES!$A$12,IF(OR(ISNUMBER(FIND(CODES!$A$10,CN58)),ISNUMBER(FIND(CODES!$A$11,CN58))),CODES!$A$13,IF(OR(CN58&lt;CN$63,ISNUMBER(CN58)=FALSE),CN$64,CN58))))</f>
      </c>
      <c r="CO110" s="9" t="str">
        <f>IF(ISBLANK(CO58),"NO DATA",IF(ISNUMBER(FIND(CODES!$A$12,CO58)),CODES!$A$12,IF(OR(ISNUMBER(FIND(CODES!$A$10,CO58)),ISNUMBER(FIND(CODES!$A$11,CO58))),CODES!$A$13,IF(OR(CO58&lt;CO$63,ISNUMBER(CO58)=FALSE),CO$64,CO58))))</f>
      </c>
      <c r="CP110" s="9" t="str">
        <f>IF(ISBLANK(CP58),"NO DATA",IF(ISNUMBER(FIND(CODES!$A$12,CP58)),CODES!$A$12,IF(OR(ISNUMBER(FIND(CODES!$A$10,CP58)),ISNUMBER(FIND(CODES!$A$11,CP58))),CODES!$A$13,IF(OR(CP58&lt;CP$63,ISNUMBER(CP58)=FALSE),CP$64,CP58))))</f>
      </c>
      <c r="CQ110" s="9" t="str">
        <f>IF(ISBLANK(CQ58),"NO DATA",IF(ISNUMBER(FIND(CODES!$A$12,CQ58)),CODES!$A$12,IF(OR(ISNUMBER(FIND(CODES!$A$10,CQ58)),ISNUMBER(FIND(CODES!$A$11,CQ58))),CODES!$A$13,IF(OR(CQ58&lt;CQ$63,ISNUMBER(CQ58)=FALSE),CQ$64,CQ58))))</f>
      </c>
      <c r="CR110" s="9" t="str">
        <f>IF(ISBLANK(CR58),"NO DATA",IF(ISNUMBER(FIND(CODES!$A$12,CR58)),CODES!$A$12,IF(OR(ISNUMBER(FIND(CODES!$A$10,CR58)),ISNUMBER(FIND(CODES!$A$11,CR58))),CODES!$A$13,IF(OR(CR58&lt;CR$63,ISNUMBER(CR58)=FALSE),CR$64,CR58))))</f>
      </c>
      <c r="CS110" s="9" t="str">
        <f>IF(ISBLANK(CS58),"NO DATA",IF(ISNUMBER(FIND(CODES!$A$12,CS58)),CODES!$A$12,IF(OR(ISNUMBER(FIND(CODES!$A$10,CS58)),ISNUMBER(FIND(CODES!$A$11,CS58))),CODES!$A$13,IF(OR(CS58&lt;CS$63,ISNUMBER(CS58)=FALSE),CS$64,CS58))))</f>
      </c>
      <c r="CT110" s="9" t="str">
        <f>IF(ISBLANK(CT58),"NO DATA",IF(ISNUMBER(FIND(CODES!$A$12,CT58)),CODES!$A$12,IF(OR(ISNUMBER(FIND(CODES!$A$10,CT58)),ISNUMBER(FIND(CODES!$A$11,CT58))),CODES!$A$13,IF(OR(CT58&lt;CT$63,ISNUMBER(CT58)=FALSE),CT$64,CT58))))</f>
      </c>
      <c r="CU110" s="9" t="str">
        <f>IF(ISBLANK(CU58),"NO DATA",IF(ISNUMBER(FIND(CODES!$A$12,CU58)),CODES!$A$12,IF(OR(ISNUMBER(FIND(CODES!$A$10,CU58)),ISNUMBER(FIND(CODES!$A$11,CU58))),CODES!$A$13,IF(OR(CU58&lt;CU$63,ISNUMBER(CU58)=FALSE),CU$64,CU58))))</f>
      </c>
      <c r="CV110" s="9" t="str">
        <f>IF(ISBLANK(CV58),"NO DATA",IF(ISNUMBER(FIND(CODES!$A$12,CV58)),CODES!$A$12,IF(OR(ISNUMBER(FIND(CODES!$A$10,CV58)),ISNUMBER(FIND(CODES!$A$11,CV58))),CODES!$A$13,IF(OR(CV58&lt;CV$63,ISNUMBER(CV58)=FALSE),CV$64,CV58))))</f>
      </c>
      <c r="CW110" s="9" t="str">
        <f>IF(ISBLANK(CW58),"NO DATA",IF(ISNUMBER(FIND(CODES!$A$12,CW58)),CODES!$A$12,IF(OR(ISNUMBER(FIND(CODES!$A$10,CW58)),ISNUMBER(FIND(CODES!$A$11,CW58))),CODES!$A$13,IF(OR(CW58&lt;CW$63,ISNUMBER(CW58)=FALSE),CW$64,CW58))))</f>
      </c>
      <c r="CX110" s="9" t="str">
        <f>IF(ISBLANK(CX58),"NO DATA",IF(ISNUMBER(FIND(CODES!$A$12,CX58)),CODES!$A$12,IF(OR(ISNUMBER(FIND(CODES!$A$10,CX58)),ISNUMBER(FIND(CODES!$A$11,CX58))),CODES!$A$13,IF(OR(CX58&lt;CX$63,ISNUMBER(CX58)=FALSE),CX$64,CX58))))</f>
      </c>
      <c r="CY110" s="9" t="str">
        <f>IF(ISBLANK(CY58),"NO DATA",IF(ISNUMBER(FIND(CODES!$A$12,CY58)),CODES!$A$12,IF(OR(ISNUMBER(FIND(CODES!$A$10,CY58)),ISNUMBER(FIND(CODES!$A$11,CY58))),CODES!$A$13,IF(OR(CY58&lt;CY$63,ISNUMBER(CY58)=FALSE),CY$64,CY58))))</f>
      </c>
      <c r="CZ110" s="9" t="str">
        <f>IF(ISBLANK(CZ58),"NO DATA",IF(ISNUMBER(FIND(CODES!$A$12,CZ58)),CODES!$A$12,IF(OR(ISNUMBER(FIND(CODES!$A$10,CZ58)),ISNUMBER(FIND(CODES!$A$11,CZ58))),CODES!$A$13,IF(OR(CZ58&lt;CZ$63,ISNUMBER(CZ58)=FALSE),CZ$64,CZ58))))</f>
      </c>
      <c r="DA110" s="9" t="str">
        <f>IF(ISBLANK(DA58),"NO DATA",IF(ISNUMBER(FIND(CODES!$A$12,DA58)),CODES!$A$12,IF(OR(ISNUMBER(FIND(CODES!$A$10,DA58)),ISNUMBER(FIND(CODES!$A$11,DA58))),CODES!$A$13,IF(OR(DA58&lt;DA$63,ISNUMBER(DA58)=FALSE),DA$64,DA58))))</f>
      </c>
      <c r="DB110" s="9" t="str">
        <f>IF(ISBLANK(DB58),"NO DATA",IF(ISNUMBER(FIND(CODES!$A$12,DB58)),CODES!$A$12,IF(OR(ISNUMBER(FIND(CODES!$A$10,DB58)),ISNUMBER(FIND(CODES!$A$11,DB58))),CODES!$A$13,IF(OR(DB58&lt;DB$63,ISNUMBER(DB58)=FALSE),DB$64,DB58))))</f>
      </c>
      <c r="DC110" s="9" t="str">
        <f>IF(ISBLANK(DC58),"NO DATA",IF(ISNUMBER(FIND(CODES!$A$12,DC58)),CODES!$A$12,IF(OR(ISNUMBER(FIND(CODES!$A$10,DC58)),ISNUMBER(FIND(CODES!$A$11,DC58))),CODES!$A$13,IF(OR(DC58&lt;DC$63,ISNUMBER(DC58)=FALSE),DC$64,DC58))))</f>
      </c>
      <c r="DD110" s="9" t="str">
        <f>IF(ISBLANK(DD58),"NO DATA",IF(ISNUMBER(FIND(CODES!$A$12,DD58)),CODES!$A$12,IF(OR(ISNUMBER(FIND(CODES!$A$10,DD58)),ISNUMBER(FIND(CODES!$A$11,DD58))),CODES!$A$13,IF(OR(DD58&lt;DD$63,ISNUMBER(DD58)=FALSE),DD$64,DD58))))</f>
      </c>
      <c r="DE110" s="9" t="str">
        <f>IF(ISBLANK(DE58),"NO DATA",IF(ISNUMBER(FIND(CODES!$A$12,DE58)),CODES!$A$12,IF(OR(ISNUMBER(FIND(CODES!$A$10,DE58)),ISNUMBER(FIND(CODES!$A$11,DE58))),CODES!$A$13,IF(OR(DE58&lt;DE$63,ISNUMBER(DE58)=FALSE),DE$64,DE58))))</f>
      </c>
      <c r="DF110" s="9" t="str">
        <f>IF(ISBLANK(DF58),"NO DATA",IF(ISNUMBER(FIND(CODES!$A$12,DF58)),CODES!$A$12,IF(OR(ISNUMBER(FIND(CODES!$A$10,DF58)),ISNUMBER(FIND(CODES!$A$11,DF58))),CODES!$A$13,IF(OR(DF58&lt;DF$63,ISNUMBER(DF58)=FALSE),DF$64,DF58))))</f>
      </c>
      <c r="DG110" s="9" t="str">
        <f>IF(ISBLANK(DG58),"NO DATA",IF(ISNUMBER(FIND(CODES!$A$12,DG58)),CODES!$A$12,IF(OR(ISNUMBER(FIND(CODES!$A$10,DG58)),ISNUMBER(FIND(CODES!$A$11,DG58))),CODES!$A$13,IF(OR(DG58&lt;DG$63,ISNUMBER(DG58)=FALSE),DG$64,DG58))))</f>
      </c>
      <c r="DH110" s="9" t="str">
        <f>IF(ISBLANK(DH58),"NO DATA",IF(ISNUMBER(FIND(CODES!$A$12,DH58)),CODES!$A$12,IF(OR(ISNUMBER(FIND(CODES!$A$10,DH58)),ISNUMBER(FIND(CODES!$A$11,DH58))),CODES!$A$13,IF(OR(DH58&lt;DH$63,ISNUMBER(DH58)=FALSE),DH$64,DH58))))</f>
      </c>
      <c r="DI110" s="9" t="str">
        <f>IF(ISBLANK(DI58),"NO DATA",IF(ISNUMBER(FIND(CODES!$A$12,DI58)),CODES!$A$12,IF(OR(ISNUMBER(FIND(CODES!$A$10,DI58)),ISNUMBER(FIND(CODES!$A$11,DI58))),CODES!$A$13,IF(OR(DI58&lt;DI$63,ISNUMBER(DI58)=FALSE),DI$64,DI58))))</f>
      </c>
    </row>
    <row r="111" spans="1:113" x14ac:dyDescent="0.25">
      <c r="A111" s="20" t="str">
        <f t="shared" si="6"/>
      </c>
      <c r="B111" s="20">
        <f t="shared" si="6"/>
      </c>
      <c r="C111" s="9" t="str">
        <f>IF(ISBLANK(C59),"NO DATA",IF(ISNUMBER(FIND(CODES!$A$12,C59)),CODES!$A$12,IF(OR(ISNUMBER(FIND(CODES!$A$10,C59)),ISNUMBER(FIND(CODES!$A$11,C59))),CODES!$A$13,IF(OR(C59&lt;C$63,ISNUMBER(C59)=FALSE),C$64,C59))))</f>
      </c>
      <c r="D111" s="9" t="str">
        <f>IF(ISBLANK(D59),"NO DATA",IF(ISNUMBER(FIND(CODES!$A$12,D59)),CODES!$A$12,IF(OR(ISNUMBER(FIND(CODES!$A$10,D59)),ISNUMBER(FIND(CODES!$A$11,D59))),CODES!$A$13,IF(OR(D59&lt;D$63,ISNUMBER(D59)=FALSE),D$64,D59))))</f>
      </c>
      <c r="E111" s="9" t="str">
        <f>IF(ISBLANK(E59),"NO DATA",IF(ISNUMBER(FIND(CODES!$A$12,E59)),CODES!$A$12,IF(OR(ISNUMBER(FIND(CODES!$A$10,E59)),ISNUMBER(FIND(CODES!$A$11,E59))),CODES!$A$13,IF(OR(E59&lt;E$63,ISNUMBER(E59)=FALSE),E$64,E59))))</f>
      </c>
      <c r="F111" s="9" t="str">
        <f>IF(ISBLANK(F59),"NO DATA",IF(ISNUMBER(FIND(CODES!$A$12,F59)),CODES!$A$12,IF(OR(ISNUMBER(FIND(CODES!$A$10,F59)),ISNUMBER(FIND(CODES!$A$11,F59))),CODES!$A$13,IF(OR(F59&lt;F$63,ISNUMBER(F59)=FALSE),F$64,F59))))</f>
      </c>
      <c r="G111" s="9" t="str">
        <f>IF(ISBLANK(G59),"NO DATA",IF(ISNUMBER(FIND(CODES!$A$12,G59)),CODES!$A$12,IF(OR(ISNUMBER(FIND(CODES!$A$10,G59)),ISNUMBER(FIND(CODES!$A$11,G59))),CODES!$A$13,IF(OR(G59&lt;G$63,ISNUMBER(G59)=FALSE),G$64,G59))))</f>
      </c>
      <c r="H111" s="9" t="str">
        <f>IF(ISBLANK(H59),"NO DATA",IF(ISNUMBER(FIND(CODES!$A$12,H59)),CODES!$A$12,IF(OR(ISNUMBER(FIND(CODES!$A$10,H59)),ISNUMBER(FIND(CODES!$A$11,H59))),CODES!$A$13,IF(OR(H59&lt;H$63,ISNUMBER(H59)=FALSE),H$64,H59))))</f>
      </c>
      <c r="I111" s="9" t="str">
        <f>IF(ISBLANK(I59),"NO DATA",IF(ISNUMBER(FIND(CODES!$A$12,I59)),CODES!$A$12,IF(OR(ISNUMBER(FIND(CODES!$A$10,I59)),ISNUMBER(FIND(CODES!$A$11,I59))),CODES!$A$13,IF(OR(I59&lt;I$63,ISNUMBER(I59)=FALSE),I$64,I59))))</f>
      </c>
      <c r="J111" s="9" t="str">
        <f>IF(ISBLANK(J59),"NO DATA",IF(ISNUMBER(FIND(CODES!$A$12,J59)),CODES!$A$12,IF(OR(ISNUMBER(FIND(CODES!$A$10,J59)),ISNUMBER(FIND(CODES!$A$11,J59))),CODES!$A$13,IF(OR(J59&lt;J$63,ISNUMBER(J59)=FALSE),J$64,J59))))</f>
      </c>
      <c r="K111" s="9" t="str">
        <f>IF(ISBLANK(K59),"NO DATA",IF(ISNUMBER(FIND(CODES!$A$12,K59)),CODES!$A$12,IF(OR(ISNUMBER(FIND(CODES!$A$10,K59)),ISNUMBER(FIND(CODES!$A$11,K59))),CODES!$A$13,IF(OR(K59&lt;K$63,ISNUMBER(K59)=FALSE),K$64,K59))))</f>
      </c>
      <c r="L111" s="9" t="str">
        <f>IF(ISBLANK(L59),"NO DATA",IF(ISNUMBER(FIND(CODES!$A$12,L59)),CODES!$A$12,IF(OR(ISNUMBER(FIND(CODES!$A$10,L59)),ISNUMBER(FIND(CODES!$A$11,L59))),CODES!$A$13,IF(OR(L59&lt;L$63,ISNUMBER(L59)=FALSE),L$64,L59))))</f>
      </c>
      <c r="M111" s="9" t="str">
        <f>IF(ISBLANK(M59),"NO DATA",IF(ISNUMBER(FIND(CODES!$A$12,M59)),CODES!$A$12,IF(OR(ISNUMBER(FIND(CODES!$A$10,M59)),ISNUMBER(FIND(CODES!$A$11,M59))),CODES!$A$13,IF(OR(M59&lt;M$63,ISNUMBER(M59)=FALSE),M$64,M59))))</f>
      </c>
      <c r="N111" s="9" t="str">
        <f>IF(ISBLANK(N59),"NO DATA",IF(ISNUMBER(FIND(CODES!$A$12,N59)),CODES!$A$12,IF(OR(ISNUMBER(FIND(CODES!$A$10,N59)),ISNUMBER(FIND(CODES!$A$11,N59))),CODES!$A$13,IF(OR(N59&lt;N$63,ISNUMBER(N59)=FALSE),N$64,N59))))</f>
      </c>
      <c r="O111" s="9" t="str">
        <f>IF(ISBLANK(O59),"NO DATA",IF(ISNUMBER(FIND(CODES!$A$12,O59)),CODES!$A$12,IF(OR(ISNUMBER(FIND(CODES!$A$10,O59)),ISNUMBER(FIND(CODES!$A$11,O59))),CODES!$A$13,IF(OR(O59&lt;O$63,ISNUMBER(O59)=FALSE),O$64,O59))))</f>
      </c>
      <c r="P111" s="9" t="str">
        <f>IF(ISBLANK(P59),"NO DATA",IF(ISNUMBER(FIND(CODES!$A$12,P59)),CODES!$A$12,IF(OR(ISNUMBER(FIND(CODES!$A$10,P59)),ISNUMBER(FIND(CODES!$A$11,P59))),CODES!$A$13,IF(OR(P59&lt;P$63,ISNUMBER(P59)=FALSE),P$64,P59))))</f>
      </c>
      <c r="Q111" s="9" t="str">
        <f>IF(ISBLANK(Q59),"NO DATA",IF(ISNUMBER(FIND(CODES!$A$12,Q59)),CODES!$A$12,IF(OR(ISNUMBER(FIND(CODES!$A$10,Q59)),ISNUMBER(FIND(CODES!$A$11,Q59))),CODES!$A$13,IF(OR(Q59&lt;Q$63,ISNUMBER(Q59)=FALSE),Q$64,Q59))))</f>
      </c>
      <c r="R111" s="9" t="str">
        <f>IF(ISBLANK(R59),"NO DATA",IF(ISNUMBER(FIND(CODES!$A$12,R59)),CODES!$A$12,IF(OR(ISNUMBER(FIND(CODES!$A$10,R59)),ISNUMBER(FIND(CODES!$A$11,R59))),CODES!$A$13,IF(OR(R59&lt;R$63,ISNUMBER(R59)=FALSE),R$64,R59))))</f>
      </c>
      <c r="S111" s="9" t="str">
        <f>IF(ISBLANK(S59),"NO DATA",IF(ISNUMBER(FIND(CODES!$A$12,S59)),CODES!$A$12,IF(OR(ISNUMBER(FIND(CODES!$A$10,S59)),ISNUMBER(FIND(CODES!$A$11,S59))),CODES!$A$13,IF(OR(S59&lt;S$63,ISNUMBER(S59)=FALSE),S$64,S59))))</f>
      </c>
      <c r="T111" s="9" t="str">
        <f>IF(ISBLANK(T59),"NO DATA",IF(ISNUMBER(FIND(CODES!$A$12,T59)),CODES!$A$12,IF(OR(ISNUMBER(FIND(CODES!$A$10,T59)),ISNUMBER(FIND(CODES!$A$11,T59))),CODES!$A$13,IF(OR(T59&lt;T$63,ISNUMBER(T59)=FALSE),T$64,T59))))</f>
      </c>
      <c r="U111" s="9" t="str">
        <f>IF(ISBLANK(U59),"NO DATA",IF(ISNUMBER(FIND(CODES!$A$12,U59)),CODES!$A$12,IF(OR(ISNUMBER(FIND(CODES!$A$10,U59)),ISNUMBER(FIND(CODES!$A$11,U59))),CODES!$A$13,IF(OR(U59&lt;U$63,ISNUMBER(U59)=FALSE),U$64,U59))))</f>
      </c>
      <c r="V111" s="9" t="str">
        <f>IF(ISBLANK(V59),"NO DATA",IF(ISNUMBER(FIND(CODES!$A$12,V59)),CODES!$A$12,IF(OR(ISNUMBER(FIND(CODES!$A$10,V59)),ISNUMBER(FIND(CODES!$A$11,V59))),CODES!$A$13,IF(OR(V59&lt;V$63,ISNUMBER(V59)=FALSE),V$64,V59))))</f>
      </c>
      <c r="W111" s="9" t="str">
        <f>IF(ISBLANK(W59),"NO DATA",IF(ISNUMBER(FIND(CODES!$A$12,W59)),CODES!$A$12,IF(OR(ISNUMBER(FIND(CODES!$A$10,W59)),ISNUMBER(FIND(CODES!$A$11,W59))),CODES!$A$13,IF(OR(W59&lt;W$63,ISNUMBER(W59)=FALSE),W$64,W59))))</f>
      </c>
      <c r="X111" s="9" t="str">
        <f>IF(ISBLANK(X59),"NO DATA",IF(ISNUMBER(FIND(CODES!$A$12,X59)),CODES!$A$12,IF(OR(ISNUMBER(FIND(CODES!$A$10,X59)),ISNUMBER(FIND(CODES!$A$11,X59))),CODES!$A$13,IF(OR(X59&lt;X$63,ISNUMBER(X59)=FALSE),X$64,X59))))</f>
      </c>
      <c r="Y111" s="9" t="str">
        <f>IF(ISBLANK(Y59),"NO DATA",IF(ISNUMBER(FIND(CODES!$A$12,Y59)),CODES!$A$12,IF(OR(ISNUMBER(FIND(CODES!$A$10,Y59)),ISNUMBER(FIND(CODES!$A$11,Y59))),CODES!$A$13,IF(OR(Y59&lt;Y$63,ISNUMBER(Y59)=FALSE),Y$64,Y59))))</f>
      </c>
      <c r="Z111" s="9" t="str">
        <f>IF(ISBLANK(Z59),"NO DATA",IF(ISNUMBER(FIND(CODES!$A$12,Z59)),CODES!$A$12,IF(OR(ISNUMBER(FIND(CODES!$A$10,Z59)),ISNUMBER(FIND(CODES!$A$11,Z59))),CODES!$A$13,IF(OR(Z59&lt;Z$63,ISNUMBER(Z59)=FALSE),Z$64,Z59))))</f>
      </c>
      <c r="AA111" s="9" t="str">
        <f>IF(ISBLANK(AA59),"NO DATA",IF(ISNUMBER(FIND(CODES!$A$12,AA59)),CODES!$A$12,IF(OR(ISNUMBER(FIND(CODES!$A$10,AA59)),ISNUMBER(FIND(CODES!$A$11,AA59))),CODES!$A$13,IF(OR(AA59&lt;AA$63,ISNUMBER(AA59)=FALSE),AA$64,AA59))))</f>
      </c>
      <c r="AB111" s="9" t="str">
        <f>IF(ISBLANK(AB59),"NO DATA",IF(ISNUMBER(FIND(CODES!$A$12,AB59)),CODES!$A$12,IF(OR(ISNUMBER(FIND(CODES!$A$10,AB59)),ISNUMBER(FIND(CODES!$A$11,AB59))),CODES!$A$13,IF(OR(AB59&lt;AB$63,ISNUMBER(AB59)=FALSE),AB$64,AB59))))</f>
      </c>
      <c r="AC111" s="9" t="str">
        <f>IF(ISBLANK(AC59),"NO DATA",IF(ISNUMBER(FIND(CODES!$A$12,AC59)),CODES!$A$12,IF(OR(ISNUMBER(FIND(CODES!$A$10,AC59)),ISNUMBER(FIND(CODES!$A$11,AC59))),CODES!$A$13,IF(OR(AC59&lt;AC$63,ISNUMBER(AC59)=FALSE),AC$64,AC59))))</f>
      </c>
      <c r="AD111" s="9" t="str">
        <f>IF(ISBLANK(AD59),"NO DATA",IF(ISNUMBER(FIND(CODES!$A$12,AD59)),CODES!$A$12,IF(OR(ISNUMBER(FIND(CODES!$A$10,AD59)),ISNUMBER(FIND(CODES!$A$11,AD59))),CODES!$A$13,IF(OR(AD59&lt;AD$63,ISNUMBER(AD59)=FALSE),AD$64,AD59))))</f>
      </c>
      <c r="AE111" s="9" t="str">
        <f>IF(ISBLANK(AE59),"NO DATA",IF(ISNUMBER(FIND(CODES!$A$12,AE59)),CODES!$A$12,IF(OR(ISNUMBER(FIND(CODES!$A$10,AE59)),ISNUMBER(FIND(CODES!$A$11,AE59))),CODES!$A$13,IF(OR(AE59&lt;AE$63,ISNUMBER(AE59)=FALSE),AE$64,AE59))))</f>
      </c>
      <c r="AF111" s="9" t="str">
        <f>IF(ISBLANK(AF59),"NO DATA",IF(ISNUMBER(FIND(CODES!$A$12,AF59)),CODES!$A$12,IF(OR(ISNUMBER(FIND(CODES!$A$10,AF59)),ISNUMBER(FIND(CODES!$A$11,AF59))),CODES!$A$13,IF(OR(AF59&lt;AF$63,ISNUMBER(AF59)=FALSE),AF$64,AF59))))</f>
      </c>
      <c r="AG111" s="9" t="str">
        <f>IF(ISBLANK(AG59),"NO DATA",IF(ISNUMBER(FIND(CODES!$A$12,AG59)),CODES!$A$12,IF(OR(ISNUMBER(FIND(CODES!$A$10,AG59)),ISNUMBER(FIND(CODES!$A$11,AG59))),CODES!$A$13,IF(OR(AG59&lt;AG$63,ISNUMBER(AG59)=FALSE),AG$64,AG59))))</f>
      </c>
      <c r="AH111" s="9" t="str">
        <f>IF(ISBLANK(AH59),"NO DATA",IF(ISNUMBER(FIND(CODES!$A$12,AH59)),CODES!$A$12,IF(OR(ISNUMBER(FIND(CODES!$A$10,AH59)),ISNUMBER(FIND(CODES!$A$11,AH59))),CODES!$A$13,IF(OR(AH59&lt;AH$63,ISNUMBER(AH59)=FALSE),AH$64,AH59))))</f>
      </c>
      <c r="AI111" s="9" t="str">
        <f>IF(ISBLANK(AI59),"NO DATA",IF(ISNUMBER(FIND(CODES!$A$12,AI59)),CODES!$A$12,IF(OR(ISNUMBER(FIND(CODES!$A$10,AI59)),ISNUMBER(FIND(CODES!$A$11,AI59))),CODES!$A$13,IF(OR(AI59&lt;AI$63,ISNUMBER(AI59)=FALSE),AI$64,AI59))))</f>
      </c>
      <c r="AJ111" s="9" t="str">
        <f>IF(ISBLANK(AJ59),"NO DATA",IF(ISNUMBER(FIND(CODES!$A$12,AJ59)),CODES!$A$12,IF(OR(ISNUMBER(FIND(CODES!$A$10,AJ59)),ISNUMBER(FIND(CODES!$A$11,AJ59))),CODES!$A$13,IF(OR(AJ59&lt;AJ$63,ISNUMBER(AJ59)=FALSE),AJ$64,AJ59))))</f>
      </c>
      <c r="AK111" s="9" t="str">
        <f>IF(ISBLANK(AK59),"NO DATA",IF(ISNUMBER(FIND(CODES!$A$12,AK59)),CODES!$A$12,IF(OR(ISNUMBER(FIND(CODES!$A$10,AK59)),ISNUMBER(FIND(CODES!$A$11,AK59))),CODES!$A$13,IF(OR(AK59&lt;AK$63,ISNUMBER(AK59)=FALSE),AK$64,AK59))))</f>
      </c>
      <c r="AL111" s="9" t="str">
        <f>IF(ISBLANK(AL59),"NO DATA",IF(ISNUMBER(FIND(CODES!$A$12,AL59)),CODES!$A$12,IF(OR(ISNUMBER(FIND(CODES!$A$10,AL59)),ISNUMBER(FIND(CODES!$A$11,AL59))),CODES!$A$13,IF(OR(AL59&lt;AL$63,ISNUMBER(AL59)=FALSE),AL$64,AL59))))</f>
      </c>
      <c r="AM111" s="9" t="str">
        <f>IF(ISBLANK(AM59),"NO DATA",IF(ISNUMBER(FIND(CODES!$A$12,AM59)),CODES!$A$12,IF(OR(ISNUMBER(FIND(CODES!$A$10,AM59)),ISNUMBER(FIND(CODES!$A$11,AM59))),CODES!$A$13,IF(OR(AM59&lt;AM$63,ISNUMBER(AM59)=FALSE),AM$64,AM59))))</f>
      </c>
      <c r="AN111" s="9" t="str">
        <f>IF(ISBLANK(AN59),"NO DATA",IF(ISNUMBER(FIND(CODES!$A$12,AN59)),CODES!$A$12,IF(OR(ISNUMBER(FIND(CODES!$A$10,AN59)),ISNUMBER(FIND(CODES!$A$11,AN59))),CODES!$A$13,IF(OR(AN59&lt;AN$63,ISNUMBER(AN59)=FALSE),AN$64,AN59))))</f>
      </c>
      <c r="AO111" s="9" t="str">
        <f>IF(ISBLANK(AO59),"NO DATA",IF(ISNUMBER(FIND(CODES!$A$12,AO59)),CODES!$A$12,IF(OR(ISNUMBER(FIND(CODES!$A$10,AO59)),ISNUMBER(FIND(CODES!$A$11,AO59))),CODES!$A$13,IF(OR(AO59&lt;AO$63,ISNUMBER(AO59)=FALSE),AO$64,AO59))))</f>
      </c>
      <c r="AP111" s="9" t="str">
        <f>IF(ISBLANK(AP59),"NO DATA",IF(ISNUMBER(FIND(CODES!$A$12,AP59)),CODES!$A$12,IF(OR(ISNUMBER(FIND(CODES!$A$10,AP59)),ISNUMBER(FIND(CODES!$A$11,AP59))),CODES!$A$13,IF(OR(AP59&lt;AP$63,ISNUMBER(AP59)=FALSE),AP$64,AP59))))</f>
      </c>
      <c r="AQ111" s="9" t="str">
        <f>IF(ISBLANK(AQ59),"NO DATA",IF(ISNUMBER(FIND(CODES!$A$12,AQ59)),CODES!$A$12,IF(OR(ISNUMBER(FIND(CODES!$A$10,AQ59)),ISNUMBER(FIND(CODES!$A$11,AQ59))),CODES!$A$13,IF(OR(AQ59&lt;AQ$63,ISNUMBER(AQ59)=FALSE),AQ$64,AQ59))))</f>
      </c>
      <c r="AR111" s="9" t="str">
        <f>IF(ISBLANK(AR59),"NO DATA",IF(ISNUMBER(FIND(CODES!$A$12,AR59)),CODES!$A$12,IF(OR(ISNUMBER(FIND(CODES!$A$10,AR59)),ISNUMBER(FIND(CODES!$A$11,AR59))),CODES!$A$13,IF(OR(AR59&lt;AR$63,ISNUMBER(AR59)=FALSE),AR$64,AR59))))</f>
      </c>
      <c r="AS111" s="9" t="str">
        <f>IF(ISBLANK(AS59),"NO DATA",IF(ISNUMBER(FIND(CODES!$A$12,AS59)),CODES!$A$12,IF(OR(ISNUMBER(FIND(CODES!$A$10,AS59)),ISNUMBER(FIND(CODES!$A$11,AS59))),CODES!$A$13,IF(OR(AS59&lt;AS$63,ISNUMBER(AS59)=FALSE),AS$64,AS59))))</f>
      </c>
      <c r="AT111" s="9" t="str">
        <f>IF(ISBLANK(AT59),"NO DATA",IF(ISNUMBER(FIND(CODES!$A$12,AT59)),CODES!$A$12,IF(OR(ISNUMBER(FIND(CODES!$A$10,AT59)),ISNUMBER(FIND(CODES!$A$11,AT59))),CODES!$A$13,IF(OR(AT59&lt;AT$63,ISNUMBER(AT59)=FALSE),AT$64,AT59))))</f>
      </c>
      <c r="AU111" s="9" t="str">
        <f>IF(ISBLANK(AU59),"NO DATA",IF(ISNUMBER(FIND(CODES!$A$12,AU59)),CODES!$A$12,IF(OR(ISNUMBER(FIND(CODES!$A$10,AU59)),ISNUMBER(FIND(CODES!$A$11,AU59))),CODES!$A$13,IF(OR(AU59&lt;AU$63,ISNUMBER(AU59)=FALSE),AU$64,AU59))))</f>
      </c>
      <c r="AV111" s="9" t="str">
        <f>IF(ISBLANK(AV59),"NO DATA",IF(ISNUMBER(FIND(CODES!$A$12,AV59)),CODES!$A$12,IF(OR(ISNUMBER(FIND(CODES!$A$10,AV59)),ISNUMBER(FIND(CODES!$A$11,AV59))),CODES!$A$13,IF(OR(AV59&lt;AV$63,ISNUMBER(AV59)=FALSE),AV$64,AV59))))</f>
      </c>
      <c r="AW111" s="9" t="str">
        <f>IF(ISBLANK(AW59),"NO DATA",IF(ISNUMBER(FIND(CODES!$A$12,AW59)),CODES!$A$12,IF(OR(ISNUMBER(FIND(CODES!$A$10,AW59)),ISNUMBER(FIND(CODES!$A$11,AW59))),CODES!$A$13,IF(OR(AW59&lt;AW$63,ISNUMBER(AW59)=FALSE),AW$64,AW59))))</f>
      </c>
      <c r="AX111" s="9" t="str">
        <f>IF(ISBLANK(AX59),"NO DATA",IF(ISNUMBER(FIND(CODES!$A$12,AX59)),CODES!$A$12,IF(OR(ISNUMBER(FIND(CODES!$A$10,AX59)),ISNUMBER(FIND(CODES!$A$11,AX59))),CODES!$A$13,IF(OR(AX59&lt;AX$63,ISNUMBER(AX59)=FALSE),AX$64,AX59))))</f>
      </c>
      <c r="AY111" s="9" t="str">
        <f>IF(ISBLANK(AY59),"NO DATA",IF(ISNUMBER(FIND(CODES!$A$12,AY59)),CODES!$A$12,IF(OR(ISNUMBER(FIND(CODES!$A$10,AY59)),ISNUMBER(FIND(CODES!$A$11,AY59))),CODES!$A$13,IF(OR(AY59&lt;AY$63,ISNUMBER(AY59)=FALSE),AY$64,AY59))))</f>
      </c>
      <c r="AZ111" s="9" t="str">
        <f>IF(ISBLANK(AZ59),"NO DATA",IF(ISNUMBER(FIND(CODES!$A$12,AZ59)),CODES!$A$12,IF(OR(ISNUMBER(FIND(CODES!$A$10,AZ59)),ISNUMBER(FIND(CODES!$A$11,AZ59))),CODES!$A$13,IF(OR(AZ59&lt;AZ$63,ISNUMBER(AZ59)=FALSE),AZ$64,AZ59))))</f>
      </c>
      <c r="BA111" s="9" t="str">
        <f>IF(ISBLANK(BA59),"NO DATA",IF(ISNUMBER(FIND(CODES!$A$12,BA59)),CODES!$A$12,IF(OR(ISNUMBER(FIND(CODES!$A$10,BA59)),ISNUMBER(FIND(CODES!$A$11,BA59))),CODES!$A$13,IF(OR(BA59&lt;BA$63,ISNUMBER(BA59)=FALSE),BA$64,BA59))))</f>
      </c>
      <c r="BB111" s="9" t="str">
        <f>IF(ISBLANK(BB59),"NO DATA",IF(ISNUMBER(FIND(CODES!$A$12,BB59)),CODES!$A$12,IF(OR(ISNUMBER(FIND(CODES!$A$10,BB59)),ISNUMBER(FIND(CODES!$A$11,BB59))),CODES!$A$13,IF(OR(BB59&lt;BB$63,ISNUMBER(BB59)=FALSE),BB$64,BB59))))</f>
      </c>
      <c r="BC111" s="9" t="str">
        <f>IF(ISBLANK(BC59),"NO DATA",IF(ISNUMBER(FIND(CODES!$A$12,BC59)),CODES!$A$12,IF(OR(ISNUMBER(FIND(CODES!$A$10,BC59)),ISNUMBER(FIND(CODES!$A$11,BC59))),CODES!$A$13,IF(OR(BC59&lt;BC$63,ISNUMBER(BC59)=FALSE),BC$64,BC59))))</f>
      </c>
      <c r="BD111" s="9" t="str">
        <f>IF(ISBLANK(BD59),"NO DATA",IF(ISNUMBER(FIND(CODES!$A$12,BD59)),CODES!$A$12,IF(OR(ISNUMBER(FIND(CODES!$A$10,BD59)),ISNUMBER(FIND(CODES!$A$11,BD59))),CODES!$A$13,IF(OR(BD59&lt;BD$63,ISNUMBER(BD59)=FALSE),BD$64,BD59))))</f>
      </c>
      <c r="BE111" s="9" t="str">
        <f>IF(ISBLANK(BE59),"NO DATA",IF(ISNUMBER(FIND(CODES!$A$12,BE59)),CODES!$A$12,IF(OR(ISNUMBER(FIND(CODES!$A$10,BE59)),ISNUMBER(FIND(CODES!$A$11,BE59))),CODES!$A$13,IF(OR(BE59&lt;BE$63,ISNUMBER(BE59)=FALSE),BE$64,BE59))))</f>
      </c>
      <c r="BF111" s="9" t="str">
        <f>IF(ISBLANK(BF59),"NO DATA",IF(ISNUMBER(FIND(CODES!$A$12,BF59)),CODES!$A$12,IF(OR(ISNUMBER(FIND(CODES!$A$10,BF59)),ISNUMBER(FIND(CODES!$A$11,BF59))),CODES!$A$13,IF(OR(BF59&lt;BF$63,ISNUMBER(BF59)=FALSE),BF$64,BF59))))</f>
      </c>
      <c r="BG111" s="9" t="str">
        <f>IF(ISBLANK(BG59),"NO DATA",IF(ISNUMBER(FIND(CODES!$A$12,BG59)),CODES!$A$12,IF(OR(ISNUMBER(FIND(CODES!$A$10,BG59)),ISNUMBER(FIND(CODES!$A$11,BG59))),CODES!$A$13,IF(OR(BG59&lt;BG$63,ISNUMBER(BG59)=FALSE),BG$64,BG59))))</f>
      </c>
      <c r="BH111" s="9" t="str">
        <f>IF(ISBLANK(BH59),"NO DATA",IF(ISNUMBER(FIND(CODES!$A$12,BH59)),CODES!$A$12,IF(OR(ISNUMBER(FIND(CODES!$A$10,BH59)),ISNUMBER(FIND(CODES!$A$11,BH59))),CODES!$A$13,IF(OR(BH59&lt;BH$63,ISNUMBER(BH59)=FALSE),BH$64,BH59))))</f>
      </c>
      <c r="BI111" s="9" t="str">
        <f>IF(ISBLANK(BI59),"NO DATA",IF(ISNUMBER(FIND(CODES!$A$12,BI59)),CODES!$A$12,IF(OR(ISNUMBER(FIND(CODES!$A$10,BI59)),ISNUMBER(FIND(CODES!$A$11,BI59))),CODES!$A$13,IF(OR(BI59&lt;BI$63,ISNUMBER(BI59)=FALSE),BI$64,BI59))))</f>
      </c>
      <c r="BJ111" s="9" t="str">
        <f>IF(ISBLANK(BJ59),"NO DATA",IF(ISNUMBER(FIND(CODES!$A$12,BJ59)),CODES!$A$12,IF(OR(ISNUMBER(FIND(CODES!$A$10,BJ59)),ISNUMBER(FIND(CODES!$A$11,BJ59))),CODES!$A$13,IF(OR(BJ59&lt;BJ$63,ISNUMBER(BJ59)=FALSE),BJ$64,BJ59))))</f>
      </c>
      <c r="BK111" s="9" t="str">
        <f>IF(ISBLANK(BK59),"NO DATA",IF(ISNUMBER(FIND(CODES!$A$12,BK59)),CODES!$A$12,IF(OR(ISNUMBER(FIND(CODES!$A$10,BK59)),ISNUMBER(FIND(CODES!$A$11,BK59))),CODES!$A$13,IF(OR(BK59&lt;BK$63,ISNUMBER(BK59)=FALSE),BK$64,BK59))))</f>
      </c>
      <c r="BL111" s="9" t="str">
        <f>IF(ISBLANK(BL59),"NO DATA",IF(ISNUMBER(FIND(CODES!$A$12,BL59)),CODES!$A$12,IF(OR(ISNUMBER(FIND(CODES!$A$10,BL59)),ISNUMBER(FIND(CODES!$A$11,BL59))),CODES!$A$13,IF(OR(BL59&lt;BL$63,ISNUMBER(BL59)=FALSE),BL$64,BL59))))</f>
      </c>
      <c r="BM111" s="9" t="str">
        <f>IF(ISBLANK(BM59),"NO DATA",IF(ISNUMBER(FIND(CODES!$A$12,BM59)),CODES!$A$12,IF(OR(ISNUMBER(FIND(CODES!$A$10,BM59)),ISNUMBER(FIND(CODES!$A$11,BM59))),CODES!$A$13,IF(OR(BM59&lt;BM$63,ISNUMBER(BM59)=FALSE),BM$64,BM59))))</f>
      </c>
      <c r="BN111" s="9" t="str">
        <f>IF(ISBLANK(BN59),"NO DATA",IF(ISNUMBER(FIND(CODES!$A$12,BN59)),CODES!$A$12,IF(OR(ISNUMBER(FIND(CODES!$A$10,BN59)),ISNUMBER(FIND(CODES!$A$11,BN59))),CODES!$A$13,IF(OR(BN59&lt;BN$63,ISNUMBER(BN59)=FALSE),BN$64,BN59))))</f>
      </c>
      <c r="BO111" s="9" t="str">
        <f>IF(ISBLANK(BO59),"NO DATA",IF(ISNUMBER(FIND(CODES!$A$12,BO59)),CODES!$A$12,IF(OR(ISNUMBER(FIND(CODES!$A$10,BO59)),ISNUMBER(FIND(CODES!$A$11,BO59))),CODES!$A$13,IF(OR(BO59&lt;BO$63,ISNUMBER(BO59)=FALSE),BO$64,BO59))))</f>
      </c>
      <c r="BP111" s="9" t="str">
        <f>IF(ISBLANK(BP59),"NO DATA",IF(ISNUMBER(FIND(CODES!$A$12,BP59)),CODES!$A$12,IF(OR(ISNUMBER(FIND(CODES!$A$10,BP59)),ISNUMBER(FIND(CODES!$A$11,BP59))),CODES!$A$13,IF(OR(BP59&lt;BP$63,ISNUMBER(BP59)=FALSE),BP$64,BP59))))</f>
      </c>
      <c r="BQ111" s="9" t="str">
        <f>IF(ISBLANK(BQ59),"NO DATA",IF(ISNUMBER(FIND(CODES!$A$12,BQ59)),CODES!$A$12,IF(OR(ISNUMBER(FIND(CODES!$A$10,BQ59)),ISNUMBER(FIND(CODES!$A$11,BQ59))),CODES!$A$13,IF(OR(BQ59&lt;BQ$63,ISNUMBER(BQ59)=FALSE),BQ$64,BQ59))))</f>
      </c>
      <c r="BR111" s="9" t="str">
        <f>IF(ISBLANK(BR59),"NO DATA",IF(ISNUMBER(FIND(CODES!$A$12,BR59)),CODES!$A$12,IF(OR(ISNUMBER(FIND(CODES!$A$10,BR59)),ISNUMBER(FIND(CODES!$A$11,BR59))),CODES!$A$13,IF(OR(BR59&lt;BR$63,ISNUMBER(BR59)=FALSE),BR$64,BR59))))</f>
      </c>
      <c r="BS111" s="9" t="str">
        <f>IF(ISBLANK(BS59),"NO DATA",IF(ISNUMBER(FIND(CODES!$A$12,BS59)),CODES!$A$12,IF(OR(ISNUMBER(FIND(CODES!$A$10,BS59)),ISNUMBER(FIND(CODES!$A$11,BS59))),CODES!$A$13,IF(OR(BS59&lt;BS$63,ISNUMBER(BS59)=FALSE),BS$64,BS59))))</f>
      </c>
      <c r="BT111" s="9" t="str">
        <f>IF(ISBLANK(BT59),"NO DATA",IF(ISNUMBER(FIND(CODES!$A$12,BT59)),CODES!$A$12,IF(OR(ISNUMBER(FIND(CODES!$A$10,BT59)),ISNUMBER(FIND(CODES!$A$11,BT59))),CODES!$A$13,IF(OR(BT59&lt;BT$63,ISNUMBER(BT59)=FALSE),BT$64,BT59))))</f>
      </c>
      <c r="BU111" s="9" t="str">
        <f>IF(ISBLANK(BU59),"NO DATA",IF(ISNUMBER(FIND(CODES!$A$12,BU59)),CODES!$A$12,IF(OR(ISNUMBER(FIND(CODES!$A$10,BU59)),ISNUMBER(FIND(CODES!$A$11,BU59))),CODES!$A$13,IF(OR(BU59&lt;BU$63,ISNUMBER(BU59)=FALSE),BU$64,BU59))))</f>
      </c>
      <c r="BV111" s="9" t="str">
        <f>IF(ISBLANK(BV59),"NO DATA",IF(ISNUMBER(FIND(CODES!$A$12,BV59)),CODES!$A$12,IF(OR(ISNUMBER(FIND(CODES!$A$10,BV59)),ISNUMBER(FIND(CODES!$A$11,BV59))),CODES!$A$13,IF(OR(BV59&lt;BV$63,ISNUMBER(BV59)=FALSE),BV$64,BV59))))</f>
      </c>
      <c r="BW111" s="9" t="str">
        <f>IF(ISBLANK(BW59),"NO DATA",IF(ISNUMBER(FIND(CODES!$A$12,BW59)),CODES!$A$12,IF(OR(ISNUMBER(FIND(CODES!$A$10,BW59)),ISNUMBER(FIND(CODES!$A$11,BW59))),CODES!$A$13,IF(OR(BW59&lt;BW$63,ISNUMBER(BW59)=FALSE),BW$64,BW59))))</f>
      </c>
      <c r="BX111" s="9" t="str">
        <f>IF(ISBLANK(BX59),"NO DATA",IF(ISNUMBER(FIND(CODES!$A$12,BX59)),CODES!$A$12,IF(OR(ISNUMBER(FIND(CODES!$A$10,BX59)),ISNUMBER(FIND(CODES!$A$11,BX59))),CODES!$A$13,IF(OR(BX59&lt;BX$63,ISNUMBER(BX59)=FALSE),BX$64,BX59))))</f>
      </c>
      <c r="BY111" s="9" t="str">
        <f>IF(ISBLANK(BY59),"NO DATA",IF(ISNUMBER(FIND(CODES!$A$12,BY59)),CODES!$A$12,IF(OR(ISNUMBER(FIND(CODES!$A$10,BY59)),ISNUMBER(FIND(CODES!$A$11,BY59))),CODES!$A$13,IF(OR(BY59&lt;BY$63,ISNUMBER(BY59)=FALSE),BY$64,BY59))))</f>
      </c>
      <c r="BZ111" s="9" t="str">
        <f>IF(ISBLANK(BZ59),"NO DATA",IF(ISNUMBER(FIND(CODES!$A$12,BZ59)),CODES!$A$12,IF(OR(ISNUMBER(FIND(CODES!$A$10,BZ59)),ISNUMBER(FIND(CODES!$A$11,BZ59))),CODES!$A$13,IF(OR(BZ59&lt;BZ$63,ISNUMBER(BZ59)=FALSE),BZ$64,BZ59))))</f>
      </c>
      <c r="CA111" s="9" t="str">
        <f>IF(ISBLANK(CA59),"NO DATA",IF(ISNUMBER(FIND(CODES!$A$12,CA59)),CODES!$A$12,IF(OR(ISNUMBER(FIND(CODES!$A$10,CA59)),ISNUMBER(FIND(CODES!$A$11,CA59))),CODES!$A$13,IF(OR(CA59&lt;CA$63,ISNUMBER(CA59)=FALSE),CA$64,CA59))))</f>
      </c>
      <c r="CB111" s="9" t="str">
        <f>IF(ISBLANK(CB59),"NO DATA",IF(ISNUMBER(FIND(CODES!$A$12,CB59)),CODES!$A$12,IF(OR(ISNUMBER(FIND(CODES!$A$10,CB59)),ISNUMBER(FIND(CODES!$A$11,CB59))),CODES!$A$13,IF(OR(CB59&lt;CB$63,ISNUMBER(CB59)=FALSE),CB$64,CB59))))</f>
      </c>
      <c r="CC111" s="9" t="str">
        <f>IF(ISBLANK(CC59),"NO DATA",IF(ISNUMBER(FIND(CODES!$A$12,CC59)),CODES!$A$12,IF(OR(ISNUMBER(FIND(CODES!$A$10,CC59)),ISNUMBER(FIND(CODES!$A$11,CC59))),CODES!$A$13,IF(OR(CC59&lt;CC$63,ISNUMBER(CC59)=FALSE),CC$64,CC59))))</f>
      </c>
      <c r="CD111" s="9" t="str">
        <f>IF(ISBLANK(CD59),"NO DATA",IF(ISNUMBER(FIND(CODES!$A$12,CD59)),CODES!$A$12,IF(OR(ISNUMBER(FIND(CODES!$A$10,CD59)),ISNUMBER(FIND(CODES!$A$11,CD59))),CODES!$A$13,IF(OR(CD59&lt;CD$63,ISNUMBER(CD59)=FALSE),CD$64,CD59))))</f>
      </c>
      <c r="CE111" s="9" t="str">
        <f>IF(ISBLANK(CE59),"NO DATA",IF(ISNUMBER(FIND(CODES!$A$12,CE59)),CODES!$A$12,IF(OR(ISNUMBER(FIND(CODES!$A$10,CE59)),ISNUMBER(FIND(CODES!$A$11,CE59))),CODES!$A$13,IF(OR(CE59&lt;CE$63,ISNUMBER(CE59)=FALSE),CE$64,CE59))))</f>
      </c>
      <c r="CF111" s="9" t="str">
        <f>IF(ISBLANK(CF59),"NO DATA",IF(ISNUMBER(FIND(CODES!$A$12,CF59)),CODES!$A$12,IF(OR(ISNUMBER(FIND(CODES!$A$10,CF59)),ISNUMBER(FIND(CODES!$A$11,CF59))),CODES!$A$13,IF(OR(CF59&lt;CF$63,ISNUMBER(CF59)=FALSE),CF$64,CF59))))</f>
      </c>
      <c r="CG111" s="9" t="str">
        <f>IF(ISBLANK(CG59),"NO DATA",IF(ISNUMBER(FIND(CODES!$A$12,CG59)),CODES!$A$12,IF(OR(ISNUMBER(FIND(CODES!$A$10,CG59)),ISNUMBER(FIND(CODES!$A$11,CG59))),CODES!$A$13,IF(OR(CG59&lt;CG$63,ISNUMBER(CG59)=FALSE),CG$64,CG59))))</f>
      </c>
      <c r="CH111" s="9" t="str">
        <f>IF(ISBLANK(CH59),"NO DATA",IF(ISNUMBER(FIND(CODES!$A$12,CH59)),CODES!$A$12,IF(OR(ISNUMBER(FIND(CODES!$A$10,CH59)),ISNUMBER(FIND(CODES!$A$11,CH59))),CODES!$A$13,IF(OR(CH59&lt;CH$63,ISNUMBER(CH59)=FALSE),CH$64,CH59))))</f>
      </c>
      <c r="CI111" s="9" t="str">
        <f>IF(ISBLANK(CI59),"NO DATA",IF(ISNUMBER(FIND(CODES!$A$12,CI59)),CODES!$A$12,IF(OR(ISNUMBER(FIND(CODES!$A$10,CI59)),ISNUMBER(FIND(CODES!$A$11,CI59))),CODES!$A$13,IF(OR(CI59&lt;CI$63,ISNUMBER(CI59)=FALSE),CI$64,CI59))))</f>
      </c>
      <c r="CJ111" s="9" t="str">
        <f>IF(ISBLANK(CJ59),"NO DATA",IF(ISNUMBER(FIND(CODES!$A$12,CJ59)),CODES!$A$12,IF(OR(ISNUMBER(FIND(CODES!$A$10,CJ59)),ISNUMBER(FIND(CODES!$A$11,CJ59))),CODES!$A$13,IF(OR(CJ59&lt;CJ$63,ISNUMBER(CJ59)=FALSE),CJ$64,CJ59))))</f>
      </c>
      <c r="CK111" s="9" t="str">
        <f>IF(ISBLANK(CK59),"NO DATA",IF(ISNUMBER(FIND(CODES!$A$12,CK59)),CODES!$A$12,IF(OR(ISNUMBER(FIND(CODES!$A$10,CK59)),ISNUMBER(FIND(CODES!$A$11,CK59))),CODES!$A$13,IF(OR(CK59&lt;CK$63,ISNUMBER(CK59)=FALSE),CK$64,CK59))))</f>
      </c>
      <c r="CL111" s="9" t="str">
        <f>IF(ISBLANK(CL59),"NO DATA",IF(ISNUMBER(FIND(CODES!$A$12,CL59)),CODES!$A$12,IF(OR(ISNUMBER(FIND(CODES!$A$10,CL59)),ISNUMBER(FIND(CODES!$A$11,CL59))),CODES!$A$13,IF(OR(CL59&lt;CL$63,ISNUMBER(CL59)=FALSE),CL$64,CL59))))</f>
      </c>
      <c r="CM111" s="9" t="str">
        <f>IF(ISBLANK(CM59),"NO DATA",IF(ISNUMBER(FIND(CODES!$A$12,CM59)),CODES!$A$12,IF(OR(ISNUMBER(FIND(CODES!$A$10,CM59)),ISNUMBER(FIND(CODES!$A$11,CM59))),CODES!$A$13,IF(OR(CM59&lt;CM$63,ISNUMBER(CM59)=FALSE),CM$64,CM59))))</f>
      </c>
      <c r="CN111" s="9" t="str">
        <f>IF(ISBLANK(CN59),"NO DATA",IF(ISNUMBER(FIND(CODES!$A$12,CN59)),CODES!$A$12,IF(OR(ISNUMBER(FIND(CODES!$A$10,CN59)),ISNUMBER(FIND(CODES!$A$11,CN59))),CODES!$A$13,IF(OR(CN59&lt;CN$63,ISNUMBER(CN59)=FALSE),CN$64,CN59))))</f>
      </c>
      <c r="CO111" s="9" t="str">
        <f>IF(ISBLANK(CO59),"NO DATA",IF(ISNUMBER(FIND(CODES!$A$12,CO59)),CODES!$A$12,IF(OR(ISNUMBER(FIND(CODES!$A$10,CO59)),ISNUMBER(FIND(CODES!$A$11,CO59))),CODES!$A$13,IF(OR(CO59&lt;CO$63,ISNUMBER(CO59)=FALSE),CO$64,CO59))))</f>
      </c>
      <c r="CP111" s="9" t="str">
        <f>IF(ISBLANK(CP59),"NO DATA",IF(ISNUMBER(FIND(CODES!$A$12,CP59)),CODES!$A$12,IF(OR(ISNUMBER(FIND(CODES!$A$10,CP59)),ISNUMBER(FIND(CODES!$A$11,CP59))),CODES!$A$13,IF(OR(CP59&lt;CP$63,ISNUMBER(CP59)=FALSE),CP$64,CP59))))</f>
      </c>
      <c r="CQ111" s="9" t="str">
        <f>IF(ISBLANK(CQ59),"NO DATA",IF(ISNUMBER(FIND(CODES!$A$12,CQ59)),CODES!$A$12,IF(OR(ISNUMBER(FIND(CODES!$A$10,CQ59)),ISNUMBER(FIND(CODES!$A$11,CQ59))),CODES!$A$13,IF(OR(CQ59&lt;CQ$63,ISNUMBER(CQ59)=FALSE),CQ$64,CQ59))))</f>
      </c>
      <c r="CR111" s="9" t="str">
        <f>IF(ISBLANK(CR59),"NO DATA",IF(ISNUMBER(FIND(CODES!$A$12,CR59)),CODES!$A$12,IF(OR(ISNUMBER(FIND(CODES!$A$10,CR59)),ISNUMBER(FIND(CODES!$A$11,CR59))),CODES!$A$13,IF(OR(CR59&lt;CR$63,ISNUMBER(CR59)=FALSE),CR$64,CR59))))</f>
      </c>
      <c r="CS111" s="9" t="str">
        <f>IF(ISBLANK(CS59),"NO DATA",IF(ISNUMBER(FIND(CODES!$A$12,CS59)),CODES!$A$12,IF(OR(ISNUMBER(FIND(CODES!$A$10,CS59)),ISNUMBER(FIND(CODES!$A$11,CS59))),CODES!$A$13,IF(OR(CS59&lt;CS$63,ISNUMBER(CS59)=FALSE),CS$64,CS59))))</f>
      </c>
      <c r="CT111" s="9" t="str">
        <f>IF(ISBLANK(CT59),"NO DATA",IF(ISNUMBER(FIND(CODES!$A$12,CT59)),CODES!$A$12,IF(OR(ISNUMBER(FIND(CODES!$A$10,CT59)),ISNUMBER(FIND(CODES!$A$11,CT59))),CODES!$A$13,IF(OR(CT59&lt;CT$63,ISNUMBER(CT59)=FALSE),CT$64,CT59))))</f>
      </c>
      <c r="CU111" s="9" t="str">
        <f>IF(ISBLANK(CU59),"NO DATA",IF(ISNUMBER(FIND(CODES!$A$12,CU59)),CODES!$A$12,IF(OR(ISNUMBER(FIND(CODES!$A$10,CU59)),ISNUMBER(FIND(CODES!$A$11,CU59))),CODES!$A$13,IF(OR(CU59&lt;CU$63,ISNUMBER(CU59)=FALSE),CU$64,CU59))))</f>
      </c>
      <c r="CV111" s="9" t="str">
        <f>IF(ISBLANK(CV59),"NO DATA",IF(ISNUMBER(FIND(CODES!$A$12,CV59)),CODES!$A$12,IF(OR(ISNUMBER(FIND(CODES!$A$10,CV59)),ISNUMBER(FIND(CODES!$A$11,CV59))),CODES!$A$13,IF(OR(CV59&lt;CV$63,ISNUMBER(CV59)=FALSE),CV$64,CV59))))</f>
      </c>
      <c r="CW111" s="9" t="str">
        <f>IF(ISBLANK(CW59),"NO DATA",IF(ISNUMBER(FIND(CODES!$A$12,CW59)),CODES!$A$12,IF(OR(ISNUMBER(FIND(CODES!$A$10,CW59)),ISNUMBER(FIND(CODES!$A$11,CW59))),CODES!$A$13,IF(OR(CW59&lt;CW$63,ISNUMBER(CW59)=FALSE),CW$64,CW59))))</f>
      </c>
      <c r="CX111" s="9" t="str">
        <f>IF(ISBLANK(CX59),"NO DATA",IF(ISNUMBER(FIND(CODES!$A$12,CX59)),CODES!$A$12,IF(OR(ISNUMBER(FIND(CODES!$A$10,CX59)),ISNUMBER(FIND(CODES!$A$11,CX59))),CODES!$A$13,IF(OR(CX59&lt;CX$63,ISNUMBER(CX59)=FALSE),CX$64,CX59))))</f>
      </c>
      <c r="CY111" s="9" t="str">
        <f>IF(ISBLANK(CY59),"NO DATA",IF(ISNUMBER(FIND(CODES!$A$12,CY59)),CODES!$A$12,IF(OR(ISNUMBER(FIND(CODES!$A$10,CY59)),ISNUMBER(FIND(CODES!$A$11,CY59))),CODES!$A$13,IF(OR(CY59&lt;CY$63,ISNUMBER(CY59)=FALSE),CY$64,CY59))))</f>
      </c>
      <c r="CZ111" s="9" t="str">
        <f>IF(ISBLANK(CZ59),"NO DATA",IF(ISNUMBER(FIND(CODES!$A$12,CZ59)),CODES!$A$12,IF(OR(ISNUMBER(FIND(CODES!$A$10,CZ59)),ISNUMBER(FIND(CODES!$A$11,CZ59))),CODES!$A$13,IF(OR(CZ59&lt;CZ$63,ISNUMBER(CZ59)=FALSE),CZ$64,CZ59))))</f>
      </c>
      <c r="DA111" s="9" t="str">
        <f>IF(ISBLANK(DA59),"NO DATA",IF(ISNUMBER(FIND(CODES!$A$12,DA59)),CODES!$A$12,IF(OR(ISNUMBER(FIND(CODES!$A$10,DA59)),ISNUMBER(FIND(CODES!$A$11,DA59))),CODES!$A$13,IF(OR(DA59&lt;DA$63,ISNUMBER(DA59)=FALSE),DA$64,DA59))))</f>
      </c>
      <c r="DB111" s="9" t="str">
        <f>IF(ISBLANK(DB59),"NO DATA",IF(ISNUMBER(FIND(CODES!$A$12,DB59)),CODES!$A$12,IF(OR(ISNUMBER(FIND(CODES!$A$10,DB59)),ISNUMBER(FIND(CODES!$A$11,DB59))),CODES!$A$13,IF(OR(DB59&lt;DB$63,ISNUMBER(DB59)=FALSE),DB$64,DB59))))</f>
      </c>
      <c r="DC111" s="9" t="str">
        <f>IF(ISBLANK(DC59),"NO DATA",IF(ISNUMBER(FIND(CODES!$A$12,DC59)),CODES!$A$12,IF(OR(ISNUMBER(FIND(CODES!$A$10,DC59)),ISNUMBER(FIND(CODES!$A$11,DC59))),CODES!$A$13,IF(OR(DC59&lt;DC$63,ISNUMBER(DC59)=FALSE),DC$64,DC59))))</f>
      </c>
      <c r="DD111" s="9" t="str">
        <f>IF(ISBLANK(DD59),"NO DATA",IF(ISNUMBER(FIND(CODES!$A$12,DD59)),CODES!$A$12,IF(OR(ISNUMBER(FIND(CODES!$A$10,DD59)),ISNUMBER(FIND(CODES!$A$11,DD59))),CODES!$A$13,IF(OR(DD59&lt;DD$63,ISNUMBER(DD59)=FALSE),DD$64,DD59))))</f>
      </c>
      <c r="DE111" s="9" t="str">
        <f>IF(ISBLANK(DE59),"NO DATA",IF(ISNUMBER(FIND(CODES!$A$12,DE59)),CODES!$A$12,IF(OR(ISNUMBER(FIND(CODES!$A$10,DE59)),ISNUMBER(FIND(CODES!$A$11,DE59))),CODES!$A$13,IF(OR(DE59&lt;DE$63,ISNUMBER(DE59)=FALSE),DE$64,DE59))))</f>
      </c>
      <c r="DF111" s="9" t="str">
        <f>IF(ISBLANK(DF59),"NO DATA",IF(ISNUMBER(FIND(CODES!$A$12,DF59)),CODES!$A$12,IF(OR(ISNUMBER(FIND(CODES!$A$10,DF59)),ISNUMBER(FIND(CODES!$A$11,DF59))),CODES!$A$13,IF(OR(DF59&lt;DF$63,ISNUMBER(DF59)=FALSE),DF$64,DF59))))</f>
      </c>
      <c r="DG111" s="9" t="str">
        <f>IF(ISBLANK(DG59),"NO DATA",IF(ISNUMBER(FIND(CODES!$A$12,DG59)),CODES!$A$12,IF(OR(ISNUMBER(FIND(CODES!$A$10,DG59)),ISNUMBER(FIND(CODES!$A$11,DG59))),CODES!$A$13,IF(OR(DG59&lt;DG$63,ISNUMBER(DG59)=FALSE),DG$64,DG59))))</f>
      </c>
      <c r="DH111" s="9" t="str">
        <f>IF(ISBLANK(DH59),"NO DATA",IF(ISNUMBER(FIND(CODES!$A$12,DH59)),CODES!$A$12,IF(OR(ISNUMBER(FIND(CODES!$A$10,DH59)),ISNUMBER(FIND(CODES!$A$11,DH59))),CODES!$A$13,IF(OR(DH59&lt;DH$63,ISNUMBER(DH59)=FALSE),DH$64,DH59))))</f>
      </c>
      <c r="DI111" s="9" t="str">
        <f>IF(ISBLANK(DI59),"NO DATA",IF(ISNUMBER(FIND(CODES!$A$12,DI59)),CODES!$A$12,IF(OR(ISNUMBER(FIND(CODES!$A$10,DI59)),ISNUMBER(FIND(CODES!$A$11,DI59))),CODES!$A$13,IF(OR(DI59&lt;DI$63,ISNUMBER(DI59)=FALSE),DI$64,DI59))))</f>
      </c>
    </row>
    <row r="112" spans="1:113" x14ac:dyDescent="0.25">
      <c r="A112" s="20" t="str">
        <f t="shared" si="6"/>
      </c>
      <c r="B112" s="20">
        <f t="shared" si="6"/>
      </c>
      <c r="C112" s="9" t="str">
        <f>IF(ISBLANK(C60),"NO DATA",IF(ISNUMBER(FIND(CODES!$A$12,C60)),CODES!$A$12,IF(OR(ISNUMBER(FIND(CODES!$A$10,C60)),ISNUMBER(FIND(CODES!$A$11,C60))),CODES!$A$13,IF(OR(C60&lt;C$63,ISNUMBER(C60)=FALSE),C$64,C60))))</f>
      </c>
      <c r="D112" s="9" t="str">
        <f>IF(ISBLANK(D60),"NO DATA",IF(ISNUMBER(FIND(CODES!$A$12,D60)),CODES!$A$12,IF(OR(ISNUMBER(FIND(CODES!$A$10,D60)),ISNUMBER(FIND(CODES!$A$11,D60))),CODES!$A$13,IF(OR(D60&lt;D$63,ISNUMBER(D60)=FALSE),D$64,D60))))</f>
      </c>
      <c r="E112" s="9" t="str">
        <f>IF(ISBLANK(E60),"NO DATA",IF(ISNUMBER(FIND(CODES!$A$12,E60)),CODES!$A$12,IF(OR(ISNUMBER(FIND(CODES!$A$10,E60)),ISNUMBER(FIND(CODES!$A$11,E60))),CODES!$A$13,IF(OR(E60&lt;E$63,ISNUMBER(E60)=FALSE),E$64,E60))))</f>
      </c>
      <c r="F112" s="9" t="str">
        <f>IF(ISBLANK(F60),"NO DATA",IF(ISNUMBER(FIND(CODES!$A$12,F60)),CODES!$A$12,IF(OR(ISNUMBER(FIND(CODES!$A$10,F60)),ISNUMBER(FIND(CODES!$A$11,F60))),CODES!$A$13,IF(OR(F60&lt;F$63,ISNUMBER(F60)=FALSE),F$64,F60))))</f>
      </c>
      <c r="G112" s="9" t="str">
        <f>IF(ISBLANK(G60),"NO DATA",IF(ISNUMBER(FIND(CODES!$A$12,G60)),CODES!$A$12,IF(OR(ISNUMBER(FIND(CODES!$A$10,G60)),ISNUMBER(FIND(CODES!$A$11,G60))),CODES!$A$13,IF(OR(G60&lt;G$63,ISNUMBER(G60)=FALSE),G$64,G60))))</f>
      </c>
      <c r="H112" s="9" t="str">
        <f>IF(ISBLANK(H60),"NO DATA",IF(ISNUMBER(FIND(CODES!$A$12,H60)),CODES!$A$12,IF(OR(ISNUMBER(FIND(CODES!$A$10,H60)),ISNUMBER(FIND(CODES!$A$11,H60))),CODES!$A$13,IF(OR(H60&lt;H$63,ISNUMBER(H60)=FALSE),H$64,H60))))</f>
      </c>
      <c r="I112" s="9" t="str">
        <f>IF(ISBLANK(I60),"NO DATA",IF(ISNUMBER(FIND(CODES!$A$12,I60)),CODES!$A$12,IF(OR(ISNUMBER(FIND(CODES!$A$10,I60)),ISNUMBER(FIND(CODES!$A$11,I60))),CODES!$A$13,IF(OR(I60&lt;I$63,ISNUMBER(I60)=FALSE),I$64,I60))))</f>
      </c>
      <c r="J112" s="9" t="str">
        <f>IF(ISBLANK(J60),"NO DATA",IF(ISNUMBER(FIND(CODES!$A$12,J60)),CODES!$A$12,IF(OR(ISNUMBER(FIND(CODES!$A$10,J60)),ISNUMBER(FIND(CODES!$A$11,J60))),CODES!$A$13,IF(OR(J60&lt;J$63,ISNUMBER(J60)=FALSE),J$64,J60))))</f>
      </c>
      <c r="K112" s="9" t="str">
        <f>IF(ISBLANK(K60),"NO DATA",IF(ISNUMBER(FIND(CODES!$A$12,K60)),CODES!$A$12,IF(OR(ISNUMBER(FIND(CODES!$A$10,K60)),ISNUMBER(FIND(CODES!$A$11,K60))),CODES!$A$13,IF(OR(K60&lt;K$63,ISNUMBER(K60)=FALSE),K$64,K60))))</f>
      </c>
      <c r="L112" s="9" t="str">
        <f>IF(ISBLANK(L60),"NO DATA",IF(ISNUMBER(FIND(CODES!$A$12,L60)),CODES!$A$12,IF(OR(ISNUMBER(FIND(CODES!$A$10,L60)),ISNUMBER(FIND(CODES!$A$11,L60))),CODES!$A$13,IF(OR(L60&lt;L$63,ISNUMBER(L60)=FALSE),L$64,L60))))</f>
      </c>
      <c r="M112" s="9" t="str">
        <f>IF(ISBLANK(M60),"NO DATA",IF(ISNUMBER(FIND(CODES!$A$12,M60)),CODES!$A$12,IF(OR(ISNUMBER(FIND(CODES!$A$10,M60)),ISNUMBER(FIND(CODES!$A$11,M60))),CODES!$A$13,IF(OR(M60&lt;M$63,ISNUMBER(M60)=FALSE),M$64,M60))))</f>
      </c>
      <c r="N112" s="9" t="str">
        <f>IF(ISBLANK(N60),"NO DATA",IF(ISNUMBER(FIND(CODES!$A$12,N60)),CODES!$A$12,IF(OR(ISNUMBER(FIND(CODES!$A$10,N60)),ISNUMBER(FIND(CODES!$A$11,N60))),CODES!$A$13,IF(OR(N60&lt;N$63,ISNUMBER(N60)=FALSE),N$64,N60))))</f>
      </c>
      <c r="O112" s="9" t="str">
        <f>IF(ISBLANK(O60),"NO DATA",IF(ISNUMBER(FIND(CODES!$A$12,O60)),CODES!$A$12,IF(OR(ISNUMBER(FIND(CODES!$A$10,O60)),ISNUMBER(FIND(CODES!$A$11,O60))),CODES!$A$13,IF(OR(O60&lt;O$63,ISNUMBER(O60)=FALSE),O$64,O60))))</f>
      </c>
      <c r="P112" s="9" t="str">
        <f>IF(ISBLANK(P60),"NO DATA",IF(ISNUMBER(FIND(CODES!$A$12,P60)),CODES!$A$12,IF(OR(ISNUMBER(FIND(CODES!$A$10,P60)),ISNUMBER(FIND(CODES!$A$11,P60))),CODES!$A$13,IF(OR(P60&lt;P$63,ISNUMBER(P60)=FALSE),P$64,P60))))</f>
      </c>
      <c r="Q112" s="9" t="str">
        <f>IF(ISBLANK(Q60),"NO DATA",IF(ISNUMBER(FIND(CODES!$A$12,Q60)),CODES!$A$12,IF(OR(ISNUMBER(FIND(CODES!$A$10,Q60)),ISNUMBER(FIND(CODES!$A$11,Q60))),CODES!$A$13,IF(OR(Q60&lt;Q$63,ISNUMBER(Q60)=FALSE),Q$64,Q60))))</f>
      </c>
      <c r="R112" s="9" t="str">
        <f>IF(ISBLANK(R60),"NO DATA",IF(ISNUMBER(FIND(CODES!$A$12,R60)),CODES!$A$12,IF(OR(ISNUMBER(FIND(CODES!$A$10,R60)),ISNUMBER(FIND(CODES!$A$11,R60))),CODES!$A$13,IF(OR(R60&lt;R$63,ISNUMBER(R60)=FALSE),R$64,R60))))</f>
      </c>
      <c r="S112" s="9" t="str">
        <f>IF(ISBLANK(S60),"NO DATA",IF(ISNUMBER(FIND(CODES!$A$12,S60)),CODES!$A$12,IF(OR(ISNUMBER(FIND(CODES!$A$10,S60)),ISNUMBER(FIND(CODES!$A$11,S60))),CODES!$A$13,IF(OR(S60&lt;S$63,ISNUMBER(S60)=FALSE),S$64,S60))))</f>
      </c>
      <c r="T112" s="9" t="str">
        <f>IF(ISBLANK(T60),"NO DATA",IF(ISNUMBER(FIND(CODES!$A$12,T60)),CODES!$A$12,IF(OR(ISNUMBER(FIND(CODES!$A$10,T60)),ISNUMBER(FIND(CODES!$A$11,T60))),CODES!$A$13,IF(OR(T60&lt;T$63,ISNUMBER(T60)=FALSE),T$64,T60))))</f>
      </c>
      <c r="U112" s="9" t="str">
        <f>IF(ISBLANK(U60),"NO DATA",IF(ISNUMBER(FIND(CODES!$A$12,U60)),CODES!$A$12,IF(OR(ISNUMBER(FIND(CODES!$A$10,U60)),ISNUMBER(FIND(CODES!$A$11,U60))),CODES!$A$13,IF(OR(U60&lt;U$63,ISNUMBER(U60)=FALSE),U$64,U60))))</f>
      </c>
      <c r="V112" s="9" t="str">
        <f>IF(ISBLANK(V60),"NO DATA",IF(ISNUMBER(FIND(CODES!$A$12,V60)),CODES!$A$12,IF(OR(ISNUMBER(FIND(CODES!$A$10,V60)),ISNUMBER(FIND(CODES!$A$11,V60))),CODES!$A$13,IF(OR(V60&lt;V$63,ISNUMBER(V60)=FALSE),V$64,V60))))</f>
      </c>
      <c r="W112" s="9" t="str">
        <f>IF(ISBLANK(W60),"NO DATA",IF(ISNUMBER(FIND(CODES!$A$12,W60)),CODES!$A$12,IF(OR(ISNUMBER(FIND(CODES!$A$10,W60)),ISNUMBER(FIND(CODES!$A$11,W60))),CODES!$A$13,IF(OR(W60&lt;W$63,ISNUMBER(W60)=FALSE),W$64,W60))))</f>
      </c>
      <c r="X112" s="9" t="str">
        <f>IF(ISBLANK(X60),"NO DATA",IF(ISNUMBER(FIND(CODES!$A$12,X60)),CODES!$A$12,IF(OR(ISNUMBER(FIND(CODES!$A$10,X60)),ISNUMBER(FIND(CODES!$A$11,X60))),CODES!$A$13,IF(OR(X60&lt;X$63,ISNUMBER(X60)=FALSE),X$64,X60))))</f>
      </c>
      <c r="Y112" s="9" t="str">
        <f>IF(ISBLANK(Y60),"NO DATA",IF(ISNUMBER(FIND(CODES!$A$12,Y60)),CODES!$A$12,IF(OR(ISNUMBER(FIND(CODES!$A$10,Y60)),ISNUMBER(FIND(CODES!$A$11,Y60))),CODES!$A$13,IF(OR(Y60&lt;Y$63,ISNUMBER(Y60)=FALSE),Y$64,Y60))))</f>
      </c>
      <c r="Z112" s="9" t="str">
        <f>IF(ISBLANK(Z60),"NO DATA",IF(ISNUMBER(FIND(CODES!$A$12,Z60)),CODES!$A$12,IF(OR(ISNUMBER(FIND(CODES!$A$10,Z60)),ISNUMBER(FIND(CODES!$A$11,Z60))),CODES!$A$13,IF(OR(Z60&lt;Z$63,ISNUMBER(Z60)=FALSE),Z$64,Z60))))</f>
      </c>
      <c r="AA112" s="9" t="str">
        <f>IF(ISBLANK(AA60),"NO DATA",IF(ISNUMBER(FIND(CODES!$A$12,AA60)),CODES!$A$12,IF(OR(ISNUMBER(FIND(CODES!$A$10,AA60)),ISNUMBER(FIND(CODES!$A$11,AA60))),CODES!$A$13,IF(OR(AA60&lt;AA$63,ISNUMBER(AA60)=FALSE),AA$64,AA60))))</f>
      </c>
      <c r="AB112" s="9" t="str">
        <f>IF(ISBLANK(AB60),"NO DATA",IF(ISNUMBER(FIND(CODES!$A$12,AB60)),CODES!$A$12,IF(OR(ISNUMBER(FIND(CODES!$A$10,AB60)),ISNUMBER(FIND(CODES!$A$11,AB60))),CODES!$A$13,IF(OR(AB60&lt;AB$63,ISNUMBER(AB60)=FALSE),AB$64,AB60))))</f>
      </c>
      <c r="AC112" s="9" t="str">
        <f>IF(ISBLANK(AC60),"NO DATA",IF(ISNUMBER(FIND(CODES!$A$12,AC60)),CODES!$A$12,IF(OR(ISNUMBER(FIND(CODES!$A$10,AC60)),ISNUMBER(FIND(CODES!$A$11,AC60))),CODES!$A$13,IF(OR(AC60&lt;AC$63,ISNUMBER(AC60)=FALSE),AC$64,AC60))))</f>
      </c>
      <c r="AD112" s="9" t="str">
        <f>IF(ISBLANK(AD60),"NO DATA",IF(ISNUMBER(FIND(CODES!$A$12,AD60)),CODES!$A$12,IF(OR(ISNUMBER(FIND(CODES!$A$10,AD60)),ISNUMBER(FIND(CODES!$A$11,AD60))),CODES!$A$13,IF(OR(AD60&lt;AD$63,ISNUMBER(AD60)=FALSE),AD$64,AD60))))</f>
      </c>
      <c r="AE112" s="9" t="str">
        <f>IF(ISBLANK(AE60),"NO DATA",IF(ISNUMBER(FIND(CODES!$A$12,AE60)),CODES!$A$12,IF(OR(ISNUMBER(FIND(CODES!$A$10,AE60)),ISNUMBER(FIND(CODES!$A$11,AE60))),CODES!$A$13,IF(OR(AE60&lt;AE$63,ISNUMBER(AE60)=FALSE),AE$64,AE60))))</f>
      </c>
      <c r="AF112" s="9" t="str">
        <f>IF(ISBLANK(AF60),"NO DATA",IF(ISNUMBER(FIND(CODES!$A$12,AF60)),CODES!$A$12,IF(OR(ISNUMBER(FIND(CODES!$A$10,AF60)),ISNUMBER(FIND(CODES!$A$11,AF60))),CODES!$A$13,IF(OR(AF60&lt;AF$63,ISNUMBER(AF60)=FALSE),AF$64,AF60))))</f>
      </c>
      <c r="AG112" s="9" t="str">
        <f>IF(ISBLANK(AG60),"NO DATA",IF(ISNUMBER(FIND(CODES!$A$12,AG60)),CODES!$A$12,IF(OR(ISNUMBER(FIND(CODES!$A$10,AG60)),ISNUMBER(FIND(CODES!$A$11,AG60))),CODES!$A$13,IF(OR(AG60&lt;AG$63,ISNUMBER(AG60)=FALSE),AG$64,AG60))))</f>
      </c>
      <c r="AH112" s="9" t="str">
        <f>IF(ISBLANK(AH60),"NO DATA",IF(ISNUMBER(FIND(CODES!$A$12,AH60)),CODES!$A$12,IF(OR(ISNUMBER(FIND(CODES!$A$10,AH60)),ISNUMBER(FIND(CODES!$A$11,AH60))),CODES!$A$13,IF(OR(AH60&lt;AH$63,ISNUMBER(AH60)=FALSE),AH$64,AH60))))</f>
      </c>
      <c r="AI112" s="9" t="str">
        <f>IF(ISBLANK(AI60),"NO DATA",IF(ISNUMBER(FIND(CODES!$A$12,AI60)),CODES!$A$12,IF(OR(ISNUMBER(FIND(CODES!$A$10,AI60)),ISNUMBER(FIND(CODES!$A$11,AI60))),CODES!$A$13,IF(OR(AI60&lt;AI$63,ISNUMBER(AI60)=FALSE),AI$64,AI60))))</f>
      </c>
      <c r="AJ112" s="9" t="str">
        <f>IF(ISBLANK(AJ60),"NO DATA",IF(ISNUMBER(FIND(CODES!$A$12,AJ60)),CODES!$A$12,IF(OR(ISNUMBER(FIND(CODES!$A$10,AJ60)),ISNUMBER(FIND(CODES!$A$11,AJ60))),CODES!$A$13,IF(OR(AJ60&lt;AJ$63,ISNUMBER(AJ60)=FALSE),AJ$64,AJ60))))</f>
      </c>
      <c r="AK112" s="9" t="str">
        <f>IF(ISBLANK(AK60),"NO DATA",IF(ISNUMBER(FIND(CODES!$A$12,AK60)),CODES!$A$12,IF(OR(ISNUMBER(FIND(CODES!$A$10,AK60)),ISNUMBER(FIND(CODES!$A$11,AK60))),CODES!$A$13,IF(OR(AK60&lt;AK$63,ISNUMBER(AK60)=FALSE),AK$64,AK60))))</f>
      </c>
      <c r="AL112" s="9" t="str">
        <f>IF(ISBLANK(AL60),"NO DATA",IF(ISNUMBER(FIND(CODES!$A$12,AL60)),CODES!$A$12,IF(OR(ISNUMBER(FIND(CODES!$A$10,AL60)),ISNUMBER(FIND(CODES!$A$11,AL60))),CODES!$A$13,IF(OR(AL60&lt;AL$63,ISNUMBER(AL60)=FALSE),AL$64,AL60))))</f>
      </c>
      <c r="AM112" s="9" t="str">
        <f>IF(ISBLANK(AM60),"NO DATA",IF(ISNUMBER(FIND(CODES!$A$12,AM60)),CODES!$A$12,IF(OR(ISNUMBER(FIND(CODES!$A$10,AM60)),ISNUMBER(FIND(CODES!$A$11,AM60))),CODES!$A$13,IF(OR(AM60&lt;AM$63,ISNUMBER(AM60)=FALSE),AM$64,AM60))))</f>
      </c>
      <c r="AN112" s="9" t="str">
        <f>IF(ISBLANK(AN60),"NO DATA",IF(ISNUMBER(FIND(CODES!$A$12,AN60)),CODES!$A$12,IF(OR(ISNUMBER(FIND(CODES!$A$10,AN60)),ISNUMBER(FIND(CODES!$A$11,AN60))),CODES!$A$13,IF(OR(AN60&lt;AN$63,ISNUMBER(AN60)=FALSE),AN$64,AN60))))</f>
      </c>
      <c r="AO112" s="9" t="str">
        <f>IF(ISBLANK(AO60),"NO DATA",IF(ISNUMBER(FIND(CODES!$A$12,AO60)),CODES!$A$12,IF(OR(ISNUMBER(FIND(CODES!$A$10,AO60)),ISNUMBER(FIND(CODES!$A$11,AO60))),CODES!$A$13,IF(OR(AO60&lt;AO$63,ISNUMBER(AO60)=FALSE),AO$64,AO60))))</f>
      </c>
      <c r="AP112" s="9" t="str">
        <f>IF(ISBLANK(AP60),"NO DATA",IF(ISNUMBER(FIND(CODES!$A$12,AP60)),CODES!$A$12,IF(OR(ISNUMBER(FIND(CODES!$A$10,AP60)),ISNUMBER(FIND(CODES!$A$11,AP60))),CODES!$A$13,IF(OR(AP60&lt;AP$63,ISNUMBER(AP60)=FALSE),AP$64,AP60))))</f>
      </c>
      <c r="AQ112" s="9" t="str">
        <f>IF(ISBLANK(AQ60),"NO DATA",IF(ISNUMBER(FIND(CODES!$A$12,AQ60)),CODES!$A$12,IF(OR(ISNUMBER(FIND(CODES!$A$10,AQ60)),ISNUMBER(FIND(CODES!$A$11,AQ60))),CODES!$A$13,IF(OR(AQ60&lt;AQ$63,ISNUMBER(AQ60)=FALSE),AQ$64,AQ60))))</f>
      </c>
      <c r="AR112" s="9" t="str">
        <f>IF(ISBLANK(AR60),"NO DATA",IF(ISNUMBER(FIND(CODES!$A$12,AR60)),CODES!$A$12,IF(OR(ISNUMBER(FIND(CODES!$A$10,AR60)),ISNUMBER(FIND(CODES!$A$11,AR60))),CODES!$A$13,IF(OR(AR60&lt;AR$63,ISNUMBER(AR60)=FALSE),AR$64,AR60))))</f>
      </c>
      <c r="AS112" s="9" t="str">
        <f>IF(ISBLANK(AS60),"NO DATA",IF(ISNUMBER(FIND(CODES!$A$12,AS60)),CODES!$A$12,IF(OR(ISNUMBER(FIND(CODES!$A$10,AS60)),ISNUMBER(FIND(CODES!$A$11,AS60))),CODES!$A$13,IF(OR(AS60&lt;AS$63,ISNUMBER(AS60)=FALSE),AS$64,AS60))))</f>
      </c>
      <c r="AT112" s="9" t="str">
        <f>IF(ISBLANK(AT60),"NO DATA",IF(ISNUMBER(FIND(CODES!$A$12,AT60)),CODES!$A$12,IF(OR(ISNUMBER(FIND(CODES!$A$10,AT60)),ISNUMBER(FIND(CODES!$A$11,AT60))),CODES!$A$13,IF(OR(AT60&lt;AT$63,ISNUMBER(AT60)=FALSE),AT$64,AT60))))</f>
      </c>
      <c r="AU112" s="9" t="str">
        <f>IF(ISBLANK(AU60),"NO DATA",IF(ISNUMBER(FIND(CODES!$A$12,AU60)),CODES!$A$12,IF(OR(ISNUMBER(FIND(CODES!$A$10,AU60)),ISNUMBER(FIND(CODES!$A$11,AU60))),CODES!$A$13,IF(OR(AU60&lt;AU$63,ISNUMBER(AU60)=FALSE),AU$64,AU60))))</f>
      </c>
      <c r="AV112" s="9" t="str">
        <f>IF(ISBLANK(AV60),"NO DATA",IF(ISNUMBER(FIND(CODES!$A$12,AV60)),CODES!$A$12,IF(OR(ISNUMBER(FIND(CODES!$A$10,AV60)),ISNUMBER(FIND(CODES!$A$11,AV60))),CODES!$A$13,IF(OR(AV60&lt;AV$63,ISNUMBER(AV60)=FALSE),AV$64,AV60))))</f>
      </c>
      <c r="AW112" s="9" t="str">
        <f>IF(ISBLANK(AW60),"NO DATA",IF(ISNUMBER(FIND(CODES!$A$12,AW60)),CODES!$A$12,IF(OR(ISNUMBER(FIND(CODES!$A$10,AW60)),ISNUMBER(FIND(CODES!$A$11,AW60))),CODES!$A$13,IF(OR(AW60&lt;AW$63,ISNUMBER(AW60)=FALSE),AW$64,AW60))))</f>
      </c>
      <c r="AX112" s="9" t="str">
        <f>IF(ISBLANK(AX60),"NO DATA",IF(ISNUMBER(FIND(CODES!$A$12,AX60)),CODES!$A$12,IF(OR(ISNUMBER(FIND(CODES!$A$10,AX60)),ISNUMBER(FIND(CODES!$A$11,AX60))),CODES!$A$13,IF(OR(AX60&lt;AX$63,ISNUMBER(AX60)=FALSE),AX$64,AX60))))</f>
      </c>
      <c r="AY112" s="9" t="str">
        <f>IF(ISBLANK(AY60),"NO DATA",IF(ISNUMBER(FIND(CODES!$A$12,AY60)),CODES!$A$12,IF(OR(ISNUMBER(FIND(CODES!$A$10,AY60)),ISNUMBER(FIND(CODES!$A$11,AY60))),CODES!$A$13,IF(OR(AY60&lt;AY$63,ISNUMBER(AY60)=FALSE),AY$64,AY60))))</f>
      </c>
      <c r="AZ112" s="9" t="str">
        <f>IF(ISBLANK(AZ60),"NO DATA",IF(ISNUMBER(FIND(CODES!$A$12,AZ60)),CODES!$A$12,IF(OR(ISNUMBER(FIND(CODES!$A$10,AZ60)),ISNUMBER(FIND(CODES!$A$11,AZ60))),CODES!$A$13,IF(OR(AZ60&lt;AZ$63,ISNUMBER(AZ60)=FALSE),AZ$64,AZ60))))</f>
      </c>
      <c r="BA112" s="9" t="str">
        <f>IF(ISBLANK(BA60),"NO DATA",IF(ISNUMBER(FIND(CODES!$A$12,BA60)),CODES!$A$12,IF(OR(ISNUMBER(FIND(CODES!$A$10,BA60)),ISNUMBER(FIND(CODES!$A$11,BA60))),CODES!$A$13,IF(OR(BA60&lt;BA$63,ISNUMBER(BA60)=FALSE),BA$64,BA60))))</f>
      </c>
      <c r="BB112" s="9" t="str">
        <f>IF(ISBLANK(BB60),"NO DATA",IF(ISNUMBER(FIND(CODES!$A$12,BB60)),CODES!$A$12,IF(OR(ISNUMBER(FIND(CODES!$A$10,BB60)),ISNUMBER(FIND(CODES!$A$11,BB60))),CODES!$A$13,IF(OR(BB60&lt;BB$63,ISNUMBER(BB60)=FALSE),BB$64,BB60))))</f>
      </c>
      <c r="BC112" s="9" t="str">
        <f>IF(ISBLANK(BC60),"NO DATA",IF(ISNUMBER(FIND(CODES!$A$12,BC60)),CODES!$A$12,IF(OR(ISNUMBER(FIND(CODES!$A$10,BC60)),ISNUMBER(FIND(CODES!$A$11,BC60))),CODES!$A$13,IF(OR(BC60&lt;BC$63,ISNUMBER(BC60)=FALSE),BC$64,BC60))))</f>
      </c>
      <c r="BD112" s="9" t="str">
        <f>IF(ISBLANK(BD60),"NO DATA",IF(ISNUMBER(FIND(CODES!$A$12,BD60)),CODES!$A$12,IF(OR(ISNUMBER(FIND(CODES!$A$10,BD60)),ISNUMBER(FIND(CODES!$A$11,BD60))),CODES!$A$13,IF(OR(BD60&lt;BD$63,ISNUMBER(BD60)=FALSE),BD$64,BD60))))</f>
      </c>
      <c r="BE112" s="9" t="str">
        <f>IF(ISBLANK(BE60),"NO DATA",IF(ISNUMBER(FIND(CODES!$A$12,BE60)),CODES!$A$12,IF(OR(ISNUMBER(FIND(CODES!$A$10,BE60)),ISNUMBER(FIND(CODES!$A$11,BE60))),CODES!$A$13,IF(OR(BE60&lt;BE$63,ISNUMBER(BE60)=FALSE),BE$64,BE60))))</f>
      </c>
      <c r="BF112" s="9" t="str">
        <f>IF(ISBLANK(BF60),"NO DATA",IF(ISNUMBER(FIND(CODES!$A$12,BF60)),CODES!$A$12,IF(OR(ISNUMBER(FIND(CODES!$A$10,BF60)),ISNUMBER(FIND(CODES!$A$11,BF60))),CODES!$A$13,IF(OR(BF60&lt;BF$63,ISNUMBER(BF60)=FALSE),BF$64,BF60))))</f>
      </c>
      <c r="BG112" s="9" t="str">
        <f>IF(ISBLANK(BG60),"NO DATA",IF(ISNUMBER(FIND(CODES!$A$12,BG60)),CODES!$A$12,IF(OR(ISNUMBER(FIND(CODES!$A$10,BG60)),ISNUMBER(FIND(CODES!$A$11,BG60))),CODES!$A$13,IF(OR(BG60&lt;BG$63,ISNUMBER(BG60)=FALSE),BG$64,BG60))))</f>
      </c>
      <c r="BH112" s="9" t="str">
        <f>IF(ISBLANK(BH60),"NO DATA",IF(ISNUMBER(FIND(CODES!$A$12,BH60)),CODES!$A$12,IF(OR(ISNUMBER(FIND(CODES!$A$10,BH60)),ISNUMBER(FIND(CODES!$A$11,BH60))),CODES!$A$13,IF(OR(BH60&lt;BH$63,ISNUMBER(BH60)=FALSE),BH$64,BH60))))</f>
      </c>
      <c r="BI112" s="9" t="str">
        <f>IF(ISBLANK(BI60),"NO DATA",IF(ISNUMBER(FIND(CODES!$A$12,BI60)),CODES!$A$12,IF(OR(ISNUMBER(FIND(CODES!$A$10,BI60)),ISNUMBER(FIND(CODES!$A$11,BI60))),CODES!$A$13,IF(OR(BI60&lt;BI$63,ISNUMBER(BI60)=FALSE),BI$64,BI60))))</f>
      </c>
      <c r="BJ112" s="9" t="str">
        <f>IF(ISBLANK(BJ60),"NO DATA",IF(ISNUMBER(FIND(CODES!$A$12,BJ60)),CODES!$A$12,IF(OR(ISNUMBER(FIND(CODES!$A$10,BJ60)),ISNUMBER(FIND(CODES!$A$11,BJ60))),CODES!$A$13,IF(OR(BJ60&lt;BJ$63,ISNUMBER(BJ60)=FALSE),BJ$64,BJ60))))</f>
      </c>
      <c r="BK112" s="9" t="str">
        <f>IF(ISBLANK(BK60),"NO DATA",IF(ISNUMBER(FIND(CODES!$A$12,BK60)),CODES!$A$12,IF(OR(ISNUMBER(FIND(CODES!$A$10,BK60)),ISNUMBER(FIND(CODES!$A$11,BK60))),CODES!$A$13,IF(OR(BK60&lt;BK$63,ISNUMBER(BK60)=FALSE),BK$64,BK60))))</f>
      </c>
      <c r="BL112" s="9" t="str">
        <f>IF(ISBLANK(BL60),"NO DATA",IF(ISNUMBER(FIND(CODES!$A$12,BL60)),CODES!$A$12,IF(OR(ISNUMBER(FIND(CODES!$A$10,BL60)),ISNUMBER(FIND(CODES!$A$11,BL60))),CODES!$A$13,IF(OR(BL60&lt;BL$63,ISNUMBER(BL60)=FALSE),BL$64,BL60))))</f>
      </c>
      <c r="BM112" s="9" t="str">
        <f>IF(ISBLANK(BM60),"NO DATA",IF(ISNUMBER(FIND(CODES!$A$12,BM60)),CODES!$A$12,IF(OR(ISNUMBER(FIND(CODES!$A$10,BM60)),ISNUMBER(FIND(CODES!$A$11,BM60))),CODES!$A$13,IF(OR(BM60&lt;BM$63,ISNUMBER(BM60)=FALSE),BM$64,BM60))))</f>
      </c>
      <c r="BN112" s="9" t="str">
        <f>IF(ISBLANK(BN60),"NO DATA",IF(ISNUMBER(FIND(CODES!$A$12,BN60)),CODES!$A$12,IF(OR(ISNUMBER(FIND(CODES!$A$10,BN60)),ISNUMBER(FIND(CODES!$A$11,BN60))),CODES!$A$13,IF(OR(BN60&lt;BN$63,ISNUMBER(BN60)=FALSE),BN$64,BN60))))</f>
      </c>
      <c r="BO112" s="9" t="str">
        <f>IF(ISBLANK(BO60),"NO DATA",IF(ISNUMBER(FIND(CODES!$A$12,BO60)),CODES!$A$12,IF(OR(ISNUMBER(FIND(CODES!$A$10,BO60)),ISNUMBER(FIND(CODES!$A$11,BO60))),CODES!$A$13,IF(OR(BO60&lt;BO$63,ISNUMBER(BO60)=FALSE),BO$64,BO60))))</f>
      </c>
      <c r="BP112" s="9" t="str">
        <f>IF(ISBLANK(BP60),"NO DATA",IF(ISNUMBER(FIND(CODES!$A$12,BP60)),CODES!$A$12,IF(OR(ISNUMBER(FIND(CODES!$A$10,BP60)),ISNUMBER(FIND(CODES!$A$11,BP60))),CODES!$A$13,IF(OR(BP60&lt;BP$63,ISNUMBER(BP60)=FALSE),BP$64,BP60))))</f>
      </c>
      <c r="BQ112" s="9" t="str">
        <f>IF(ISBLANK(BQ60),"NO DATA",IF(ISNUMBER(FIND(CODES!$A$12,BQ60)),CODES!$A$12,IF(OR(ISNUMBER(FIND(CODES!$A$10,BQ60)),ISNUMBER(FIND(CODES!$A$11,BQ60))),CODES!$A$13,IF(OR(BQ60&lt;BQ$63,ISNUMBER(BQ60)=FALSE),BQ$64,BQ60))))</f>
      </c>
      <c r="BR112" s="9" t="str">
        <f>IF(ISBLANK(BR60),"NO DATA",IF(ISNUMBER(FIND(CODES!$A$12,BR60)),CODES!$A$12,IF(OR(ISNUMBER(FIND(CODES!$A$10,BR60)),ISNUMBER(FIND(CODES!$A$11,BR60))),CODES!$A$13,IF(OR(BR60&lt;BR$63,ISNUMBER(BR60)=FALSE),BR$64,BR60))))</f>
      </c>
      <c r="BS112" s="9" t="str">
        <f>IF(ISBLANK(BS60),"NO DATA",IF(ISNUMBER(FIND(CODES!$A$12,BS60)),CODES!$A$12,IF(OR(ISNUMBER(FIND(CODES!$A$10,BS60)),ISNUMBER(FIND(CODES!$A$11,BS60))),CODES!$A$13,IF(OR(BS60&lt;BS$63,ISNUMBER(BS60)=FALSE),BS$64,BS60))))</f>
      </c>
      <c r="BT112" s="9" t="str">
        <f>IF(ISBLANK(BT60),"NO DATA",IF(ISNUMBER(FIND(CODES!$A$12,BT60)),CODES!$A$12,IF(OR(ISNUMBER(FIND(CODES!$A$10,BT60)),ISNUMBER(FIND(CODES!$A$11,BT60))),CODES!$A$13,IF(OR(BT60&lt;BT$63,ISNUMBER(BT60)=FALSE),BT$64,BT60))))</f>
      </c>
      <c r="BU112" s="9" t="str">
        <f>IF(ISBLANK(BU60),"NO DATA",IF(ISNUMBER(FIND(CODES!$A$12,BU60)),CODES!$A$12,IF(OR(ISNUMBER(FIND(CODES!$A$10,BU60)),ISNUMBER(FIND(CODES!$A$11,BU60))),CODES!$A$13,IF(OR(BU60&lt;BU$63,ISNUMBER(BU60)=FALSE),BU$64,BU60))))</f>
      </c>
      <c r="BV112" s="9" t="str">
        <f>IF(ISBLANK(BV60),"NO DATA",IF(ISNUMBER(FIND(CODES!$A$12,BV60)),CODES!$A$12,IF(OR(ISNUMBER(FIND(CODES!$A$10,BV60)),ISNUMBER(FIND(CODES!$A$11,BV60))),CODES!$A$13,IF(OR(BV60&lt;BV$63,ISNUMBER(BV60)=FALSE),BV$64,BV60))))</f>
      </c>
      <c r="BW112" s="9" t="str">
        <f>IF(ISBLANK(BW60),"NO DATA",IF(ISNUMBER(FIND(CODES!$A$12,BW60)),CODES!$A$12,IF(OR(ISNUMBER(FIND(CODES!$A$10,BW60)),ISNUMBER(FIND(CODES!$A$11,BW60))),CODES!$A$13,IF(OR(BW60&lt;BW$63,ISNUMBER(BW60)=FALSE),BW$64,BW60))))</f>
      </c>
      <c r="BX112" s="9" t="str">
        <f>IF(ISBLANK(BX60),"NO DATA",IF(ISNUMBER(FIND(CODES!$A$12,BX60)),CODES!$A$12,IF(OR(ISNUMBER(FIND(CODES!$A$10,BX60)),ISNUMBER(FIND(CODES!$A$11,BX60))),CODES!$A$13,IF(OR(BX60&lt;BX$63,ISNUMBER(BX60)=FALSE),BX$64,BX60))))</f>
      </c>
      <c r="BY112" s="9" t="str">
        <f>IF(ISBLANK(BY60),"NO DATA",IF(ISNUMBER(FIND(CODES!$A$12,BY60)),CODES!$A$12,IF(OR(ISNUMBER(FIND(CODES!$A$10,BY60)),ISNUMBER(FIND(CODES!$A$11,BY60))),CODES!$A$13,IF(OR(BY60&lt;BY$63,ISNUMBER(BY60)=FALSE),BY$64,BY60))))</f>
      </c>
      <c r="BZ112" s="9" t="str">
        <f>IF(ISBLANK(BZ60),"NO DATA",IF(ISNUMBER(FIND(CODES!$A$12,BZ60)),CODES!$A$12,IF(OR(ISNUMBER(FIND(CODES!$A$10,BZ60)),ISNUMBER(FIND(CODES!$A$11,BZ60))),CODES!$A$13,IF(OR(BZ60&lt;BZ$63,ISNUMBER(BZ60)=FALSE),BZ$64,BZ60))))</f>
      </c>
      <c r="CA112" s="9" t="str">
        <f>IF(ISBLANK(CA60),"NO DATA",IF(ISNUMBER(FIND(CODES!$A$12,CA60)),CODES!$A$12,IF(OR(ISNUMBER(FIND(CODES!$A$10,CA60)),ISNUMBER(FIND(CODES!$A$11,CA60))),CODES!$A$13,IF(OR(CA60&lt;CA$63,ISNUMBER(CA60)=FALSE),CA$64,CA60))))</f>
      </c>
      <c r="CB112" s="9" t="str">
        <f>IF(ISBLANK(CB60),"NO DATA",IF(ISNUMBER(FIND(CODES!$A$12,CB60)),CODES!$A$12,IF(OR(ISNUMBER(FIND(CODES!$A$10,CB60)),ISNUMBER(FIND(CODES!$A$11,CB60))),CODES!$A$13,IF(OR(CB60&lt;CB$63,ISNUMBER(CB60)=FALSE),CB$64,CB60))))</f>
      </c>
      <c r="CC112" s="9" t="str">
        <f>IF(ISBLANK(CC60),"NO DATA",IF(ISNUMBER(FIND(CODES!$A$12,CC60)),CODES!$A$12,IF(OR(ISNUMBER(FIND(CODES!$A$10,CC60)),ISNUMBER(FIND(CODES!$A$11,CC60))),CODES!$A$13,IF(OR(CC60&lt;CC$63,ISNUMBER(CC60)=FALSE),CC$64,CC60))))</f>
      </c>
      <c r="CD112" s="9" t="str">
        <f>IF(ISBLANK(CD60),"NO DATA",IF(ISNUMBER(FIND(CODES!$A$12,CD60)),CODES!$A$12,IF(OR(ISNUMBER(FIND(CODES!$A$10,CD60)),ISNUMBER(FIND(CODES!$A$11,CD60))),CODES!$A$13,IF(OR(CD60&lt;CD$63,ISNUMBER(CD60)=FALSE),CD$64,CD60))))</f>
      </c>
      <c r="CE112" s="9" t="str">
        <f>IF(ISBLANK(CE60),"NO DATA",IF(ISNUMBER(FIND(CODES!$A$12,CE60)),CODES!$A$12,IF(OR(ISNUMBER(FIND(CODES!$A$10,CE60)),ISNUMBER(FIND(CODES!$A$11,CE60))),CODES!$A$13,IF(OR(CE60&lt;CE$63,ISNUMBER(CE60)=FALSE),CE$64,CE60))))</f>
      </c>
      <c r="CF112" s="9" t="str">
        <f>IF(ISBLANK(CF60),"NO DATA",IF(ISNUMBER(FIND(CODES!$A$12,CF60)),CODES!$A$12,IF(OR(ISNUMBER(FIND(CODES!$A$10,CF60)),ISNUMBER(FIND(CODES!$A$11,CF60))),CODES!$A$13,IF(OR(CF60&lt;CF$63,ISNUMBER(CF60)=FALSE),CF$64,CF60))))</f>
      </c>
      <c r="CG112" s="9" t="str">
        <f>IF(ISBLANK(CG60),"NO DATA",IF(ISNUMBER(FIND(CODES!$A$12,CG60)),CODES!$A$12,IF(OR(ISNUMBER(FIND(CODES!$A$10,CG60)),ISNUMBER(FIND(CODES!$A$11,CG60))),CODES!$A$13,IF(OR(CG60&lt;CG$63,ISNUMBER(CG60)=FALSE),CG$64,CG60))))</f>
      </c>
      <c r="CH112" s="9" t="str">
        <f>IF(ISBLANK(CH60),"NO DATA",IF(ISNUMBER(FIND(CODES!$A$12,CH60)),CODES!$A$12,IF(OR(ISNUMBER(FIND(CODES!$A$10,CH60)),ISNUMBER(FIND(CODES!$A$11,CH60))),CODES!$A$13,IF(OR(CH60&lt;CH$63,ISNUMBER(CH60)=FALSE),CH$64,CH60))))</f>
      </c>
      <c r="CI112" s="9" t="str">
        <f>IF(ISBLANK(CI60),"NO DATA",IF(ISNUMBER(FIND(CODES!$A$12,CI60)),CODES!$A$12,IF(OR(ISNUMBER(FIND(CODES!$A$10,CI60)),ISNUMBER(FIND(CODES!$A$11,CI60))),CODES!$A$13,IF(OR(CI60&lt;CI$63,ISNUMBER(CI60)=FALSE),CI$64,CI60))))</f>
      </c>
      <c r="CJ112" s="9" t="str">
        <f>IF(ISBLANK(CJ60),"NO DATA",IF(ISNUMBER(FIND(CODES!$A$12,CJ60)),CODES!$A$12,IF(OR(ISNUMBER(FIND(CODES!$A$10,CJ60)),ISNUMBER(FIND(CODES!$A$11,CJ60))),CODES!$A$13,IF(OR(CJ60&lt;CJ$63,ISNUMBER(CJ60)=FALSE),CJ$64,CJ60))))</f>
      </c>
      <c r="CK112" s="9" t="str">
        <f>IF(ISBLANK(CK60),"NO DATA",IF(ISNUMBER(FIND(CODES!$A$12,CK60)),CODES!$A$12,IF(OR(ISNUMBER(FIND(CODES!$A$10,CK60)),ISNUMBER(FIND(CODES!$A$11,CK60))),CODES!$A$13,IF(OR(CK60&lt;CK$63,ISNUMBER(CK60)=FALSE),CK$64,CK60))))</f>
      </c>
      <c r="CL112" s="9" t="str">
        <f>IF(ISBLANK(CL60),"NO DATA",IF(ISNUMBER(FIND(CODES!$A$12,CL60)),CODES!$A$12,IF(OR(ISNUMBER(FIND(CODES!$A$10,CL60)),ISNUMBER(FIND(CODES!$A$11,CL60))),CODES!$A$13,IF(OR(CL60&lt;CL$63,ISNUMBER(CL60)=FALSE),CL$64,CL60))))</f>
      </c>
      <c r="CM112" s="9" t="str">
        <f>IF(ISBLANK(CM60),"NO DATA",IF(ISNUMBER(FIND(CODES!$A$12,CM60)),CODES!$A$12,IF(OR(ISNUMBER(FIND(CODES!$A$10,CM60)),ISNUMBER(FIND(CODES!$A$11,CM60))),CODES!$A$13,IF(OR(CM60&lt;CM$63,ISNUMBER(CM60)=FALSE),CM$64,CM60))))</f>
      </c>
      <c r="CN112" s="9" t="str">
        <f>IF(ISBLANK(CN60),"NO DATA",IF(ISNUMBER(FIND(CODES!$A$12,CN60)),CODES!$A$12,IF(OR(ISNUMBER(FIND(CODES!$A$10,CN60)),ISNUMBER(FIND(CODES!$A$11,CN60))),CODES!$A$13,IF(OR(CN60&lt;CN$63,ISNUMBER(CN60)=FALSE),CN$64,CN60))))</f>
      </c>
      <c r="CO112" s="9" t="str">
        <f>IF(ISBLANK(CO60),"NO DATA",IF(ISNUMBER(FIND(CODES!$A$12,CO60)),CODES!$A$12,IF(OR(ISNUMBER(FIND(CODES!$A$10,CO60)),ISNUMBER(FIND(CODES!$A$11,CO60))),CODES!$A$13,IF(OR(CO60&lt;CO$63,ISNUMBER(CO60)=FALSE),CO$64,CO60))))</f>
      </c>
      <c r="CP112" s="9" t="str">
        <f>IF(ISBLANK(CP60),"NO DATA",IF(ISNUMBER(FIND(CODES!$A$12,CP60)),CODES!$A$12,IF(OR(ISNUMBER(FIND(CODES!$A$10,CP60)),ISNUMBER(FIND(CODES!$A$11,CP60))),CODES!$A$13,IF(OR(CP60&lt;CP$63,ISNUMBER(CP60)=FALSE),CP$64,CP60))))</f>
      </c>
      <c r="CQ112" s="9" t="str">
        <f>IF(ISBLANK(CQ60),"NO DATA",IF(ISNUMBER(FIND(CODES!$A$12,CQ60)),CODES!$A$12,IF(OR(ISNUMBER(FIND(CODES!$A$10,CQ60)),ISNUMBER(FIND(CODES!$A$11,CQ60))),CODES!$A$13,IF(OR(CQ60&lt;CQ$63,ISNUMBER(CQ60)=FALSE),CQ$64,CQ60))))</f>
      </c>
      <c r="CR112" s="9" t="str">
        <f>IF(ISBLANK(CR60),"NO DATA",IF(ISNUMBER(FIND(CODES!$A$12,CR60)),CODES!$A$12,IF(OR(ISNUMBER(FIND(CODES!$A$10,CR60)),ISNUMBER(FIND(CODES!$A$11,CR60))),CODES!$A$13,IF(OR(CR60&lt;CR$63,ISNUMBER(CR60)=FALSE),CR$64,CR60))))</f>
      </c>
      <c r="CS112" s="9" t="str">
        <f>IF(ISBLANK(CS60),"NO DATA",IF(ISNUMBER(FIND(CODES!$A$12,CS60)),CODES!$A$12,IF(OR(ISNUMBER(FIND(CODES!$A$10,CS60)),ISNUMBER(FIND(CODES!$A$11,CS60))),CODES!$A$13,IF(OR(CS60&lt;CS$63,ISNUMBER(CS60)=FALSE),CS$64,CS60))))</f>
      </c>
      <c r="CT112" s="9" t="str">
        <f>IF(ISBLANK(CT60),"NO DATA",IF(ISNUMBER(FIND(CODES!$A$12,CT60)),CODES!$A$12,IF(OR(ISNUMBER(FIND(CODES!$A$10,CT60)),ISNUMBER(FIND(CODES!$A$11,CT60))),CODES!$A$13,IF(OR(CT60&lt;CT$63,ISNUMBER(CT60)=FALSE),CT$64,CT60))))</f>
      </c>
      <c r="CU112" s="9" t="str">
        <f>IF(ISBLANK(CU60),"NO DATA",IF(ISNUMBER(FIND(CODES!$A$12,CU60)),CODES!$A$12,IF(OR(ISNUMBER(FIND(CODES!$A$10,CU60)),ISNUMBER(FIND(CODES!$A$11,CU60))),CODES!$A$13,IF(OR(CU60&lt;CU$63,ISNUMBER(CU60)=FALSE),CU$64,CU60))))</f>
      </c>
      <c r="CV112" s="9" t="str">
        <f>IF(ISBLANK(CV60),"NO DATA",IF(ISNUMBER(FIND(CODES!$A$12,CV60)),CODES!$A$12,IF(OR(ISNUMBER(FIND(CODES!$A$10,CV60)),ISNUMBER(FIND(CODES!$A$11,CV60))),CODES!$A$13,IF(OR(CV60&lt;CV$63,ISNUMBER(CV60)=FALSE),CV$64,CV60))))</f>
      </c>
      <c r="CW112" s="9" t="str">
        <f>IF(ISBLANK(CW60),"NO DATA",IF(ISNUMBER(FIND(CODES!$A$12,CW60)),CODES!$A$12,IF(OR(ISNUMBER(FIND(CODES!$A$10,CW60)),ISNUMBER(FIND(CODES!$A$11,CW60))),CODES!$A$13,IF(OR(CW60&lt;CW$63,ISNUMBER(CW60)=FALSE),CW$64,CW60))))</f>
      </c>
      <c r="CX112" s="9" t="str">
        <f>IF(ISBLANK(CX60),"NO DATA",IF(ISNUMBER(FIND(CODES!$A$12,CX60)),CODES!$A$12,IF(OR(ISNUMBER(FIND(CODES!$A$10,CX60)),ISNUMBER(FIND(CODES!$A$11,CX60))),CODES!$A$13,IF(OR(CX60&lt;CX$63,ISNUMBER(CX60)=FALSE),CX$64,CX60))))</f>
      </c>
      <c r="CY112" s="9" t="str">
        <f>IF(ISBLANK(CY60),"NO DATA",IF(ISNUMBER(FIND(CODES!$A$12,CY60)),CODES!$A$12,IF(OR(ISNUMBER(FIND(CODES!$A$10,CY60)),ISNUMBER(FIND(CODES!$A$11,CY60))),CODES!$A$13,IF(OR(CY60&lt;CY$63,ISNUMBER(CY60)=FALSE),CY$64,CY60))))</f>
      </c>
      <c r="CZ112" s="9" t="str">
        <f>IF(ISBLANK(CZ60),"NO DATA",IF(ISNUMBER(FIND(CODES!$A$12,CZ60)),CODES!$A$12,IF(OR(ISNUMBER(FIND(CODES!$A$10,CZ60)),ISNUMBER(FIND(CODES!$A$11,CZ60))),CODES!$A$13,IF(OR(CZ60&lt;CZ$63,ISNUMBER(CZ60)=FALSE),CZ$64,CZ60))))</f>
      </c>
      <c r="DA112" s="9" t="str">
        <f>IF(ISBLANK(DA60),"NO DATA",IF(ISNUMBER(FIND(CODES!$A$12,DA60)),CODES!$A$12,IF(OR(ISNUMBER(FIND(CODES!$A$10,DA60)),ISNUMBER(FIND(CODES!$A$11,DA60))),CODES!$A$13,IF(OR(DA60&lt;DA$63,ISNUMBER(DA60)=FALSE),DA$64,DA60))))</f>
      </c>
      <c r="DB112" s="9" t="str">
        <f>IF(ISBLANK(DB60),"NO DATA",IF(ISNUMBER(FIND(CODES!$A$12,DB60)),CODES!$A$12,IF(OR(ISNUMBER(FIND(CODES!$A$10,DB60)),ISNUMBER(FIND(CODES!$A$11,DB60))),CODES!$A$13,IF(OR(DB60&lt;DB$63,ISNUMBER(DB60)=FALSE),DB$64,DB60))))</f>
      </c>
      <c r="DC112" s="9" t="str">
        <f>IF(ISBLANK(DC60),"NO DATA",IF(ISNUMBER(FIND(CODES!$A$12,DC60)),CODES!$A$12,IF(OR(ISNUMBER(FIND(CODES!$A$10,DC60)),ISNUMBER(FIND(CODES!$A$11,DC60))),CODES!$A$13,IF(OR(DC60&lt;DC$63,ISNUMBER(DC60)=FALSE),DC$64,DC60))))</f>
      </c>
      <c r="DD112" s="9" t="str">
        <f>IF(ISBLANK(DD60),"NO DATA",IF(ISNUMBER(FIND(CODES!$A$12,DD60)),CODES!$A$12,IF(OR(ISNUMBER(FIND(CODES!$A$10,DD60)),ISNUMBER(FIND(CODES!$A$11,DD60))),CODES!$A$13,IF(OR(DD60&lt;DD$63,ISNUMBER(DD60)=FALSE),DD$64,DD60))))</f>
      </c>
      <c r="DE112" s="9" t="str">
        <f>IF(ISBLANK(DE60),"NO DATA",IF(ISNUMBER(FIND(CODES!$A$12,DE60)),CODES!$A$12,IF(OR(ISNUMBER(FIND(CODES!$A$10,DE60)),ISNUMBER(FIND(CODES!$A$11,DE60))),CODES!$A$13,IF(OR(DE60&lt;DE$63,ISNUMBER(DE60)=FALSE),DE$64,DE60))))</f>
      </c>
      <c r="DF112" s="9" t="str">
        <f>IF(ISBLANK(DF60),"NO DATA",IF(ISNUMBER(FIND(CODES!$A$12,DF60)),CODES!$A$12,IF(OR(ISNUMBER(FIND(CODES!$A$10,DF60)),ISNUMBER(FIND(CODES!$A$11,DF60))),CODES!$A$13,IF(OR(DF60&lt;DF$63,ISNUMBER(DF60)=FALSE),DF$64,DF60))))</f>
      </c>
      <c r="DG112" s="9" t="str">
        <f>IF(ISBLANK(DG60),"NO DATA",IF(ISNUMBER(FIND(CODES!$A$12,DG60)),CODES!$A$12,IF(OR(ISNUMBER(FIND(CODES!$A$10,DG60)),ISNUMBER(FIND(CODES!$A$11,DG60))),CODES!$A$13,IF(OR(DG60&lt;DG$63,ISNUMBER(DG60)=FALSE),DG$64,DG60))))</f>
      </c>
      <c r="DH112" s="9" t="str">
        <f>IF(ISBLANK(DH60),"NO DATA",IF(ISNUMBER(FIND(CODES!$A$12,DH60)),CODES!$A$12,IF(OR(ISNUMBER(FIND(CODES!$A$10,DH60)),ISNUMBER(FIND(CODES!$A$11,DH60))),CODES!$A$13,IF(OR(DH60&lt;DH$63,ISNUMBER(DH60)=FALSE),DH$64,DH60))))</f>
      </c>
      <c r="DI112" s="9" t="str">
        <f>IF(ISBLANK(DI60),"NO DATA",IF(ISNUMBER(FIND(CODES!$A$12,DI60)),CODES!$A$12,IF(OR(ISNUMBER(FIND(CODES!$A$10,DI60)),ISNUMBER(FIND(CODES!$A$11,DI60))),CODES!$A$13,IF(OR(DI60&lt;DI$63,ISNUMBER(DI60)=FALSE),DI$64,DI60))))</f>
      </c>
    </row>
    <row r="113" spans="1:113" x14ac:dyDescent="0.25">
      <c r="A113" s="20" t="str">
        <f t="shared" si="6"/>
      </c>
      <c r="B113" s="20">
        <f t="shared" si="6"/>
      </c>
      <c r="C113" s="9" t="str">
        <f>IF(ISBLANK(C61),"NO DATA",IF(ISNUMBER(FIND(CODES!$A$12,C61)),CODES!$A$12,IF(OR(ISNUMBER(FIND(CODES!$A$10,C61)),ISNUMBER(FIND(CODES!$A$11,C61))),CODES!$A$13,IF(OR(C61&lt;C$63,ISNUMBER(C61)=FALSE),C$64,C61))))</f>
      </c>
      <c r="D113" s="9" t="str">
        <f>IF(ISBLANK(D61),"NO DATA",IF(ISNUMBER(FIND(CODES!$A$12,D61)),CODES!$A$12,IF(OR(ISNUMBER(FIND(CODES!$A$10,D61)),ISNUMBER(FIND(CODES!$A$11,D61))),CODES!$A$13,IF(OR(D61&lt;D$63,ISNUMBER(D61)=FALSE),D$64,D61))))</f>
      </c>
      <c r="E113" s="9" t="str">
        <f>IF(ISBLANK(E61),"NO DATA",IF(ISNUMBER(FIND(CODES!$A$12,E61)),CODES!$A$12,IF(OR(ISNUMBER(FIND(CODES!$A$10,E61)),ISNUMBER(FIND(CODES!$A$11,E61))),CODES!$A$13,IF(OR(E61&lt;E$63,ISNUMBER(E61)=FALSE),E$64,E61))))</f>
      </c>
      <c r="F113" s="9" t="str">
        <f>IF(ISBLANK(F61),"NO DATA",IF(ISNUMBER(FIND(CODES!$A$12,F61)),CODES!$A$12,IF(OR(ISNUMBER(FIND(CODES!$A$10,F61)),ISNUMBER(FIND(CODES!$A$11,F61))),CODES!$A$13,IF(OR(F61&lt;F$63,ISNUMBER(F61)=FALSE),F$64,F61))))</f>
      </c>
      <c r="G113" s="9" t="str">
        <f>IF(ISBLANK(G61),"NO DATA",IF(ISNUMBER(FIND(CODES!$A$12,G61)),CODES!$A$12,IF(OR(ISNUMBER(FIND(CODES!$A$10,G61)),ISNUMBER(FIND(CODES!$A$11,G61))),CODES!$A$13,IF(OR(G61&lt;G$63,ISNUMBER(G61)=FALSE),G$64,G61))))</f>
      </c>
      <c r="H113" s="9" t="str">
        <f>IF(ISBLANK(H61),"NO DATA",IF(ISNUMBER(FIND(CODES!$A$12,H61)),CODES!$A$12,IF(OR(ISNUMBER(FIND(CODES!$A$10,H61)),ISNUMBER(FIND(CODES!$A$11,H61))),CODES!$A$13,IF(OR(H61&lt;H$63,ISNUMBER(H61)=FALSE),H$64,H61))))</f>
      </c>
      <c r="I113" s="9" t="str">
        <f>IF(ISBLANK(I61),"NO DATA",IF(ISNUMBER(FIND(CODES!$A$12,I61)),CODES!$A$12,IF(OR(ISNUMBER(FIND(CODES!$A$10,I61)),ISNUMBER(FIND(CODES!$A$11,I61))),CODES!$A$13,IF(OR(I61&lt;I$63,ISNUMBER(I61)=FALSE),I$64,I61))))</f>
      </c>
      <c r="J113" s="9" t="str">
        <f>IF(ISBLANK(J61),"NO DATA",IF(ISNUMBER(FIND(CODES!$A$12,J61)),CODES!$A$12,IF(OR(ISNUMBER(FIND(CODES!$A$10,J61)),ISNUMBER(FIND(CODES!$A$11,J61))),CODES!$A$13,IF(OR(J61&lt;J$63,ISNUMBER(J61)=FALSE),J$64,J61))))</f>
      </c>
      <c r="K113" s="9" t="str">
        <f>IF(ISBLANK(K61),"NO DATA",IF(ISNUMBER(FIND(CODES!$A$12,K61)),CODES!$A$12,IF(OR(ISNUMBER(FIND(CODES!$A$10,K61)),ISNUMBER(FIND(CODES!$A$11,K61))),CODES!$A$13,IF(OR(K61&lt;K$63,ISNUMBER(K61)=FALSE),K$64,K61))))</f>
      </c>
      <c r="L113" s="9" t="str">
        <f>IF(ISBLANK(L61),"NO DATA",IF(ISNUMBER(FIND(CODES!$A$12,L61)),CODES!$A$12,IF(OR(ISNUMBER(FIND(CODES!$A$10,L61)),ISNUMBER(FIND(CODES!$A$11,L61))),CODES!$A$13,IF(OR(L61&lt;L$63,ISNUMBER(L61)=FALSE),L$64,L61))))</f>
      </c>
      <c r="M113" s="9" t="str">
        <f>IF(ISBLANK(M61),"NO DATA",IF(ISNUMBER(FIND(CODES!$A$12,M61)),CODES!$A$12,IF(OR(ISNUMBER(FIND(CODES!$A$10,M61)),ISNUMBER(FIND(CODES!$A$11,M61))),CODES!$A$13,IF(OR(M61&lt;M$63,ISNUMBER(M61)=FALSE),M$64,M61))))</f>
      </c>
      <c r="N113" s="9" t="str">
        <f>IF(ISBLANK(N61),"NO DATA",IF(ISNUMBER(FIND(CODES!$A$12,N61)),CODES!$A$12,IF(OR(ISNUMBER(FIND(CODES!$A$10,N61)),ISNUMBER(FIND(CODES!$A$11,N61))),CODES!$A$13,IF(OR(N61&lt;N$63,ISNUMBER(N61)=FALSE),N$64,N61))))</f>
      </c>
      <c r="O113" s="9" t="str">
        <f>IF(ISBLANK(O61),"NO DATA",IF(ISNUMBER(FIND(CODES!$A$12,O61)),CODES!$A$12,IF(OR(ISNUMBER(FIND(CODES!$A$10,O61)),ISNUMBER(FIND(CODES!$A$11,O61))),CODES!$A$13,IF(OR(O61&lt;O$63,ISNUMBER(O61)=FALSE),O$64,O61))))</f>
      </c>
      <c r="P113" s="9" t="str">
        <f>IF(ISBLANK(P61),"NO DATA",IF(ISNUMBER(FIND(CODES!$A$12,P61)),CODES!$A$12,IF(OR(ISNUMBER(FIND(CODES!$A$10,P61)),ISNUMBER(FIND(CODES!$A$11,P61))),CODES!$A$13,IF(OR(P61&lt;P$63,ISNUMBER(P61)=FALSE),P$64,P61))))</f>
      </c>
      <c r="Q113" s="9" t="str">
        <f>IF(ISBLANK(Q61),"NO DATA",IF(ISNUMBER(FIND(CODES!$A$12,Q61)),CODES!$A$12,IF(OR(ISNUMBER(FIND(CODES!$A$10,Q61)),ISNUMBER(FIND(CODES!$A$11,Q61))),CODES!$A$13,IF(OR(Q61&lt;Q$63,ISNUMBER(Q61)=FALSE),Q$64,Q61))))</f>
      </c>
      <c r="R113" s="9" t="str">
        <f>IF(ISBLANK(R61),"NO DATA",IF(ISNUMBER(FIND(CODES!$A$12,R61)),CODES!$A$12,IF(OR(ISNUMBER(FIND(CODES!$A$10,R61)),ISNUMBER(FIND(CODES!$A$11,R61))),CODES!$A$13,IF(OR(R61&lt;R$63,ISNUMBER(R61)=FALSE),R$64,R61))))</f>
      </c>
      <c r="S113" s="9" t="str">
        <f>IF(ISBLANK(S61),"NO DATA",IF(ISNUMBER(FIND(CODES!$A$12,S61)),CODES!$A$12,IF(OR(ISNUMBER(FIND(CODES!$A$10,S61)),ISNUMBER(FIND(CODES!$A$11,S61))),CODES!$A$13,IF(OR(S61&lt;S$63,ISNUMBER(S61)=FALSE),S$64,S61))))</f>
      </c>
      <c r="T113" s="9" t="str">
        <f>IF(ISBLANK(T61),"NO DATA",IF(ISNUMBER(FIND(CODES!$A$12,T61)),CODES!$A$12,IF(OR(ISNUMBER(FIND(CODES!$A$10,T61)),ISNUMBER(FIND(CODES!$A$11,T61))),CODES!$A$13,IF(OR(T61&lt;T$63,ISNUMBER(T61)=FALSE),T$64,T61))))</f>
      </c>
      <c r="U113" s="9" t="str">
        <f>IF(ISBLANK(U61),"NO DATA",IF(ISNUMBER(FIND(CODES!$A$12,U61)),CODES!$A$12,IF(OR(ISNUMBER(FIND(CODES!$A$10,U61)),ISNUMBER(FIND(CODES!$A$11,U61))),CODES!$A$13,IF(OR(U61&lt;U$63,ISNUMBER(U61)=FALSE),U$64,U61))))</f>
      </c>
      <c r="V113" s="9" t="str">
        <f>IF(ISBLANK(V61),"NO DATA",IF(ISNUMBER(FIND(CODES!$A$12,V61)),CODES!$A$12,IF(OR(ISNUMBER(FIND(CODES!$A$10,V61)),ISNUMBER(FIND(CODES!$A$11,V61))),CODES!$A$13,IF(OR(V61&lt;V$63,ISNUMBER(V61)=FALSE),V$64,V61))))</f>
      </c>
      <c r="W113" s="9" t="str">
        <f>IF(ISBLANK(W61),"NO DATA",IF(ISNUMBER(FIND(CODES!$A$12,W61)),CODES!$A$12,IF(OR(ISNUMBER(FIND(CODES!$A$10,W61)),ISNUMBER(FIND(CODES!$A$11,W61))),CODES!$A$13,IF(OR(W61&lt;W$63,ISNUMBER(W61)=FALSE),W$64,W61))))</f>
      </c>
      <c r="X113" s="9" t="str">
        <f>IF(ISBLANK(X61),"NO DATA",IF(ISNUMBER(FIND(CODES!$A$12,X61)),CODES!$A$12,IF(OR(ISNUMBER(FIND(CODES!$A$10,X61)),ISNUMBER(FIND(CODES!$A$11,X61))),CODES!$A$13,IF(OR(X61&lt;X$63,ISNUMBER(X61)=FALSE),X$64,X61))))</f>
      </c>
      <c r="Y113" s="9" t="str">
        <f>IF(ISBLANK(Y61),"NO DATA",IF(ISNUMBER(FIND(CODES!$A$12,Y61)),CODES!$A$12,IF(OR(ISNUMBER(FIND(CODES!$A$10,Y61)),ISNUMBER(FIND(CODES!$A$11,Y61))),CODES!$A$13,IF(OR(Y61&lt;Y$63,ISNUMBER(Y61)=FALSE),Y$64,Y61))))</f>
      </c>
      <c r="Z113" s="9" t="str">
        <f>IF(ISBLANK(Z61),"NO DATA",IF(ISNUMBER(FIND(CODES!$A$12,Z61)),CODES!$A$12,IF(OR(ISNUMBER(FIND(CODES!$A$10,Z61)),ISNUMBER(FIND(CODES!$A$11,Z61))),CODES!$A$13,IF(OR(Z61&lt;Z$63,ISNUMBER(Z61)=FALSE),Z$64,Z61))))</f>
      </c>
      <c r="AA113" s="9" t="str">
        <f>IF(ISBLANK(AA61),"NO DATA",IF(ISNUMBER(FIND(CODES!$A$12,AA61)),CODES!$A$12,IF(OR(ISNUMBER(FIND(CODES!$A$10,AA61)),ISNUMBER(FIND(CODES!$A$11,AA61))),CODES!$A$13,IF(OR(AA61&lt;AA$63,ISNUMBER(AA61)=FALSE),AA$64,AA61))))</f>
      </c>
      <c r="AB113" s="9" t="str">
        <f>IF(ISBLANK(AB61),"NO DATA",IF(ISNUMBER(FIND(CODES!$A$12,AB61)),CODES!$A$12,IF(OR(ISNUMBER(FIND(CODES!$A$10,AB61)),ISNUMBER(FIND(CODES!$A$11,AB61))),CODES!$A$13,IF(OR(AB61&lt;AB$63,ISNUMBER(AB61)=FALSE),AB$64,AB61))))</f>
      </c>
      <c r="AC113" s="9" t="str">
        <f>IF(ISBLANK(AC61),"NO DATA",IF(ISNUMBER(FIND(CODES!$A$12,AC61)),CODES!$A$12,IF(OR(ISNUMBER(FIND(CODES!$A$10,AC61)),ISNUMBER(FIND(CODES!$A$11,AC61))),CODES!$A$13,IF(OR(AC61&lt;AC$63,ISNUMBER(AC61)=FALSE),AC$64,AC61))))</f>
      </c>
      <c r="AD113" s="9" t="str">
        <f>IF(ISBLANK(AD61),"NO DATA",IF(ISNUMBER(FIND(CODES!$A$12,AD61)),CODES!$A$12,IF(OR(ISNUMBER(FIND(CODES!$A$10,AD61)),ISNUMBER(FIND(CODES!$A$11,AD61))),CODES!$A$13,IF(OR(AD61&lt;AD$63,ISNUMBER(AD61)=FALSE),AD$64,AD61))))</f>
      </c>
      <c r="AE113" s="9" t="str">
        <f>IF(ISBLANK(AE61),"NO DATA",IF(ISNUMBER(FIND(CODES!$A$12,AE61)),CODES!$A$12,IF(OR(ISNUMBER(FIND(CODES!$A$10,AE61)),ISNUMBER(FIND(CODES!$A$11,AE61))),CODES!$A$13,IF(OR(AE61&lt;AE$63,ISNUMBER(AE61)=FALSE),AE$64,AE61))))</f>
      </c>
      <c r="AF113" s="9" t="str">
        <f>IF(ISBLANK(AF61),"NO DATA",IF(ISNUMBER(FIND(CODES!$A$12,AF61)),CODES!$A$12,IF(OR(ISNUMBER(FIND(CODES!$A$10,AF61)),ISNUMBER(FIND(CODES!$A$11,AF61))),CODES!$A$13,IF(OR(AF61&lt;AF$63,ISNUMBER(AF61)=FALSE),AF$64,AF61))))</f>
      </c>
      <c r="AG113" s="9" t="str">
        <f>IF(ISBLANK(AG61),"NO DATA",IF(ISNUMBER(FIND(CODES!$A$12,AG61)),CODES!$A$12,IF(OR(ISNUMBER(FIND(CODES!$A$10,AG61)),ISNUMBER(FIND(CODES!$A$11,AG61))),CODES!$A$13,IF(OR(AG61&lt;AG$63,ISNUMBER(AG61)=FALSE),AG$64,AG61))))</f>
      </c>
      <c r="AH113" s="9" t="str">
        <f>IF(ISBLANK(AH61),"NO DATA",IF(ISNUMBER(FIND(CODES!$A$12,AH61)),CODES!$A$12,IF(OR(ISNUMBER(FIND(CODES!$A$10,AH61)),ISNUMBER(FIND(CODES!$A$11,AH61))),CODES!$A$13,IF(OR(AH61&lt;AH$63,ISNUMBER(AH61)=FALSE),AH$64,AH61))))</f>
      </c>
      <c r="AI113" s="9" t="str">
        <f>IF(ISBLANK(AI61),"NO DATA",IF(ISNUMBER(FIND(CODES!$A$12,AI61)),CODES!$A$12,IF(OR(ISNUMBER(FIND(CODES!$A$10,AI61)),ISNUMBER(FIND(CODES!$A$11,AI61))),CODES!$A$13,IF(OR(AI61&lt;AI$63,ISNUMBER(AI61)=FALSE),AI$64,AI61))))</f>
      </c>
      <c r="AJ113" s="9" t="str">
        <f>IF(ISBLANK(AJ61),"NO DATA",IF(ISNUMBER(FIND(CODES!$A$12,AJ61)),CODES!$A$12,IF(OR(ISNUMBER(FIND(CODES!$A$10,AJ61)),ISNUMBER(FIND(CODES!$A$11,AJ61))),CODES!$A$13,IF(OR(AJ61&lt;AJ$63,ISNUMBER(AJ61)=FALSE),AJ$64,AJ61))))</f>
      </c>
      <c r="AK113" s="9" t="str">
        <f>IF(ISBLANK(AK61),"NO DATA",IF(ISNUMBER(FIND(CODES!$A$12,AK61)),CODES!$A$12,IF(OR(ISNUMBER(FIND(CODES!$A$10,AK61)),ISNUMBER(FIND(CODES!$A$11,AK61))),CODES!$A$13,IF(OR(AK61&lt;AK$63,ISNUMBER(AK61)=FALSE),AK$64,AK61))))</f>
      </c>
      <c r="AL113" s="9" t="str">
        <f>IF(ISBLANK(AL61),"NO DATA",IF(ISNUMBER(FIND(CODES!$A$12,AL61)),CODES!$A$12,IF(OR(ISNUMBER(FIND(CODES!$A$10,AL61)),ISNUMBER(FIND(CODES!$A$11,AL61))),CODES!$A$13,IF(OR(AL61&lt;AL$63,ISNUMBER(AL61)=FALSE),AL$64,AL61))))</f>
      </c>
      <c r="AM113" s="9" t="str">
        <f>IF(ISBLANK(AM61),"NO DATA",IF(ISNUMBER(FIND(CODES!$A$12,AM61)),CODES!$A$12,IF(OR(ISNUMBER(FIND(CODES!$A$10,AM61)),ISNUMBER(FIND(CODES!$A$11,AM61))),CODES!$A$13,IF(OR(AM61&lt;AM$63,ISNUMBER(AM61)=FALSE),AM$64,AM61))))</f>
      </c>
      <c r="AN113" s="9" t="str">
        <f>IF(ISBLANK(AN61),"NO DATA",IF(ISNUMBER(FIND(CODES!$A$12,AN61)),CODES!$A$12,IF(OR(ISNUMBER(FIND(CODES!$A$10,AN61)),ISNUMBER(FIND(CODES!$A$11,AN61))),CODES!$A$13,IF(OR(AN61&lt;AN$63,ISNUMBER(AN61)=FALSE),AN$64,AN61))))</f>
      </c>
      <c r="AO113" s="9" t="str">
        <f>IF(ISBLANK(AO61),"NO DATA",IF(ISNUMBER(FIND(CODES!$A$12,AO61)),CODES!$A$12,IF(OR(ISNUMBER(FIND(CODES!$A$10,AO61)),ISNUMBER(FIND(CODES!$A$11,AO61))),CODES!$A$13,IF(OR(AO61&lt;AO$63,ISNUMBER(AO61)=FALSE),AO$64,AO61))))</f>
      </c>
      <c r="AP113" s="9" t="str">
        <f>IF(ISBLANK(AP61),"NO DATA",IF(ISNUMBER(FIND(CODES!$A$12,AP61)),CODES!$A$12,IF(OR(ISNUMBER(FIND(CODES!$A$10,AP61)),ISNUMBER(FIND(CODES!$A$11,AP61))),CODES!$A$13,IF(OR(AP61&lt;AP$63,ISNUMBER(AP61)=FALSE),AP$64,AP61))))</f>
      </c>
      <c r="AQ113" s="9" t="str">
        <f>IF(ISBLANK(AQ61),"NO DATA",IF(ISNUMBER(FIND(CODES!$A$12,AQ61)),CODES!$A$12,IF(OR(ISNUMBER(FIND(CODES!$A$10,AQ61)),ISNUMBER(FIND(CODES!$A$11,AQ61))),CODES!$A$13,IF(OR(AQ61&lt;AQ$63,ISNUMBER(AQ61)=FALSE),AQ$64,AQ61))))</f>
      </c>
      <c r="AR113" s="9" t="str">
        <f>IF(ISBLANK(AR61),"NO DATA",IF(ISNUMBER(FIND(CODES!$A$12,AR61)),CODES!$A$12,IF(OR(ISNUMBER(FIND(CODES!$A$10,AR61)),ISNUMBER(FIND(CODES!$A$11,AR61))),CODES!$A$13,IF(OR(AR61&lt;AR$63,ISNUMBER(AR61)=FALSE),AR$64,AR61))))</f>
      </c>
      <c r="AS113" s="9" t="str">
        <f>IF(ISBLANK(AS61),"NO DATA",IF(ISNUMBER(FIND(CODES!$A$12,AS61)),CODES!$A$12,IF(OR(ISNUMBER(FIND(CODES!$A$10,AS61)),ISNUMBER(FIND(CODES!$A$11,AS61))),CODES!$A$13,IF(OR(AS61&lt;AS$63,ISNUMBER(AS61)=FALSE),AS$64,AS61))))</f>
      </c>
      <c r="AT113" s="9" t="str">
        <f>IF(ISBLANK(AT61),"NO DATA",IF(ISNUMBER(FIND(CODES!$A$12,AT61)),CODES!$A$12,IF(OR(ISNUMBER(FIND(CODES!$A$10,AT61)),ISNUMBER(FIND(CODES!$A$11,AT61))),CODES!$A$13,IF(OR(AT61&lt;AT$63,ISNUMBER(AT61)=FALSE),AT$64,AT61))))</f>
      </c>
      <c r="AU113" s="9" t="str">
        <f>IF(ISBLANK(AU61),"NO DATA",IF(ISNUMBER(FIND(CODES!$A$12,AU61)),CODES!$A$12,IF(OR(ISNUMBER(FIND(CODES!$A$10,AU61)),ISNUMBER(FIND(CODES!$A$11,AU61))),CODES!$A$13,IF(OR(AU61&lt;AU$63,ISNUMBER(AU61)=FALSE),AU$64,AU61))))</f>
      </c>
      <c r="AV113" s="9" t="str">
        <f>IF(ISBLANK(AV61),"NO DATA",IF(ISNUMBER(FIND(CODES!$A$12,AV61)),CODES!$A$12,IF(OR(ISNUMBER(FIND(CODES!$A$10,AV61)),ISNUMBER(FIND(CODES!$A$11,AV61))),CODES!$A$13,IF(OR(AV61&lt;AV$63,ISNUMBER(AV61)=FALSE),AV$64,AV61))))</f>
      </c>
      <c r="AW113" s="9" t="str">
        <f>IF(ISBLANK(AW61),"NO DATA",IF(ISNUMBER(FIND(CODES!$A$12,AW61)),CODES!$A$12,IF(OR(ISNUMBER(FIND(CODES!$A$10,AW61)),ISNUMBER(FIND(CODES!$A$11,AW61))),CODES!$A$13,IF(OR(AW61&lt;AW$63,ISNUMBER(AW61)=FALSE),AW$64,AW61))))</f>
      </c>
      <c r="AX113" s="9" t="str">
        <f>IF(ISBLANK(AX61),"NO DATA",IF(ISNUMBER(FIND(CODES!$A$12,AX61)),CODES!$A$12,IF(OR(ISNUMBER(FIND(CODES!$A$10,AX61)),ISNUMBER(FIND(CODES!$A$11,AX61))),CODES!$A$13,IF(OR(AX61&lt;AX$63,ISNUMBER(AX61)=FALSE),AX$64,AX61))))</f>
      </c>
      <c r="AY113" s="9" t="str">
        <f>IF(ISBLANK(AY61),"NO DATA",IF(ISNUMBER(FIND(CODES!$A$12,AY61)),CODES!$A$12,IF(OR(ISNUMBER(FIND(CODES!$A$10,AY61)),ISNUMBER(FIND(CODES!$A$11,AY61))),CODES!$A$13,IF(OR(AY61&lt;AY$63,ISNUMBER(AY61)=FALSE),AY$64,AY61))))</f>
      </c>
      <c r="AZ113" s="9" t="str">
        <f>IF(ISBLANK(AZ61),"NO DATA",IF(ISNUMBER(FIND(CODES!$A$12,AZ61)),CODES!$A$12,IF(OR(ISNUMBER(FIND(CODES!$A$10,AZ61)),ISNUMBER(FIND(CODES!$A$11,AZ61))),CODES!$A$13,IF(OR(AZ61&lt;AZ$63,ISNUMBER(AZ61)=FALSE),AZ$64,AZ61))))</f>
      </c>
      <c r="BA113" s="9" t="str">
        <f>IF(ISBLANK(BA61),"NO DATA",IF(ISNUMBER(FIND(CODES!$A$12,BA61)),CODES!$A$12,IF(OR(ISNUMBER(FIND(CODES!$A$10,BA61)),ISNUMBER(FIND(CODES!$A$11,BA61))),CODES!$A$13,IF(OR(BA61&lt;BA$63,ISNUMBER(BA61)=FALSE),BA$64,BA61))))</f>
      </c>
      <c r="BB113" s="9" t="str">
        <f>IF(ISBLANK(BB61),"NO DATA",IF(ISNUMBER(FIND(CODES!$A$12,BB61)),CODES!$A$12,IF(OR(ISNUMBER(FIND(CODES!$A$10,BB61)),ISNUMBER(FIND(CODES!$A$11,BB61))),CODES!$A$13,IF(OR(BB61&lt;BB$63,ISNUMBER(BB61)=FALSE),BB$64,BB61))))</f>
      </c>
      <c r="BC113" s="9" t="str">
        <f>IF(ISBLANK(BC61),"NO DATA",IF(ISNUMBER(FIND(CODES!$A$12,BC61)),CODES!$A$12,IF(OR(ISNUMBER(FIND(CODES!$A$10,BC61)),ISNUMBER(FIND(CODES!$A$11,BC61))),CODES!$A$13,IF(OR(BC61&lt;BC$63,ISNUMBER(BC61)=FALSE),BC$64,BC61))))</f>
      </c>
      <c r="BD113" s="9" t="str">
        <f>IF(ISBLANK(BD61),"NO DATA",IF(ISNUMBER(FIND(CODES!$A$12,BD61)),CODES!$A$12,IF(OR(ISNUMBER(FIND(CODES!$A$10,BD61)),ISNUMBER(FIND(CODES!$A$11,BD61))),CODES!$A$13,IF(OR(BD61&lt;BD$63,ISNUMBER(BD61)=FALSE),BD$64,BD61))))</f>
      </c>
      <c r="BE113" s="9" t="str">
        <f>IF(ISBLANK(BE61),"NO DATA",IF(ISNUMBER(FIND(CODES!$A$12,BE61)),CODES!$A$12,IF(OR(ISNUMBER(FIND(CODES!$A$10,BE61)),ISNUMBER(FIND(CODES!$A$11,BE61))),CODES!$A$13,IF(OR(BE61&lt;BE$63,ISNUMBER(BE61)=FALSE),BE$64,BE61))))</f>
      </c>
      <c r="BF113" s="9" t="str">
        <f>IF(ISBLANK(BF61),"NO DATA",IF(ISNUMBER(FIND(CODES!$A$12,BF61)),CODES!$A$12,IF(OR(ISNUMBER(FIND(CODES!$A$10,BF61)),ISNUMBER(FIND(CODES!$A$11,BF61))),CODES!$A$13,IF(OR(BF61&lt;BF$63,ISNUMBER(BF61)=FALSE),BF$64,BF61))))</f>
      </c>
      <c r="BG113" s="9" t="str">
        <f>IF(ISBLANK(BG61),"NO DATA",IF(ISNUMBER(FIND(CODES!$A$12,BG61)),CODES!$A$12,IF(OR(ISNUMBER(FIND(CODES!$A$10,BG61)),ISNUMBER(FIND(CODES!$A$11,BG61))),CODES!$A$13,IF(OR(BG61&lt;BG$63,ISNUMBER(BG61)=FALSE),BG$64,BG61))))</f>
      </c>
      <c r="BH113" s="9" t="str">
        <f>IF(ISBLANK(BH61),"NO DATA",IF(ISNUMBER(FIND(CODES!$A$12,BH61)),CODES!$A$12,IF(OR(ISNUMBER(FIND(CODES!$A$10,BH61)),ISNUMBER(FIND(CODES!$A$11,BH61))),CODES!$A$13,IF(OR(BH61&lt;BH$63,ISNUMBER(BH61)=FALSE),BH$64,BH61))))</f>
      </c>
      <c r="BI113" s="9" t="str">
        <f>IF(ISBLANK(BI61),"NO DATA",IF(ISNUMBER(FIND(CODES!$A$12,BI61)),CODES!$A$12,IF(OR(ISNUMBER(FIND(CODES!$A$10,BI61)),ISNUMBER(FIND(CODES!$A$11,BI61))),CODES!$A$13,IF(OR(BI61&lt;BI$63,ISNUMBER(BI61)=FALSE),BI$64,BI61))))</f>
      </c>
      <c r="BJ113" s="9" t="str">
        <f>IF(ISBLANK(BJ61),"NO DATA",IF(ISNUMBER(FIND(CODES!$A$12,BJ61)),CODES!$A$12,IF(OR(ISNUMBER(FIND(CODES!$A$10,BJ61)),ISNUMBER(FIND(CODES!$A$11,BJ61))),CODES!$A$13,IF(OR(BJ61&lt;BJ$63,ISNUMBER(BJ61)=FALSE),BJ$64,BJ61))))</f>
      </c>
      <c r="BK113" s="9" t="str">
        <f>IF(ISBLANK(BK61),"NO DATA",IF(ISNUMBER(FIND(CODES!$A$12,BK61)),CODES!$A$12,IF(OR(ISNUMBER(FIND(CODES!$A$10,BK61)),ISNUMBER(FIND(CODES!$A$11,BK61))),CODES!$A$13,IF(OR(BK61&lt;BK$63,ISNUMBER(BK61)=FALSE),BK$64,BK61))))</f>
      </c>
      <c r="BL113" s="9" t="str">
        <f>IF(ISBLANK(BL61),"NO DATA",IF(ISNUMBER(FIND(CODES!$A$12,BL61)),CODES!$A$12,IF(OR(ISNUMBER(FIND(CODES!$A$10,BL61)),ISNUMBER(FIND(CODES!$A$11,BL61))),CODES!$A$13,IF(OR(BL61&lt;BL$63,ISNUMBER(BL61)=FALSE),BL$64,BL61))))</f>
      </c>
      <c r="BM113" s="9" t="str">
        <f>IF(ISBLANK(BM61),"NO DATA",IF(ISNUMBER(FIND(CODES!$A$12,BM61)),CODES!$A$12,IF(OR(ISNUMBER(FIND(CODES!$A$10,BM61)),ISNUMBER(FIND(CODES!$A$11,BM61))),CODES!$A$13,IF(OR(BM61&lt;BM$63,ISNUMBER(BM61)=FALSE),BM$64,BM61))))</f>
      </c>
      <c r="BN113" s="9" t="str">
        <f>IF(ISBLANK(BN61),"NO DATA",IF(ISNUMBER(FIND(CODES!$A$12,BN61)),CODES!$A$12,IF(OR(ISNUMBER(FIND(CODES!$A$10,BN61)),ISNUMBER(FIND(CODES!$A$11,BN61))),CODES!$A$13,IF(OR(BN61&lt;BN$63,ISNUMBER(BN61)=FALSE),BN$64,BN61))))</f>
      </c>
      <c r="BO113" s="9" t="str">
        <f>IF(ISBLANK(BO61),"NO DATA",IF(ISNUMBER(FIND(CODES!$A$12,BO61)),CODES!$A$12,IF(OR(ISNUMBER(FIND(CODES!$A$10,BO61)),ISNUMBER(FIND(CODES!$A$11,BO61))),CODES!$A$13,IF(OR(BO61&lt;BO$63,ISNUMBER(BO61)=FALSE),BO$64,BO61))))</f>
      </c>
      <c r="BP113" s="9" t="str">
        <f>IF(ISBLANK(BP61),"NO DATA",IF(ISNUMBER(FIND(CODES!$A$12,BP61)),CODES!$A$12,IF(OR(ISNUMBER(FIND(CODES!$A$10,BP61)),ISNUMBER(FIND(CODES!$A$11,BP61))),CODES!$A$13,IF(OR(BP61&lt;BP$63,ISNUMBER(BP61)=FALSE),BP$64,BP61))))</f>
      </c>
      <c r="BQ113" s="9" t="str">
        <f>IF(ISBLANK(BQ61),"NO DATA",IF(ISNUMBER(FIND(CODES!$A$12,BQ61)),CODES!$A$12,IF(OR(ISNUMBER(FIND(CODES!$A$10,BQ61)),ISNUMBER(FIND(CODES!$A$11,BQ61))),CODES!$A$13,IF(OR(BQ61&lt;BQ$63,ISNUMBER(BQ61)=FALSE),BQ$64,BQ61))))</f>
      </c>
      <c r="BR113" s="9" t="str">
        <f>IF(ISBLANK(BR61),"NO DATA",IF(ISNUMBER(FIND(CODES!$A$12,BR61)),CODES!$A$12,IF(OR(ISNUMBER(FIND(CODES!$A$10,BR61)),ISNUMBER(FIND(CODES!$A$11,BR61))),CODES!$A$13,IF(OR(BR61&lt;BR$63,ISNUMBER(BR61)=FALSE),BR$64,BR61))))</f>
      </c>
      <c r="BS113" s="9" t="str">
        <f>IF(ISBLANK(BS61),"NO DATA",IF(ISNUMBER(FIND(CODES!$A$12,BS61)),CODES!$A$12,IF(OR(ISNUMBER(FIND(CODES!$A$10,BS61)),ISNUMBER(FIND(CODES!$A$11,BS61))),CODES!$A$13,IF(OR(BS61&lt;BS$63,ISNUMBER(BS61)=FALSE),BS$64,BS61))))</f>
      </c>
      <c r="BT113" s="9" t="str">
        <f>IF(ISBLANK(BT61),"NO DATA",IF(ISNUMBER(FIND(CODES!$A$12,BT61)),CODES!$A$12,IF(OR(ISNUMBER(FIND(CODES!$A$10,BT61)),ISNUMBER(FIND(CODES!$A$11,BT61))),CODES!$A$13,IF(OR(BT61&lt;BT$63,ISNUMBER(BT61)=FALSE),BT$64,BT61))))</f>
      </c>
      <c r="BU113" s="9" t="str">
        <f>IF(ISBLANK(BU61),"NO DATA",IF(ISNUMBER(FIND(CODES!$A$12,BU61)),CODES!$A$12,IF(OR(ISNUMBER(FIND(CODES!$A$10,BU61)),ISNUMBER(FIND(CODES!$A$11,BU61))),CODES!$A$13,IF(OR(BU61&lt;BU$63,ISNUMBER(BU61)=FALSE),BU$64,BU61))))</f>
      </c>
      <c r="BV113" s="9" t="str">
        <f>IF(ISBLANK(BV61),"NO DATA",IF(ISNUMBER(FIND(CODES!$A$12,BV61)),CODES!$A$12,IF(OR(ISNUMBER(FIND(CODES!$A$10,BV61)),ISNUMBER(FIND(CODES!$A$11,BV61))),CODES!$A$13,IF(OR(BV61&lt;BV$63,ISNUMBER(BV61)=FALSE),BV$64,BV61))))</f>
      </c>
      <c r="BW113" s="9" t="str">
        <f>IF(ISBLANK(BW61),"NO DATA",IF(ISNUMBER(FIND(CODES!$A$12,BW61)),CODES!$A$12,IF(OR(ISNUMBER(FIND(CODES!$A$10,BW61)),ISNUMBER(FIND(CODES!$A$11,BW61))),CODES!$A$13,IF(OR(BW61&lt;BW$63,ISNUMBER(BW61)=FALSE),BW$64,BW61))))</f>
      </c>
      <c r="BX113" s="9" t="str">
        <f>IF(ISBLANK(BX61),"NO DATA",IF(ISNUMBER(FIND(CODES!$A$12,BX61)),CODES!$A$12,IF(OR(ISNUMBER(FIND(CODES!$A$10,BX61)),ISNUMBER(FIND(CODES!$A$11,BX61))),CODES!$A$13,IF(OR(BX61&lt;BX$63,ISNUMBER(BX61)=FALSE),BX$64,BX61))))</f>
      </c>
      <c r="BY113" s="9" t="str">
        <f>IF(ISBLANK(BY61),"NO DATA",IF(ISNUMBER(FIND(CODES!$A$12,BY61)),CODES!$A$12,IF(OR(ISNUMBER(FIND(CODES!$A$10,BY61)),ISNUMBER(FIND(CODES!$A$11,BY61))),CODES!$A$13,IF(OR(BY61&lt;BY$63,ISNUMBER(BY61)=FALSE),BY$64,BY61))))</f>
      </c>
      <c r="BZ113" s="9" t="str">
        <f>IF(ISBLANK(BZ61),"NO DATA",IF(ISNUMBER(FIND(CODES!$A$12,BZ61)),CODES!$A$12,IF(OR(ISNUMBER(FIND(CODES!$A$10,BZ61)),ISNUMBER(FIND(CODES!$A$11,BZ61))),CODES!$A$13,IF(OR(BZ61&lt;BZ$63,ISNUMBER(BZ61)=FALSE),BZ$64,BZ61))))</f>
      </c>
      <c r="CA113" s="9" t="str">
        <f>IF(ISBLANK(CA61),"NO DATA",IF(ISNUMBER(FIND(CODES!$A$12,CA61)),CODES!$A$12,IF(OR(ISNUMBER(FIND(CODES!$A$10,CA61)),ISNUMBER(FIND(CODES!$A$11,CA61))),CODES!$A$13,IF(OR(CA61&lt;CA$63,ISNUMBER(CA61)=FALSE),CA$64,CA61))))</f>
      </c>
      <c r="CB113" s="9" t="str">
        <f>IF(ISBLANK(CB61),"NO DATA",IF(ISNUMBER(FIND(CODES!$A$12,CB61)),CODES!$A$12,IF(OR(ISNUMBER(FIND(CODES!$A$10,CB61)),ISNUMBER(FIND(CODES!$A$11,CB61))),CODES!$A$13,IF(OR(CB61&lt;CB$63,ISNUMBER(CB61)=FALSE),CB$64,CB61))))</f>
      </c>
      <c r="CC113" s="9" t="str">
        <f>IF(ISBLANK(CC61),"NO DATA",IF(ISNUMBER(FIND(CODES!$A$12,CC61)),CODES!$A$12,IF(OR(ISNUMBER(FIND(CODES!$A$10,CC61)),ISNUMBER(FIND(CODES!$A$11,CC61))),CODES!$A$13,IF(OR(CC61&lt;CC$63,ISNUMBER(CC61)=FALSE),CC$64,CC61))))</f>
      </c>
      <c r="CD113" s="9" t="str">
        <f>IF(ISBLANK(CD61),"NO DATA",IF(ISNUMBER(FIND(CODES!$A$12,CD61)),CODES!$A$12,IF(OR(ISNUMBER(FIND(CODES!$A$10,CD61)),ISNUMBER(FIND(CODES!$A$11,CD61))),CODES!$A$13,IF(OR(CD61&lt;CD$63,ISNUMBER(CD61)=FALSE),CD$64,CD61))))</f>
      </c>
      <c r="CE113" s="9" t="str">
        <f>IF(ISBLANK(CE61),"NO DATA",IF(ISNUMBER(FIND(CODES!$A$12,CE61)),CODES!$A$12,IF(OR(ISNUMBER(FIND(CODES!$A$10,CE61)),ISNUMBER(FIND(CODES!$A$11,CE61))),CODES!$A$13,IF(OR(CE61&lt;CE$63,ISNUMBER(CE61)=FALSE),CE$64,CE61))))</f>
      </c>
      <c r="CF113" s="9" t="str">
        <f>IF(ISBLANK(CF61),"NO DATA",IF(ISNUMBER(FIND(CODES!$A$12,CF61)),CODES!$A$12,IF(OR(ISNUMBER(FIND(CODES!$A$10,CF61)),ISNUMBER(FIND(CODES!$A$11,CF61))),CODES!$A$13,IF(OR(CF61&lt;CF$63,ISNUMBER(CF61)=FALSE),CF$64,CF61))))</f>
      </c>
      <c r="CG113" s="9" t="str">
        <f>IF(ISBLANK(CG61),"NO DATA",IF(ISNUMBER(FIND(CODES!$A$12,CG61)),CODES!$A$12,IF(OR(ISNUMBER(FIND(CODES!$A$10,CG61)),ISNUMBER(FIND(CODES!$A$11,CG61))),CODES!$A$13,IF(OR(CG61&lt;CG$63,ISNUMBER(CG61)=FALSE),CG$64,CG61))))</f>
      </c>
      <c r="CH113" s="9" t="str">
        <f>IF(ISBLANK(CH61),"NO DATA",IF(ISNUMBER(FIND(CODES!$A$12,CH61)),CODES!$A$12,IF(OR(ISNUMBER(FIND(CODES!$A$10,CH61)),ISNUMBER(FIND(CODES!$A$11,CH61))),CODES!$A$13,IF(OR(CH61&lt;CH$63,ISNUMBER(CH61)=FALSE),CH$64,CH61))))</f>
      </c>
      <c r="CI113" s="9" t="str">
        <f>IF(ISBLANK(CI61),"NO DATA",IF(ISNUMBER(FIND(CODES!$A$12,CI61)),CODES!$A$12,IF(OR(ISNUMBER(FIND(CODES!$A$10,CI61)),ISNUMBER(FIND(CODES!$A$11,CI61))),CODES!$A$13,IF(OR(CI61&lt;CI$63,ISNUMBER(CI61)=FALSE),CI$64,CI61))))</f>
      </c>
      <c r="CJ113" s="9" t="str">
        <f>IF(ISBLANK(CJ61),"NO DATA",IF(ISNUMBER(FIND(CODES!$A$12,CJ61)),CODES!$A$12,IF(OR(ISNUMBER(FIND(CODES!$A$10,CJ61)),ISNUMBER(FIND(CODES!$A$11,CJ61))),CODES!$A$13,IF(OR(CJ61&lt;CJ$63,ISNUMBER(CJ61)=FALSE),CJ$64,CJ61))))</f>
      </c>
      <c r="CK113" s="9" t="str">
        <f>IF(ISBLANK(CK61),"NO DATA",IF(ISNUMBER(FIND(CODES!$A$12,CK61)),CODES!$A$12,IF(OR(ISNUMBER(FIND(CODES!$A$10,CK61)),ISNUMBER(FIND(CODES!$A$11,CK61))),CODES!$A$13,IF(OR(CK61&lt;CK$63,ISNUMBER(CK61)=FALSE),CK$64,CK61))))</f>
      </c>
      <c r="CL113" s="9" t="str">
        <f>IF(ISBLANK(CL61),"NO DATA",IF(ISNUMBER(FIND(CODES!$A$12,CL61)),CODES!$A$12,IF(OR(ISNUMBER(FIND(CODES!$A$10,CL61)),ISNUMBER(FIND(CODES!$A$11,CL61))),CODES!$A$13,IF(OR(CL61&lt;CL$63,ISNUMBER(CL61)=FALSE),CL$64,CL61))))</f>
      </c>
      <c r="CM113" s="9" t="str">
        <f>IF(ISBLANK(CM61),"NO DATA",IF(ISNUMBER(FIND(CODES!$A$12,CM61)),CODES!$A$12,IF(OR(ISNUMBER(FIND(CODES!$A$10,CM61)),ISNUMBER(FIND(CODES!$A$11,CM61))),CODES!$A$13,IF(OR(CM61&lt;CM$63,ISNUMBER(CM61)=FALSE),CM$64,CM61))))</f>
      </c>
      <c r="CN113" s="9" t="str">
        <f>IF(ISBLANK(CN61),"NO DATA",IF(ISNUMBER(FIND(CODES!$A$12,CN61)),CODES!$A$12,IF(OR(ISNUMBER(FIND(CODES!$A$10,CN61)),ISNUMBER(FIND(CODES!$A$11,CN61))),CODES!$A$13,IF(OR(CN61&lt;CN$63,ISNUMBER(CN61)=FALSE),CN$64,CN61))))</f>
      </c>
      <c r="CO113" s="9" t="str">
        <f>IF(ISBLANK(CO61),"NO DATA",IF(ISNUMBER(FIND(CODES!$A$12,CO61)),CODES!$A$12,IF(OR(ISNUMBER(FIND(CODES!$A$10,CO61)),ISNUMBER(FIND(CODES!$A$11,CO61))),CODES!$A$13,IF(OR(CO61&lt;CO$63,ISNUMBER(CO61)=FALSE),CO$64,CO61))))</f>
      </c>
      <c r="CP113" s="9" t="str">
        <f>IF(ISBLANK(CP61),"NO DATA",IF(ISNUMBER(FIND(CODES!$A$12,CP61)),CODES!$A$12,IF(OR(ISNUMBER(FIND(CODES!$A$10,CP61)),ISNUMBER(FIND(CODES!$A$11,CP61))),CODES!$A$13,IF(OR(CP61&lt;CP$63,ISNUMBER(CP61)=FALSE),CP$64,CP61))))</f>
      </c>
      <c r="CQ113" s="9" t="str">
        <f>IF(ISBLANK(CQ61),"NO DATA",IF(ISNUMBER(FIND(CODES!$A$12,CQ61)),CODES!$A$12,IF(OR(ISNUMBER(FIND(CODES!$A$10,CQ61)),ISNUMBER(FIND(CODES!$A$11,CQ61))),CODES!$A$13,IF(OR(CQ61&lt;CQ$63,ISNUMBER(CQ61)=FALSE),CQ$64,CQ61))))</f>
      </c>
      <c r="CR113" s="9" t="str">
        <f>IF(ISBLANK(CR61),"NO DATA",IF(ISNUMBER(FIND(CODES!$A$12,CR61)),CODES!$A$12,IF(OR(ISNUMBER(FIND(CODES!$A$10,CR61)),ISNUMBER(FIND(CODES!$A$11,CR61))),CODES!$A$13,IF(OR(CR61&lt;CR$63,ISNUMBER(CR61)=FALSE),CR$64,CR61))))</f>
      </c>
      <c r="CS113" s="9" t="str">
        <f>IF(ISBLANK(CS61),"NO DATA",IF(ISNUMBER(FIND(CODES!$A$12,CS61)),CODES!$A$12,IF(OR(ISNUMBER(FIND(CODES!$A$10,CS61)),ISNUMBER(FIND(CODES!$A$11,CS61))),CODES!$A$13,IF(OR(CS61&lt;CS$63,ISNUMBER(CS61)=FALSE),CS$64,CS61))))</f>
      </c>
      <c r="CT113" s="9" t="str">
        <f>IF(ISBLANK(CT61),"NO DATA",IF(ISNUMBER(FIND(CODES!$A$12,CT61)),CODES!$A$12,IF(OR(ISNUMBER(FIND(CODES!$A$10,CT61)),ISNUMBER(FIND(CODES!$A$11,CT61))),CODES!$A$13,IF(OR(CT61&lt;CT$63,ISNUMBER(CT61)=FALSE),CT$64,CT61))))</f>
      </c>
      <c r="CU113" s="9" t="str">
        <f>IF(ISBLANK(CU61),"NO DATA",IF(ISNUMBER(FIND(CODES!$A$12,CU61)),CODES!$A$12,IF(OR(ISNUMBER(FIND(CODES!$A$10,CU61)),ISNUMBER(FIND(CODES!$A$11,CU61))),CODES!$A$13,IF(OR(CU61&lt;CU$63,ISNUMBER(CU61)=FALSE),CU$64,CU61))))</f>
      </c>
      <c r="CV113" s="9" t="str">
        <f>IF(ISBLANK(CV61),"NO DATA",IF(ISNUMBER(FIND(CODES!$A$12,CV61)),CODES!$A$12,IF(OR(ISNUMBER(FIND(CODES!$A$10,CV61)),ISNUMBER(FIND(CODES!$A$11,CV61))),CODES!$A$13,IF(OR(CV61&lt;CV$63,ISNUMBER(CV61)=FALSE),CV$64,CV61))))</f>
      </c>
      <c r="CW113" s="9" t="str">
        <f>IF(ISBLANK(CW61),"NO DATA",IF(ISNUMBER(FIND(CODES!$A$12,CW61)),CODES!$A$12,IF(OR(ISNUMBER(FIND(CODES!$A$10,CW61)),ISNUMBER(FIND(CODES!$A$11,CW61))),CODES!$A$13,IF(OR(CW61&lt;CW$63,ISNUMBER(CW61)=FALSE),CW$64,CW61))))</f>
      </c>
      <c r="CX113" s="9" t="str">
        <f>IF(ISBLANK(CX61),"NO DATA",IF(ISNUMBER(FIND(CODES!$A$12,CX61)),CODES!$A$12,IF(OR(ISNUMBER(FIND(CODES!$A$10,CX61)),ISNUMBER(FIND(CODES!$A$11,CX61))),CODES!$A$13,IF(OR(CX61&lt;CX$63,ISNUMBER(CX61)=FALSE),CX$64,CX61))))</f>
      </c>
      <c r="CY113" s="9" t="str">
        <f>IF(ISBLANK(CY61),"NO DATA",IF(ISNUMBER(FIND(CODES!$A$12,CY61)),CODES!$A$12,IF(OR(ISNUMBER(FIND(CODES!$A$10,CY61)),ISNUMBER(FIND(CODES!$A$11,CY61))),CODES!$A$13,IF(OR(CY61&lt;CY$63,ISNUMBER(CY61)=FALSE),CY$64,CY61))))</f>
      </c>
      <c r="CZ113" s="9" t="str">
        <f>IF(ISBLANK(CZ61),"NO DATA",IF(ISNUMBER(FIND(CODES!$A$12,CZ61)),CODES!$A$12,IF(OR(ISNUMBER(FIND(CODES!$A$10,CZ61)),ISNUMBER(FIND(CODES!$A$11,CZ61))),CODES!$A$13,IF(OR(CZ61&lt;CZ$63,ISNUMBER(CZ61)=FALSE),CZ$64,CZ61))))</f>
      </c>
      <c r="DA113" s="9" t="str">
        <f>IF(ISBLANK(DA61),"NO DATA",IF(ISNUMBER(FIND(CODES!$A$12,DA61)),CODES!$A$12,IF(OR(ISNUMBER(FIND(CODES!$A$10,DA61)),ISNUMBER(FIND(CODES!$A$11,DA61))),CODES!$A$13,IF(OR(DA61&lt;DA$63,ISNUMBER(DA61)=FALSE),DA$64,DA61))))</f>
      </c>
      <c r="DB113" s="9" t="str">
        <f>IF(ISBLANK(DB61),"NO DATA",IF(ISNUMBER(FIND(CODES!$A$12,DB61)),CODES!$A$12,IF(OR(ISNUMBER(FIND(CODES!$A$10,DB61)),ISNUMBER(FIND(CODES!$A$11,DB61))),CODES!$A$13,IF(OR(DB61&lt;DB$63,ISNUMBER(DB61)=FALSE),DB$64,DB61))))</f>
      </c>
      <c r="DC113" s="9" t="str">
        <f>IF(ISBLANK(DC61),"NO DATA",IF(ISNUMBER(FIND(CODES!$A$12,DC61)),CODES!$A$12,IF(OR(ISNUMBER(FIND(CODES!$A$10,DC61)),ISNUMBER(FIND(CODES!$A$11,DC61))),CODES!$A$13,IF(OR(DC61&lt;DC$63,ISNUMBER(DC61)=FALSE),DC$64,DC61))))</f>
      </c>
      <c r="DD113" s="9" t="str">
        <f>IF(ISBLANK(DD61),"NO DATA",IF(ISNUMBER(FIND(CODES!$A$12,DD61)),CODES!$A$12,IF(OR(ISNUMBER(FIND(CODES!$A$10,DD61)),ISNUMBER(FIND(CODES!$A$11,DD61))),CODES!$A$13,IF(OR(DD61&lt;DD$63,ISNUMBER(DD61)=FALSE),DD$64,DD61))))</f>
      </c>
      <c r="DE113" s="9" t="str">
        <f>IF(ISBLANK(DE61),"NO DATA",IF(ISNUMBER(FIND(CODES!$A$12,DE61)),CODES!$A$12,IF(OR(ISNUMBER(FIND(CODES!$A$10,DE61)),ISNUMBER(FIND(CODES!$A$11,DE61))),CODES!$A$13,IF(OR(DE61&lt;DE$63,ISNUMBER(DE61)=FALSE),DE$64,DE61))))</f>
      </c>
      <c r="DF113" s="9" t="str">
        <f>IF(ISBLANK(DF61),"NO DATA",IF(ISNUMBER(FIND(CODES!$A$12,DF61)),CODES!$A$12,IF(OR(ISNUMBER(FIND(CODES!$A$10,DF61)),ISNUMBER(FIND(CODES!$A$11,DF61))),CODES!$A$13,IF(OR(DF61&lt;DF$63,ISNUMBER(DF61)=FALSE),DF$64,DF61))))</f>
      </c>
      <c r="DG113" s="9" t="str">
        <f>IF(ISBLANK(DG61),"NO DATA",IF(ISNUMBER(FIND(CODES!$A$12,DG61)),CODES!$A$12,IF(OR(ISNUMBER(FIND(CODES!$A$10,DG61)),ISNUMBER(FIND(CODES!$A$11,DG61))),CODES!$A$13,IF(OR(DG61&lt;DG$63,ISNUMBER(DG61)=FALSE),DG$64,DG61))))</f>
      </c>
      <c r="DH113" s="9" t="str">
        <f>IF(ISBLANK(DH61),"NO DATA",IF(ISNUMBER(FIND(CODES!$A$12,DH61)),CODES!$A$12,IF(OR(ISNUMBER(FIND(CODES!$A$10,DH61)),ISNUMBER(FIND(CODES!$A$11,DH61))),CODES!$A$13,IF(OR(DH61&lt;DH$63,ISNUMBER(DH61)=FALSE),DH$64,DH61))))</f>
      </c>
      <c r="DI113" s="9" t="str">
        <f>IF(ISBLANK(DI61),"NO DATA",IF(ISNUMBER(FIND(CODES!$A$12,DI61)),CODES!$A$12,IF(OR(ISNUMBER(FIND(CODES!$A$10,DI61)),ISNUMBER(FIND(CODES!$A$11,DI61))),CODES!$A$13,IF(OR(DI61&lt;DI$63,ISNUMBER(DI61)=FALSE),DI$64,DI61))))</f>
      </c>
    </row>
    <row r="114" spans="1:113" x14ac:dyDescent="0.25">
      <c r="A114" s="20" t="str">
        <f t="shared" si="6"/>
      </c>
      <c r="B114" s="20">
        <f t="shared" si="6"/>
      </c>
      <c r="C114" s="9" t="str">
        <f>IF(ISBLANK(C62),"NO DATA",IF(ISNUMBER(FIND(CODES!$A$12,C62)),CODES!$A$12,IF(OR(ISNUMBER(FIND(CODES!$A$10,C62)),ISNUMBER(FIND(CODES!$A$11,C62))),CODES!$A$13,IF(OR(C62&lt;C$63,ISNUMBER(C62)=FALSE),C$64,C62))))</f>
      </c>
      <c r="D114" s="9" t="str">
        <f>IF(ISBLANK(D62),"NO DATA",IF(ISNUMBER(FIND(CODES!$A$12,D62)),CODES!$A$12,IF(OR(ISNUMBER(FIND(CODES!$A$10,D62)),ISNUMBER(FIND(CODES!$A$11,D62))),CODES!$A$13,IF(OR(D62&lt;D$63,ISNUMBER(D62)=FALSE),D$64,D62))))</f>
      </c>
      <c r="E114" s="9" t="str">
        <f>IF(ISBLANK(E62),"NO DATA",IF(ISNUMBER(FIND(CODES!$A$12,E62)),CODES!$A$12,IF(OR(ISNUMBER(FIND(CODES!$A$10,E62)),ISNUMBER(FIND(CODES!$A$11,E62))),CODES!$A$13,IF(OR(E62&lt;E$63,ISNUMBER(E62)=FALSE),E$64,E62))))</f>
      </c>
      <c r="F114" s="9" t="str">
        <f>IF(ISBLANK(F62),"NO DATA",IF(ISNUMBER(FIND(CODES!$A$12,F62)),CODES!$A$12,IF(OR(ISNUMBER(FIND(CODES!$A$10,F62)),ISNUMBER(FIND(CODES!$A$11,F62))),CODES!$A$13,IF(OR(F62&lt;F$63,ISNUMBER(F62)=FALSE),F$64,F62))))</f>
      </c>
      <c r="G114" s="9" t="str">
        <f>IF(ISBLANK(G62),"NO DATA",IF(ISNUMBER(FIND(CODES!$A$12,G62)),CODES!$A$12,IF(OR(ISNUMBER(FIND(CODES!$A$10,G62)),ISNUMBER(FIND(CODES!$A$11,G62))),CODES!$A$13,IF(OR(G62&lt;G$63,ISNUMBER(G62)=FALSE),G$64,G62))))</f>
      </c>
      <c r="H114" s="9" t="str">
        <f>IF(ISBLANK(H62),"NO DATA",IF(ISNUMBER(FIND(CODES!$A$12,H62)),CODES!$A$12,IF(OR(ISNUMBER(FIND(CODES!$A$10,H62)),ISNUMBER(FIND(CODES!$A$11,H62))),CODES!$A$13,IF(OR(H62&lt;H$63,ISNUMBER(H62)=FALSE),H$64,H62))))</f>
      </c>
      <c r="I114" s="9" t="str">
        <f>IF(ISBLANK(I62),"NO DATA",IF(ISNUMBER(FIND(CODES!$A$12,I62)),CODES!$A$12,IF(OR(ISNUMBER(FIND(CODES!$A$10,I62)),ISNUMBER(FIND(CODES!$A$11,I62))),CODES!$A$13,IF(OR(I62&lt;I$63,ISNUMBER(I62)=FALSE),I$64,I62))))</f>
      </c>
      <c r="J114" s="9" t="str">
        <f>IF(ISBLANK(J62),"NO DATA",IF(ISNUMBER(FIND(CODES!$A$12,J62)),CODES!$A$12,IF(OR(ISNUMBER(FIND(CODES!$A$10,J62)),ISNUMBER(FIND(CODES!$A$11,J62))),CODES!$A$13,IF(OR(J62&lt;J$63,ISNUMBER(J62)=FALSE),J$64,J62))))</f>
      </c>
      <c r="K114" s="9" t="str">
        <f>IF(ISBLANK(K62),"NO DATA",IF(ISNUMBER(FIND(CODES!$A$12,K62)),CODES!$A$12,IF(OR(ISNUMBER(FIND(CODES!$A$10,K62)),ISNUMBER(FIND(CODES!$A$11,K62))),CODES!$A$13,IF(OR(K62&lt;K$63,ISNUMBER(K62)=FALSE),K$64,K62))))</f>
      </c>
      <c r="L114" s="9" t="str">
        <f>IF(ISBLANK(L62),"NO DATA",IF(ISNUMBER(FIND(CODES!$A$12,L62)),CODES!$A$12,IF(OR(ISNUMBER(FIND(CODES!$A$10,L62)),ISNUMBER(FIND(CODES!$A$11,L62))),CODES!$A$13,IF(OR(L62&lt;L$63,ISNUMBER(L62)=FALSE),L$64,L62))))</f>
      </c>
      <c r="M114" s="9" t="str">
        <f>IF(ISBLANK(M62),"NO DATA",IF(ISNUMBER(FIND(CODES!$A$12,M62)),CODES!$A$12,IF(OR(ISNUMBER(FIND(CODES!$A$10,M62)),ISNUMBER(FIND(CODES!$A$11,M62))),CODES!$A$13,IF(OR(M62&lt;M$63,ISNUMBER(M62)=FALSE),M$64,M62))))</f>
      </c>
      <c r="N114" s="9" t="str">
        <f>IF(ISBLANK(N62),"NO DATA",IF(ISNUMBER(FIND(CODES!$A$12,N62)),CODES!$A$12,IF(OR(ISNUMBER(FIND(CODES!$A$10,N62)),ISNUMBER(FIND(CODES!$A$11,N62))),CODES!$A$13,IF(OR(N62&lt;N$63,ISNUMBER(N62)=FALSE),N$64,N62))))</f>
      </c>
      <c r="O114" s="9" t="str">
        <f>IF(ISBLANK(O62),"NO DATA",IF(ISNUMBER(FIND(CODES!$A$12,O62)),CODES!$A$12,IF(OR(ISNUMBER(FIND(CODES!$A$10,O62)),ISNUMBER(FIND(CODES!$A$11,O62))),CODES!$A$13,IF(OR(O62&lt;O$63,ISNUMBER(O62)=FALSE),O$64,O62))))</f>
      </c>
      <c r="P114" s="9" t="str">
        <f>IF(ISBLANK(P62),"NO DATA",IF(ISNUMBER(FIND(CODES!$A$12,P62)),CODES!$A$12,IF(OR(ISNUMBER(FIND(CODES!$A$10,P62)),ISNUMBER(FIND(CODES!$A$11,P62))),CODES!$A$13,IF(OR(P62&lt;P$63,ISNUMBER(P62)=FALSE),P$64,P62))))</f>
      </c>
      <c r="Q114" s="9" t="str">
        <f>IF(ISBLANK(Q62),"NO DATA",IF(ISNUMBER(FIND(CODES!$A$12,Q62)),CODES!$A$12,IF(OR(ISNUMBER(FIND(CODES!$A$10,Q62)),ISNUMBER(FIND(CODES!$A$11,Q62))),CODES!$A$13,IF(OR(Q62&lt;Q$63,ISNUMBER(Q62)=FALSE),Q$64,Q62))))</f>
      </c>
      <c r="R114" s="9" t="str">
        <f>IF(ISBLANK(R62),"NO DATA",IF(ISNUMBER(FIND(CODES!$A$12,R62)),CODES!$A$12,IF(OR(ISNUMBER(FIND(CODES!$A$10,R62)),ISNUMBER(FIND(CODES!$A$11,R62))),CODES!$A$13,IF(OR(R62&lt;R$63,ISNUMBER(R62)=FALSE),R$64,R62))))</f>
      </c>
      <c r="S114" s="9" t="str">
        <f>IF(ISBLANK(S62),"NO DATA",IF(ISNUMBER(FIND(CODES!$A$12,S62)),CODES!$A$12,IF(OR(ISNUMBER(FIND(CODES!$A$10,S62)),ISNUMBER(FIND(CODES!$A$11,S62))),CODES!$A$13,IF(OR(S62&lt;S$63,ISNUMBER(S62)=FALSE),S$64,S62))))</f>
      </c>
      <c r="T114" s="9" t="str">
        <f>IF(ISBLANK(T62),"NO DATA",IF(ISNUMBER(FIND(CODES!$A$12,T62)),CODES!$A$12,IF(OR(ISNUMBER(FIND(CODES!$A$10,T62)),ISNUMBER(FIND(CODES!$A$11,T62))),CODES!$A$13,IF(OR(T62&lt;T$63,ISNUMBER(T62)=FALSE),T$64,T62))))</f>
      </c>
      <c r="U114" s="9" t="str">
        <f>IF(ISBLANK(U62),"NO DATA",IF(ISNUMBER(FIND(CODES!$A$12,U62)),CODES!$A$12,IF(OR(ISNUMBER(FIND(CODES!$A$10,U62)),ISNUMBER(FIND(CODES!$A$11,U62))),CODES!$A$13,IF(OR(U62&lt;U$63,ISNUMBER(U62)=FALSE),U$64,U62))))</f>
      </c>
      <c r="V114" s="9" t="str">
        <f>IF(ISBLANK(V62),"NO DATA",IF(ISNUMBER(FIND(CODES!$A$12,V62)),CODES!$A$12,IF(OR(ISNUMBER(FIND(CODES!$A$10,V62)),ISNUMBER(FIND(CODES!$A$11,V62))),CODES!$A$13,IF(OR(V62&lt;V$63,ISNUMBER(V62)=FALSE),V$64,V62))))</f>
      </c>
      <c r="W114" s="9" t="str">
        <f>IF(ISBLANK(W62),"NO DATA",IF(ISNUMBER(FIND(CODES!$A$12,W62)),CODES!$A$12,IF(OR(ISNUMBER(FIND(CODES!$A$10,W62)),ISNUMBER(FIND(CODES!$A$11,W62))),CODES!$A$13,IF(OR(W62&lt;W$63,ISNUMBER(W62)=FALSE),W$64,W62))))</f>
      </c>
      <c r="X114" s="9" t="str">
        <f>IF(ISBLANK(X62),"NO DATA",IF(ISNUMBER(FIND(CODES!$A$12,X62)),CODES!$A$12,IF(OR(ISNUMBER(FIND(CODES!$A$10,X62)),ISNUMBER(FIND(CODES!$A$11,X62))),CODES!$A$13,IF(OR(X62&lt;X$63,ISNUMBER(X62)=FALSE),X$64,X62))))</f>
      </c>
      <c r="Y114" s="9" t="str">
        <f>IF(ISBLANK(Y62),"NO DATA",IF(ISNUMBER(FIND(CODES!$A$12,Y62)),CODES!$A$12,IF(OR(ISNUMBER(FIND(CODES!$A$10,Y62)),ISNUMBER(FIND(CODES!$A$11,Y62))),CODES!$A$13,IF(OR(Y62&lt;Y$63,ISNUMBER(Y62)=FALSE),Y$64,Y62))))</f>
      </c>
      <c r="Z114" s="9" t="str">
        <f>IF(ISBLANK(Z62),"NO DATA",IF(ISNUMBER(FIND(CODES!$A$12,Z62)),CODES!$A$12,IF(OR(ISNUMBER(FIND(CODES!$A$10,Z62)),ISNUMBER(FIND(CODES!$A$11,Z62))),CODES!$A$13,IF(OR(Z62&lt;Z$63,ISNUMBER(Z62)=FALSE),Z$64,Z62))))</f>
      </c>
      <c r="AA114" s="9" t="str">
        <f>IF(ISBLANK(AA62),"NO DATA",IF(ISNUMBER(FIND(CODES!$A$12,AA62)),CODES!$A$12,IF(OR(ISNUMBER(FIND(CODES!$A$10,AA62)),ISNUMBER(FIND(CODES!$A$11,AA62))),CODES!$A$13,IF(OR(AA62&lt;AA$63,ISNUMBER(AA62)=FALSE),AA$64,AA62))))</f>
      </c>
      <c r="AB114" s="9" t="str">
        <f>IF(ISBLANK(AB62),"NO DATA",IF(ISNUMBER(FIND(CODES!$A$12,AB62)),CODES!$A$12,IF(OR(ISNUMBER(FIND(CODES!$A$10,AB62)),ISNUMBER(FIND(CODES!$A$11,AB62))),CODES!$A$13,IF(OR(AB62&lt;AB$63,ISNUMBER(AB62)=FALSE),AB$64,AB62))))</f>
      </c>
      <c r="AC114" s="9" t="str">
        <f>IF(ISBLANK(AC62),"NO DATA",IF(ISNUMBER(FIND(CODES!$A$12,AC62)),CODES!$A$12,IF(OR(ISNUMBER(FIND(CODES!$A$10,AC62)),ISNUMBER(FIND(CODES!$A$11,AC62))),CODES!$A$13,IF(OR(AC62&lt;AC$63,ISNUMBER(AC62)=FALSE),AC$64,AC62))))</f>
      </c>
      <c r="AD114" s="9" t="str">
        <f>IF(ISBLANK(AD62),"NO DATA",IF(ISNUMBER(FIND(CODES!$A$12,AD62)),CODES!$A$12,IF(OR(ISNUMBER(FIND(CODES!$A$10,AD62)),ISNUMBER(FIND(CODES!$A$11,AD62))),CODES!$A$13,IF(OR(AD62&lt;AD$63,ISNUMBER(AD62)=FALSE),AD$64,AD62))))</f>
      </c>
      <c r="AE114" s="9" t="str">
        <f>IF(ISBLANK(AE62),"NO DATA",IF(ISNUMBER(FIND(CODES!$A$12,AE62)),CODES!$A$12,IF(OR(ISNUMBER(FIND(CODES!$A$10,AE62)),ISNUMBER(FIND(CODES!$A$11,AE62))),CODES!$A$13,IF(OR(AE62&lt;AE$63,ISNUMBER(AE62)=FALSE),AE$64,AE62))))</f>
      </c>
      <c r="AF114" s="9" t="str">
        <f>IF(ISBLANK(AF62),"NO DATA",IF(ISNUMBER(FIND(CODES!$A$12,AF62)),CODES!$A$12,IF(OR(ISNUMBER(FIND(CODES!$A$10,AF62)),ISNUMBER(FIND(CODES!$A$11,AF62))),CODES!$A$13,IF(OR(AF62&lt;AF$63,ISNUMBER(AF62)=FALSE),AF$64,AF62))))</f>
      </c>
      <c r="AG114" s="9" t="str">
        <f>IF(ISBLANK(AG62),"NO DATA",IF(ISNUMBER(FIND(CODES!$A$12,AG62)),CODES!$A$12,IF(OR(ISNUMBER(FIND(CODES!$A$10,AG62)),ISNUMBER(FIND(CODES!$A$11,AG62))),CODES!$A$13,IF(OR(AG62&lt;AG$63,ISNUMBER(AG62)=FALSE),AG$64,AG62))))</f>
      </c>
      <c r="AH114" s="9" t="str">
        <f>IF(ISBLANK(AH62),"NO DATA",IF(ISNUMBER(FIND(CODES!$A$12,AH62)),CODES!$A$12,IF(OR(ISNUMBER(FIND(CODES!$A$10,AH62)),ISNUMBER(FIND(CODES!$A$11,AH62))),CODES!$A$13,IF(OR(AH62&lt;AH$63,ISNUMBER(AH62)=FALSE),AH$64,AH62))))</f>
      </c>
      <c r="AI114" s="9" t="str">
        <f>IF(ISBLANK(AI62),"NO DATA",IF(ISNUMBER(FIND(CODES!$A$12,AI62)),CODES!$A$12,IF(OR(ISNUMBER(FIND(CODES!$A$10,AI62)),ISNUMBER(FIND(CODES!$A$11,AI62))),CODES!$A$13,IF(OR(AI62&lt;AI$63,ISNUMBER(AI62)=FALSE),AI$64,AI62))))</f>
      </c>
      <c r="AJ114" s="9" t="str">
        <f>IF(ISBLANK(AJ62),"NO DATA",IF(ISNUMBER(FIND(CODES!$A$12,AJ62)),CODES!$A$12,IF(OR(ISNUMBER(FIND(CODES!$A$10,AJ62)),ISNUMBER(FIND(CODES!$A$11,AJ62))),CODES!$A$13,IF(OR(AJ62&lt;AJ$63,ISNUMBER(AJ62)=FALSE),AJ$64,AJ62))))</f>
      </c>
      <c r="AK114" s="9" t="str">
        <f>IF(ISBLANK(AK62),"NO DATA",IF(ISNUMBER(FIND(CODES!$A$12,AK62)),CODES!$A$12,IF(OR(ISNUMBER(FIND(CODES!$A$10,AK62)),ISNUMBER(FIND(CODES!$A$11,AK62))),CODES!$A$13,IF(OR(AK62&lt;AK$63,ISNUMBER(AK62)=FALSE),AK$64,AK62))))</f>
      </c>
      <c r="AL114" s="9" t="str">
        <f>IF(ISBLANK(AL62),"NO DATA",IF(ISNUMBER(FIND(CODES!$A$12,AL62)),CODES!$A$12,IF(OR(ISNUMBER(FIND(CODES!$A$10,AL62)),ISNUMBER(FIND(CODES!$A$11,AL62))),CODES!$A$13,IF(OR(AL62&lt;AL$63,ISNUMBER(AL62)=FALSE),AL$64,AL62))))</f>
      </c>
      <c r="AM114" s="9" t="str">
        <f>IF(ISBLANK(AM62),"NO DATA",IF(ISNUMBER(FIND(CODES!$A$12,AM62)),CODES!$A$12,IF(OR(ISNUMBER(FIND(CODES!$A$10,AM62)),ISNUMBER(FIND(CODES!$A$11,AM62))),CODES!$A$13,IF(OR(AM62&lt;AM$63,ISNUMBER(AM62)=FALSE),AM$64,AM62))))</f>
      </c>
      <c r="AN114" s="9" t="str">
        <f>IF(ISBLANK(AN62),"NO DATA",IF(ISNUMBER(FIND(CODES!$A$12,AN62)),CODES!$A$12,IF(OR(ISNUMBER(FIND(CODES!$A$10,AN62)),ISNUMBER(FIND(CODES!$A$11,AN62))),CODES!$A$13,IF(OR(AN62&lt;AN$63,ISNUMBER(AN62)=FALSE),AN$64,AN62))))</f>
      </c>
      <c r="AO114" s="9" t="str">
        <f>IF(ISBLANK(AO62),"NO DATA",IF(ISNUMBER(FIND(CODES!$A$12,AO62)),CODES!$A$12,IF(OR(ISNUMBER(FIND(CODES!$A$10,AO62)),ISNUMBER(FIND(CODES!$A$11,AO62))),CODES!$A$13,IF(OR(AO62&lt;AO$63,ISNUMBER(AO62)=FALSE),AO$64,AO62))))</f>
      </c>
      <c r="AP114" s="9" t="str">
        <f>IF(ISBLANK(AP62),"NO DATA",IF(ISNUMBER(FIND(CODES!$A$12,AP62)),CODES!$A$12,IF(OR(ISNUMBER(FIND(CODES!$A$10,AP62)),ISNUMBER(FIND(CODES!$A$11,AP62))),CODES!$A$13,IF(OR(AP62&lt;AP$63,ISNUMBER(AP62)=FALSE),AP$64,AP62))))</f>
      </c>
      <c r="AQ114" s="9" t="str">
        <f>IF(ISBLANK(AQ62),"NO DATA",IF(ISNUMBER(FIND(CODES!$A$12,AQ62)),CODES!$A$12,IF(OR(ISNUMBER(FIND(CODES!$A$10,AQ62)),ISNUMBER(FIND(CODES!$A$11,AQ62))),CODES!$A$13,IF(OR(AQ62&lt;AQ$63,ISNUMBER(AQ62)=FALSE),AQ$64,AQ62))))</f>
      </c>
      <c r="AR114" s="9" t="str">
        <f>IF(ISBLANK(AR62),"NO DATA",IF(ISNUMBER(FIND(CODES!$A$12,AR62)),CODES!$A$12,IF(OR(ISNUMBER(FIND(CODES!$A$10,AR62)),ISNUMBER(FIND(CODES!$A$11,AR62))),CODES!$A$13,IF(OR(AR62&lt;AR$63,ISNUMBER(AR62)=FALSE),AR$64,AR62))))</f>
      </c>
      <c r="AS114" s="9" t="str">
        <f>IF(ISBLANK(AS62),"NO DATA",IF(ISNUMBER(FIND(CODES!$A$12,AS62)),CODES!$A$12,IF(OR(ISNUMBER(FIND(CODES!$A$10,AS62)),ISNUMBER(FIND(CODES!$A$11,AS62))),CODES!$A$13,IF(OR(AS62&lt;AS$63,ISNUMBER(AS62)=FALSE),AS$64,AS62))))</f>
      </c>
      <c r="AT114" s="9" t="str">
        <f>IF(ISBLANK(AT62),"NO DATA",IF(ISNUMBER(FIND(CODES!$A$12,AT62)),CODES!$A$12,IF(OR(ISNUMBER(FIND(CODES!$A$10,AT62)),ISNUMBER(FIND(CODES!$A$11,AT62))),CODES!$A$13,IF(OR(AT62&lt;AT$63,ISNUMBER(AT62)=FALSE),AT$64,AT62))))</f>
      </c>
      <c r="AU114" s="9" t="str">
        <f>IF(ISBLANK(AU62),"NO DATA",IF(ISNUMBER(FIND(CODES!$A$12,AU62)),CODES!$A$12,IF(OR(ISNUMBER(FIND(CODES!$A$10,AU62)),ISNUMBER(FIND(CODES!$A$11,AU62))),CODES!$A$13,IF(OR(AU62&lt;AU$63,ISNUMBER(AU62)=FALSE),AU$64,AU62))))</f>
      </c>
      <c r="AV114" s="9" t="str">
        <f>IF(ISBLANK(AV62),"NO DATA",IF(ISNUMBER(FIND(CODES!$A$12,AV62)),CODES!$A$12,IF(OR(ISNUMBER(FIND(CODES!$A$10,AV62)),ISNUMBER(FIND(CODES!$A$11,AV62))),CODES!$A$13,IF(OR(AV62&lt;AV$63,ISNUMBER(AV62)=FALSE),AV$64,AV62))))</f>
      </c>
      <c r="AW114" s="9" t="str">
        <f>IF(ISBLANK(AW62),"NO DATA",IF(ISNUMBER(FIND(CODES!$A$12,AW62)),CODES!$A$12,IF(OR(ISNUMBER(FIND(CODES!$A$10,AW62)),ISNUMBER(FIND(CODES!$A$11,AW62))),CODES!$A$13,IF(OR(AW62&lt;AW$63,ISNUMBER(AW62)=FALSE),AW$64,AW62))))</f>
      </c>
      <c r="AX114" s="9" t="str">
        <f>IF(ISBLANK(AX62),"NO DATA",IF(ISNUMBER(FIND(CODES!$A$12,AX62)),CODES!$A$12,IF(OR(ISNUMBER(FIND(CODES!$A$10,AX62)),ISNUMBER(FIND(CODES!$A$11,AX62))),CODES!$A$13,IF(OR(AX62&lt;AX$63,ISNUMBER(AX62)=FALSE),AX$64,AX62))))</f>
      </c>
      <c r="AY114" s="9" t="str">
        <f>IF(ISBLANK(AY62),"NO DATA",IF(ISNUMBER(FIND(CODES!$A$12,AY62)),CODES!$A$12,IF(OR(ISNUMBER(FIND(CODES!$A$10,AY62)),ISNUMBER(FIND(CODES!$A$11,AY62))),CODES!$A$13,IF(OR(AY62&lt;AY$63,ISNUMBER(AY62)=FALSE),AY$64,AY62))))</f>
      </c>
      <c r="AZ114" s="9" t="str">
        <f>IF(ISBLANK(AZ62),"NO DATA",IF(ISNUMBER(FIND(CODES!$A$12,AZ62)),CODES!$A$12,IF(OR(ISNUMBER(FIND(CODES!$A$10,AZ62)),ISNUMBER(FIND(CODES!$A$11,AZ62))),CODES!$A$13,IF(OR(AZ62&lt;AZ$63,ISNUMBER(AZ62)=FALSE),AZ$64,AZ62))))</f>
      </c>
      <c r="BA114" s="9" t="str">
        <f>IF(ISBLANK(BA62),"NO DATA",IF(ISNUMBER(FIND(CODES!$A$12,BA62)),CODES!$A$12,IF(OR(ISNUMBER(FIND(CODES!$A$10,BA62)),ISNUMBER(FIND(CODES!$A$11,BA62))),CODES!$A$13,IF(OR(BA62&lt;BA$63,ISNUMBER(BA62)=FALSE),BA$64,BA62))))</f>
      </c>
      <c r="BB114" s="9" t="str">
        <f>IF(ISBLANK(BB62),"NO DATA",IF(ISNUMBER(FIND(CODES!$A$12,BB62)),CODES!$A$12,IF(OR(ISNUMBER(FIND(CODES!$A$10,BB62)),ISNUMBER(FIND(CODES!$A$11,BB62))),CODES!$A$13,IF(OR(BB62&lt;BB$63,ISNUMBER(BB62)=FALSE),BB$64,BB62))))</f>
      </c>
      <c r="BC114" s="9" t="str">
        <f>IF(ISBLANK(BC62),"NO DATA",IF(ISNUMBER(FIND(CODES!$A$12,BC62)),CODES!$A$12,IF(OR(ISNUMBER(FIND(CODES!$A$10,BC62)),ISNUMBER(FIND(CODES!$A$11,BC62))),CODES!$A$13,IF(OR(BC62&lt;BC$63,ISNUMBER(BC62)=FALSE),BC$64,BC62))))</f>
      </c>
      <c r="BD114" s="9" t="str">
        <f>IF(ISBLANK(BD62),"NO DATA",IF(ISNUMBER(FIND(CODES!$A$12,BD62)),CODES!$A$12,IF(OR(ISNUMBER(FIND(CODES!$A$10,BD62)),ISNUMBER(FIND(CODES!$A$11,BD62))),CODES!$A$13,IF(OR(BD62&lt;BD$63,ISNUMBER(BD62)=FALSE),BD$64,BD62))))</f>
      </c>
      <c r="BE114" s="9" t="str">
        <f>IF(ISBLANK(BE62),"NO DATA",IF(ISNUMBER(FIND(CODES!$A$12,BE62)),CODES!$A$12,IF(OR(ISNUMBER(FIND(CODES!$A$10,BE62)),ISNUMBER(FIND(CODES!$A$11,BE62))),CODES!$A$13,IF(OR(BE62&lt;BE$63,ISNUMBER(BE62)=FALSE),BE$64,BE62))))</f>
      </c>
      <c r="BF114" s="9" t="str">
        <f>IF(ISBLANK(BF62),"NO DATA",IF(ISNUMBER(FIND(CODES!$A$12,BF62)),CODES!$A$12,IF(OR(ISNUMBER(FIND(CODES!$A$10,BF62)),ISNUMBER(FIND(CODES!$A$11,BF62))),CODES!$A$13,IF(OR(BF62&lt;BF$63,ISNUMBER(BF62)=FALSE),BF$64,BF62))))</f>
      </c>
      <c r="BG114" s="9" t="str">
        <f>IF(ISBLANK(BG62),"NO DATA",IF(ISNUMBER(FIND(CODES!$A$12,BG62)),CODES!$A$12,IF(OR(ISNUMBER(FIND(CODES!$A$10,BG62)),ISNUMBER(FIND(CODES!$A$11,BG62))),CODES!$A$13,IF(OR(BG62&lt;BG$63,ISNUMBER(BG62)=FALSE),BG$64,BG62))))</f>
      </c>
      <c r="BH114" s="9" t="str">
        <f>IF(ISBLANK(BH62),"NO DATA",IF(ISNUMBER(FIND(CODES!$A$12,BH62)),CODES!$A$12,IF(OR(ISNUMBER(FIND(CODES!$A$10,BH62)),ISNUMBER(FIND(CODES!$A$11,BH62))),CODES!$A$13,IF(OR(BH62&lt;BH$63,ISNUMBER(BH62)=FALSE),BH$64,BH62))))</f>
      </c>
      <c r="BI114" s="9" t="str">
        <f>IF(ISBLANK(BI62),"NO DATA",IF(ISNUMBER(FIND(CODES!$A$12,BI62)),CODES!$A$12,IF(OR(ISNUMBER(FIND(CODES!$A$10,BI62)),ISNUMBER(FIND(CODES!$A$11,BI62))),CODES!$A$13,IF(OR(BI62&lt;BI$63,ISNUMBER(BI62)=FALSE),BI$64,BI62))))</f>
      </c>
      <c r="BJ114" s="9" t="str">
        <f>IF(ISBLANK(BJ62),"NO DATA",IF(ISNUMBER(FIND(CODES!$A$12,BJ62)),CODES!$A$12,IF(OR(ISNUMBER(FIND(CODES!$A$10,BJ62)),ISNUMBER(FIND(CODES!$A$11,BJ62))),CODES!$A$13,IF(OR(BJ62&lt;BJ$63,ISNUMBER(BJ62)=FALSE),BJ$64,BJ62))))</f>
      </c>
      <c r="BK114" s="9" t="str">
        <f>IF(ISBLANK(BK62),"NO DATA",IF(ISNUMBER(FIND(CODES!$A$12,BK62)),CODES!$A$12,IF(OR(ISNUMBER(FIND(CODES!$A$10,BK62)),ISNUMBER(FIND(CODES!$A$11,BK62))),CODES!$A$13,IF(OR(BK62&lt;BK$63,ISNUMBER(BK62)=FALSE),BK$64,BK62))))</f>
      </c>
      <c r="BL114" s="9" t="str">
        <f>IF(ISBLANK(BL62),"NO DATA",IF(ISNUMBER(FIND(CODES!$A$12,BL62)),CODES!$A$12,IF(OR(ISNUMBER(FIND(CODES!$A$10,BL62)),ISNUMBER(FIND(CODES!$A$11,BL62))),CODES!$A$13,IF(OR(BL62&lt;BL$63,ISNUMBER(BL62)=FALSE),BL$64,BL62))))</f>
      </c>
      <c r="BM114" s="9" t="str">
        <f>IF(ISBLANK(BM62),"NO DATA",IF(ISNUMBER(FIND(CODES!$A$12,BM62)),CODES!$A$12,IF(OR(ISNUMBER(FIND(CODES!$A$10,BM62)),ISNUMBER(FIND(CODES!$A$11,BM62))),CODES!$A$13,IF(OR(BM62&lt;BM$63,ISNUMBER(BM62)=FALSE),BM$64,BM62))))</f>
      </c>
      <c r="BN114" s="9" t="str">
        <f>IF(ISBLANK(BN62),"NO DATA",IF(ISNUMBER(FIND(CODES!$A$12,BN62)),CODES!$A$12,IF(OR(ISNUMBER(FIND(CODES!$A$10,BN62)),ISNUMBER(FIND(CODES!$A$11,BN62))),CODES!$A$13,IF(OR(BN62&lt;BN$63,ISNUMBER(BN62)=FALSE),BN$64,BN62))))</f>
      </c>
      <c r="BO114" s="9" t="str">
        <f>IF(ISBLANK(BO62),"NO DATA",IF(ISNUMBER(FIND(CODES!$A$12,BO62)),CODES!$A$12,IF(OR(ISNUMBER(FIND(CODES!$A$10,BO62)),ISNUMBER(FIND(CODES!$A$11,BO62))),CODES!$A$13,IF(OR(BO62&lt;BO$63,ISNUMBER(BO62)=FALSE),BO$64,BO62))))</f>
      </c>
      <c r="BP114" s="9" t="str">
        <f>IF(ISBLANK(BP62),"NO DATA",IF(ISNUMBER(FIND(CODES!$A$12,BP62)),CODES!$A$12,IF(OR(ISNUMBER(FIND(CODES!$A$10,BP62)),ISNUMBER(FIND(CODES!$A$11,BP62))),CODES!$A$13,IF(OR(BP62&lt;BP$63,ISNUMBER(BP62)=FALSE),BP$64,BP62))))</f>
      </c>
      <c r="BQ114" s="9" t="str">
        <f>IF(ISBLANK(BQ62),"NO DATA",IF(ISNUMBER(FIND(CODES!$A$12,BQ62)),CODES!$A$12,IF(OR(ISNUMBER(FIND(CODES!$A$10,BQ62)),ISNUMBER(FIND(CODES!$A$11,BQ62))),CODES!$A$13,IF(OR(BQ62&lt;BQ$63,ISNUMBER(BQ62)=FALSE),BQ$64,BQ62))))</f>
      </c>
      <c r="BR114" s="9" t="str">
        <f>IF(ISBLANK(BR62),"NO DATA",IF(ISNUMBER(FIND(CODES!$A$12,BR62)),CODES!$A$12,IF(OR(ISNUMBER(FIND(CODES!$A$10,BR62)),ISNUMBER(FIND(CODES!$A$11,BR62))),CODES!$A$13,IF(OR(BR62&lt;BR$63,ISNUMBER(BR62)=FALSE),BR$64,BR62))))</f>
      </c>
      <c r="BS114" s="9" t="str">
        <f>IF(ISBLANK(BS62),"NO DATA",IF(ISNUMBER(FIND(CODES!$A$12,BS62)),CODES!$A$12,IF(OR(ISNUMBER(FIND(CODES!$A$10,BS62)),ISNUMBER(FIND(CODES!$A$11,BS62))),CODES!$A$13,IF(OR(BS62&lt;BS$63,ISNUMBER(BS62)=FALSE),BS$64,BS62))))</f>
      </c>
      <c r="BT114" s="9" t="str">
        <f>IF(ISBLANK(BT62),"NO DATA",IF(ISNUMBER(FIND(CODES!$A$12,BT62)),CODES!$A$12,IF(OR(ISNUMBER(FIND(CODES!$A$10,BT62)),ISNUMBER(FIND(CODES!$A$11,BT62))),CODES!$A$13,IF(OR(BT62&lt;BT$63,ISNUMBER(BT62)=FALSE),BT$64,BT62))))</f>
      </c>
      <c r="BU114" s="9" t="str">
        <f>IF(ISBLANK(BU62),"NO DATA",IF(ISNUMBER(FIND(CODES!$A$12,BU62)),CODES!$A$12,IF(OR(ISNUMBER(FIND(CODES!$A$10,BU62)),ISNUMBER(FIND(CODES!$A$11,BU62))),CODES!$A$13,IF(OR(BU62&lt;BU$63,ISNUMBER(BU62)=FALSE),BU$64,BU62))))</f>
      </c>
      <c r="BV114" s="9" t="str">
        <f>IF(ISBLANK(BV62),"NO DATA",IF(ISNUMBER(FIND(CODES!$A$12,BV62)),CODES!$A$12,IF(OR(ISNUMBER(FIND(CODES!$A$10,BV62)),ISNUMBER(FIND(CODES!$A$11,BV62))),CODES!$A$13,IF(OR(BV62&lt;BV$63,ISNUMBER(BV62)=FALSE),BV$64,BV62))))</f>
      </c>
      <c r="BW114" s="9" t="str">
        <f>IF(ISBLANK(BW62),"NO DATA",IF(ISNUMBER(FIND(CODES!$A$12,BW62)),CODES!$A$12,IF(OR(ISNUMBER(FIND(CODES!$A$10,BW62)),ISNUMBER(FIND(CODES!$A$11,BW62))),CODES!$A$13,IF(OR(BW62&lt;BW$63,ISNUMBER(BW62)=FALSE),BW$64,BW62))))</f>
      </c>
      <c r="BX114" s="9" t="str">
        <f>IF(ISBLANK(BX62),"NO DATA",IF(ISNUMBER(FIND(CODES!$A$12,BX62)),CODES!$A$12,IF(OR(ISNUMBER(FIND(CODES!$A$10,BX62)),ISNUMBER(FIND(CODES!$A$11,BX62))),CODES!$A$13,IF(OR(BX62&lt;BX$63,ISNUMBER(BX62)=FALSE),BX$64,BX62))))</f>
      </c>
      <c r="BY114" s="9" t="str">
        <f>IF(ISBLANK(BY62),"NO DATA",IF(ISNUMBER(FIND(CODES!$A$12,BY62)),CODES!$A$12,IF(OR(ISNUMBER(FIND(CODES!$A$10,BY62)),ISNUMBER(FIND(CODES!$A$11,BY62))),CODES!$A$13,IF(OR(BY62&lt;BY$63,ISNUMBER(BY62)=FALSE),BY$64,BY62))))</f>
      </c>
      <c r="BZ114" s="9" t="str">
        <f>IF(ISBLANK(BZ62),"NO DATA",IF(ISNUMBER(FIND(CODES!$A$12,BZ62)),CODES!$A$12,IF(OR(ISNUMBER(FIND(CODES!$A$10,BZ62)),ISNUMBER(FIND(CODES!$A$11,BZ62))),CODES!$A$13,IF(OR(BZ62&lt;BZ$63,ISNUMBER(BZ62)=FALSE),BZ$64,BZ62))))</f>
      </c>
      <c r="CA114" s="9" t="str">
        <f>IF(ISBLANK(CA62),"NO DATA",IF(ISNUMBER(FIND(CODES!$A$12,CA62)),CODES!$A$12,IF(OR(ISNUMBER(FIND(CODES!$A$10,CA62)),ISNUMBER(FIND(CODES!$A$11,CA62))),CODES!$A$13,IF(OR(CA62&lt;CA$63,ISNUMBER(CA62)=FALSE),CA$64,CA62))))</f>
      </c>
      <c r="CB114" s="9" t="str">
        <f>IF(ISBLANK(CB62),"NO DATA",IF(ISNUMBER(FIND(CODES!$A$12,CB62)),CODES!$A$12,IF(OR(ISNUMBER(FIND(CODES!$A$10,CB62)),ISNUMBER(FIND(CODES!$A$11,CB62))),CODES!$A$13,IF(OR(CB62&lt;CB$63,ISNUMBER(CB62)=FALSE),CB$64,CB62))))</f>
      </c>
      <c r="CC114" s="9" t="str">
        <f>IF(ISBLANK(CC62),"NO DATA",IF(ISNUMBER(FIND(CODES!$A$12,CC62)),CODES!$A$12,IF(OR(ISNUMBER(FIND(CODES!$A$10,CC62)),ISNUMBER(FIND(CODES!$A$11,CC62))),CODES!$A$13,IF(OR(CC62&lt;CC$63,ISNUMBER(CC62)=FALSE),CC$64,CC62))))</f>
      </c>
      <c r="CD114" s="9" t="str">
        <f>IF(ISBLANK(CD62),"NO DATA",IF(ISNUMBER(FIND(CODES!$A$12,CD62)),CODES!$A$12,IF(OR(ISNUMBER(FIND(CODES!$A$10,CD62)),ISNUMBER(FIND(CODES!$A$11,CD62))),CODES!$A$13,IF(OR(CD62&lt;CD$63,ISNUMBER(CD62)=FALSE),CD$64,CD62))))</f>
      </c>
      <c r="CE114" s="9" t="str">
        <f>IF(ISBLANK(CE62),"NO DATA",IF(ISNUMBER(FIND(CODES!$A$12,CE62)),CODES!$A$12,IF(OR(ISNUMBER(FIND(CODES!$A$10,CE62)),ISNUMBER(FIND(CODES!$A$11,CE62))),CODES!$A$13,IF(OR(CE62&lt;CE$63,ISNUMBER(CE62)=FALSE),CE$64,CE62))))</f>
      </c>
      <c r="CF114" s="9" t="str">
        <f>IF(ISBLANK(CF62),"NO DATA",IF(ISNUMBER(FIND(CODES!$A$12,CF62)),CODES!$A$12,IF(OR(ISNUMBER(FIND(CODES!$A$10,CF62)),ISNUMBER(FIND(CODES!$A$11,CF62))),CODES!$A$13,IF(OR(CF62&lt;CF$63,ISNUMBER(CF62)=FALSE),CF$64,CF62))))</f>
      </c>
      <c r="CG114" s="9" t="str">
        <f>IF(ISBLANK(CG62),"NO DATA",IF(ISNUMBER(FIND(CODES!$A$12,CG62)),CODES!$A$12,IF(OR(ISNUMBER(FIND(CODES!$A$10,CG62)),ISNUMBER(FIND(CODES!$A$11,CG62))),CODES!$A$13,IF(OR(CG62&lt;CG$63,ISNUMBER(CG62)=FALSE),CG$64,CG62))))</f>
      </c>
      <c r="CH114" s="9" t="str">
        <f>IF(ISBLANK(CH62),"NO DATA",IF(ISNUMBER(FIND(CODES!$A$12,CH62)),CODES!$A$12,IF(OR(ISNUMBER(FIND(CODES!$A$10,CH62)),ISNUMBER(FIND(CODES!$A$11,CH62))),CODES!$A$13,IF(OR(CH62&lt;CH$63,ISNUMBER(CH62)=FALSE),CH$64,CH62))))</f>
      </c>
      <c r="CI114" s="9" t="str">
        <f>IF(ISBLANK(CI62),"NO DATA",IF(ISNUMBER(FIND(CODES!$A$12,CI62)),CODES!$A$12,IF(OR(ISNUMBER(FIND(CODES!$A$10,CI62)),ISNUMBER(FIND(CODES!$A$11,CI62))),CODES!$A$13,IF(OR(CI62&lt;CI$63,ISNUMBER(CI62)=FALSE),CI$64,CI62))))</f>
      </c>
      <c r="CJ114" s="9" t="str">
        <f>IF(ISBLANK(CJ62),"NO DATA",IF(ISNUMBER(FIND(CODES!$A$12,CJ62)),CODES!$A$12,IF(OR(ISNUMBER(FIND(CODES!$A$10,CJ62)),ISNUMBER(FIND(CODES!$A$11,CJ62))),CODES!$A$13,IF(OR(CJ62&lt;CJ$63,ISNUMBER(CJ62)=FALSE),CJ$64,CJ62))))</f>
      </c>
      <c r="CK114" s="9" t="str">
        <f>IF(ISBLANK(CK62),"NO DATA",IF(ISNUMBER(FIND(CODES!$A$12,CK62)),CODES!$A$12,IF(OR(ISNUMBER(FIND(CODES!$A$10,CK62)),ISNUMBER(FIND(CODES!$A$11,CK62))),CODES!$A$13,IF(OR(CK62&lt;CK$63,ISNUMBER(CK62)=FALSE),CK$64,CK62))))</f>
      </c>
      <c r="CL114" s="9" t="str">
        <f>IF(ISBLANK(CL62),"NO DATA",IF(ISNUMBER(FIND(CODES!$A$12,CL62)),CODES!$A$12,IF(OR(ISNUMBER(FIND(CODES!$A$10,CL62)),ISNUMBER(FIND(CODES!$A$11,CL62))),CODES!$A$13,IF(OR(CL62&lt;CL$63,ISNUMBER(CL62)=FALSE),CL$64,CL62))))</f>
      </c>
      <c r="CM114" s="9" t="str">
        <f>IF(ISBLANK(CM62),"NO DATA",IF(ISNUMBER(FIND(CODES!$A$12,CM62)),CODES!$A$12,IF(OR(ISNUMBER(FIND(CODES!$A$10,CM62)),ISNUMBER(FIND(CODES!$A$11,CM62))),CODES!$A$13,IF(OR(CM62&lt;CM$63,ISNUMBER(CM62)=FALSE),CM$64,CM62))))</f>
      </c>
      <c r="CN114" s="9" t="str">
        <f>IF(ISBLANK(CN62),"NO DATA",IF(ISNUMBER(FIND(CODES!$A$12,CN62)),CODES!$A$12,IF(OR(ISNUMBER(FIND(CODES!$A$10,CN62)),ISNUMBER(FIND(CODES!$A$11,CN62))),CODES!$A$13,IF(OR(CN62&lt;CN$63,ISNUMBER(CN62)=FALSE),CN$64,CN62))))</f>
      </c>
      <c r="CO114" s="9" t="str">
        <f>IF(ISBLANK(CO62),"NO DATA",IF(ISNUMBER(FIND(CODES!$A$12,CO62)),CODES!$A$12,IF(OR(ISNUMBER(FIND(CODES!$A$10,CO62)),ISNUMBER(FIND(CODES!$A$11,CO62))),CODES!$A$13,IF(OR(CO62&lt;CO$63,ISNUMBER(CO62)=FALSE),CO$64,CO62))))</f>
      </c>
      <c r="CP114" s="9" t="str">
        <f>IF(ISBLANK(CP62),"NO DATA",IF(ISNUMBER(FIND(CODES!$A$12,CP62)),CODES!$A$12,IF(OR(ISNUMBER(FIND(CODES!$A$10,CP62)),ISNUMBER(FIND(CODES!$A$11,CP62))),CODES!$A$13,IF(OR(CP62&lt;CP$63,ISNUMBER(CP62)=FALSE),CP$64,CP62))))</f>
      </c>
      <c r="CQ114" s="9" t="str">
        <f>IF(ISBLANK(CQ62),"NO DATA",IF(ISNUMBER(FIND(CODES!$A$12,CQ62)),CODES!$A$12,IF(OR(ISNUMBER(FIND(CODES!$A$10,CQ62)),ISNUMBER(FIND(CODES!$A$11,CQ62))),CODES!$A$13,IF(OR(CQ62&lt;CQ$63,ISNUMBER(CQ62)=FALSE),CQ$64,CQ62))))</f>
      </c>
      <c r="CR114" s="9" t="str">
        <f>IF(ISBLANK(CR62),"NO DATA",IF(ISNUMBER(FIND(CODES!$A$12,CR62)),CODES!$A$12,IF(OR(ISNUMBER(FIND(CODES!$A$10,CR62)),ISNUMBER(FIND(CODES!$A$11,CR62))),CODES!$A$13,IF(OR(CR62&lt;CR$63,ISNUMBER(CR62)=FALSE),CR$64,CR62))))</f>
      </c>
      <c r="CS114" s="9" t="str">
        <f>IF(ISBLANK(CS62),"NO DATA",IF(ISNUMBER(FIND(CODES!$A$12,CS62)),CODES!$A$12,IF(OR(ISNUMBER(FIND(CODES!$A$10,CS62)),ISNUMBER(FIND(CODES!$A$11,CS62))),CODES!$A$13,IF(OR(CS62&lt;CS$63,ISNUMBER(CS62)=FALSE),CS$64,CS62))))</f>
      </c>
      <c r="CT114" s="9" t="str">
        <f>IF(ISBLANK(CT62),"NO DATA",IF(ISNUMBER(FIND(CODES!$A$12,CT62)),CODES!$A$12,IF(OR(ISNUMBER(FIND(CODES!$A$10,CT62)),ISNUMBER(FIND(CODES!$A$11,CT62))),CODES!$A$13,IF(OR(CT62&lt;CT$63,ISNUMBER(CT62)=FALSE),CT$64,CT62))))</f>
      </c>
      <c r="CU114" s="9" t="str">
        <f>IF(ISBLANK(CU62),"NO DATA",IF(ISNUMBER(FIND(CODES!$A$12,CU62)),CODES!$A$12,IF(OR(ISNUMBER(FIND(CODES!$A$10,CU62)),ISNUMBER(FIND(CODES!$A$11,CU62))),CODES!$A$13,IF(OR(CU62&lt;CU$63,ISNUMBER(CU62)=FALSE),CU$64,CU62))))</f>
      </c>
      <c r="CV114" s="9" t="str">
        <f>IF(ISBLANK(CV62),"NO DATA",IF(ISNUMBER(FIND(CODES!$A$12,CV62)),CODES!$A$12,IF(OR(ISNUMBER(FIND(CODES!$A$10,CV62)),ISNUMBER(FIND(CODES!$A$11,CV62))),CODES!$A$13,IF(OR(CV62&lt;CV$63,ISNUMBER(CV62)=FALSE),CV$64,CV62))))</f>
      </c>
      <c r="CW114" s="9" t="str">
        <f>IF(ISBLANK(CW62),"NO DATA",IF(ISNUMBER(FIND(CODES!$A$12,CW62)),CODES!$A$12,IF(OR(ISNUMBER(FIND(CODES!$A$10,CW62)),ISNUMBER(FIND(CODES!$A$11,CW62))),CODES!$A$13,IF(OR(CW62&lt;CW$63,ISNUMBER(CW62)=FALSE),CW$64,CW62))))</f>
      </c>
      <c r="CX114" s="9" t="str">
        <f>IF(ISBLANK(CX62),"NO DATA",IF(ISNUMBER(FIND(CODES!$A$12,CX62)),CODES!$A$12,IF(OR(ISNUMBER(FIND(CODES!$A$10,CX62)),ISNUMBER(FIND(CODES!$A$11,CX62))),CODES!$A$13,IF(OR(CX62&lt;CX$63,ISNUMBER(CX62)=FALSE),CX$64,CX62))))</f>
      </c>
      <c r="CY114" s="9" t="str">
        <f>IF(ISBLANK(CY62),"NO DATA",IF(ISNUMBER(FIND(CODES!$A$12,CY62)),CODES!$A$12,IF(OR(ISNUMBER(FIND(CODES!$A$10,CY62)),ISNUMBER(FIND(CODES!$A$11,CY62))),CODES!$A$13,IF(OR(CY62&lt;CY$63,ISNUMBER(CY62)=FALSE),CY$64,CY62))))</f>
      </c>
      <c r="CZ114" s="9" t="str">
        <f>IF(ISBLANK(CZ62),"NO DATA",IF(ISNUMBER(FIND(CODES!$A$12,CZ62)),CODES!$A$12,IF(OR(ISNUMBER(FIND(CODES!$A$10,CZ62)),ISNUMBER(FIND(CODES!$A$11,CZ62))),CODES!$A$13,IF(OR(CZ62&lt;CZ$63,ISNUMBER(CZ62)=FALSE),CZ$64,CZ62))))</f>
      </c>
      <c r="DA114" s="9" t="str">
        <f>IF(ISBLANK(DA62),"NO DATA",IF(ISNUMBER(FIND(CODES!$A$12,DA62)),CODES!$A$12,IF(OR(ISNUMBER(FIND(CODES!$A$10,DA62)),ISNUMBER(FIND(CODES!$A$11,DA62))),CODES!$A$13,IF(OR(DA62&lt;DA$63,ISNUMBER(DA62)=FALSE),DA$64,DA62))))</f>
      </c>
      <c r="DB114" s="9" t="str">
        <f>IF(ISBLANK(DB62),"NO DATA",IF(ISNUMBER(FIND(CODES!$A$12,DB62)),CODES!$A$12,IF(OR(ISNUMBER(FIND(CODES!$A$10,DB62)),ISNUMBER(FIND(CODES!$A$11,DB62))),CODES!$A$13,IF(OR(DB62&lt;DB$63,ISNUMBER(DB62)=FALSE),DB$64,DB62))))</f>
      </c>
      <c r="DC114" s="9" t="str">
        <f>IF(ISBLANK(DC62),"NO DATA",IF(ISNUMBER(FIND(CODES!$A$12,DC62)),CODES!$A$12,IF(OR(ISNUMBER(FIND(CODES!$A$10,DC62)),ISNUMBER(FIND(CODES!$A$11,DC62))),CODES!$A$13,IF(OR(DC62&lt;DC$63,ISNUMBER(DC62)=FALSE),DC$64,DC62))))</f>
      </c>
      <c r="DD114" s="9" t="str">
        <f>IF(ISBLANK(DD62),"NO DATA",IF(ISNUMBER(FIND(CODES!$A$12,DD62)),CODES!$A$12,IF(OR(ISNUMBER(FIND(CODES!$A$10,DD62)),ISNUMBER(FIND(CODES!$A$11,DD62))),CODES!$A$13,IF(OR(DD62&lt;DD$63,ISNUMBER(DD62)=FALSE),DD$64,DD62))))</f>
      </c>
      <c r="DE114" s="9" t="str">
        <f>IF(ISBLANK(DE62),"NO DATA",IF(ISNUMBER(FIND(CODES!$A$12,DE62)),CODES!$A$12,IF(OR(ISNUMBER(FIND(CODES!$A$10,DE62)),ISNUMBER(FIND(CODES!$A$11,DE62))),CODES!$A$13,IF(OR(DE62&lt;DE$63,ISNUMBER(DE62)=FALSE),DE$64,DE62))))</f>
      </c>
      <c r="DF114" s="9" t="str">
        <f>IF(ISBLANK(DF62),"NO DATA",IF(ISNUMBER(FIND(CODES!$A$12,DF62)),CODES!$A$12,IF(OR(ISNUMBER(FIND(CODES!$A$10,DF62)),ISNUMBER(FIND(CODES!$A$11,DF62))),CODES!$A$13,IF(OR(DF62&lt;DF$63,ISNUMBER(DF62)=FALSE),DF$64,DF62))))</f>
      </c>
      <c r="DG114" s="9" t="str">
        <f>IF(ISBLANK(DG62),"NO DATA",IF(ISNUMBER(FIND(CODES!$A$12,DG62)),CODES!$A$12,IF(OR(ISNUMBER(FIND(CODES!$A$10,DG62)),ISNUMBER(FIND(CODES!$A$11,DG62))),CODES!$A$13,IF(OR(DG62&lt;DG$63,ISNUMBER(DG62)=FALSE),DG$64,DG62))))</f>
      </c>
      <c r="DH114" s="9" t="str">
        <f>IF(ISBLANK(DH62),"NO DATA",IF(ISNUMBER(FIND(CODES!$A$12,DH62)),CODES!$A$12,IF(OR(ISNUMBER(FIND(CODES!$A$10,DH62)),ISNUMBER(FIND(CODES!$A$11,DH62))),CODES!$A$13,IF(OR(DH62&lt;DH$63,ISNUMBER(DH62)=FALSE),DH$64,DH62))))</f>
      </c>
      <c r="DI114" s="9" t="str">
        <f>IF(ISBLANK(DI62),"NO DATA",IF(ISNUMBER(FIND(CODES!$A$12,DI62)),CODES!$A$12,IF(OR(ISNUMBER(FIND(CODES!$A$10,DI62)),ISNUMBER(FIND(CODES!$A$11,DI62))),CODES!$A$13,IF(OR(DI62&lt;DI$63,ISNUMBER(DI62)=FALSE),DI$64,DI62))))</f>
      </c>
    </row>
    <row r="115" spans="1:113" x14ac:dyDescent="0.25">
      <c r="A115" s="12"/>
      <c r="B115" s="13"/>
      <c r="C115" s="18"/>
      <c r="D115" s="14"/>
      <c r="E115" s="15"/>
      <c r="F115" s="16"/>
      <c r="G115" s="21"/>
      <c r="H115" s="14"/>
      <c r="I115" s="14"/>
      <c r="J115" s="14"/>
      <c r="K115" s="15"/>
      <c r="L115" s="15"/>
      <c r="M115" s="15"/>
      <c r="N115" s="18"/>
      <c r="O115" s="18"/>
      <c r="P115" s="18"/>
      <c r="Q115" s="15"/>
      <c r="R115" s="21"/>
      <c r="S115" s="14"/>
      <c r="T115" s="15"/>
      <c r="U115" s="14"/>
      <c r="V115" s="17"/>
      <c r="W115" s="14"/>
      <c r="X115" s="14"/>
      <c r="Y115" s="16"/>
    </row>
  </sheetData>
  <sheetProtection formatCells="0" formatColumns="0"/>
  <protectedRanges>
    <protectedRange sqref="C18:DI25 A26:DI62" name="Range2"/>
    <protectedRange sqref="B5:B13" name="Range1"/>
    <protectedRange sqref="A18:A22" name="Range1_1"/>
    <protectedRange sqref="B18:B22" name="Range1_2"/>
  </protectedRanges>
  <mergeCells count="2">
    <mergeCell ref="A16:B16"/>
    <mergeCell ref="A68:B68"/>
  </mergeCells>
  <phoneticPr fontId="3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3"/>
  <sheetViews>
    <sheetView workbookViewId="0">
      <selection activeCell="E7" sqref="E7"/>
    </sheetView>
  </sheetViews>
  <sheetFormatPr defaultRowHeight="15" x14ac:dyDescent="0.25"/>
  <cols>
    <col min="1" max="1" width="44" customWidth="1"/>
    <col min="2" max="2" width="35.7109375" customWidth="1"/>
    <col min="3" max="25" width="15.7109375" style="4" customWidth="1"/>
    <col min="26" max="113" width="15.7109375" customWidth="1"/>
  </cols>
  <sheetData>
    <row r="1" spans="1:30" x14ac:dyDescent="0.25">
      <c r="A1" s="1" t="s">
        <v>0</v>
      </c>
      <c r="B1" s="83" t="s">
        <v>405</v>
      </c>
      <c r="C1" s="84"/>
      <c r="D1" s="85"/>
    </row>
    <row r="2" spans="1:30" x14ac:dyDescent="0.25">
      <c r="A2" s="1" t="s">
        <v>1</v>
      </c>
      <c r="B2" s="2"/>
      <c r="C2" s="6"/>
    </row>
    <row r="3" spans="1:30" x14ac:dyDescent="0.25">
      <c r="A3" s="1" t="s">
        <v>2</v>
      </c>
      <c r="B3" s="2" t="str">
        <f>INSTRUCTIONS!A3</f>
      </c>
      <c r="C3" s="6"/>
    </row>
    <row r="4" spans="1:30" x14ac:dyDescent="0.25">
      <c r="A4" s="1"/>
      <c r="B4" s="2"/>
      <c r="C4" s="6"/>
    </row>
    <row r="5" spans="1:30" x14ac:dyDescent="0.25">
      <c r="A5" s="1" t="s">
        <v>3</v>
      </c>
      <c r="B5" s="106"/>
      <c r="C5" s="6"/>
    </row>
    <row r="6" spans="1:30" x14ac:dyDescent="0.25">
      <c r="A6" s="1" t="s">
        <v>4</v>
      </c>
      <c r="B6" s="106" t="str">
        <f>'ICPOES RESULTS'!B6</f>
      </c>
      <c r="C6" s="6"/>
    </row>
    <row r="7" spans="1:30" x14ac:dyDescent="0.25">
      <c r="A7" s="1"/>
      <c r="B7" s="106"/>
      <c r="C7" s="6"/>
    </row>
    <row r="8" spans="1:30" x14ac:dyDescent="0.25">
      <c r="A8" s="1" t="s">
        <v>6</v>
      </c>
      <c r="B8" s="107">
        <f>'ICPOES RESULTS'!B8</f>
      </c>
      <c r="C8" s="6"/>
    </row>
    <row r="9" spans="1:30" x14ac:dyDescent="0.25">
      <c r="A9" s="1" t="s">
        <v>7</v>
      </c>
      <c r="B9" s="106" t="str">
        <f>'ICPOES RESULTS'!B9</f>
      </c>
      <c r="C9" s="6"/>
    </row>
    <row r="10" spans="1:30" x14ac:dyDescent="0.25">
      <c r="A10" s="1" t="s">
        <v>8</v>
      </c>
      <c r="B10" s="106" t="str">
        <f>'ICPOES RESULTS'!B10</f>
      </c>
      <c r="C10" s="6"/>
    </row>
    <row r="11" spans="1:30" x14ac:dyDescent="0.25">
      <c r="A11" s="1" t="s">
        <v>9</v>
      </c>
      <c r="B11" s="106" t="str">
        <f>'ICPOES RESULTS'!B11</f>
      </c>
      <c r="C11" s="6"/>
    </row>
    <row r="12" spans="1:30" x14ac:dyDescent="0.25">
      <c r="A12" s="1" t="s">
        <v>10</v>
      </c>
      <c r="B12" s="106" t="str">
        <f>'ICPOES RESULTS'!B12</f>
      </c>
      <c r="C12" s="7"/>
    </row>
    <row r="13" spans="1:30" x14ac:dyDescent="0.25">
      <c r="A13" s="1" t="s">
        <v>11</v>
      </c>
      <c r="B13" s="106" t="str">
        <f>'ICPOES RESULTS'!B13</f>
      </c>
      <c r="C13" s="7"/>
    </row>
    <row r="14" spans="1:30" x14ac:dyDescent="0.25">
      <c r="A14" s="1" t="s">
        <v>406</v>
      </c>
      <c r="B14" s="163" t="str">
        <f>INSTRUCTIONS!B39</f>
      </c>
      <c r="C14" s="6"/>
    </row>
    <row r="16" spans="1:30" x14ac:dyDescent="0.25">
      <c r="A16" s="174" t="s">
        <v>173</v>
      </c>
      <c r="B16" s="174"/>
      <c r="C16" s="8" t="s">
        <v>275</v>
      </c>
      <c r="D16" s="8" t="s">
        <v>276</v>
      </c>
      <c r="E16" s="8" t="s">
        <v>277</v>
      </c>
      <c r="F16" s="8" t="s">
        <v>278</v>
      </c>
      <c r="G16" s="8" t="s">
        <v>279</v>
      </c>
      <c r="H16" s="8" t="s">
        <v>280</v>
      </c>
      <c r="I16" s="8" t="s">
        <v>281</v>
      </c>
      <c r="J16" s="8" t="s">
        <v>282</v>
      </c>
      <c r="K16" s="8" t="s">
        <v>283</v>
      </c>
      <c r="L16" s="8" t="s">
        <v>284</v>
      </c>
      <c r="M16" s="8" t="s">
        <v>285</v>
      </c>
      <c r="N16" s="8" t="s">
        <v>286</v>
      </c>
      <c r="O16" s="8" t="s">
        <v>287</v>
      </c>
      <c r="P16" s="8" t="s">
        <v>288</v>
      </c>
      <c r="Q16" s="8" t="s">
        <v>289</v>
      </c>
      <c r="R16" s="8" t="s">
        <v>290</v>
      </c>
      <c r="S16" s="8" t="s">
        <v>291</v>
      </c>
      <c r="T16" s="8" t="s">
        <v>292</v>
      </c>
      <c r="U16" s="8" t="s">
        <v>293</v>
      </c>
      <c r="V16" s="8" t="s">
        <v>294</v>
      </c>
      <c r="W16" s="8" t="s">
        <v>295</v>
      </c>
      <c r="X16" s="8" t="s">
        <v>296</v>
      </c>
      <c r="Y16" s="8" t="s">
        <v>297</v>
      </c>
      <c r="Z16" s="8" t="s">
        <v>298</v>
      </c>
      <c r="AA16" s="8" t="s">
        <v>299</v>
      </c>
      <c r="AB16" s="8" t="s">
        <v>300</v>
      </c>
      <c r="AC16" s="8" t="s">
        <v>301</v>
      </c>
      <c r="AD16" s="8" t="s">
        <v>302</v>
      </c>
    </row>
    <row r="17" spans="1:30" ht="15.75" thickBot="1" x14ac:dyDescent="0.3">
      <c r="A17" s="22" t="s">
        <v>124</v>
      </c>
      <c r="B17" s="51" t="s">
        <v>125</v>
      </c>
      <c r="C17" s="52" t="s">
        <v>303</v>
      </c>
      <c r="D17" s="52" t="s">
        <v>303</v>
      </c>
      <c r="E17" s="52" t="s">
        <v>303</v>
      </c>
      <c r="F17" s="52" t="s">
        <v>303</v>
      </c>
      <c r="G17" s="52" t="s">
        <v>303</v>
      </c>
      <c r="H17" s="52" t="s">
        <v>303</v>
      </c>
      <c r="I17" s="52" t="s">
        <v>303</v>
      </c>
      <c r="J17" s="52" t="s">
        <v>303</v>
      </c>
      <c r="K17" s="52" t="s">
        <v>303</v>
      </c>
      <c r="L17" s="52" t="s">
        <v>303</v>
      </c>
      <c r="M17" s="52" t="s">
        <v>303</v>
      </c>
      <c r="N17" s="52" t="s">
        <v>303</v>
      </c>
      <c r="O17" s="52" t="s">
        <v>303</v>
      </c>
      <c r="P17" s="52" t="s">
        <v>303</v>
      </c>
      <c r="Q17" s="52" t="s">
        <v>303</v>
      </c>
      <c r="R17" s="52" t="s">
        <v>303</v>
      </c>
      <c r="S17" s="52" t="s">
        <v>303</v>
      </c>
      <c r="T17" s="52" t="s">
        <v>303</v>
      </c>
      <c r="U17" s="52" t="s">
        <v>303</v>
      </c>
      <c r="V17" s="52" t="s">
        <v>303</v>
      </c>
      <c r="W17" s="52" t="s">
        <v>303</v>
      </c>
      <c r="X17" s="52" t="s">
        <v>304</v>
      </c>
      <c r="Y17" s="52" t="s">
        <v>303</v>
      </c>
      <c r="Z17" s="52" t="s">
        <v>303</v>
      </c>
      <c r="AA17" s="52" t="s">
        <v>303</v>
      </c>
      <c r="AB17" s="52" t="s">
        <v>303</v>
      </c>
      <c r="AC17" s="52" t="s">
        <v>303</v>
      </c>
      <c r="AD17" s="52" t="s">
        <v>303</v>
      </c>
    </row>
    <row r="18" spans="1:30" x14ac:dyDescent="0.25">
      <c r="A18" s="108" t="str">
        <f>'ICPOES RESULTS'!A18</f>
      </c>
      <c r="B18" s="109"/>
      <c r="C18" s="110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2"/>
    </row>
    <row r="19" spans="1:30" x14ac:dyDescent="0.25">
      <c r="A19" s="108" t="str">
        <f>'ICPOES RESULTS'!A19</f>
      </c>
      <c r="B19" s="113"/>
      <c r="C19" s="114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6"/>
    </row>
    <row r="20" spans="1:30" x14ac:dyDescent="0.25">
      <c r="A20" s="108" t="str">
        <f>'ICPOES RESULTS'!A20</f>
      </c>
      <c r="B20" s="113"/>
      <c r="C20" s="114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6"/>
    </row>
    <row r="21" spans="1:30" x14ac:dyDescent="0.25">
      <c r="A21" s="108" t="str">
        <f>'ICPOES RESULTS'!A21</f>
      </c>
      <c r="B21" s="113"/>
      <c r="C21" s="114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6"/>
    </row>
    <row r="22" spans="1:30" x14ac:dyDescent="0.25">
      <c r="A22" s="108" t="str">
        <f>'ICPOES RESULTS'!A22</f>
      </c>
      <c r="B22" s="113"/>
      <c r="C22" s="114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6"/>
    </row>
    <row r="23" spans="1:30" x14ac:dyDescent="0.25">
      <c r="A23" s="108" t="str">
        <f>'ICPOES RESULTS'!A23</f>
      </c>
      <c r="B23" s="113"/>
      <c r="C23" s="114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6"/>
    </row>
    <row r="24" spans="1:30" x14ac:dyDescent="0.25">
      <c r="A24" s="108" t="str">
        <f>'ICPOES RESULTS'!A24</f>
      </c>
      <c r="B24" s="113"/>
      <c r="C24" s="114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6"/>
    </row>
    <row r="25" spans="1:30" x14ac:dyDescent="0.25">
      <c r="A25" s="108" t="str">
        <f>'ICPOES RESULTS'!A25</f>
      </c>
      <c r="B25" s="113"/>
      <c r="C25" s="114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6"/>
    </row>
    <row r="26" spans="1:30" x14ac:dyDescent="0.25">
      <c r="A26" s="108" t="str">
        <f>'ICPOES RESULTS'!A26</f>
      </c>
      <c r="B26" s="113"/>
      <c r="C26" s="114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6"/>
    </row>
    <row r="27" spans="1:30" x14ac:dyDescent="0.25">
      <c r="A27" s="108" t="str">
        <f>'ICPOES RESULTS'!A27</f>
      </c>
      <c r="B27" s="113"/>
      <c r="C27" s="114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6"/>
    </row>
    <row r="28" spans="1:30" x14ac:dyDescent="0.25">
      <c r="A28" s="108" t="str">
        <f>'ICPOES RESULTS'!A28</f>
      </c>
      <c r="B28" s="113"/>
      <c r="C28" s="114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6"/>
    </row>
    <row r="29" spans="1:30" x14ac:dyDescent="0.25">
      <c r="A29" s="108" t="str">
        <f>'ICPOES RESULTS'!A29</f>
      </c>
      <c r="B29" s="113"/>
      <c r="C29" s="114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6"/>
    </row>
    <row r="30" spans="1:30" x14ac:dyDescent="0.25">
      <c r="A30" s="108" t="str">
        <f>'ICPOES RESULTS'!A30</f>
      </c>
      <c r="B30" s="113"/>
      <c r="C30" s="114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6"/>
    </row>
    <row r="31" spans="1:30" x14ac:dyDescent="0.25">
      <c r="A31" s="108" t="str">
        <f>'ICPOES RESULTS'!A31</f>
      </c>
      <c r="B31" s="113"/>
      <c r="C31" s="114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6"/>
    </row>
    <row r="32" spans="1:30" x14ac:dyDescent="0.25">
      <c r="A32" s="108" t="str">
        <f>'ICPOES RESULTS'!A32</f>
      </c>
      <c r="B32" s="113"/>
      <c r="C32" s="114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6"/>
    </row>
    <row r="33" spans="1:30" x14ac:dyDescent="0.25">
      <c r="A33" s="108" t="str">
        <f>'ICPOES RESULTS'!A33</f>
      </c>
      <c r="B33" s="113"/>
      <c r="C33" s="114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6"/>
    </row>
    <row r="34" spans="1:30" x14ac:dyDescent="0.25">
      <c r="A34" s="108" t="str">
        <f>'ICPOES RESULTS'!A34</f>
      </c>
      <c r="B34" s="113"/>
      <c r="C34" s="114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6"/>
    </row>
    <row r="35" spans="1:30" x14ac:dyDescent="0.25">
      <c r="A35" s="108" t="str">
        <f>'ICPOES RESULTS'!A35</f>
      </c>
      <c r="B35" s="113"/>
      <c r="C35" s="114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6"/>
    </row>
    <row r="36" spans="1:30" x14ac:dyDescent="0.25">
      <c r="A36" s="108" t="str">
        <f>'ICPOES RESULTS'!A36</f>
      </c>
      <c r="B36" s="113"/>
      <c r="C36" s="114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6"/>
    </row>
    <row r="37" spans="1:30" x14ac:dyDescent="0.25">
      <c r="A37" s="108" t="str">
        <f>'ICPOES RESULTS'!A37</f>
      </c>
      <c r="B37" s="113"/>
      <c r="C37" s="114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6"/>
    </row>
    <row r="38" spans="1:30" x14ac:dyDescent="0.25">
      <c r="A38" s="108" t="str">
        <f>'ICPOES RESULTS'!A38</f>
      </c>
      <c r="B38" s="113"/>
      <c r="C38" s="114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6"/>
    </row>
    <row r="39" spans="1:30" x14ac:dyDescent="0.25">
      <c r="A39" s="108" t="str">
        <f>'ICPOES RESULTS'!A39</f>
      </c>
      <c r="B39" s="113"/>
      <c r="C39" s="114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6"/>
    </row>
    <row r="40" spans="1:30" x14ac:dyDescent="0.25">
      <c r="A40" s="108" t="str">
        <f>'ICPOES RESULTS'!A40</f>
      </c>
      <c r="B40" s="113"/>
      <c r="C40" s="114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6"/>
    </row>
    <row r="41" spans="1:30" x14ac:dyDescent="0.25">
      <c r="A41" s="108" t="str">
        <f>'ICPOES RESULTS'!A41</f>
      </c>
      <c r="B41" s="113"/>
      <c r="C41" s="114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6"/>
    </row>
    <row r="42" spans="1:30" x14ac:dyDescent="0.25">
      <c r="A42" s="108" t="str">
        <f>'ICPOES RESULTS'!A42</f>
      </c>
      <c r="B42" s="113"/>
      <c r="C42" s="114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6"/>
    </row>
    <row r="43" spans="1:30" x14ac:dyDescent="0.25">
      <c r="A43" s="108" t="str">
        <f>'ICPOES RESULTS'!A43</f>
      </c>
      <c r="B43" s="113"/>
      <c r="C43" s="114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6"/>
    </row>
    <row r="44" spans="1:30" x14ac:dyDescent="0.25">
      <c r="A44" s="108" t="str">
        <f>'ICPOES RESULTS'!A44</f>
      </c>
      <c r="B44" s="113"/>
      <c r="C44" s="114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6"/>
    </row>
    <row r="45" spans="1:30" x14ac:dyDescent="0.25">
      <c r="A45" s="108" t="str">
        <f>'ICPOES RESULTS'!A45</f>
      </c>
      <c r="B45" s="113"/>
      <c r="C45" s="114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6"/>
    </row>
    <row r="46" spans="1:30" x14ac:dyDescent="0.25">
      <c r="A46" s="108" t="str">
        <f>'ICPOES RESULTS'!A46</f>
      </c>
      <c r="B46" s="113"/>
      <c r="C46" s="114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6"/>
    </row>
    <row r="47" spans="1:30" x14ac:dyDescent="0.25">
      <c r="A47" s="108" t="str">
        <f>'ICPOES RESULTS'!A47</f>
      </c>
      <c r="B47" s="113"/>
      <c r="C47" s="114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6"/>
    </row>
    <row r="48" spans="1:30" x14ac:dyDescent="0.25">
      <c r="A48" s="108" t="str">
        <f>'ICPOES RESULTS'!A48</f>
      </c>
      <c r="B48" s="113"/>
      <c r="C48" s="114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6"/>
    </row>
    <row r="49" spans="1:30" x14ac:dyDescent="0.25">
      <c r="A49" s="108" t="str">
        <f>'ICPOES RESULTS'!A49</f>
      </c>
      <c r="B49" s="113"/>
      <c r="C49" s="114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6"/>
    </row>
    <row r="50" spans="1:30" x14ac:dyDescent="0.25">
      <c r="A50" s="108" t="str">
        <f>'ICPOES RESULTS'!A50</f>
      </c>
      <c r="B50" s="113"/>
      <c r="C50" s="114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6"/>
    </row>
    <row r="51" spans="1:30" x14ac:dyDescent="0.25">
      <c r="A51" s="108" t="str">
        <f>'ICPOES RESULTS'!A51</f>
      </c>
      <c r="B51" s="113"/>
      <c r="C51" s="114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6"/>
    </row>
    <row r="52" spans="1:30" x14ac:dyDescent="0.25">
      <c r="A52" s="108" t="str">
        <f>'ICPOES RESULTS'!A52</f>
      </c>
      <c r="B52" s="113"/>
      <c r="C52" s="114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6"/>
    </row>
    <row r="53" spans="1:30" x14ac:dyDescent="0.25">
      <c r="A53" s="108" t="str">
        <f>'ICPOES RESULTS'!A53</f>
      </c>
      <c r="B53" s="113"/>
      <c r="C53" s="114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6"/>
    </row>
    <row r="54" spans="1:30" x14ac:dyDescent="0.25">
      <c r="A54" s="108" t="str">
        <f>'ICPOES RESULTS'!A54</f>
      </c>
      <c r="B54" s="113"/>
      <c r="C54" s="114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6"/>
    </row>
    <row r="55" spans="1:30" x14ac:dyDescent="0.25">
      <c r="A55" s="108" t="str">
        <f>'ICPOES RESULTS'!A55</f>
      </c>
      <c r="B55" s="113"/>
      <c r="C55" s="114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6"/>
    </row>
    <row r="56" spans="1:30" x14ac:dyDescent="0.25">
      <c r="A56" s="108" t="str">
        <f>'ICPOES RESULTS'!A56</f>
      </c>
      <c r="B56" s="113"/>
      <c r="C56" s="114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6"/>
    </row>
    <row r="57" spans="1:30" x14ac:dyDescent="0.25">
      <c r="A57" s="108" t="str">
        <f>'ICPOES RESULTS'!A57</f>
      </c>
      <c r="B57" s="113"/>
      <c r="C57" s="114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6"/>
    </row>
    <row r="58" spans="1:30" x14ac:dyDescent="0.25">
      <c r="A58" s="108" t="str">
        <f>'ICPOES RESULTS'!A58</f>
      </c>
      <c r="B58" s="113"/>
      <c r="C58" s="114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6"/>
    </row>
    <row r="59" spans="1:30" x14ac:dyDescent="0.25">
      <c r="A59" s="108" t="str">
        <f>'ICPOES RESULTS'!A59</f>
      </c>
      <c r="B59" s="113"/>
      <c r="C59" s="114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6"/>
    </row>
    <row r="60" spans="1:30" x14ac:dyDescent="0.25">
      <c r="A60" s="108" t="str">
        <f>'ICPOES RESULTS'!A60</f>
      </c>
      <c r="B60" s="113"/>
      <c r="C60" s="114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6"/>
    </row>
    <row r="61" spans="1:30" x14ac:dyDescent="0.25">
      <c r="A61" s="108" t="str">
        <f>'ICPOES RESULTS'!A61</f>
      </c>
      <c r="B61" s="113"/>
      <c r="C61" s="114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6"/>
    </row>
    <row r="62" spans="1:30" ht="15.75" thickBot="1" x14ac:dyDescent="0.3">
      <c r="A62" s="108" t="str">
        <f>'ICPOES RESULTS'!A62</f>
      </c>
      <c r="B62" s="117"/>
      <c r="C62" s="118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20"/>
    </row>
    <row r="63" spans="1:30" x14ac:dyDescent="0.25">
      <c r="A63" s="24" t="s">
        <v>164</v>
      </c>
      <c r="B63" s="62" t="s">
        <v>165</v>
      </c>
      <c r="C63" s="26">
        <v>2.0000000000000001E-4</v>
      </c>
      <c r="D63" s="26">
        <v>3.0000000000000001E-3</v>
      </c>
      <c r="E63" s="26">
        <v>2.9999999999999997E-4</v>
      </c>
      <c r="F63" s="27">
        <v>1E-4</v>
      </c>
      <c r="G63" s="26"/>
      <c r="H63" s="26">
        <v>1E-4</v>
      </c>
      <c r="I63" s="26">
        <v>2.9999999999999997E-4</v>
      </c>
      <c r="J63" s="26">
        <v>1E-4</v>
      </c>
      <c r="K63" s="26">
        <v>1E-3</v>
      </c>
      <c r="L63" s="26">
        <v>4.0000000000000002E-4</v>
      </c>
      <c r="M63" s="26">
        <v>2.9999999999999997E-4</v>
      </c>
      <c r="N63" s="26"/>
      <c r="O63" s="26">
        <v>1E-3</v>
      </c>
      <c r="P63" s="26"/>
      <c r="Q63" s="26">
        <v>1E-3</v>
      </c>
      <c r="R63" s="26"/>
      <c r="S63" s="26"/>
      <c r="T63" s="26"/>
      <c r="U63" s="26">
        <v>2.0000000000000001E-4</v>
      </c>
      <c r="V63" s="26">
        <v>2E-3</v>
      </c>
      <c r="W63" s="26">
        <v>2.0000000000000001E-4</v>
      </c>
      <c r="X63" s="26">
        <v>0.3</v>
      </c>
      <c r="Y63" s="26">
        <v>2.0000000000000001E-4</v>
      </c>
      <c r="Z63" s="26"/>
      <c r="AA63" s="26"/>
      <c r="AB63" s="26">
        <v>1E-4</v>
      </c>
      <c r="AC63" s="26">
        <v>2.0000000000000001E-4</v>
      </c>
      <c r="AD63" s="26">
        <v>2.0000000000000001E-4</v>
      </c>
    </row>
    <row r="64" spans="1:30" x14ac:dyDescent="0.25">
      <c r="A64" s="24" t="s">
        <v>164</v>
      </c>
      <c r="B64" s="63" t="s">
        <v>165</v>
      </c>
      <c r="C64" s="26" t="s">
        <v>305</v>
      </c>
      <c r="D64" s="26" t="s">
        <v>166</v>
      </c>
      <c r="E64" s="26" t="s">
        <v>169</v>
      </c>
      <c r="F64" s="26" t="s">
        <v>306</v>
      </c>
      <c r="G64" s="26"/>
      <c r="H64" s="26" t="s">
        <v>306</v>
      </c>
      <c r="I64" s="26" t="s">
        <v>169</v>
      </c>
      <c r="J64" s="26" t="s">
        <v>306</v>
      </c>
      <c r="K64" s="26" t="s">
        <v>168</v>
      </c>
      <c r="L64" s="26" t="s">
        <v>171</v>
      </c>
      <c r="M64" s="26" t="s">
        <v>169</v>
      </c>
      <c r="N64" s="26"/>
      <c r="O64" s="26" t="s">
        <v>168</v>
      </c>
      <c r="P64" s="26"/>
      <c r="Q64" s="26" t="s">
        <v>168</v>
      </c>
      <c r="R64" s="26"/>
      <c r="S64" s="26"/>
      <c r="T64" s="26"/>
      <c r="U64" s="26" t="s">
        <v>305</v>
      </c>
      <c r="V64" s="26" t="s">
        <v>167</v>
      </c>
      <c r="W64" s="26" t="s">
        <v>305</v>
      </c>
      <c r="X64" s="26" t="s">
        <v>185</v>
      </c>
      <c r="Y64" s="26" t="s">
        <v>305</v>
      </c>
      <c r="Z64" s="26"/>
      <c r="AA64" s="26"/>
      <c r="AB64" s="26" t="s">
        <v>306</v>
      </c>
      <c r="AC64" s="26" t="s">
        <v>305</v>
      </c>
      <c r="AD64" s="26" t="s">
        <v>305</v>
      </c>
    </row>
    <row r="66" spans="1:30" x14ac:dyDescent="0.25"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1:30" x14ac:dyDescent="0.25">
      <c r="A67" s="175" t="s">
        <v>175</v>
      </c>
      <c r="B67" s="175"/>
      <c r="C67" s="40" t="s">
        <v>275</v>
      </c>
      <c r="D67" s="40" t="s">
        <v>276</v>
      </c>
      <c r="E67" s="40" t="s">
        <v>277</v>
      </c>
      <c r="F67" s="40" t="s">
        <v>278</v>
      </c>
      <c r="G67" s="40" t="s">
        <v>280</v>
      </c>
      <c r="H67" s="40" t="s">
        <v>281</v>
      </c>
      <c r="I67" s="40" t="s">
        <v>282</v>
      </c>
      <c r="J67" s="40" t="s">
        <v>283</v>
      </c>
      <c r="K67" s="40" t="s">
        <v>284</v>
      </c>
      <c r="L67" s="40" t="s">
        <v>285</v>
      </c>
      <c r="M67" s="40" t="s">
        <v>287</v>
      </c>
      <c r="N67" s="40" t="s">
        <v>289</v>
      </c>
      <c r="O67" s="40" t="s">
        <v>293</v>
      </c>
      <c r="P67" s="40" t="s">
        <v>294</v>
      </c>
      <c r="Q67" s="40" t="s">
        <v>295</v>
      </c>
      <c r="R67" s="40" t="s">
        <v>296</v>
      </c>
      <c r="S67" s="40" t="s">
        <v>297</v>
      </c>
      <c r="T67" s="40" t="s">
        <v>300</v>
      </c>
      <c r="U67" s="40" t="s">
        <v>301</v>
      </c>
      <c r="V67" s="40" t="s">
        <v>302</v>
      </c>
      <c r="W67"/>
      <c r="X67"/>
      <c r="Y67"/>
    </row>
    <row r="68" spans="1:30" x14ac:dyDescent="0.25">
      <c r="A68" s="39" t="s">
        <v>124</v>
      </c>
      <c r="B68" s="39" t="s">
        <v>125</v>
      </c>
      <c r="C68" s="40" t="s">
        <v>303</v>
      </c>
      <c r="D68" s="40" t="s">
        <v>303</v>
      </c>
      <c r="E68" s="40" t="s">
        <v>303</v>
      </c>
      <c r="F68" s="40" t="s">
        <v>303</v>
      </c>
      <c r="G68" s="40" t="s">
        <v>303</v>
      </c>
      <c r="H68" s="40" t="s">
        <v>303</v>
      </c>
      <c r="I68" s="40" t="s">
        <v>303</v>
      </c>
      <c r="J68" s="40" t="s">
        <v>303</v>
      </c>
      <c r="K68" s="40" t="s">
        <v>303</v>
      </c>
      <c r="L68" s="40" t="s">
        <v>303</v>
      </c>
      <c r="M68" s="40" t="s">
        <v>303</v>
      </c>
      <c r="N68" s="40" t="s">
        <v>303</v>
      </c>
      <c r="O68" s="40" t="s">
        <v>303</v>
      </c>
      <c r="P68" s="40" t="s">
        <v>303</v>
      </c>
      <c r="Q68" s="40" t="s">
        <v>303</v>
      </c>
      <c r="R68" s="40" t="s">
        <v>304</v>
      </c>
      <c r="S68" s="40" t="s">
        <v>303</v>
      </c>
      <c r="T68" s="40" t="s">
        <v>303</v>
      </c>
      <c r="U68" s="40" t="s">
        <v>303</v>
      </c>
      <c r="V68" s="40" t="s">
        <v>303</v>
      </c>
      <c r="W68"/>
      <c r="X68"/>
      <c r="Y68"/>
    </row>
    <row r="69" spans="1:30" x14ac:dyDescent="0.25">
      <c r="A69" s="23" t="str">
        <f>A18</f>
      </c>
      <c r="B69" s="23">
        <f>B18</f>
      </c>
      <c r="C69" s="61" t="str">
        <f>IF(ISBLANK(C18),"NO DATA",IF(OR(C18&lt;C$63,ISNUMBER(C18)=FALSE),C$64,C18))</f>
      </c>
      <c r="D69" s="61" t="str">
        <f t="shared" ref="D69:F69" si="0">IF(ISBLANK(D18),"NO DATA",IF(OR(D18&lt;D$63,ISNUMBER(D18)=FALSE),D$64,D18))</f>
      </c>
      <c r="E69" s="61" t="str">
        <f t="shared" si="0"/>
      </c>
      <c r="F69" s="61" t="str">
        <f t="shared" si="0"/>
      </c>
      <c r="G69" s="61" t="str">
        <f>IF(ISBLANK(H18),"NO DATA",IF(OR(H18&lt;H$63,ISNUMBER(H18)=FALSE),H$64,H18))</f>
      </c>
      <c r="H69" s="61" t="str">
        <f t="shared" ref="H69:L69" si="1">IF(ISBLANK(I18),"NO DATA",IF(OR(I18&lt;I$63,ISNUMBER(I18)=FALSE),I$64,I18))</f>
      </c>
      <c r="I69" s="61" t="str">
        <f t="shared" si="1"/>
      </c>
      <c r="J69" s="61" t="str">
        <f t="shared" si="1"/>
      </c>
      <c r="K69" s="61" t="str">
        <f t="shared" si="1"/>
      </c>
      <c r="L69" s="61" t="str">
        <f t="shared" si="1"/>
      </c>
      <c r="M69" s="61" t="str">
        <f>IF(ISBLANK(O18),"NO DATA",IF(OR(O18&lt;O$63,ISNUMBER(O18)=FALSE),O$64,O18))</f>
      </c>
      <c r="N69" s="61" t="str">
        <f>IF(ISBLANK(Q18),"NO DATA",IF(OR(Q18&lt;Q$63,ISNUMBER(Q18)=FALSE),Q$64,Q18))</f>
      </c>
      <c r="O69" s="61" t="str">
        <f>IF(ISBLANK(U18),"NO DATA",IF(OR(U18&lt;U$63,ISNUMBER(U18)=FALSE),U$64,U18))</f>
      </c>
      <c r="P69" s="61" t="str">
        <f>IF(ISBLANK(V18),"NO DATA",IF(OR(V18&lt;V$63,ISNUMBER(V18)=FALSE),V$64,V18))</f>
      </c>
      <c r="Q69" s="61" t="str">
        <f>IF(ISBLANK(W18),"NO DATA",IF(OR(W18&lt;W$63,ISNUMBER(W18)=FALSE),W$64,W18))</f>
      </c>
      <c r="R69" s="41" t="str">
        <f>IF(ISBLANK(X18),"NO DATA",IF(OR(X18&lt;X$63,ISNUMBER(X18)=FALSE),X$64,X18))</f>
      </c>
      <c r="S69" s="61" t="str">
        <f>IF(ISBLANK(Y18),"NO DATA",IF(OR(Y18&lt;Y$63,ISNUMBER(Y18)=FALSE),Y$64,Y18))</f>
      </c>
      <c r="T69" s="61" t="str">
        <f>IF(ISBLANK(AB18),"NO DATA",IF(OR(AB18&lt;AB$63,ISNUMBER(AB18)=FALSE),AB$64,AB18))</f>
      </c>
      <c r="U69" s="61" t="str">
        <f t="shared" ref="U69:V69" si="2">IF(ISBLANK(AC18),"NO DATA",IF(OR(AC18&lt;AC$63,ISNUMBER(AC18)=FALSE),AC$64,AC18))</f>
      </c>
      <c r="V69" s="61" t="str">
        <f t="shared" si="2"/>
      </c>
      <c r="W69"/>
      <c r="X69"/>
      <c r="Y69"/>
    </row>
    <row r="70" spans="1:30" x14ac:dyDescent="0.25">
      <c r="A70" s="23" t="str">
        <f t="shared" ref="A70:B70" si="3">A19</f>
      </c>
      <c r="B70" s="23">
        <f t="shared" si="3"/>
      </c>
      <c r="C70" s="61" t="str">
        <f t="shared" ref="C70:F70" si="4">IF(ISBLANK(C19),"NO DATA",IF(OR(C19&lt;C$63,ISNUMBER(C19)=FALSE),C$64,C19))</f>
      </c>
      <c r="D70" s="61" t="str">
        <f t="shared" si="4"/>
      </c>
      <c r="E70" s="61" t="str">
        <f t="shared" si="4"/>
      </c>
      <c r="F70" s="61" t="str">
        <f t="shared" si="4"/>
      </c>
      <c r="G70" s="61" t="str">
        <f t="shared" ref="G70:L70" si="5">IF(ISBLANK(H19),"NO DATA",IF(OR(H19&lt;H$63,ISNUMBER(H19)=FALSE),H$64,H19))</f>
      </c>
      <c r="H70" s="61" t="str">
        <f t="shared" si="5"/>
      </c>
      <c r="I70" s="61" t="str">
        <f t="shared" si="5"/>
      </c>
      <c r="J70" s="61" t="str">
        <f t="shared" si="5"/>
      </c>
      <c r="K70" s="61" t="str">
        <f t="shared" si="5"/>
      </c>
      <c r="L70" s="61" t="str">
        <f t="shared" si="5"/>
      </c>
      <c r="M70" s="61" t="str">
        <f t="shared" ref="M70:M113" si="6">IF(ISBLANK(O19),"NO DATA",IF(OR(O19&lt;O$63,ISNUMBER(O19)=FALSE),O$64,O19))</f>
      </c>
      <c r="N70" s="61" t="str">
        <f t="shared" ref="N70:N113" si="7">IF(ISBLANK(Q19),"NO DATA",IF(OR(Q19&lt;Q$63,ISNUMBER(Q19)=FALSE),Q$64,Q19))</f>
      </c>
      <c r="O70" s="61" t="str">
        <f t="shared" ref="O70:S70" si="8">IF(ISBLANK(U19),"NO DATA",IF(OR(U19&lt;U$63,ISNUMBER(U19)=FALSE),U$64,U19))</f>
      </c>
      <c r="P70" s="61" t="str">
        <f t="shared" si="8"/>
      </c>
      <c r="Q70" s="61" t="str">
        <f t="shared" si="8"/>
      </c>
      <c r="R70" s="41" t="str">
        <f t="shared" si="8"/>
      </c>
      <c r="S70" s="61" t="str">
        <f t="shared" si="8"/>
      </c>
      <c r="T70" s="61" t="str">
        <f t="shared" ref="T70:T113" si="9">IF(ISBLANK(AB19),"NO DATA",IF(OR(AB19&lt;AB$63,ISNUMBER(AB19)=FALSE),AB$64,AB19))</f>
      </c>
      <c r="U70" s="61" t="str">
        <f t="shared" ref="U70:U113" si="10">IF(ISBLANK(AC19),"NO DATA",IF(OR(AC19&lt;AC$63,ISNUMBER(AC19)=FALSE),AC$64,AC19))</f>
      </c>
      <c r="V70" s="61" t="str">
        <f t="shared" ref="V70:V113" si="11">IF(ISBLANK(AD19),"NO DATA",IF(OR(AD19&lt;AD$63,ISNUMBER(AD19)=FALSE),AD$64,AD19))</f>
      </c>
      <c r="W70"/>
      <c r="X70"/>
      <c r="Y70"/>
    </row>
    <row r="71" spans="1:30" x14ac:dyDescent="0.25">
      <c r="A71" s="23" t="str">
        <f t="shared" ref="A71:B71" si="12">A20</f>
      </c>
      <c r="B71" s="23">
        <f t="shared" si="12"/>
      </c>
      <c r="C71" s="61" t="str">
        <f t="shared" ref="C71:F71" si="13">IF(ISBLANK(C20),"NO DATA",IF(OR(C20&lt;C$63,ISNUMBER(C20)=FALSE),C$64,C20))</f>
      </c>
      <c r="D71" s="61" t="str">
        <f t="shared" si="13"/>
      </c>
      <c r="E71" s="61" t="str">
        <f t="shared" si="13"/>
      </c>
      <c r="F71" s="61" t="str">
        <f t="shared" si="13"/>
      </c>
      <c r="G71" s="61" t="str">
        <f t="shared" ref="G71:L71" si="14">IF(ISBLANK(H20),"NO DATA",IF(OR(H20&lt;H$63,ISNUMBER(H20)=FALSE),H$64,H20))</f>
      </c>
      <c r="H71" s="61" t="str">
        <f t="shared" si="14"/>
      </c>
      <c r="I71" s="61" t="str">
        <f t="shared" si="14"/>
      </c>
      <c r="J71" s="61" t="str">
        <f t="shared" si="14"/>
      </c>
      <c r="K71" s="61" t="str">
        <f t="shared" si="14"/>
      </c>
      <c r="L71" s="61" t="str">
        <f t="shared" si="14"/>
      </c>
      <c r="M71" s="61" t="str">
        <f t="shared" si="6"/>
      </c>
      <c r="N71" s="61" t="str">
        <f t="shared" si="7"/>
      </c>
      <c r="O71" s="61" t="str">
        <f t="shared" ref="O71:S71" si="15">IF(ISBLANK(U20),"NO DATA",IF(OR(U20&lt;U$63,ISNUMBER(U20)=FALSE),U$64,U20))</f>
      </c>
      <c r="P71" s="61" t="str">
        <f t="shared" si="15"/>
      </c>
      <c r="Q71" s="61" t="str">
        <f t="shared" si="15"/>
      </c>
      <c r="R71" s="41" t="str">
        <f t="shared" si="15"/>
      </c>
      <c r="S71" s="61" t="str">
        <f t="shared" si="15"/>
      </c>
      <c r="T71" s="61" t="str">
        <f t="shared" si="9"/>
      </c>
      <c r="U71" s="61" t="str">
        <f t="shared" si="10"/>
      </c>
      <c r="V71" s="61" t="str">
        <f t="shared" si="11"/>
      </c>
      <c r="W71"/>
      <c r="X71"/>
      <c r="Y71"/>
    </row>
    <row r="72" spans="1:30" x14ac:dyDescent="0.25">
      <c r="A72" s="23" t="str">
        <f t="shared" ref="A72:B72" si="16">A21</f>
      </c>
      <c r="B72" s="23">
        <f t="shared" si="16"/>
      </c>
      <c r="C72" s="61" t="str">
        <f t="shared" ref="C72:F72" si="17">IF(ISBLANK(C21),"NO DATA",IF(OR(C21&lt;C$63,ISNUMBER(C21)=FALSE),C$64,C21))</f>
      </c>
      <c r="D72" s="61" t="str">
        <f t="shared" si="17"/>
      </c>
      <c r="E72" s="61" t="str">
        <f t="shared" si="17"/>
      </c>
      <c r="F72" s="61" t="str">
        <f t="shared" si="17"/>
      </c>
      <c r="G72" s="61" t="str">
        <f t="shared" ref="G72:L72" si="18">IF(ISBLANK(H21),"NO DATA",IF(OR(H21&lt;H$63,ISNUMBER(H21)=FALSE),H$64,H21))</f>
      </c>
      <c r="H72" s="61" t="str">
        <f t="shared" si="18"/>
      </c>
      <c r="I72" s="61" t="str">
        <f t="shared" si="18"/>
      </c>
      <c r="J72" s="61" t="str">
        <f t="shared" si="18"/>
      </c>
      <c r="K72" s="61" t="str">
        <f t="shared" si="18"/>
      </c>
      <c r="L72" s="61" t="str">
        <f t="shared" si="18"/>
      </c>
      <c r="M72" s="61" t="str">
        <f t="shared" si="6"/>
      </c>
      <c r="N72" s="61" t="str">
        <f t="shared" si="7"/>
      </c>
      <c r="O72" s="61" t="str">
        <f t="shared" ref="O72:S72" si="19">IF(ISBLANK(U21),"NO DATA",IF(OR(U21&lt;U$63,ISNUMBER(U21)=FALSE),U$64,U21))</f>
      </c>
      <c r="P72" s="61" t="str">
        <f t="shared" si="19"/>
      </c>
      <c r="Q72" s="61" t="str">
        <f t="shared" si="19"/>
      </c>
      <c r="R72" s="41" t="str">
        <f t="shared" si="19"/>
      </c>
      <c r="S72" s="61" t="str">
        <f t="shared" si="19"/>
      </c>
      <c r="T72" s="61" t="str">
        <f t="shared" si="9"/>
      </c>
      <c r="U72" s="61" t="str">
        <f t="shared" si="10"/>
      </c>
      <c r="V72" s="61" t="str">
        <f t="shared" si="11"/>
      </c>
      <c r="W72"/>
      <c r="X72"/>
      <c r="Y72"/>
    </row>
    <row r="73" spans="1:30" x14ac:dyDescent="0.25">
      <c r="A73" s="23" t="str">
        <f t="shared" ref="A73:B73" si="20">A22</f>
      </c>
      <c r="B73" s="23">
        <f t="shared" si="20"/>
      </c>
      <c r="C73" s="61" t="str">
        <f t="shared" ref="C73:F73" si="21">IF(ISBLANK(C22),"NO DATA",IF(OR(C22&lt;C$63,ISNUMBER(C22)=FALSE),C$64,C22))</f>
      </c>
      <c r="D73" s="61" t="str">
        <f t="shared" si="21"/>
      </c>
      <c r="E73" s="61" t="str">
        <f t="shared" si="21"/>
      </c>
      <c r="F73" s="61" t="str">
        <f t="shared" si="21"/>
      </c>
      <c r="G73" s="61" t="str">
        <f t="shared" ref="G73:L73" si="22">IF(ISBLANK(H22),"NO DATA",IF(OR(H22&lt;H$63,ISNUMBER(H22)=FALSE),H$64,H22))</f>
      </c>
      <c r="H73" s="61" t="str">
        <f t="shared" si="22"/>
      </c>
      <c r="I73" s="61" t="str">
        <f t="shared" si="22"/>
      </c>
      <c r="J73" s="61" t="str">
        <f t="shared" si="22"/>
      </c>
      <c r="K73" s="61" t="str">
        <f t="shared" si="22"/>
      </c>
      <c r="L73" s="61" t="str">
        <f t="shared" si="22"/>
      </c>
      <c r="M73" s="61" t="str">
        <f t="shared" si="6"/>
      </c>
      <c r="N73" s="61" t="str">
        <f t="shared" si="7"/>
      </c>
      <c r="O73" s="61" t="str">
        <f t="shared" ref="O73:S73" si="23">IF(ISBLANK(U22),"NO DATA",IF(OR(U22&lt;U$63,ISNUMBER(U22)=FALSE),U$64,U22))</f>
      </c>
      <c r="P73" s="61" t="str">
        <f t="shared" si="23"/>
      </c>
      <c r="Q73" s="61" t="str">
        <f t="shared" si="23"/>
      </c>
      <c r="R73" s="41" t="str">
        <f t="shared" si="23"/>
      </c>
      <c r="S73" s="61" t="str">
        <f t="shared" si="23"/>
      </c>
      <c r="T73" s="61" t="str">
        <f t="shared" si="9"/>
      </c>
      <c r="U73" s="61" t="str">
        <f t="shared" si="10"/>
      </c>
      <c r="V73" s="61" t="str">
        <f t="shared" si="11"/>
      </c>
      <c r="W73"/>
      <c r="X73"/>
      <c r="Y73"/>
    </row>
    <row r="74" spans="1:30" x14ac:dyDescent="0.25">
      <c r="A74" s="23" t="str">
        <f t="shared" ref="A74:B74" si="24">A23</f>
      </c>
      <c r="B74" s="23">
        <f t="shared" si="24"/>
      </c>
      <c r="C74" s="61" t="str">
        <f t="shared" ref="C74:F74" si="25">IF(ISBLANK(C23),"NO DATA",IF(OR(C23&lt;C$63,ISNUMBER(C23)=FALSE),C$64,C23))</f>
      </c>
      <c r="D74" s="61" t="str">
        <f t="shared" si="25"/>
      </c>
      <c r="E74" s="61" t="str">
        <f t="shared" si="25"/>
      </c>
      <c r="F74" s="61" t="str">
        <f t="shared" si="25"/>
      </c>
      <c r="G74" s="61" t="str">
        <f t="shared" ref="G74:L74" si="26">IF(ISBLANK(H23),"NO DATA",IF(OR(H23&lt;H$63,ISNUMBER(H23)=FALSE),H$64,H23))</f>
      </c>
      <c r="H74" s="61" t="str">
        <f t="shared" si="26"/>
      </c>
      <c r="I74" s="61" t="str">
        <f t="shared" si="26"/>
      </c>
      <c r="J74" s="61" t="str">
        <f t="shared" si="26"/>
      </c>
      <c r="K74" s="61" t="str">
        <f t="shared" si="26"/>
      </c>
      <c r="L74" s="61" t="str">
        <f t="shared" si="26"/>
      </c>
      <c r="M74" s="61" t="str">
        <f t="shared" si="6"/>
      </c>
      <c r="N74" s="61" t="str">
        <f t="shared" si="7"/>
      </c>
      <c r="O74" s="61" t="str">
        <f t="shared" ref="O74:S74" si="27">IF(ISBLANK(U23),"NO DATA",IF(OR(U23&lt;U$63,ISNUMBER(U23)=FALSE),U$64,U23))</f>
      </c>
      <c r="P74" s="61" t="str">
        <f t="shared" si="27"/>
      </c>
      <c r="Q74" s="61" t="str">
        <f t="shared" si="27"/>
      </c>
      <c r="R74" s="41" t="str">
        <f t="shared" si="27"/>
      </c>
      <c r="S74" s="61" t="str">
        <f t="shared" si="27"/>
      </c>
      <c r="T74" s="61" t="str">
        <f t="shared" si="9"/>
      </c>
      <c r="U74" s="61" t="str">
        <f t="shared" si="10"/>
      </c>
      <c r="V74" s="61" t="str">
        <f t="shared" si="11"/>
      </c>
      <c r="W74"/>
      <c r="X74"/>
      <c r="Y74"/>
    </row>
    <row r="75" spans="1:30" x14ac:dyDescent="0.25">
      <c r="A75" s="23" t="str">
        <f t="shared" ref="A75:B75" si="28">A24</f>
      </c>
      <c r="B75" s="23">
        <f t="shared" si="28"/>
      </c>
      <c r="C75" s="61" t="str">
        <f t="shared" ref="C75:F75" si="29">IF(ISBLANK(C24),"NO DATA",IF(OR(C24&lt;C$63,ISNUMBER(C24)=FALSE),C$64,C24))</f>
      </c>
      <c r="D75" s="61" t="str">
        <f t="shared" si="29"/>
      </c>
      <c r="E75" s="61" t="str">
        <f t="shared" si="29"/>
      </c>
      <c r="F75" s="61" t="str">
        <f t="shared" si="29"/>
      </c>
      <c r="G75" s="61" t="str">
        <f t="shared" ref="G75:L75" si="30">IF(ISBLANK(H24),"NO DATA",IF(OR(H24&lt;H$63,ISNUMBER(H24)=FALSE),H$64,H24))</f>
      </c>
      <c r="H75" s="61" t="str">
        <f t="shared" si="30"/>
      </c>
      <c r="I75" s="61" t="str">
        <f t="shared" si="30"/>
      </c>
      <c r="J75" s="61" t="str">
        <f t="shared" si="30"/>
      </c>
      <c r="K75" s="61" t="str">
        <f t="shared" si="30"/>
      </c>
      <c r="L75" s="61" t="str">
        <f t="shared" si="30"/>
      </c>
      <c r="M75" s="61" t="str">
        <f t="shared" si="6"/>
      </c>
      <c r="N75" s="61" t="str">
        <f t="shared" si="7"/>
      </c>
      <c r="O75" s="61" t="str">
        <f t="shared" ref="O75:S75" si="31">IF(ISBLANK(U24),"NO DATA",IF(OR(U24&lt;U$63,ISNUMBER(U24)=FALSE),U$64,U24))</f>
      </c>
      <c r="P75" s="61" t="str">
        <f t="shared" si="31"/>
      </c>
      <c r="Q75" s="61" t="str">
        <f t="shared" si="31"/>
      </c>
      <c r="R75" s="41" t="str">
        <f t="shared" si="31"/>
      </c>
      <c r="S75" s="61" t="str">
        <f t="shared" si="31"/>
      </c>
      <c r="T75" s="61" t="str">
        <f t="shared" si="9"/>
      </c>
      <c r="U75" s="61" t="str">
        <f t="shared" si="10"/>
      </c>
      <c r="V75" s="61" t="str">
        <f t="shared" si="11"/>
      </c>
      <c r="W75"/>
      <c r="X75"/>
      <c r="Y75"/>
    </row>
    <row r="76" spans="1:30" x14ac:dyDescent="0.25">
      <c r="A76" s="23" t="str">
        <f t="shared" ref="A76:B76" si="32">A25</f>
      </c>
      <c r="B76" s="23">
        <f t="shared" si="32"/>
      </c>
      <c r="C76" s="61" t="str">
        <f t="shared" ref="C76:F76" si="33">IF(ISBLANK(C25),"NO DATA",IF(OR(C25&lt;C$63,ISNUMBER(C25)=FALSE),C$64,C25))</f>
      </c>
      <c r="D76" s="61" t="str">
        <f t="shared" si="33"/>
      </c>
      <c r="E76" s="61" t="str">
        <f t="shared" si="33"/>
      </c>
      <c r="F76" s="61" t="str">
        <f t="shared" si="33"/>
      </c>
      <c r="G76" s="61" t="str">
        <f t="shared" ref="G76:L76" si="34">IF(ISBLANK(H25),"NO DATA",IF(OR(H25&lt;H$63,ISNUMBER(H25)=FALSE),H$64,H25))</f>
      </c>
      <c r="H76" s="61" t="str">
        <f t="shared" si="34"/>
      </c>
      <c r="I76" s="61" t="str">
        <f t="shared" si="34"/>
      </c>
      <c r="J76" s="61" t="str">
        <f t="shared" si="34"/>
      </c>
      <c r="K76" s="61" t="str">
        <f t="shared" si="34"/>
      </c>
      <c r="L76" s="61" t="str">
        <f t="shared" si="34"/>
      </c>
      <c r="M76" s="61" t="str">
        <f t="shared" si="6"/>
      </c>
      <c r="N76" s="61" t="str">
        <f t="shared" si="7"/>
      </c>
      <c r="O76" s="61" t="str">
        <f t="shared" ref="O76:S76" si="35">IF(ISBLANK(U25),"NO DATA",IF(OR(U25&lt;U$63,ISNUMBER(U25)=FALSE),U$64,U25))</f>
      </c>
      <c r="P76" s="61" t="str">
        <f t="shared" si="35"/>
      </c>
      <c r="Q76" s="61" t="str">
        <f t="shared" si="35"/>
      </c>
      <c r="R76" s="41" t="str">
        <f t="shared" si="35"/>
      </c>
      <c r="S76" s="61" t="str">
        <f t="shared" si="35"/>
      </c>
      <c r="T76" s="61" t="str">
        <f t="shared" si="9"/>
      </c>
      <c r="U76" s="61" t="str">
        <f t="shared" si="10"/>
      </c>
      <c r="V76" s="61" t="str">
        <f t="shared" si="11"/>
      </c>
      <c r="W76"/>
      <c r="X76"/>
      <c r="Y76"/>
    </row>
    <row r="77" spans="1:30" x14ac:dyDescent="0.25">
      <c r="A77" s="23" t="str">
        <f t="shared" ref="A77:B77" si="36">A26</f>
      </c>
      <c r="B77" s="23">
        <f t="shared" si="36"/>
      </c>
      <c r="C77" s="61" t="str">
        <f t="shared" ref="C77:F77" si="37">IF(ISBLANK(C26),"NO DATA",IF(OR(C26&lt;C$63,ISNUMBER(C26)=FALSE),C$64,C26))</f>
      </c>
      <c r="D77" s="61" t="str">
        <f t="shared" si="37"/>
      </c>
      <c r="E77" s="61" t="str">
        <f t="shared" si="37"/>
      </c>
      <c r="F77" s="61" t="str">
        <f t="shared" si="37"/>
      </c>
      <c r="G77" s="61" t="str">
        <f t="shared" ref="G77:L77" si="38">IF(ISBLANK(H26),"NO DATA",IF(OR(H26&lt;H$63,ISNUMBER(H26)=FALSE),H$64,H26))</f>
      </c>
      <c r="H77" s="61" t="str">
        <f t="shared" si="38"/>
      </c>
      <c r="I77" s="61" t="str">
        <f t="shared" si="38"/>
      </c>
      <c r="J77" s="61" t="str">
        <f t="shared" si="38"/>
      </c>
      <c r="K77" s="61" t="str">
        <f t="shared" si="38"/>
      </c>
      <c r="L77" s="61" t="str">
        <f t="shared" si="38"/>
      </c>
      <c r="M77" s="61" t="str">
        <f t="shared" si="6"/>
      </c>
      <c r="N77" s="61" t="str">
        <f t="shared" si="7"/>
      </c>
      <c r="O77" s="61" t="str">
        <f t="shared" ref="O77:S77" si="39">IF(ISBLANK(U26),"NO DATA",IF(OR(U26&lt;U$63,ISNUMBER(U26)=FALSE),U$64,U26))</f>
      </c>
      <c r="P77" s="61" t="str">
        <f t="shared" si="39"/>
      </c>
      <c r="Q77" s="61" t="str">
        <f t="shared" si="39"/>
      </c>
      <c r="R77" s="41" t="str">
        <f t="shared" si="39"/>
      </c>
      <c r="S77" s="61" t="str">
        <f t="shared" si="39"/>
      </c>
      <c r="T77" s="61" t="str">
        <f t="shared" si="9"/>
      </c>
      <c r="U77" s="61" t="str">
        <f t="shared" si="10"/>
      </c>
      <c r="V77" s="61" t="str">
        <f t="shared" si="11"/>
      </c>
      <c r="W77"/>
      <c r="X77"/>
      <c r="Y77"/>
    </row>
    <row r="78" spans="1:30" x14ac:dyDescent="0.25">
      <c r="A78" s="23" t="str">
        <f t="shared" ref="A78:B78" si="40">A27</f>
      </c>
      <c r="B78" s="23">
        <f t="shared" si="40"/>
      </c>
      <c r="C78" s="61" t="str">
        <f t="shared" ref="C78:F78" si="41">IF(ISBLANK(C27),"NO DATA",IF(OR(C27&lt;C$63,ISNUMBER(C27)=FALSE),C$64,C27))</f>
      </c>
      <c r="D78" s="61" t="str">
        <f t="shared" si="41"/>
      </c>
      <c r="E78" s="61" t="str">
        <f t="shared" si="41"/>
      </c>
      <c r="F78" s="61" t="str">
        <f t="shared" si="41"/>
      </c>
      <c r="G78" s="61" t="str">
        <f t="shared" ref="G78:L78" si="42">IF(ISBLANK(H27),"NO DATA",IF(OR(H27&lt;H$63,ISNUMBER(H27)=FALSE),H$64,H27))</f>
      </c>
      <c r="H78" s="61" t="str">
        <f t="shared" si="42"/>
      </c>
      <c r="I78" s="61" t="str">
        <f t="shared" si="42"/>
      </c>
      <c r="J78" s="61" t="str">
        <f t="shared" si="42"/>
      </c>
      <c r="K78" s="61" t="str">
        <f t="shared" si="42"/>
      </c>
      <c r="L78" s="61" t="str">
        <f t="shared" si="42"/>
      </c>
      <c r="M78" s="61" t="str">
        <f t="shared" si="6"/>
      </c>
      <c r="N78" s="61" t="str">
        <f t="shared" si="7"/>
      </c>
      <c r="O78" s="61" t="str">
        <f t="shared" ref="O78:S78" si="43">IF(ISBLANK(U27),"NO DATA",IF(OR(U27&lt;U$63,ISNUMBER(U27)=FALSE),U$64,U27))</f>
      </c>
      <c r="P78" s="61" t="str">
        <f t="shared" si="43"/>
      </c>
      <c r="Q78" s="61" t="str">
        <f t="shared" si="43"/>
      </c>
      <c r="R78" s="41" t="str">
        <f t="shared" si="43"/>
      </c>
      <c r="S78" s="61" t="str">
        <f t="shared" si="43"/>
      </c>
      <c r="T78" s="61" t="str">
        <f t="shared" si="9"/>
      </c>
      <c r="U78" s="61" t="str">
        <f t="shared" si="10"/>
      </c>
      <c r="V78" s="61" t="str">
        <f t="shared" si="11"/>
      </c>
      <c r="W78"/>
      <c r="X78"/>
      <c r="Y78"/>
    </row>
    <row r="79" spans="1:30" x14ac:dyDescent="0.25">
      <c r="A79" s="23" t="str">
        <f t="shared" ref="A79:B79" si="44">A28</f>
      </c>
      <c r="B79" s="23">
        <f t="shared" si="44"/>
      </c>
      <c r="C79" s="61" t="str">
        <f t="shared" ref="C79:F79" si="45">IF(ISBLANK(C28),"NO DATA",IF(OR(C28&lt;C$63,ISNUMBER(C28)=FALSE),C$64,C28))</f>
      </c>
      <c r="D79" s="61" t="str">
        <f t="shared" si="45"/>
      </c>
      <c r="E79" s="61" t="str">
        <f t="shared" si="45"/>
      </c>
      <c r="F79" s="61" t="str">
        <f t="shared" si="45"/>
      </c>
      <c r="G79" s="61" t="str">
        <f t="shared" ref="G79:L79" si="46">IF(ISBLANK(H28),"NO DATA",IF(OR(H28&lt;H$63,ISNUMBER(H28)=FALSE),H$64,H28))</f>
      </c>
      <c r="H79" s="61" t="str">
        <f t="shared" si="46"/>
      </c>
      <c r="I79" s="61" t="str">
        <f t="shared" si="46"/>
      </c>
      <c r="J79" s="61" t="str">
        <f t="shared" si="46"/>
      </c>
      <c r="K79" s="61" t="str">
        <f t="shared" si="46"/>
      </c>
      <c r="L79" s="61" t="str">
        <f t="shared" si="46"/>
      </c>
      <c r="M79" s="61" t="str">
        <f t="shared" si="6"/>
      </c>
      <c r="N79" s="61" t="str">
        <f t="shared" si="7"/>
      </c>
      <c r="O79" s="61" t="str">
        <f t="shared" ref="O79:S79" si="47">IF(ISBLANK(U28),"NO DATA",IF(OR(U28&lt;U$63,ISNUMBER(U28)=FALSE),U$64,U28))</f>
      </c>
      <c r="P79" s="61" t="str">
        <f t="shared" si="47"/>
      </c>
      <c r="Q79" s="61" t="str">
        <f t="shared" si="47"/>
      </c>
      <c r="R79" s="41" t="str">
        <f t="shared" si="47"/>
      </c>
      <c r="S79" s="61" t="str">
        <f t="shared" si="47"/>
      </c>
      <c r="T79" s="61" t="str">
        <f t="shared" si="9"/>
      </c>
      <c r="U79" s="61" t="str">
        <f t="shared" si="10"/>
      </c>
      <c r="V79" s="61" t="str">
        <f t="shared" si="11"/>
      </c>
      <c r="W79"/>
      <c r="X79"/>
      <c r="Y79"/>
    </row>
    <row r="80" spans="1:30" x14ac:dyDescent="0.25">
      <c r="A80" s="23" t="str">
        <f t="shared" ref="A80:B80" si="48">A29</f>
      </c>
      <c r="B80" s="23">
        <f t="shared" si="48"/>
      </c>
      <c r="C80" s="61" t="str">
        <f t="shared" ref="C80:F80" si="49">IF(ISBLANK(C29),"NO DATA",IF(OR(C29&lt;C$63,ISNUMBER(C29)=FALSE),C$64,C29))</f>
      </c>
      <c r="D80" s="61" t="str">
        <f t="shared" si="49"/>
      </c>
      <c r="E80" s="61" t="str">
        <f t="shared" si="49"/>
      </c>
      <c r="F80" s="61" t="str">
        <f t="shared" si="49"/>
      </c>
      <c r="G80" s="61" t="str">
        <f t="shared" ref="G80:L80" si="50">IF(ISBLANK(H29),"NO DATA",IF(OR(H29&lt;H$63,ISNUMBER(H29)=FALSE),H$64,H29))</f>
      </c>
      <c r="H80" s="61" t="str">
        <f t="shared" si="50"/>
      </c>
      <c r="I80" s="61" t="str">
        <f t="shared" si="50"/>
      </c>
      <c r="J80" s="61" t="str">
        <f t="shared" si="50"/>
      </c>
      <c r="K80" s="61" t="str">
        <f t="shared" si="50"/>
      </c>
      <c r="L80" s="61" t="str">
        <f t="shared" si="50"/>
      </c>
      <c r="M80" s="61" t="str">
        <f t="shared" si="6"/>
      </c>
      <c r="N80" s="61" t="str">
        <f t="shared" si="7"/>
      </c>
      <c r="O80" s="61" t="str">
        <f t="shared" ref="O80:S80" si="51">IF(ISBLANK(U29),"NO DATA",IF(OR(U29&lt;U$63,ISNUMBER(U29)=FALSE),U$64,U29))</f>
      </c>
      <c r="P80" s="61" t="str">
        <f t="shared" si="51"/>
      </c>
      <c r="Q80" s="61" t="str">
        <f t="shared" si="51"/>
      </c>
      <c r="R80" s="41" t="str">
        <f t="shared" si="51"/>
      </c>
      <c r="S80" s="61" t="str">
        <f t="shared" si="51"/>
      </c>
      <c r="T80" s="61" t="str">
        <f t="shared" si="9"/>
      </c>
      <c r="U80" s="61" t="str">
        <f t="shared" si="10"/>
      </c>
      <c r="V80" s="61" t="str">
        <f t="shared" si="11"/>
      </c>
      <c r="W80"/>
      <c r="X80"/>
      <c r="Y80"/>
    </row>
    <row r="81" spans="1:25" x14ac:dyDescent="0.25">
      <c r="A81" s="23" t="str">
        <f t="shared" ref="A81:B81" si="52">A30</f>
      </c>
      <c r="B81" s="23">
        <f t="shared" si="52"/>
      </c>
      <c r="C81" s="61" t="str">
        <f t="shared" ref="C81:F81" si="53">IF(ISBLANK(C30),"NO DATA",IF(OR(C30&lt;C$63,ISNUMBER(C30)=FALSE),C$64,C30))</f>
      </c>
      <c r="D81" s="61" t="str">
        <f t="shared" si="53"/>
      </c>
      <c r="E81" s="61" t="str">
        <f t="shared" si="53"/>
      </c>
      <c r="F81" s="61" t="str">
        <f t="shared" si="53"/>
      </c>
      <c r="G81" s="61" t="str">
        <f t="shared" ref="G81:L81" si="54">IF(ISBLANK(H30),"NO DATA",IF(OR(H30&lt;H$63,ISNUMBER(H30)=FALSE),H$64,H30))</f>
      </c>
      <c r="H81" s="61" t="str">
        <f t="shared" si="54"/>
      </c>
      <c r="I81" s="61" t="str">
        <f t="shared" si="54"/>
      </c>
      <c r="J81" s="61" t="str">
        <f t="shared" si="54"/>
      </c>
      <c r="K81" s="61" t="str">
        <f t="shared" si="54"/>
      </c>
      <c r="L81" s="61" t="str">
        <f t="shared" si="54"/>
      </c>
      <c r="M81" s="61" t="str">
        <f t="shared" si="6"/>
      </c>
      <c r="N81" s="61" t="str">
        <f t="shared" si="7"/>
      </c>
      <c r="O81" s="61" t="str">
        <f t="shared" ref="O81:S81" si="55">IF(ISBLANK(U30),"NO DATA",IF(OR(U30&lt;U$63,ISNUMBER(U30)=FALSE),U$64,U30))</f>
      </c>
      <c r="P81" s="61" t="str">
        <f t="shared" si="55"/>
      </c>
      <c r="Q81" s="61" t="str">
        <f t="shared" si="55"/>
      </c>
      <c r="R81" s="41" t="str">
        <f t="shared" si="55"/>
      </c>
      <c r="S81" s="61" t="str">
        <f t="shared" si="55"/>
      </c>
      <c r="T81" s="61" t="str">
        <f t="shared" si="9"/>
      </c>
      <c r="U81" s="61" t="str">
        <f t="shared" si="10"/>
      </c>
      <c r="V81" s="61" t="str">
        <f t="shared" si="11"/>
      </c>
      <c r="W81"/>
      <c r="X81"/>
      <c r="Y81"/>
    </row>
    <row r="82" spans="1:25" x14ac:dyDescent="0.25">
      <c r="A82" s="23" t="str">
        <f t="shared" ref="A82:B82" si="56">A31</f>
      </c>
      <c r="B82" s="23">
        <f t="shared" si="56"/>
      </c>
      <c r="C82" s="61" t="str">
        <f t="shared" ref="C82:F82" si="57">IF(ISBLANK(C31),"NO DATA",IF(OR(C31&lt;C$63,ISNUMBER(C31)=FALSE),C$64,C31))</f>
      </c>
      <c r="D82" s="61" t="str">
        <f t="shared" si="57"/>
      </c>
      <c r="E82" s="61" t="str">
        <f t="shared" si="57"/>
      </c>
      <c r="F82" s="61" t="str">
        <f t="shared" si="57"/>
      </c>
      <c r="G82" s="61" t="str">
        <f t="shared" ref="G82:L82" si="58">IF(ISBLANK(H31),"NO DATA",IF(OR(H31&lt;H$63,ISNUMBER(H31)=FALSE),H$64,H31))</f>
      </c>
      <c r="H82" s="61" t="str">
        <f t="shared" si="58"/>
      </c>
      <c r="I82" s="61" t="str">
        <f t="shared" si="58"/>
      </c>
      <c r="J82" s="61" t="str">
        <f t="shared" si="58"/>
      </c>
      <c r="K82" s="61" t="str">
        <f t="shared" si="58"/>
      </c>
      <c r="L82" s="61" t="str">
        <f t="shared" si="58"/>
      </c>
      <c r="M82" s="61" t="str">
        <f t="shared" si="6"/>
      </c>
      <c r="N82" s="61" t="str">
        <f t="shared" si="7"/>
      </c>
      <c r="O82" s="61" t="str">
        <f t="shared" ref="O82:S82" si="59">IF(ISBLANK(U31),"NO DATA",IF(OR(U31&lt;U$63,ISNUMBER(U31)=FALSE),U$64,U31))</f>
      </c>
      <c r="P82" s="61" t="str">
        <f t="shared" si="59"/>
      </c>
      <c r="Q82" s="61" t="str">
        <f t="shared" si="59"/>
      </c>
      <c r="R82" s="41" t="str">
        <f t="shared" si="59"/>
      </c>
      <c r="S82" s="61" t="str">
        <f t="shared" si="59"/>
      </c>
      <c r="T82" s="61" t="str">
        <f t="shared" si="9"/>
      </c>
      <c r="U82" s="61" t="str">
        <f t="shared" si="10"/>
      </c>
      <c r="V82" s="61" t="str">
        <f t="shared" si="11"/>
      </c>
      <c r="W82"/>
      <c r="X82"/>
      <c r="Y82"/>
    </row>
    <row r="83" spans="1:25" x14ac:dyDescent="0.25">
      <c r="A83" s="23" t="str">
        <f t="shared" ref="A83:B83" si="60">A32</f>
      </c>
      <c r="B83" s="23">
        <f t="shared" si="60"/>
      </c>
      <c r="C83" s="61" t="str">
        <f t="shared" ref="C83:F83" si="61">IF(ISBLANK(C32),"NO DATA",IF(OR(C32&lt;C$63,ISNUMBER(C32)=FALSE),C$64,C32))</f>
      </c>
      <c r="D83" s="61" t="str">
        <f t="shared" si="61"/>
      </c>
      <c r="E83" s="61" t="str">
        <f t="shared" si="61"/>
      </c>
      <c r="F83" s="61" t="str">
        <f t="shared" si="61"/>
      </c>
      <c r="G83" s="61" t="str">
        <f t="shared" ref="G83:L83" si="62">IF(ISBLANK(H32),"NO DATA",IF(OR(H32&lt;H$63,ISNUMBER(H32)=FALSE),H$64,H32))</f>
      </c>
      <c r="H83" s="61" t="str">
        <f t="shared" si="62"/>
      </c>
      <c r="I83" s="61" t="str">
        <f t="shared" si="62"/>
      </c>
      <c r="J83" s="61" t="str">
        <f t="shared" si="62"/>
      </c>
      <c r="K83" s="61" t="str">
        <f t="shared" si="62"/>
      </c>
      <c r="L83" s="61" t="str">
        <f t="shared" si="62"/>
      </c>
      <c r="M83" s="61" t="str">
        <f t="shared" si="6"/>
      </c>
      <c r="N83" s="61" t="str">
        <f t="shared" si="7"/>
      </c>
      <c r="O83" s="61" t="str">
        <f t="shared" ref="O83:S83" si="63">IF(ISBLANK(U32),"NO DATA",IF(OR(U32&lt;U$63,ISNUMBER(U32)=FALSE),U$64,U32))</f>
      </c>
      <c r="P83" s="61" t="str">
        <f t="shared" si="63"/>
      </c>
      <c r="Q83" s="61" t="str">
        <f t="shared" si="63"/>
      </c>
      <c r="R83" s="41" t="str">
        <f t="shared" si="63"/>
      </c>
      <c r="S83" s="61" t="str">
        <f t="shared" si="63"/>
      </c>
      <c r="T83" s="61" t="str">
        <f t="shared" si="9"/>
      </c>
      <c r="U83" s="61" t="str">
        <f t="shared" si="10"/>
      </c>
      <c r="V83" s="61" t="str">
        <f t="shared" si="11"/>
      </c>
      <c r="W83"/>
      <c r="X83"/>
      <c r="Y83"/>
    </row>
    <row r="84" spans="1:25" x14ac:dyDescent="0.25">
      <c r="A84" s="23" t="str">
        <f t="shared" ref="A84:B84" si="64">A33</f>
      </c>
      <c r="B84" s="23">
        <f t="shared" si="64"/>
      </c>
      <c r="C84" s="61" t="str">
        <f t="shared" ref="C84:F84" si="65">IF(ISBLANK(C33),"NO DATA",IF(OR(C33&lt;C$63,ISNUMBER(C33)=FALSE),C$64,C33))</f>
      </c>
      <c r="D84" s="61" t="str">
        <f t="shared" si="65"/>
      </c>
      <c r="E84" s="61" t="str">
        <f t="shared" si="65"/>
      </c>
      <c r="F84" s="61" t="str">
        <f t="shared" si="65"/>
      </c>
      <c r="G84" s="61" t="str">
        <f t="shared" ref="G84:L84" si="66">IF(ISBLANK(H33),"NO DATA",IF(OR(H33&lt;H$63,ISNUMBER(H33)=FALSE),H$64,H33))</f>
      </c>
      <c r="H84" s="61" t="str">
        <f t="shared" si="66"/>
      </c>
      <c r="I84" s="61" t="str">
        <f t="shared" si="66"/>
      </c>
      <c r="J84" s="61" t="str">
        <f t="shared" si="66"/>
      </c>
      <c r="K84" s="61" t="str">
        <f t="shared" si="66"/>
      </c>
      <c r="L84" s="61" t="str">
        <f t="shared" si="66"/>
      </c>
      <c r="M84" s="61" t="str">
        <f t="shared" si="6"/>
      </c>
      <c r="N84" s="61" t="str">
        <f t="shared" si="7"/>
      </c>
      <c r="O84" s="61" t="str">
        <f t="shared" ref="O84:S84" si="67">IF(ISBLANK(U33),"NO DATA",IF(OR(U33&lt;U$63,ISNUMBER(U33)=FALSE),U$64,U33))</f>
      </c>
      <c r="P84" s="61" t="str">
        <f t="shared" si="67"/>
      </c>
      <c r="Q84" s="61" t="str">
        <f t="shared" si="67"/>
      </c>
      <c r="R84" s="41" t="str">
        <f t="shared" si="67"/>
      </c>
      <c r="S84" s="61" t="str">
        <f t="shared" si="67"/>
      </c>
      <c r="T84" s="61" t="str">
        <f t="shared" si="9"/>
      </c>
      <c r="U84" s="61" t="str">
        <f t="shared" si="10"/>
      </c>
      <c r="V84" s="61" t="str">
        <f t="shared" si="11"/>
      </c>
      <c r="W84"/>
      <c r="X84"/>
      <c r="Y84"/>
    </row>
    <row r="85" spans="1:25" x14ac:dyDescent="0.25">
      <c r="A85" s="23" t="str">
        <f t="shared" ref="A85:B85" si="68">A34</f>
      </c>
      <c r="B85" s="23">
        <f t="shared" si="68"/>
      </c>
      <c r="C85" s="61" t="str">
        <f t="shared" ref="C85:F85" si="69">IF(ISBLANK(C34),"NO DATA",IF(OR(C34&lt;C$63,ISNUMBER(C34)=FALSE),C$64,C34))</f>
      </c>
      <c r="D85" s="61" t="str">
        <f t="shared" si="69"/>
      </c>
      <c r="E85" s="61" t="str">
        <f t="shared" si="69"/>
      </c>
      <c r="F85" s="61" t="str">
        <f t="shared" si="69"/>
      </c>
      <c r="G85" s="61" t="str">
        <f t="shared" ref="G85:L85" si="70">IF(ISBLANK(H34),"NO DATA",IF(OR(H34&lt;H$63,ISNUMBER(H34)=FALSE),H$64,H34))</f>
      </c>
      <c r="H85" s="61" t="str">
        <f t="shared" si="70"/>
      </c>
      <c r="I85" s="61" t="str">
        <f t="shared" si="70"/>
      </c>
      <c r="J85" s="61" t="str">
        <f t="shared" si="70"/>
      </c>
      <c r="K85" s="61" t="str">
        <f t="shared" si="70"/>
      </c>
      <c r="L85" s="61" t="str">
        <f t="shared" si="70"/>
      </c>
      <c r="M85" s="61" t="str">
        <f t="shared" si="6"/>
      </c>
      <c r="N85" s="61" t="str">
        <f t="shared" si="7"/>
      </c>
      <c r="O85" s="61" t="str">
        <f t="shared" ref="O85:S85" si="71">IF(ISBLANK(U34),"NO DATA",IF(OR(U34&lt;U$63,ISNUMBER(U34)=FALSE),U$64,U34))</f>
      </c>
      <c r="P85" s="61" t="str">
        <f t="shared" si="71"/>
      </c>
      <c r="Q85" s="61" t="str">
        <f t="shared" si="71"/>
      </c>
      <c r="R85" s="41" t="str">
        <f t="shared" si="71"/>
      </c>
      <c r="S85" s="61" t="str">
        <f t="shared" si="71"/>
      </c>
      <c r="T85" s="61" t="str">
        <f t="shared" si="9"/>
      </c>
      <c r="U85" s="61" t="str">
        <f t="shared" si="10"/>
      </c>
      <c r="V85" s="61" t="str">
        <f t="shared" si="11"/>
      </c>
      <c r="W85"/>
      <c r="X85"/>
      <c r="Y85"/>
    </row>
    <row r="86" spans="1:25" x14ac:dyDescent="0.25">
      <c r="A86" s="23" t="str">
        <f t="shared" ref="A86:B86" si="72">A35</f>
      </c>
      <c r="B86" s="23">
        <f t="shared" si="72"/>
      </c>
      <c r="C86" s="61" t="str">
        <f t="shared" ref="C86:F86" si="73">IF(ISBLANK(C35),"NO DATA",IF(OR(C35&lt;C$63,ISNUMBER(C35)=FALSE),C$64,C35))</f>
      </c>
      <c r="D86" s="61" t="str">
        <f t="shared" si="73"/>
      </c>
      <c r="E86" s="61" t="str">
        <f t="shared" si="73"/>
      </c>
      <c r="F86" s="61" t="str">
        <f t="shared" si="73"/>
      </c>
      <c r="G86" s="61" t="str">
        <f t="shared" ref="G86:L86" si="74">IF(ISBLANK(H35),"NO DATA",IF(OR(H35&lt;H$63,ISNUMBER(H35)=FALSE),H$64,H35))</f>
      </c>
      <c r="H86" s="61" t="str">
        <f t="shared" si="74"/>
      </c>
      <c r="I86" s="61" t="str">
        <f t="shared" si="74"/>
      </c>
      <c r="J86" s="61" t="str">
        <f t="shared" si="74"/>
      </c>
      <c r="K86" s="61" t="str">
        <f t="shared" si="74"/>
      </c>
      <c r="L86" s="61" t="str">
        <f t="shared" si="74"/>
      </c>
      <c r="M86" s="61" t="str">
        <f t="shared" si="6"/>
      </c>
      <c r="N86" s="61" t="str">
        <f t="shared" si="7"/>
      </c>
      <c r="O86" s="61" t="str">
        <f t="shared" ref="O86:S86" si="75">IF(ISBLANK(U35),"NO DATA",IF(OR(U35&lt;U$63,ISNUMBER(U35)=FALSE),U$64,U35))</f>
      </c>
      <c r="P86" s="61" t="str">
        <f t="shared" si="75"/>
      </c>
      <c r="Q86" s="61" t="str">
        <f t="shared" si="75"/>
      </c>
      <c r="R86" s="41" t="str">
        <f t="shared" si="75"/>
      </c>
      <c r="S86" s="61" t="str">
        <f t="shared" si="75"/>
      </c>
      <c r="T86" s="61" t="str">
        <f t="shared" si="9"/>
      </c>
      <c r="U86" s="61" t="str">
        <f t="shared" si="10"/>
      </c>
      <c r="V86" s="61" t="str">
        <f t="shared" si="11"/>
      </c>
      <c r="W86"/>
      <c r="X86"/>
      <c r="Y86"/>
    </row>
    <row r="87" spans="1:25" x14ac:dyDescent="0.25">
      <c r="A87" s="23" t="str">
        <f t="shared" ref="A87:B87" si="76">A36</f>
      </c>
      <c r="B87" s="23">
        <f t="shared" si="76"/>
      </c>
      <c r="C87" s="61" t="str">
        <f t="shared" ref="C87:F87" si="77">IF(ISBLANK(C36),"NO DATA",IF(OR(C36&lt;C$63,ISNUMBER(C36)=FALSE),C$64,C36))</f>
      </c>
      <c r="D87" s="61" t="str">
        <f t="shared" si="77"/>
      </c>
      <c r="E87" s="61" t="str">
        <f t="shared" si="77"/>
      </c>
      <c r="F87" s="61" t="str">
        <f t="shared" si="77"/>
      </c>
      <c r="G87" s="61" t="str">
        <f t="shared" ref="G87:L87" si="78">IF(ISBLANK(H36),"NO DATA",IF(OR(H36&lt;H$63,ISNUMBER(H36)=FALSE),H$64,H36))</f>
      </c>
      <c r="H87" s="61" t="str">
        <f t="shared" si="78"/>
      </c>
      <c r="I87" s="61" t="str">
        <f t="shared" si="78"/>
      </c>
      <c r="J87" s="61" t="str">
        <f t="shared" si="78"/>
      </c>
      <c r="K87" s="61" t="str">
        <f t="shared" si="78"/>
      </c>
      <c r="L87" s="61" t="str">
        <f t="shared" si="78"/>
      </c>
      <c r="M87" s="61" t="str">
        <f t="shared" si="6"/>
      </c>
      <c r="N87" s="61" t="str">
        <f t="shared" si="7"/>
      </c>
      <c r="O87" s="61" t="str">
        <f t="shared" ref="O87:S87" si="79">IF(ISBLANK(U36),"NO DATA",IF(OR(U36&lt;U$63,ISNUMBER(U36)=FALSE),U$64,U36))</f>
      </c>
      <c r="P87" s="61" t="str">
        <f t="shared" si="79"/>
      </c>
      <c r="Q87" s="61" t="str">
        <f t="shared" si="79"/>
      </c>
      <c r="R87" s="41" t="str">
        <f t="shared" si="79"/>
      </c>
      <c r="S87" s="61" t="str">
        <f t="shared" si="79"/>
      </c>
      <c r="T87" s="61" t="str">
        <f t="shared" si="9"/>
      </c>
      <c r="U87" s="61" t="str">
        <f t="shared" si="10"/>
      </c>
      <c r="V87" s="61" t="str">
        <f t="shared" si="11"/>
      </c>
      <c r="W87"/>
      <c r="X87"/>
      <c r="Y87"/>
    </row>
    <row r="88" spans="1:25" x14ac:dyDescent="0.25">
      <c r="A88" s="23" t="str">
        <f t="shared" ref="A88:B88" si="80">A37</f>
      </c>
      <c r="B88" s="23">
        <f t="shared" si="80"/>
      </c>
      <c r="C88" s="61" t="str">
        <f t="shared" ref="C88:F88" si="81">IF(ISBLANK(C37),"NO DATA",IF(OR(C37&lt;C$63,ISNUMBER(C37)=FALSE),C$64,C37))</f>
      </c>
      <c r="D88" s="61" t="str">
        <f t="shared" si="81"/>
      </c>
      <c r="E88" s="61" t="str">
        <f t="shared" si="81"/>
      </c>
      <c r="F88" s="61" t="str">
        <f t="shared" si="81"/>
      </c>
      <c r="G88" s="61" t="str">
        <f t="shared" ref="G88:L88" si="82">IF(ISBLANK(H37),"NO DATA",IF(OR(H37&lt;H$63,ISNUMBER(H37)=FALSE),H$64,H37))</f>
      </c>
      <c r="H88" s="61" t="str">
        <f t="shared" si="82"/>
      </c>
      <c r="I88" s="61" t="str">
        <f t="shared" si="82"/>
      </c>
      <c r="J88" s="61" t="str">
        <f t="shared" si="82"/>
      </c>
      <c r="K88" s="61" t="str">
        <f t="shared" si="82"/>
      </c>
      <c r="L88" s="61" t="str">
        <f t="shared" si="82"/>
      </c>
      <c r="M88" s="61" t="str">
        <f t="shared" si="6"/>
      </c>
      <c r="N88" s="61" t="str">
        <f t="shared" si="7"/>
      </c>
      <c r="O88" s="61" t="str">
        <f t="shared" ref="O88:S88" si="83">IF(ISBLANK(U37),"NO DATA",IF(OR(U37&lt;U$63,ISNUMBER(U37)=FALSE),U$64,U37))</f>
      </c>
      <c r="P88" s="61" t="str">
        <f t="shared" si="83"/>
      </c>
      <c r="Q88" s="61" t="str">
        <f t="shared" si="83"/>
      </c>
      <c r="R88" s="41" t="str">
        <f t="shared" si="83"/>
      </c>
      <c r="S88" s="61" t="str">
        <f t="shared" si="83"/>
      </c>
      <c r="T88" s="61" t="str">
        <f t="shared" si="9"/>
      </c>
      <c r="U88" s="61" t="str">
        <f t="shared" si="10"/>
      </c>
      <c r="V88" s="61" t="str">
        <f t="shared" si="11"/>
      </c>
      <c r="W88"/>
      <c r="X88"/>
      <c r="Y88"/>
    </row>
    <row r="89" spans="1:25" x14ac:dyDescent="0.25">
      <c r="A89" s="23" t="str">
        <f t="shared" ref="A89:B89" si="84">A38</f>
      </c>
      <c r="B89" s="23">
        <f t="shared" si="84"/>
      </c>
      <c r="C89" s="61" t="str">
        <f t="shared" ref="C89:F89" si="85">IF(ISBLANK(C38),"NO DATA",IF(OR(C38&lt;C$63,ISNUMBER(C38)=FALSE),C$64,C38))</f>
      </c>
      <c r="D89" s="61" t="str">
        <f t="shared" si="85"/>
      </c>
      <c r="E89" s="61" t="str">
        <f t="shared" si="85"/>
      </c>
      <c r="F89" s="61" t="str">
        <f t="shared" si="85"/>
      </c>
      <c r="G89" s="61" t="str">
        <f t="shared" ref="G89:L89" si="86">IF(ISBLANK(H38),"NO DATA",IF(OR(H38&lt;H$63,ISNUMBER(H38)=FALSE),H$64,H38))</f>
      </c>
      <c r="H89" s="61" t="str">
        <f t="shared" si="86"/>
      </c>
      <c r="I89" s="61" t="str">
        <f t="shared" si="86"/>
      </c>
      <c r="J89" s="61" t="str">
        <f t="shared" si="86"/>
      </c>
      <c r="K89" s="61" t="str">
        <f t="shared" si="86"/>
      </c>
      <c r="L89" s="61" t="str">
        <f t="shared" si="86"/>
      </c>
      <c r="M89" s="61" t="str">
        <f t="shared" si="6"/>
      </c>
      <c r="N89" s="61" t="str">
        <f t="shared" si="7"/>
      </c>
      <c r="O89" s="61" t="str">
        <f t="shared" ref="O89:S89" si="87">IF(ISBLANK(U38),"NO DATA",IF(OR(U38&lt;U$63,ISNUMBER(U38)=FALSE),U$64,U38))</f>
      </c>
      <c r="P89" s="61" t="str">
        <f t="shared" si="87"/>
      </c>
      <c r="Q89" s="61" t="str">
        <f t="shared" si="87"/>
      </c>
      <c r="R89" s="41" t="str">
        <f t="shared" si="87"/>
      </c>
      <c r="S89" s="61" t="str">
        <f t="shared" si="87"/>
      </c>
      <c r="T89" s="61" t="str">
        <f t="shared" si="9"/>
      </c>
      <c r="U89" s="61" t="str">
        <f t="shared" si="10"/>
      </c>
      <c r="V89" s="61" t="str">
        <f t="shared" si="11"/>
      </c>
      <c r="W89"/>
      <c r="X89"/>
      <c r="Y89"/>
    </row>
    <row r="90" spans="1:25" x14ac:dyDescent="0.25">
      <c r="A90" s="23" t="str">
        <f t="shared" ref="A90:B90" si="88">A39</f>
      </c>
      <c r="B90" s="23">
        <f t="shared" si="88"/>
      </c>
      <c r="C90" s="61" t="str">
        <f t="shared" ref="C90:F90" si="89">IF(ISBLANK(C39),"NO DATA",IF(OR(C39&lt;C$63,ISNUMBER(C39)=FALSE),C$64,C39))</f>
      </c>
      <c r="D90" s="61" t="str">
        <f t="shared" si="89"/>
      </c>
      <c r="E90" s="61" t="str">
        <f t="shared" si="89"/>
      </c>
      <c r="F90" s="61" t="str">
        <f t="shared" si="89"/>
      </c>
      <c r="G90" s="61" t="str">
        <f t="shared" ref="G90:L90" si="90">IF(ISBLANK(H39),"NO DATA",IF(OR(H39&lt;H$63,ISNUMBER(H39)=FALSE),H$64,H39))</f>
      </c>
      <c r="H90" s="61" t="str">
        <f t="shared" si="90"/>
      </c>
      <c r="I90" s="61" t="str">
        <f t="shared" si="90"/>
      </c>
      <c r="J90" s="61" t="str">
        <f t="shared" si="90"/>
      </c>
      <c r="K90" s="61" t="str">
        <f t="shared" si="90"/>
      </c>
      <c r="L90" s="61" t="str">
        <f t="shared" si="90"/>
      </c>
      <c r="M90" s="61" t="str">
        <f t="shared" si="6"/>
      </c>
      <c r="N90" s="61" t="str">
        <f t="shared" si="7"/>
      </c>
      <c r="O90" s="61" t="str">
        <f t="shared" ref="O90:S90" si="91">IF(ISBLANK(U39),"NO DATA",IF(OR(U39&lt;U$63,ISNUMBER(U39)=FALSE),U$64,U39))</f>
      </c>
      <c r="P90" s="61" t="str">
        <f t="shared" si="91"/>
      </c>
      <c r="Q90" s="61" t="str">
        <f t="shared" si="91"/>
      </c>
      <c r="R90" s="41" t="str">
        <f t="shared" si="91"/>
      </c>
      <c r="S90" s="61" t="str">
        <f t="shared" si="91"/>
      </c>
      <c r="T90" s="61" t="str">
        <f t="shared" si="9"/>
      </c>
      <c r="U90" s="61" t="str">
        <f t="shared" si="10"/>
      </c>
      <c r="V90" s="61" t="str">
        <f t="shared" si="11"/>
      </c>
      <c r="W90"/>
      <c r="X90"/>
      <c r="Y90"/>
    </row>
    <row r="91" spans="1:25" x14ac:dyDescent="0.25">
      <c r="A91" s="23" t="str">
        <f t="shared" ref="A91:B91" si="92">A40</f>
      </c>
      <c r="B91" s="23">
        <f t="shared" si="92"/>
      </c>
      <c r="C91" s="61" t="str">
        <f t="shared" ref="C91:F91" si="93">IF(ISBLANK(C40),"NO DATA",IF(OR(C40&lt;C$63,ISNUMBER(C40)=FALSE),C$64,C40))</f>
      </c>
      <c r="D91" s="61" t="str">
        <f t="shared" si="93"/>
      </c>
      <c r="E91" s="61" t="str">
        <f t="shared" si="93"/>
      </c>
      <c r="F91" s="61" t="str">
        <f t="shared" si="93"/>
      </c>
      <c r="G91" s="61" t="str">
        <f t="shared" ref="G91:L91" si="94">IF(ISBLANK(H40),"NO DATA",IF(OR(H40&lt;H$63,ISNUMBER(H40)=FALSE),H$64,H40))</f>
      </c>
      <c r="H91" s="61" t="str">
        <f t="shared" si="94"/>
      </c>
      <c r="I91" s="61" t="str">
        <f t="shared" si="94"/>
      </c>
      <c r="J91" s="61" t="str">
        <f t="shared" si="94"/>
      </c>
      <c r="K91" s="61" t="str">
        <f t="shared" si="94"/>
      </c>
      <c r="L91" s="61" t="str">
        <f t="shared" si="94"/>
      </c>
      <c r="M91" s="61" t="str">
        <f t="shared" si="6"/>
      </c>
      <c r="N91" s="61" t="str">
        <f t="shared" si="7"/>
      </c>
      <c r="O91" s="61" t="str">
        <f t="shared" ref="O91:S91" si="95">IF(ISBLANK(U40),"NO DATA",IF(OR(U40&lt;U$63,ISNUMBER(U40)=FALSE),U$64,U40))</f>
      </c>
      <c r="P91" s="61" t="str">
        <f t="shared" si="95"/>
      </c>
      <c r="Q91" s="61" t="str">
        <f t="shared" si="95"/>
      </c>
      <c r="R91" s="41" t="str">
        <f t="shared" si="95"/>
      </c>
      <c r="S91" s="61" t="str">
        <f t="shared" si="95"/>
      </c>
      <c r="T91" s="61" t="str">
        <f t="shared" si="9"/>
      </c>
      <c r="U91" s="61" t="str">
        <f t="shared" si="10"/>
      </c>
      <c r="V91" s="61" t="str">
        <f t="shared" si="11"/>
      </c>
      <c r="W91"/>
      <c r="X91"/>
      <c r="Y91"/>
    </row>
    <row r="92" spans="1:25" x14ac:dyDescent="0.25">
      <c r="A92" s="23" t="str">
        <f t="shared" ref="A92:B92" si="96">A41</f>
      </c>
      <c r="B92" s="23">
        <f t="shared" si="96"/>
      </c>
      <c r="C92" s="61" t="str">
        <f t="shared" ref="C92:F92" si="97">IF(ISBLANK(C41),"NO DATA",IF(OR(C41&lt;C$63,ISNUMBER(C41)=FALSE),C$64,C41))</f>
      </c>
      <c r="D92" s="61" t="str">
        <f t="shared" si="97"/>
      </c>
      <c r="E92" s="61" t="str">
        <f t="shared" si="97"/>
      </c>
      <c r="F92" s="61" t="str">
        <f t="shared" si="97"/>
      </c>
      <c r="G92" s="61" t="str">
        <f t="shared" ref="G92:L92" si="98">IF(ISBLANK(H41),"NO DATA",IF(OR(H41&lt;H$63,ISNUMBER(H41)=FALSE),H$64,H41))</f>
      </c>
      <c r="H92" s="61" t="str">
        <f t="shared" si="98"/>
      </c>
      <c r="I92" s="61" t="str">
        <f t="shared" si="98"/>
      </c>
      <c r="J92" s="61" t="str">
        <f t="shared" si="98"/>
      </c>
      <c r="K92" s="61" t="str">
        <f t="shared" si="98"/>
      </c>
      <c r="L92" s="61" t="str">
        <f t="shared" si="98"/>
      </c>
      <c r="M92" s="61" t="str">
        <f t="shared" si="6"/>
      </c>
      <c r="N92" s="61" t="str">
        <f t="shared" si="7"/>
      </c>
      <c r="O92" s="61" t="str">
        <f t="shared" ref="O92:S92" si="99">IF(ISBLANK(U41),"NO DATA",IF(OR(U41&lt;U$63,ISNUMBER(U41)=FALSE),U$64,U41))</f>
      </c>
      <c r="P92" s="61" t="str">
        <f t="shared" si="99"/>
      </c>
      <c r="Q92" s="61" t="str">
        <f t="shared" si="99"/>
      </c>
      <c r="R92" s="41" t="str">
        <f t="shared" si="99"/>
      </c>
      <c r="S92" s="61" t="str">
        <f t="shared" si="99"/>
      </c>
      <c r="T92" s="61" t="str">
        <f t="shared" si="9"/>
      </c>
      <c r="U92" s="61" t="str">
        <f t="shared" si="10"/>
      </c>
      <c r="V92" s="61" t="str">
        <f t="shared" si="11"/>
      </c>
      <c r="W92"/>
      <c r="X92"/>
      <c r="Y92"/>
    </row>
    <row r="93" spans="1:25" x14ac:dyDescent="0.25">
      <c r="A93" s="23" t="str">
        <f t="shared" ref="A93:B93" si="100">A42</f>
      </c>
      <c r="B93" s="23">
        <f t="shared" si="100"/>
      </c>
      <c r="C93" s="61" t="str">
        <f t="shared" ref="C93:F93" si="101">IF(ISBLANK(C42),"NO DATA",IF(OR(C42&lt;C$63,ISNUMBER(C42)=FALSE),C$64,C42))</f>
      </c>
      <c r="D93" s="61" t="str">
        <f t="shared" si="101"/>
      </c>
      <c r="E93" s="61" t="str">
        <f t="shared" si="101"/>
      </c>
      <c r="F93" s="61" t="str">
        <f t="shared" si="101"/>
      </c>
      <c r="G93" s="61" t="str">
        <f t="shared" ref="G93:L93" si="102">IF(ISBLANK(H42),"NO DATA",IF(OR(H42&lt;H$63,ISNUMBER(H42)=FALSE),H$64,H42))</f>
      </c>
      <c r="H93" s="61" t="str">
        <f t="shared" si="102"/>
      </c>
      <c r="I93" s="61" t="str">
        <f t="shared" si="102"/>
      </c>
      <c r="J93" s="61" t="str">
        <f t="shared" si="102"/>
      </c>
      <c r="K93" s="61" t="str">
        <f t="shared" si="102"/>
      </c>
      <c r="L93" s="61" t="str">
        <f t="shared" si="102"/>
      </c>
      <c r="M93" s="61" t="str">
        <f t="shared" si="6"/>
      </c>
      <c r="N93" s="61" t="str">
        <f t="shared" si="7"/>
      </c>
      <c r="O93" s="61" t="str">
        <f t="shared" ref="O93:S93" si="103">IF(ISBLANK(U42),"NO DATA",IF(OR(U42&lt;U$63,ISNUMBER(U42)=FALSE),U$64,U42))</f>
      </c>
      <c r="P93" s="61" t="str">
        <f t="shared" si="103"/>
      </c>
      <c r="Q93" s="61" t="str">
        <f t="shared" si="103"/>
      </c>
      <c r="R93" s="41" t="str">
        <f t="shared" si="103"/>
      </c>
      <c r="S93" s="61" t="str">
        <f t="shared" si="103"/>
      </c>
      <c r="T93" s="61" t="str">
        <f t="shared" si="9"/>
      </c>
      <c r="U93" s="61" t="str">
        <f t="shared" si="10"/>
      </c>
      <c r="V93" s="61" t="str">
        <f t="shared" si="11"/>
      </c>
      <c r="W93"/>
      <c r="X93"/>
      <c r="Y93"/>
    </row>
    <row r="94" spans="1:25" x14ac:dyDescent="0.25">
      <c r="A94" s="23" t="str">
        <f t="shared" ref="A94:B94" si="104">A43</f>
      </c>
      <c r="B94" s="23">
        <f t="shared" si="104"/>
      </c>
      <c r="C94" s="61" t="str">
        <f t="shared" ref="C94:F94" si="105">IF(ISBLANK(C43),"NO DATA",IF(OR(C43&lt;C$63,ISNUMBER(C43)=FALSE),C$64,C43))</f>
      </c>
      <c r="D94" s="61" t="str">
        <f t="shared" si="105"/>
      </c>
      <c r="E94" s="61" t="str">
        <f t="shared" si="105"/>
      </c>
      <c r="F94" s="61" t="str">
        <f t="shared" si="105"/>
      </c>
      <c r="G94" s="61" t="str">
        <f t="shared" ref="G94:L94" si="106">IF(ISBLANK(H43),"NO DATA",IF(OR(H43&lt;H$63,ISNUMBER(H43)=FALSE),H$64,H43))</f>
      </c>
      <c r="H94" s="61" t="str">
        <f t="shared" si="106"/>
      </c>
      <c r="I94" s="61" t="str">
        <f t="shared" si="106"/>
      </c>
      <c r="J94" s="61" t="str">
        <f t="shared" si="106"/>
      </c>
      <c r="K94" s="61" t="str">
        <f t="shared" si="106"/>
      </c>
      <c r="L94" s="61" t="str">
        <f t="shared" si="106"/>
      </c>
      <c r="M94" s="61" t="str">
        <f t="shared" si="6"/>
      </c>
      <c r="N94" s="61" t="str">
        <f t="shared" si="7"/>
      </c>
      <c r="O94" s="61" t="str">
        <f t="shared" ref="O94:S94" si="107">IF(ISBLANK(U43),"NO DATA",IF(OR(U43&lt;U$63,ISNUMBER(U43)=FALSE),U$64,U43))</f>
      </c>
      <c r="P94" s="61" t="str">
        <f t="shared" si="107"/>
      </c>
      <c r="Q94" s="61" t="str">
        <f t="shared" si="107"/>
      </c>
      <c r="R94" s="41" t="str">
        <f t="shared" si="107"/>
      </c>
      <c r="S94" s="61" t="str">
        <f t="shared" si="107"/>
      </c>
      <c r="T94" s="61" t="str">
        <f t="shared" si="9"/>
      </c>
      <c r="U94" s="61" t="str">
        <f t="shared" si="10"/>
      </c>
      <c r="V94" s="61" t="str">
        <f t="shared" si="11"/>
      </c>
      <c r="W94"/>
      <c r="X94"/>
      <c r="Y94"/>
    </row>
    <row r="95" spans="1:25" x14ac:dyDescent="0.25">
      <c r="A95" s="23" t="str">
        <f t="shared" ref="A95:B95" si="108">A44</f>
      </c>
      <c r="B95" s="23">
        <f t="shared" si="108"/>
      </c>
      <c r="C95" s="61" t="str">
        <f t="shared" ref="C95:F95" si="109">IF(ISBLANK(C44),"NO DATA",IF(OR(C44&lt;C$63,ISNUMBER(C44)=FALSE),C$64,C44))</f>
      </c>
      <c r="D95" s="61" t="str">
        <f t="shared" si="109"/>
      </c>
      <c r="E95" s="61" t="str">
        <f t="shared" si="109"/>
      </c>
      <c r="F95" s="61" t="str">
        <f t="shared" si="109"/>
      </c>
      <c r="G95" s="61" t="str">
        <f t="shared" ref="G95:L95" si="110">IF(ISBLANK(H44),"NO DATA",IF(OR(H44&lt;H$63,ISNUMBER(H44)=FALSE),H$64,H44))</f>
      </c>
      <c r="H95" s="61" t="str">
        <f t="shared" si="110"/>
      </c>
      <c r="I95" s="61" t="str">
        <f t="shared" si="110"/>
      </c>
      <c r="J95" s="61" t="str">
        <f t="shared" si="110"/>
      </c>
      <c r="K95" s="61" t="str">
        <f t="shared" si="110"/>
      </c>
      <c r="L95" s="61" t="str">
        <f t="shared" si="110"/>
      </c>
      <c r="M95" s="61" t="str">
        <f t="shared" si="6"/>
      </c>
      <c r="N95" s="61" t="str">
        <f t="shared" si="7"/>
      </c>
      <c r="O95" s="61" t="str">
        <f t="shared" ref="O95:S95" si="111">IF(ISBLANK(U44),"NO DATA",IF(OR(U44&lt;U$63,ISNUMBER(U44)=FALSE),U$64,U44))</f>
      </c>
      <c r="P95" s="61" t="str">
        <f t="shared" si="111"/>
      </c>
      <c r="Q95" s="61" t="str">
        <f t="shared" si="111"/>
      </c>
      <c r="R95" s="41" t="str">
        <f t="shared" si="111"/>
      </c>
      <c r="S95" s="61" t="str">
        <f t="shared" si="111"/>
      </c>
      <c r="T95" s="61" t="str">
        <f t="shared" si="9"/>
      </c>
      <c r="U95" s="61" t="str">
        <f t="shared" si="10"/>
      </c>
      <c r="V95" s="61" t="str">
        <f t="shared" si="11"/>
      </c>
      <c r="W95"/>
      <c r="X95"/>
      <c r="Y95"/>
    </row>
    <row r="96" spans="1:25" x14ac:dyDescent="0.25">
      <c r="A96" s="23" t="str">
        <f t="shared" ref="A96:B96" si="112">A45</f>
      </c>
      <c r="B96" s="23">
        <f t="shared" si="112"/>
      </c>
      <c r="C96" s="61" t="str">
        <f t="shared" ref="C96:F96" si="113">IF(ISBLANK(C45),"NO DATA",IF(OR(C45&lt;C$63,ISNUMBER(C45)=FALSE),C$64,C45))</f>
      </c>
      <c r="D96" s="61" t="str">
        <f t="shared" si="113"/>
      </c>
      <c r="E96" s="61" t="str">
        <f t="shared" si="113"/>
      </c>
      <c r="F96" s="61" t="str">
        <f t="shared" si="113"/>
      </c>
      <c r="G96" s="61" t="str">
        <f t="shared" ref="G96:L96" si="114">IF(ISBLANK(H45),"NO DATA",IF(OR(H45&lt;H$63,ISNUMBER(H45)=FALSE),H$64,H45))</f>
      </c>
      <c r="H96" s="61" t="str">
        <f t="shared" si="114"/>
      </c>
      <c r="I96" s="61" t="str">
        <f t="shared" si="114"/>
      </c>
      <c r="J96" s="61" t="str">
        <f t="shared" si="114"/>
      </c>
      <c r="K96" s="61" t="str">
        <f t="shared" si="114"/>
      </c>
      <c r="L96" s="61" t="str">
        <f t="shared" si="114"/>
      </c>
      <c r="M96" s="61" t="str">
        <f t="shared" si="6"/>
      </c>
      <c r="N96" s="61" t="str">
        <f t="shared" si="7"/>
      </c>
      <c r="O96" s="61" t="str">
        <f t="shared" ref="O96:S96" si="115">IF(ISBLANK(U45),"NO DATA",IF(OR(U45&lt;U$63,ISNUMBER(U45)=FALSE),U$64,U45))</f>
      </c>
      <c r="P96" s="61" t="str">
        <f t="shared" si="115"/>
      </c>
      <c r="Q96" s="61" t="str">
        <f t="shared" si="115"/>
      </c>
      <c r="R96" s="41" t="str">
        <f t="shared" si="115"/>
      </c>
      <c r="S96" s="61" t="str">
        <f t="shared" si="115"/>
      </c>
      <c r="T96" s="61" t="str">
        <f t="shared" si="9"/>
      </c>
      <c r="U96" s="61" t="str">
        <f t="shared" si="10"/>
      </c>
      <c r="V96" s="61" t="str">
        <f t="shared" si="11"/>
      </c>
      <c r="W96"/>
      <c r="X96"/>
      <c r="Y96"/>
    </row>
    <row r="97" spans="1:25" x14ac:dyDescent="0.25">
      <c r="A97" s="23" t="str">
        <f t="shared" ref="A97:B97" si="116">A46</f>
      </c>
      <c r="B97" s="23">
        <f t="shared" si="116"/>
      </c>
      <c r="C97" s="61" t="str">
        <f t="shared" ref="C97:F97" si="117">IF(ISBLANK(C46),"NO DATA",IF(OR(C46&lt;C$63,ISNUMBER(C46)=FALSE),C$64,C46))</f>
      </c>
      <c r="D97" s="61" t="str">
        <f t="shared" si="117"/>
      </c>
      <c r="E97" s="61" t="str">
        <f t="shared" si="117"/>
      </c>
      <c r="F97" s="61" t="str">
        <f t="shared" si="117"/>
      </c>
      <c r="G97" s="61" t="str">
        <f t="shared" ref="G97:L97" si="118">IF(ISBLANK(H46),"NO DATA",IF(OR(H46&lt;H$63,ISNUMBER(H46)=FALSE),H$64,H46))</f>
      </c>
      <c r="H97" s="61" t="str">
        <f t="shared" si="118"/>
      </c>
      <c r="I97" s="61" t="str">
        <f t="shared" si="118"/>
      </c>
      <c r="J97" s="61" t="str">
        <f t="shared" si="118"/>
      </c>
      <c r="K97" s="61" t="str">
        <f t="shared" si="118"/>
      </c>
      <c r="L97" s="61" t="str">
        <f t="shared" si="118"/>
      </c>
      <c r="M97" s="61" t="str">
        <f t="shared" si="6"/>
      </c>
      <c r="N97" s="61" t="str">
        <f t="shared" si="7"/>
      </c>
      <c r="O97" s="61" t="str">
        <f t="shared" ref="O97:S97" si="119">IF(ISBLANK(U46),"NO DATA",IF(OR(U46&lt;U$63,ISNUMBER(U46)=FALSE),U$64,U46))</f>
      </c>
      <c r="P97" s="61" t="str">
        <f t="shared" si="119"/>
      </c>
      <c r="Q97" s="61" t="str">
        <f t="shared" si="119"/>
      </c>
      <c r="R97" s="41" t="str">
        <f t="shared" si="119"/>
      </c>
      <c r="S97" s="61" t="str">
        <f t="shared" si="119"/>
      </c>
      <c r="T97" s="61" t="str">
        <f t="shared" si="9"/>
      </c>
      <c r="U97" s="61" t="str">
        <f t="shared" si="10"/>
      </c>
      <c r="V97" s="61" t="str">
        <f t="shared" si="11"/>
      </c>
      <c r="W97"/>
      <c r="X97"/>
      <c r="Y97"/>
    </row>
    <row r="98" spans="1:25" x14ac:dyDescent="0.25">
      <c r="A98" s="23" t="str">
        <f t="shared" ref="A98:B98" si="120">A47</f>
      </c>
      <c r="B98" s="23">
        <f t="shared" si="120"/>
      </c>
      <c r="C98" s="61" t="str">
        <f t="shared" ref="C98:F98" si="121">IF(ISBLANK(C47),"NO DATA",IF(OR(C47&lt;C$63,ISNUMBER(C47)=FALSE),C$64,C47))</f>
      </c>
      <c r="D98" s="61" t="str">
        <f t="shared" si="121"/>
      </c>
      <c r="E98" s="61" t="str">
        <f t="shared" si="121"/>
      </c>
      <c r="F98" s="61" t="str">
        <f t="shared" si="121"/>
      </c>
      <c r="G98" s="61" t="str">
        <f t="shared" ref="G98:L98" si="122">IF(ISBLANK(H47),"NO DATA",IF(OR(H47&lt;H$63,ISNUMBER(H47)=FALSE),H$64,H47))</f>
      </c>
      <c r="H98" s="61" t="str">
        <f t="shared" si="122"/>
      </c>
      <c r="I98" s="61" t="str">
        <f t="shared" si="122"/>
      </c>
      <c r="J98" s="61" t="str">
        <f t="shared" si="122"/>
      </c>
      <c r="K98" s="61" t="str">
        <f t="shared" si="122"/>
      </c>
      <c r="L98" s="61" t="str">
        <f t="shared" si="122"/>
      </c>
      <c r="M98" s="61" t="str">
        <f t="shared" si="6"/>
      </c>
      <c r="N98" s="61" t="str">
        <f t="shared" si="7"/>
      </c>
      <c r="O98" s="61" t="str">
        <f t="shared" ref="O98:S98" si="123">IF(ISBLANK(U47),"NO DATA",IF(OR(U47&lt;U$63,ISNUMBER(U47)=FALSE),U$64,U47))</f>
      </c>
      <c r="P98" s="61" t="str">
        <f t="shared" si="123"/>
      </c>
      <c r="Q98" s="61" t="str">
        <f t="shared" si="123"/>
      </c>
      <c r="R98" s="41" t="str">
        <f t="shared" si="123"/>
      </c>
      <c r="S98" s="61" t="str">
        <f t="shared" si="123"/>
      </c>
      <c r="T98" s="61" t="str">
        <f t="shared" si="9"/>
      </c>
      <c r="U98" s="61" t="str">
        <f t="shared" si="10"/>
      </c>
      <c r="V98" s="61" t="str">
        <f t="shared" si="11"/>
      </c>
      <c r="W98"/>
      <c r="X98"/>
      <c r="Y98"/>
    </row>
    <row r="99" spans="1:25" x14ac:dyDescent="0.25">
      <c r="A99" s="23" t="str">
        <f t="shared" ref="A99:B99" si="124">A48</f>
      </c>
      <c r="B99" s="23">
        <f t="shared" si="124"/>
      </c>
      <c r="C99" s="61" t="str">
        <f t="shared" ref="C99:F99" si="125">IF(ISBLANK(C48),"NO DATA",IF(OR(C48&lt;C$63,ISNUMBER(C48)=FALSE),C$64,C48))</f>
      </c>
      <c r="D99" s="61" t="str">
        <f t="shared" si="125"/>
      </c>
      <c r="E99" s="61" t="str">
        <f t="shared" si="125"/>
      </c>
      <c r="F99" s="61" t="str">
        <f t="shared" si="125"/>
      </c>
      <c r="G99" s="61" t="str">
        <f t="shared" ref="G99:L99" si="126">IF(ISBLANK(H48),"NO DATA",IF(OR(H48&lt;H$63,ISNUMBER(H48)=FALSE),H$64,H48))</f>
      </c>
      <c r="H99" s="61" t="str">
        <f t="shared" si="126"/>
      </c>
      <c r="I99" s="61" t="str">
        <f t="shared" si="126"/>
      </c>
      <c r="J99" s="61" t="str">
        <f t="shared" si="126"/>
      </c>
      <c r="K99" s="61" t="str">
        <f t="shared" si="126"/>
      </c>
      <c r="L99" s="61" t="str">
        <f t="shared" si="126"/>
      </c>
      <c r="M99" s="61" t="str">
        <f t="shared" si="6"/>
      </c>
      <c r="N99" s="61" t="str">
        <f t="shared" si="7"/>
      </c>
      <c r="O99" s="61" t="str">
        <f t="shared" ref="O99:S99" si="127">IF(ISBLANK(U48),"NO DATA",IF(OR(U48&lt;U$63,ISNUMBER(U48)=FALSE),U$64,U48))</f>
      </c>
      <c r="P99" s="61" t="str">
        <f t="shared" si="127"/>
      </c>
      <c r="Q99" s="61" t="str">
        <f t="shared" si="127"/>
      </c>
      <c r="R99" s="41" t="str">
        <f t="shared" si="127"/>
      </c>
      <c r="S99" s="61" t="str">
        <f t="shared" si="127"/>
      </c>
      <c r="T99" s="61" t="str">
        <f t="shared" si="9"/>
      </c>
      <c r="U99" s="61" t="str">
        <f t="shared" si="10"/>
      </c>
      <c r="V99" s="61" t="str">
        <f t="shared" si="11"/>
      </c>
      <c r="W99"/>
      <c r="X99"/>
      <c r="Y99"/>
    </row>
    <row r="100" spans="1:25" x14ac:dyDescent="0.25">
      <c r="A100" s="23" t="str">
        <f t="shared" ref="A100:B100" si="128">A49</f>
      </c>
      <c r="B100" s="23">
        <f t="shared" si="128"/>
      </c>
      <c r="C100" s="61" t="str">
        <f t="shared" ref="C100:F100" si="129">IF(ISBLANK(C49),"NO DATA",IF(OR(C49&lt;C$63,ISNUMBER(C49)=FALSE),C$64,C49))</f>
      </c>
      <c r="D100" s="61" t="str">
        <f t="shared" si="129"/>
      </c>
      <c r="E100" s="61" t="str">
        <f t="shared" si="129"/>
      </c>
      <c r="F100" s="61" t="str">
        <f t="shared" si="129"/>
      </c>
      <c r="G100" s="61" t="str">
        <f t="shared" ref="G100:L100" si="130">IF(ISBLANK(H49),"NO DATA",IF(OR(H49&lt;H$63,ISNUMBER(H49)=FALSE),H$64,H49))</f>
      </c>
      <c r="H100" s="61" t="str">
        <f t="shared" si="130"/>
      </c>
      <c r="I100" s="61" t="str">
        <f t="shared" si="130"/>
      </c>
      <c r="J100" s="61" t="str">
        <f t="shared" si="130"/>
      </c>
      <c r="K100" s="61" t="str">
        <f t="shared" si="130"/>
      </c>
      <c r="L100" s="61" t="str">
        <f t="shared" si="130"/>
      </c>
      <c r="M100" s="61" t="str">
        <f t="shared" si="6"/>
      </c>
      <c r="N100" s="61" t="str">
        <f t="shared" si="7"/>
      </c>
      <c r="O100" s="61" t="str">
        <f t="shared" ref="O100:S100" si="131">IF(ISBLANK(U49),"NO DATA",IF(OR(U49&lt;U$63,ISNUMBER(U49)=FALSE),U$64,U49))</f>
      </c>
      <c r="P100" s="61" t="str">
        <f t="shared" si="131"/>
      </c>
      <c r="Q100" s="61" t="str">
        <f t="shared" si="131"/>
      </c>
      <c r="R100" s="41" t="str">
        <f t="shared" si="131"/>
      </c>
      <c r="S100" s="61" t="str">
        <f t="shared" si="131"/>
      </c>
      <c r="T100" s="61" t="str">
        <f t="shared" si="9"/>
      </c>
      <c r="U100" s="61" t="str">
        <f t="shared" si="10"/>
      </c>
      <c r="V100" s="61" t="str">
        <f t="shared" si="11"/>
      </c>
      <c r="W100"/>
      <c r="X100"/>
      <c r="Y100"/>
    </row>
    <row r="101" spans="1:25" x14ac:dyDescent="0.25">
      <c r="A101" s="23" t="str">
        <f t="shared" ref="A101:B101" si="132">A50</f>
      </c>
      <c r="B101" s="23">
        <f t="shared" si="132"/>
      </c>
      <c r="C101" s="61" t="str">
        <f t="shared" ref="C101:F101" si="133">IF(ISBLANK(C50),"NO DATA",IF(OR(C50&lt;C$63,ISNUMBER(C50)=FALSE),C$64,C50))</f>
      </c>
      <c r="D101" s="61" t="str">
        <f t="shared" si="133"/>
      </c>
      <c r="E101" s="61" t="str">
        <f t="shared" si="133"/>
      </c>
      <c r="F101" s="61" t="str">
        <f t="shared" si="133"/>
      </c>
      <c r="G101" s="61" t="str">
        <f t="shared" ref="G101:L101" si="134">IF(ISBLANK(H50),"NO DATA",IF(OR(H50&lt;H$63,ISNUMBER(H50)=FALSE),H$64,H50))</f>
      </c>
      <c r="H101" s="61" t="str">
        <f t="shared" si="134"/>
      </c>
      <c r="I101" s="61" t="str">
        <f t="shared" si="134"/>
      </c>
      <c r="J101" s="61" t="str">
        <f t="shared" si="134"/>
      </c>
      <c r="K101" s="61" t="str">
        <f t="shared" si="134"/>
      </c>
      <c r="L101" s="61" t="str">
        <f t="shared" si="134"/>
      </c>
      <c r="M101" s="61" t="str">
        <f t="shared" si="6"/>
      </c>
      <c r="N101" s="61" t="str">
        <f t="shared" si="7"/>
      </c>
      <c r="O101" s="61" t="str">
        <f t="shared" ref="O101:S101" si="135">IF(ISBLANK(U50),"NO DATA",IF(OR(U50&lt;U$63,ISNUMBER(U50)=FALSE),U$64,U50))</f>
      </c>
      <c r="P101" s="61" t="str">
        <f t="shared" si="135"/>
      </c>
      <c r="Q101" s="61" t="str">
        <f t="shared" si="135"/>
      </c>
      <c r="R101" s="41" t="str">
        <f t="shared" si="135"/>
      </c>
      <c r="S101" s="61" t="str">
        <f t="shared" si="135"/>
      </c>
      <c r="T101" s="61" t="str">
        <f t="shared" si="9"/>
      </c>
      <c r="U101" s="61" t="str">
        <f t="shared" si="10"/>
      </c>
      <c r="V101" s="61" t="str">
        <f t="shared" si="11"/>
      </c>
      <c r="W101"/>
      <c r="X101"/>
      <c r="Y101"/>
    </row>
    <row r="102" spans="1:25" x14ac:dyDescent="0.25">
      <c r="A102" s="23" t="str">
        <f t="shared" ref="A102:B102" si="136">A51</f>
      </c>
      <c r="B102" s="23">
        <f t="shared" si="136"/>
      </c>
      <c r="C102" s="61" t="str">
        <f t="shared" ref="C102:F102" si="137">IF(ISBLANK(C51),"NO DATA",IF(OR(C51&lt;C$63,ISNUMBER(C51)=FALSE),C$64,C51))</f>
      </c>
      <c r="D102" s="61" t="str">
        <f t="shared" si="137"/>
      </c>
      <c r="E102" s="61" t="str">
        <f t="shared" si="137"/>
      </c>
      <c r="F102" s="61" t="str">
        <f t="shared" si="137"/>
      </c>
      <c r="G102" s="61" t="str">
        <f t="shared" ref="G102:L102" si="138">IF(ISBLANK(H51),"NO DATA",IF(OR(H51&lt;H$63,ISNUMBER(H51)=FALSE),H$64,H51))</f>
      </c>
      <c r="H102" s="61" t="str">
        <f t="shared" si="138"/>
      </c>
      <c r="I102" s="61" t="str">
        <f t="shared" si="138"/>
      </c>
      <c r="J102" s="61" t="str">
        <f t="shared" si="138"/>
      </c>
      <c r="K102" s="61" t="str">
        <f t="shared" si="138"/>
      </c>
      <c r="L102" s="61" t="str">
        <f t="shared" si="138"/>
      </c>
      <c r="M102" s="61" t="str">
        <f t="shared" si="6"/>
      </c>
      <c r="N102" s="61" t="str">
        <f t="shared" si="7"/>
      </c>
      <c r="O102" s="61" t="str">
        <f t="shared" ref="O102:S102" si="139">IF(ISBLANK(U51),"NO DATA",IF(OR(U51&lt;U$63,ISNUMBER(U51)=FALSE),U$64,U51))</f>
      </c>
      <c r="P102" s="61" t="str">
        <f t="shared" si="139"/>
      </c>
      <c r="Q102" s="61" t="str">
        <f t="shared" si="139"/>
      </c>
      <c r="R102" s="41" t="str">
        <f t="shared" si="139"/>
      </c>
      <c r="S102" s="61" t="str">
        <f t="shared" si="139"/>
      </c>
      <c r="T102" s="61" t="str">
        <f t="shared" si="9"/>
      </c>
      <c r="U102" s="61" t="str">
        <f t="shared" si="10"/>
      </c>
      <c r="V102" s="61" t="str">
        <f t="shared" si="11"/>
      </c>
      <c r="W102"/>
      <c r="X102"/>
      <c r="Y102"/>
    </row>
    <row r="103" spans="1:25" x14ac:dyDescent="0.25">
      <c r="A103" s="23" t="str">
        <f t="shared" ref="A103:B103" si="140">A52</f>
      </c>
      <c r="B103" s="23">
        <f t="shared" si="140"/>
      </c>
      <c r="C103" s="61" t="str">
        <f t="shared" ref="C103:F103" si="141">IF(ISBLANK(C52),"NO DATA",IF(OR(C52&lt;C$63,ISNUMBER(C52)=FALSE),C$64,C52))</f>
      </c>
      <c r="D103" s="61" t="str">
        <f t="shared" si="141"/>
      </c>
      <c r="E103" s="61" t="str">
        <f t="shared" si="141"/>
      </c>
      <c r="F103" s="61" t="str">
        <f t="shared" si="141"/>
      </c>
      <c r="G103" s="61" t="str">
        <f t="shared" ref="G103:L103" si="142">IF(ISBLANK(H52),"NO DATA",IF(OR(H52&lt;H$63,ISNUMBER(H52)=FALSE),H$64,H52))</f>
      </c>
      <c r="H103" s="61" t="str">
        <f t="shared" si="142"/>
      </c>
      <c r="I103" s="61" t="str">
        <f t="shared" si="142"/>
      </c>
      <c r="J103" s="61" t="str">
        <f t="shared" si="142"/>
      </c>
      <c r="K103" s="61" t="str">
        <f t="shared" si="142"/>
      </c>
      <c r="L103" s="61" t="str">
        <f t="shared" si="142"/>
      </c>
      <c r="M103" s="61" t="str">
        <f t="shared" si="6"/>
      </c>
      <c r="N103" s="61" t="str">
        <f t="shared" si="7"/>
      </c>
      <c r="O103" s="61" t="str">
        <f t="shared" ref="O103:S103" si="143">IF(ISBLANK(U52),"NO DATA",IF(OR(U52&lt;U$63,ISNUMBER(U52)=FALSE),U$64,U52))</f>
      </c>
      <c r="P103" s="61" t="str">
        <f t="shared" si="143"/>
      </c>
      <c r="Q103" s="61" t="str">
        <f t="shared" si="143"/>
      </c>
      <c r="R103" s="41" t="str">
        <f t="shared" si="143"/>
      </c>
      <c r="S103" s="61" t="str">
        <f t="shared" si="143"/>
      </c>
      <c r="T103" s="61" t="str">
        <f t="shared" si="9"/>
      </c>
      <c r="U103" s="61" t="str">
        <f t="shared" si="10"/>
      </c>
      <c r="V103" s="61" t="str">
        <f t="shared" si="11"/>
      </c>
      <c r="W103"/>
      <c r="X103"/>
      <c r="Y103"/>
    </row>
    <row r="104" spans="1:25" x14ac:dyDescent="0.25">
      <c r="A104" s="23" t="str">
        <f t="shared" ref="A104:B104" si="144">A53</f>
      </c>
      <c r="B104" s="23">
        <f t="shared" si="144"/>
      </c>
      <c r="C104" s="61" t="str">
        <f t="shared" ref="C104:F104" si="145">IF(ISBLANK(C53),"NO DATA",IF(OR(C53&lt;C$63,ISNUMBER(C53)=FALSE),C$64,C53))</f>
      </c>
      <c r="D104" s="61" t="str">
        <f t="shared" si="145"/>
      </c>
      <c r="E104" s="61" t="str">
        <f t="shared" si="145"/>
      </c>
      <c r="F104" s="61" t="str">
        <f t="shared" si="145"/>
      </c>
      <c r="G104" s="61" t="str">
        <f t="shared" ref="G104:L104" si="146">IF(ISBLANK(H53),"NO DATA",IF(OR(H53&lt;H$63,ISNUMBER(H53)=FALSE),H$64,H53))</f>
      </c>
      <c r="H104" s="61" t="str">
        <f t="shared" si="146"/>
      </c>
      <c r="I104" s="61" t="str">
        <f t="shared" si="146"/>
      </c>
      <c r="J104" s="61" t="str">
        <f t="shared" si="146"/>
      </c>
      <c r="K104" s="61" t="str">
        <f t="shared" si="146"/>
      </c>
      <c r="L104" s="61" t="str">
        <f t="shared" si="146"/>
      </c>
      <c r="M104" s="61" t="str">
        <f t="shared" si="6"/>
      </c>
      <c r="N104" s="61" t="str">
        <f t="shared" si="7"/>
      </c>
      <c r="O104" s="61" t="str">
        <f t="shared" ref="O104:S104" si="147">IF(ISBLANK(U53),"NO DATA",IF(OR(U53&lt;U$63,ISNUMBER(U53)=FALSE),U$64,U53))</f>
      </c>
      <c r="P104" s="61" t="str">
        <f t="shared" si="147"/>
      </c>
      <c r="Q104" s="61" t="str">
        <f t="shared" si="147"/>
      </c>
      <c r="R104" s="41" t="str">
        <f t="shared" si="147"/>
      </c>
      <c r="S104" s="61" t="str">
        <f t="shared" si="147"/>
      </c>
      <c r="T104" s="61" t="str">
        <f t="shared" si="9"/>
      </c>
      <c r="U104" s="61" t="str">
        <f t="shared" si="10"/>
      </c>
      <c r="V104" s="61" t="str">
        <f t="shared" si="11"/>
      </c>
      <c r="W104"/>
      <c r="X104"/>
      <c r="Y104"/>
    </row>
    <row r="105" spans="1:25" x14ac:dyDescent="0.25">
      <c r="A105" s="23" t="str">
        <f t="shared" ref="A105:B105" si="148">A54</f>
      </c>
      <c r="B105" s="23">
        <f t="shared" si="148"/>
      </c>
      <c r="C105" s="61" t="str">
        <f t="shared" ref="C105:F105" si="149">IF(ISBLANK(C54),"NO DATA",IF(OR(C54&lt;C$63,ISNUMBER(C54)=FALSE),C$64,C54))</f>
      </c>
      <c r="D105" s="61" t="str">
        <f t="shared" si="149"/>
      </c>
      <c r="E105" s="61" t="str">
        <f t="shared" si="149"/>
      </c>
      <c r="F105" s="61" t="str">
        <f t="shared" si="149"/>
      </c>
      <c r="G105" s="61" t="str">
        <f t="shared" ref="G105:L105" si="150">IF(ISBLANK(H54),"NO DATA",IF(OR(H54&lt;H$63,ISNUMBER(H54)=FALSE),H$64,H54))</f>
      </c>
      <c r="H105" s="61" t="str">
        <f t="shared" si="150"/>
      </c>
      <c r="I105" s="61" t="str">
        <f t="shared" si="150"/>
      </c>
      <c r="J105" s="61" t="str">
        <f t="shared" si="150"/>
      </c>
      <c r="K105" s="61" t="str">
        <f t="shared" si="150"/>
      </c>
      <c r="L105" s="61" t="str">
        <f t="shared" si="150"/>
      </c>
      <c r="M105" s="61" t="str">
        <f t="shared" si="6"/>
      </c>
      <c r="N105" s="61" t="str">
        <f t="shared" si="7"/>
      </c>
      <c r="O105" s="61" t="str">
        <f t="shared" ref="O105:S105" si="151">IF(ISBLANK(U54),"NO DATA",IF(OR(U54&lt;U$63,ISNUMBER(U54)=FALSE),U$64,U54))</f>
      </c>
      <c r="P105" s="61" t="str">
        <f t="shared" si="151"/>
      </c>
      <c r="Q105" s="61" t="str">
        <f t="shared" si="151"/>
      </c>
      <c r="R105" s="41" t="str">
        <f t="shared" si="151"/>
      </c>
      <c r="S105" s="61" t="str">
        <f t="shared" si="151"/>
      </c>
      <c r="T105" s="61" t="str">
        <f t="shared" si="9"/>
      </c>
      <c r="U105" s="61" t="str">
        <f t="shared" si="10"/>
      </c>
      <c r="V105" s="61" t="str">
        <f t="shared" si="11"/>
      </c>
      <c r="W105"/>
      <c r="X105"/>
      <c r="Y105"/>
    </row>
    <row r="106" spans="1:25" x14ac:dyDescent="0.25">
      <c r="A106" s="23" t="str">
        <f t="shared" ref="A106:B106" si="152">A55</f>
      </c>
      <c r="B106" s="23">
        <f t="shared" si="152"/>
      </c>
      <c r="C106" s="61" t="str">
        <f t="shared" ref="C106:F106" si="153">IF(ISBLANK(C55),"NO DATA",IF(OR(C55&lt;C$63,ISNUMBER(C55)=FALSE),C$64,C55))</f>
      </c>
      <c r="D106" s="61" t="str">
        <f t="shared" si="153"/>
      </c>
      <c r="E106" s="61" t="str">
        <f t="shared" si="153"/>
      </c>
      <c r="F106" s="61" t="str">
        <f t="shared" si="153"/>
      </c>
      <c r="G106" s="61" t="str">
        <f t="shared" ref="G106:L106" si="154">IF(ISBLANK(H55),"NO DATA",IF(OR(H55&lt;H$63,ISNUMBER(H55)=FALSE),H$64,H55))</f>
      </c>
      <c r="H106" s="61" t="str">
        <f t="shared" si="154"/>
      </c>
      <c r="I106" s="61" t="str">
        <f t="shared" si="154"/>
      </c>
      <c r="J106" s="61" t="str">
        <f t="shared" si="154"/>
      </c>
      <c r="K106" s="61" t="str">
        <f t="shared" si="154"/>
      </c>
      <c r="L106" s="61" t="str">
        <f t="shared" si="154"/>
      </c>
      <c r="M106" s="61" t="str">
        <f t="shared" si="6"/>
      </c>
      <c r="N106" s="61" t="str">
        <f t="shared" si="7"/>
      </c>
      <c r="O106" s="61" t="str">
        <f t="shared" ref="O106:S106" si="155">IF(ISBLANK(U55),"NO DATA",IF(OR(U55&lt;U$63,ISNUMBER(U55)=FALSE),U$64,U55))</f>
      </c>
      <c r="P106" s="61" t="str">
        <f t="shared" si="155"/>
      </c>
      <c r="Q106" s="61" t="str">
        <f t="shared" si="155"/>
      </c>
      <c r="R106" s="41" t="str">
        <f t="shared" si="155"/>
      </c>
      <c r="S106" s="61" t="str">
        <f t="shared" si="155"/>
      </c>
      <c r="T106" s="61" t="str">
        <f t="shared" si="9"/>
      </c>
      <c r="U106" s="61" t="str">
        <f t="shared" si="10"/>
      </c>
      <c r="V106" s="61" t="str">
        <f t="shared" si="11"/>
      </c>
      <c r="W106"/>
      <c r="X106"/>
      <c r="Y106"/>
    </row>
    <row r="107" spans="1:25" x14ac:dyDescent="0.25">
      <c r="A107" s="23" t="str">
        <f t="shared" ref="A107:B107" si="156">A56</f>
      </c>
      <c r="B107" s="23">
        <f t="shared" si="156"/>
      </c>
      <c r="C107" s="61" t="str">
        <f t="shared" ref="C107:F107" si="157">IF(ISBLANK(C56),"NO DATA",IF(OR(C56&lt;C$63,ISNUMBER(C56)=FALSE),C$64,C56))</f>
      </c>
      <c r="D107" s="61" t="str">
        <f t="shared" si="157"/>
      </c>
      <c r="E107" s="61" t="str">
        <f t="shared" si="157"/>
      </c>
      <c r="F107" s="61" t="str">
        <f t="shared" si="157"/>
      </c>
      <c r="G107" s="61" t="str">
        <f t="shared" ref="G107:L107" si="158">IF(ISBLANK(H56),"NO DATA",IF(OR(H56&lt;H$63,ISNUMBER(H56)=FALSE),H$64,H56))</f>
      </c>
      <c r="H107" s="61" t="str">
        <f t="shared" si="158"/>
      </c>
      <c r="I107" s="61" t="str">
        <f t="shared" si="158"/>
      </c>
      <c r="J107" s="61" t="str">
        <f t="shared" si="158"/>
      </c>
      <c r="K107" s="61" t="str">
        <f t="shared" si="158"/>
      </c>
      <c r="L107" s="61" t="str">
        <f t="shared" si="158"/>
      </c>
      <c r="M107" s="61" t="str">
        <f t="shared" si="6"/>
      </c>
      <c r="N107" s="61" t="str">
        <f t="shared" si="7"/>
      </c>
      <c r="O107" s="61" t="str">
        <f t="shared" ref="O107:S107" si="159">IF(ISBLANK(U56),"NO DATA",IF(OR(U56&lt;U$63,ISNUMBER(U56)=FALSE),U$64,U56))</f>
      </c>
      <c r="P107" s="61" t="str">
        <f t="shared" si="159"/>
      </c>
      <c r="Q107" s="61" t="str">
        <f t="shared" si="159"/>
      </c>
      <c r="R107" s="41" t="str">
        <f t="shared" si="159"/>
      </c>
      <c r="S107" s="61" t="str">
        <f t="shared" si="159"/>
      </c>
      <c r="T107" s="61" t="str">
        <f t="shared" si="9"/>
      </c>
      <c r="U107" s="61" t="str">
        <f t="shared" si="10"/>
      </c>
      <c r="V107" s="61" t="str">
        <f t="shared" si="11"/>
      </c>
      <c r="W107"/>
      <c r="X107"/>
      <c r="Y107"/>
    </row>
    <row r="108" spans="1:25" x14ac:dyDescent="0.25">
      <c r="A108" s="23" t="str">
        <f t="shared" ref="A108:B108" si="160">A57</f>
      </c>
      <c r="B108" s="23">
        <f t="shared" si="160"/>
      </c>
      <c r="C108" s="61" t="str">
        <f t="shared" ref="C108:F108" si="161">IF(ISBLANK(C57),"NO DATA",IF(OR(C57&lt;C$63,ISNUMBER(C57)=FALSE),C$64,C57))</f>
      </c>
      <c r="D108" s="61" t="str">
        <f t="shared" si="161"/>
      </c>
      <c r="E108" s="61" t="str">
        <f t="shared" si="161"/>
      </c>
      <c r="F108" s="61" t="str">
        <f t="shared" si="161"/>
      </c>
      <c r="G108" s="61" t="str">
        <f t="shared" ref="G108:L108" si="162">IF(ISBLANK(H57),"NO DATA",IF(OR(H57&lt;H$63,ISNUMBER(H57)=FALSE),H$64,H57))</f>
      </c>
      <c r="H108" s="61" t="str">
        <f t="shared" si="162"/>
      </c>
      <c r="I108" s="61" t="str">
        <f t="shared" si="162"/>
      </c>
      <c r="J108" s="61" t="str">
        <f t="shared" si="162"/>
      </c>
      <c r="K108" s="61" t="str">
        <f t="shared" si="162"/>
      </c>
      <c r="L108" s="61" t="str">
        <f t="shared" si="162"/>
      </c>
      <c r="M108" s="61" t="str">
        <f t="shared" si="6"/>
      </c>
      <c r="N108" s="61" t="str">
        <f t="shared" si="7"/>
      </c>
      <c r="O108" s="61" t="str">
        <f t="shared" ref="O108:S108" si="163">IF(ISBLANK(U57),"NO DATA",IF(OR(U57&lt;U$63,ISNUMBER(U57)=FALSE),U$64,U57))</f>
      </c>
      <c r="P108" s="61" t="str">
        <f t="shared" si="163"/>
      </c>
      <c r="Q108" s="61" t="str">
        <f t="shared" si="163"/>
      </c>
      <c r="R108" s="41" t="str">
        <f t="shared" si="163"/>
      </c>
      <c r="S108" s="61" t="str">
        <f t="shared" si="163"/>
      </c>
      <c r="T108" s="61" t="str">
        <f t="shared" si="9"/>
      </c>
      <c r="U108" s="61" t="str">
        <f t="shared" si="10"/>
      </c>
      <c r="V108" s="61" t="str">
        <f t="shared" si="11"/>
      </c>
      <c r="W108"/>
      <c r="X108"/>
      <c r="Y108"/>
    </row>
    <row r="109" spans="1:25" x14ac:dyDescent="0.25">
      <c r="A109" s="23" t="str">
        <f t="shared" ref="A109:B109" si="164">A58</f>
      </c>
      <c r="B109" s="23">
        <f t="shared" si="164"/>
      </c>
      <c r="C109" s="61" t="str">
        <f t="shared" ref="C109:F109" si="165">IF(ISBLANK(C58),"NO DATA",IF(OR(C58&lt;C$63,ISNUMBER(C58)=FALSE),C$64,C58))</f>
      </c>
      <c r="D109" s="61" t="str">
        <f t="shared" si="165"/>
      </c>
      <c r="E109" s="61" t="str">
        <f t="shared" si="165"/>
      </c>
      <c r="F109" s="61" t="str">
        <f t="shared" si="165"/>
      </c>
      <c r="G109" s="61" t="str">
        <f t="shared" ref="G109:L109" si="166">IF(ISBLANK(H58),"NO DATA",IF(OR(H58&lt;H$63,ISNUMBER(H58)=FALSE),H$64,H58))</f>
      </c>
      <c r="H109" s="61" t="str">
        <f t="shared" si="166"/>
      </c>
      <c r="I109" s="61" t="str">
        <f t="shared" si="166"/>
      </c>
      <c r="J109" s="61" t="str">
        <f t="shared" si="166"/>
      </c>
      <c r="K109" s="61" t="str">
        <f t="shared" si="166"/>
      </c>
      <c r="L109" s="61" t="str">
        <f t="shared" si="166"/>
      </c>
      <c r="M109" s="61" t="str">
        <f t="shared" si="6"/>
      </c>
      <c r="N109" s="61" t="str">
        <f t="shared" si="7"/>
      </c>
      <c r="O109" s="61" t="str">
        <f t="shared" ref="O109:S109" si="167">IF(ISBLANK(U58),"NO DATA",IF(OR(U58&lt;U$63,ISNUMBER(U58)=FALSE),U$64,U58))</f>
      </c>
      <c r="P109" s="61" t="str">
        <f t="shared" si="167"/>
      </c>
      <c r="Q109" s="61" t="str">
        <f t="shared" si="167"/>
      </c>
      <c r="R109" s="41" t="str">
        <f t="shared" si="167"/>
      </c>
      <c r="S109" s="61" t="str">
        <f t="shared" si="167"/>
      </c>
      <c r="T109" s="61" t="str">
        <f t="shared" si="9"/>
      </c>
      <c r="U109" s="61" t="str">
        <f t="shared" si="10"/>
      </c>
      <c r="V109" s="61" t="str">
        <f t="shared" si="11"/>
      </c>
      <c r="W109"/>
      <c r="X109"/>
      <c r="Y109"/>
    </row>
    <row r="110" spans="1:25" x14ac:dyDescent="0.25">
      <c r="A110" s="23" t="str">
        <f t="shared" ref="A110:B110" si="168">A59</f>
      </c>
      <c r="B110" s="23">
        <f t="shared" si="168"/>
      </c>
      <c r="C110" s="61" t="str">
        <f t="shared" ref="C110:F110" si="169">IF(ISBLANK(C59),"NO DATA",IF(OR(C59&lt;C$63,ISNUMBER(C59)=FALSE),C$64,C59))</f>
      </c>
      <c r="D110" s="61" t="str">
        <f t="shared" si="169"/>
      </c>
      <c r="E110" s="61" t="str">
        <f t="shared" si="169"/>
      </c>
      <c r="F110" s="61" t="str">
        <f t="shared" si="169"/>
      </c>
      <c r="G110" s="61" t="str">
        <f t="shared" ref="G110:L110" si="170">IF(ISBLANK(H59),"NO DATA",IF(OR(H59&lt;H$63,ISNUMBER(H59)=FALSE),H$64,H59))</f>
      </c>
      <c r="H110" s="61" t="str">
        <f t="shared" si="170"/>
      </c>
      <c r="I110" s="61" t="str">
        <f t="shared" si="170"/>
      </c>
      <c r="J110" s="61" t="str">
        <f t="shared" si="170"/>
      </c>
      <c r="K110" s="61" t="str">
        <f t="shared" si="170"/>
      </c>
      <c r="L110" s="61" t="str">
        <f t="shared" si="170"/>
      </c>
      <c r="M110" s="61" t="str">
        <f t="shared" si="6"/>
      </c>
      <c r="N110" s="61" t="str">
        <f t="shared" si="7"/>
      </c>
      <c r="O110" s="61" t="str">
        <f t="shared" ref="O110:S110" si="171">IF(ISBLANK(U59),"NO DATA",IF(OR(U59&lt;U$63,ISNUMBER(U59)=FALSE),U$64,U59))</f>
      </c>
      <c r="P110" s="61" t="str">
        <f t="shared" si="171"/>
      </c>
      <c r="Q110" s="61" t="str">
        <f t="shared" si="171"/>
      </c>
      <c r="R110" s="41" t="str">
        <f t="shared" si="171"/>
      </c>
      <c r="S110" s="61" t="str">
        <f t="shared" si="171"/>
      </c>
      <c r="T110" s="61" t="str">
        <f t="shared" si="9"/>
      </c>
      <c r="U110" s="61" t="str">
        <f t="shared" si="10"/>
      </c>
      <c r="V110" s="61" t="str">
        <f t="shared" si="11"/>
      </c>
      <c r="W110"/>
      <c r="X110"/>
      <c r="Y110"/>
    </row>
    <row r="111" spans="1:25" x14ac:dyDescent="0.25">
      <c r="A111" s="23" t="str">
        <f t="shared" ref="A111:B111" si="172">A60</f>
      </c>
      <c r="B111" s="23">
        <f t="shared" si="172"/>
      </c>
      <c r="C111" s="61" t="str">
        <f t="shared" ref="C111:F111" si="173">IF(ISBLANK(C60),"NO DATA",IF(OR(C60&lt;C$63,ISNUMBER(C60)=FALSE),C$64,C60))</f>
      </c>
      <c r="D111" s="61" t="str">
        <f t="shared" si="173"/>
      </c>
      <c r="E111" s="61" t="str">
        <f t="shared" si="173"/>
      </c>
      <c r="F111" s="61" t="str">
        <f t="shared" si="173"/>
      </c>
      <c r="G111" s="61" t="str">
        <f t="shared" ref="G111:L111" si="174">IF(ISBLANK(H60),"NO DATA",IF(OR(H60&lt;H$63,ISNUMBER(H60)=FALSE),H$64,H60))</f>
      </c>
      <c r="H111" s="61" t="str">
        <f t="shared" si="174"/>
      </c>
      <c r="I111" s="61" t="str">
        <f t="shared" si="174"/>
      </c>
      <c r="J111" s="61" t="str">
        <f t="shared" si="174"/>
      </c>
      <c r="K111" s="61" t="str">
        <f t="shared" si="174"/>
      </c>
      <c r="L111" s="61" t="str">
        <f t="shared" si="174"/>
      </c>
      <c r="M111" s="61" t="str">
        <f t="shared" si="6"/>
      </c>
      <c r="N111" s="61" t="str">
        <f t="shared" si="7"/>
      </c>
      <c r="O111" s="61" t="str">
        <f t="shared" ref="O111:S111" si="175">IF(ISBLANK(U60),"NO DATA",IF(OR(U60&lt;U$63,ISNUMBER(U60)=FALSE),U$64,U60))</f>
      </c>
      <c r="P111" s="61" t="str">
        <f t="shared" si="175"/>
      </c>
      <c r="Q111" s="61" t="str">
        <f t="shared" si="175"/>
      </c>
      <c r="R111" s="41" t="str">
        <f t="shared" si="175"/>
      </c>
      <c r="S111" s="61" t="str">
        <f t="shared" si="175"/>
      </c>
      <c r="T111" s="61" t="str">
        <f t="shared" si="9"/>
      </c>
      <c r="U111" s="61" t="str">
        <f t="shared" si="10"/>
      </c>
      <c r="V111" s="61" t="str">
        <f t="shared" si="11"/>
      </c>
      <c r="W111"/>
      <c r="X111"/>
      <c r="Y111"/>
    </row>
    <row r="112" spans="1:25" x14ac:dyDescent="0.25">
      <c r="A112" s="23" t="str">
        <f t="shared" ref="A112:B112" si="176">A61</f>
      </c>
      <c r="B112" s="23">
        <f t="shared" si="176"/>
      </c>
      <c r="C112" s="61" t="str">
        <f t="shared" ref="C112:F112" si="177">IF(ISBLANK(C61),"NO DATA",IF(OR(C61&lt;C$63,ISNUMBER(C61)=FALSE),C$64,C61))</f>
      </c>
      <c r="D112" s="61" t="str">
        <f t="shared" si="177"/>
      </c>
      <c r="E112" s="61" t="str">
        <f t="shared" si="177"/>
      </c>
      <c r="F112" s="61" t="str">
        <f t="shared" si="177"/>
      </c>
      <c r="G112" s="61" t="str">
        <f t="shared" ref="G112:L112" si="178">IF(ISBLANK(H61),"NO DATA",IF(OR(H61&lt;H$63,ISNUMBER(H61)=FALSE),H$64,H61))</f>
      </c>
      <c r="H112" s="61" t="str">
        <f t="shared" si="178"/>
      </c>
      <c r="I112" s="61" t="str">
        <f t="shared" si="178"/>
      </c>
      <c r="J112" s="61" t="str">
        <f t="shared" si="178"/>
      </c>
      <c r="K112" s="61" t="str">
        <f t="shared" si="178"/>
      </c>
      <c r="L112" s="61" t="str">
        <f t="shared" si="178"/>
      </c>
      <c r="M112" s="61" t="str">
        <f t="shared" si="6"/>
      </c>
      <c r="N112" s="61" t="str">
        <f t="shared" si="7"/>
      </c>
      <c r="O112" s="61" t="str">
        <f t="shared" ref="O112:S112" si="179">IF(ISBLANK(U61),"NO DATA",IF(OR(U61&lt;U$63,ISNUMBER(U61)=FALSE),U$64,U61))</f>
      </c>
      <c r="P112" s="61" t="str">
        <f t="shared" si="179"/>
      </c>
      <c r="Q112" s="61" t="str">
        <f t="shared" si="179"/>
      </c>
      <c r="R112" s="41" t="str">
        <f t="shared" si="179"/>
      </c>
      <c r="S112" s="61" t="str">
        <f t="shared" si="179"/>
      </c>
      <c r="T112" s="61" t="str">
        <f t="shared" si="9"/>
      </c>
      <c r="U112" s="61" t="str">
        <f t="shared" si="10"/>
      </c>
      <c r="V112" s="61" t="str">
        <f t="shared" si="11"/>
      </c>
      <c r="W112"/>
      <c r="X112"/>
      <c r="Y112"/>
    </row>
    <row r="113" spans="1:25" x14ac:dyDescent="0.25">
      <c r="A113" s="23" t="str">
        <f t="shared" ref="A113:B113" si="180">A62</f>
      </c>
      <c r="B113" s="23">
        <f t="shared" si="180"/>
      </c>
      <c r="C113" s="61" t="str">
        <f t="shared" ref="C113:F113" si="181">IF(ISBLANK(C62),"NO DATA",IF(OR(C62&lt;C$63,ISNUMBER(C62)=FALSE),C$64,C62))</f>
      </c>
      <c r="D113" s="61" t="str">
        <f t="shared" si="181"/>
      </c>
      <c r="E113" s="61" t="str">
        <f t="shared" si="181"/>
      </c>
      <c r="F113" s="61" t="str">
        <f t="shared" si="181"/>
      </c>
      <c r="G113" s="61" t="str">
        <f t="shared" ref="G113:L113" si="182">IF(ISBLANK(H62),"NO DATA",IF(OR(H62&lt;H$63,ISNUMBER(H62)=FALSE),H$64,H62))</f>
      </c>
      <c r="H113" s="61" t="str">
        <f t="shared" si="182"/>
      </c>
      <c r="I113" s="61" t="str">
        <f t="shared" si="182"/>
      </c>
      <c r="J113" s="61" t="str">
        <f t="shared" si="182"/>
      </c>
      <c r="K113" s="61" t="str">
        <f t="shared" si="182"/>
      </c>
      <c r="L113" s="61" t="str">
        <f t="shared" si="182"/>
      </c>
      <c r="M113" s="61" t="str">
        <f t="shared" si="6"/>
      </c>
      <c r="N113" s="61" t="str">
        <f t="shared" si="7"/>
      </c>
      <c r="O113" s="61" t="str">
        <f t="shared" ref="O113:S113" si="183">IF(ISBLANK(U62),"NO DATA",IF(OR(U62&lt;U$63,ISNUMBER(U62)=FALSE),U$64,U62))</f>
      </c>
      <c r="P113" s="61" t="str">
        <f t="shared" si="183"/>
      </c>
      <c r="Q113" s="61" t="str">
        <f t="shared" si="183"/>
      </c>
      <c r="R113" s="41" t="str">
        <f t="shared" si="183"/>
      </c>
      <c r="S113" s="61" t="str">
        <f t="shared" si="183"/>
      </c>
      <c r="T113" s="61" t="str">
        <f t="shared" si="9"/>
      </c>
      <c r="U113" s="61" t="str">
        <f t="shared" si="10"/>
      </c>
      <c r="V113" s="61" t="str">
        <f t="shared" si="11"/>
      </c>
      <c r="W113"/>
      <c r="X113"/>
      <c r="Y113"/>
    </row>
  </sheetData>
  <sheetProtection algorithmName="SHA-512" hashValue="H2R7YTzFMUnYPEeU6lLGVqeCff0zOh2OgUyWbMSpbPibJJrMvc3kLR3/21rFtnsQjBW0uQ4FOVepwtBIlmOQAg==" saltValue="ZR7mza0Nk5ZYMOpSa9eXEA==" spinCount="100000" sheet="1" objects="1" scenarios="1" formatCells="0" formatColumns="0"/>
  <protectedRanges>
    <protectedRange sqref="A18:AD62" name="Range2"/>
    <protectedRange sqref="B5:B13" name="Range1"/>
  </protectedRanges>
  <mergeCells count="2">
    <mergeCell ref="A16:B16"/>
    <mergeCell ref="A67:B6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38C0-A747-4571-9846-29C35C5DB38C}">
  <dimension ref="A1:AU113"/>
  <sheetViews>
    <sheetView workbookViewId="0">
      <selection activeCell="E10" sqref="E10"/>
    </sheetView>
  </sheetViews>
  <sheetFormatPr defaultRowHeight="15" x14ac:dyDescent="0.25"/>
  <cols>
    <col min="1" max="1" width="44" customWidth="1"/>
    <col min="2" max="2" width="35.7109375" customWidth="1"/>
    <col min="3" max="25" width="16.140625" style="4" customWidth="1"/>
    <col min="26" max="47" width="16.140625" customWidth="1"/>
    <col min="48" max="113" width="15.7109375" customWidth="1"/>
  </cols>
  <sheetData>
    <row r="1" spans="1:47" x14ac:dyDescent="0.25">
      <c r="A1" s="1" t="s">
        <v>0</v>
      </c>
      <c r="B1" s="83" t="s">
        <v>405</v>
      </c>
      <c r="C1" s="84"/>
      <c r="D1" s="85"/>
    </row>
    <row r="2" spans="1:47" x14ac:dyDescent="0.25">
      <c r="A2" s="1" t="s">
        <v>1</v>
      </c>
      <c r="B2" s="2"/>
      <c r="C2" s="6"/>
    </row>
    <row r="3" spans="1:47" x14ac:dyDescent="0.25">
      <c r="A3" s="1" t="s">
        <v>2</v>
      </c>
      <c r="B3" s="2" t="str">
        <f>INSTRUCTIONS!A3</f>
      </c>
      <c r="C3" s="6"/>
    </row>
    <row r="4" spans="1:47" x14ac:dyDescent="0.25">
      <c r="A4" s="1"/>
      <c r="B4" s="2"/>
      <c r="C4" s="6"/>
    </row>
    <row r="5" spans="1:47" x14ac:dyDescent="0.25">
      <c r="A5" s="1" t="s">
        <v>3</v>
      </c>
      <c r="B5" s="106" t="str">
        <f>'ICPOES RESULTS'!B5</f>
      </c>
      <c r="C5" s="6"/>
    </row>
    <row r="6" spans="1:47" x14ac:dyDescent="0.25">
      <c r="A6" s="1" t="s">
        <v>4</v>
      </c>
      <c r="B6" s="106" t="str">
        <f>'ICPOES RESULTS'!B6</f>
      </c>
      <c r="C6" s="6"/>
    </row>
    <row r="7" spans="1:47" x14ac:dyDescent="0.25">
      <c r="A7" s="1"/>
      <c r="B7" s="106"/>
      <c r="C7" s="6"/>
    </row>
    <row r="8" spans="1:47" x14ac:dyDescent="0.25">
      <c r="A8" s="1" t="s">
        <v>6</v>
      </c>
      <c r="B8" s="107">
        <f>'ICPOES RESULTS'!B8</f>
      </c>
      <c r="C8" s="6"/>
    </row>
    <row r="9" spans="1:47" x14ac:dyDescent="0.25">
      <c r="A9" s="1" t="s">
        <v>7</v>
      </c>
      <c r="B9" s="106" t="str">
        <f>'ICPOES RESULTS'!B9</f>
      </c>
      <c r="C9" s="6"/>
    </row>
    <row r="10" spans="1:47" x14ac:dyDescent="0.25">
      <c r="A10" s="1" t="s">
        <v>8</v>
      </c>
      <c r="B10" s="106" t="str">
        <f>'ICPOES RESULTS'!B10</f>
      </c>
      <c r="C10" s="6"/>
    </row>
    <row r="11" spans="1:47" x14ac:dyDescent="0.25">
      <c r="A11" s="1" t="s">
        <v>9</v>
      </c>
      <c r="B11" s="106" t="str">
        <f>'ICPOES RESULTS'!B11</f>
      </c>
      <c r="C11" s="6"/>
    </row>
    <row r="12" spans="1:47" x14ac:dyDescent="0.25">
      <c r="A12" s="1" t="s">
        <v>10</v>
      </c>
      <c r="B12" s="106" t="str">
        <f>'ICPOES RESULTS'!B12</f>
      </c>
      <c r="C12" s="7"/>
    </row>
    <row r="13" spans="1:47" x14ac:dyDescent="0.25">
      <c r="A13" s="1" t="s">
        <v>11</v>
      </c>
      <c r="B13" s="106" t="str">
        <f>'ICPOES RESULTS'!B13</f>
      </c>
      <c r="C13" s="7"/>
    </row>
    <row r="14" spans="1:47" x14ac:dyDescent="0.25">
      <c r="A14" s="1" t="s">
        <v>406</v>
      </c>
      <c r="B14" s="163" t="str">
        <f>INSTRUCTIONS!B41</f>
      </c>
      <c r="C14" s="6"/>
    </row>
    <row r="16" spans="1:47" x14ac:dyDescent="0.25">
      <c r="A16" s="174" t="s">
        <v>360</v>
      </c>
      <c r="B16" s="174"/>
      <c r="C16" s="8" t="s">
        <v>361</v>
      </c>
      <c r="D16" s="8" t="s">
        <v>362</v>
      </c>
      <c r="E16" s="8" t="s">
        <v>449</v>
      </c>
      <c r="F16" s="8" t="s">
        <v>450</v>
      </c>
      <c r="G16" s="8" t="s">
        <v>363</v>
      </c>
      <c r="H16" s="8" t="s">
        <v>451</v>
      </c>
      <c r="I16" s="8" t="s">
        <v>452</v>
      </c>
      <c r="J16" s="8" t="s">
        <v>453</v>
      </c>
      <c r="K16" s="8" t="s">
        <v>454</v>
      </c>
      <c r="L16" s="8" t="s">
        <v>364</v>
      </c>
      <c r="M16" s="8" t="s">
        <v>365</v>
      </c>
      <c r="N16" s="8" t="s">
        <v>455</v>
      </c>
      <c r="O16" s="8" t="s">
        <v>366</v>
      </c>
      <c r="P16" s="8" t="s">
        <v>367</v>
      </c>
      <c r="Q16" s="8" t="s">
        <v>368</v>
      </c>
      <c r="R16" s="8" t="s">
        <v>369</v>
      </c>
      <c r="S16" s="8" t="s">
        <v>370</v>
      </c>
      <c r="T16" s="8" t="s">
        <v>371</v>
      </c>
      <c r="U16" s="8" t="s">
        <v>456</v>
      </c>
      <c r="V16" s="8" t="s">
        <v>372</v>
      </c>
      <c r="W16" s="8" t="s">
        <v>373</v>
      </c>
      <c r="X16" s="8" t="s">
        <v>374</v>
      </c>
      <c r="Y16" s="8" t="s">
        <v>375</v>
      </c>
      <c r="Z16" s="8" t="s">
        <v>376</v>
      </c>
      <c r="AA16" s="8" t="s">
        <v>377</v>
      </c>
      <c r="AB16" s="8" t="s">
        <v>378</v>
      </c>
      <c r="AC16" s="8" t="s">
        <v>434</v>
      </c>
      <c r="AD16" s="8" t="s">
        <v>379</v>
      </c>
      <c r="AE16" s="8" t="s">
        <v>380</v>
      </c>
      <c r="AF16" s="8" t="s">
        <v>381</v>
      </c>
      <c r="AG16" s="8" t="s">
        <v>382</v>
      </c>
      <c r="AH16" s="8" t="s">
        <v>383</v>
      </c>
      <c r="AI16" s="8" t="s">
        <v>384</v>
      </c>
      <c r="AJ16" s="8" t="s">
        <v>385</v>
      </c>
      <c r="AK16" s="8" t="s">
        <v>386</v>
      </c>
      <c r="AL16" s="8" t="s">
        <v>387</v>
      </c>
      <c r="AM16" s="8" t="s">
        <v>388</v>
      </c>
      <c r="AN16" s="8" t="s">
        <v>389</v>
      </c>
      <c r="AO16" s="8" t="s">
        <v>390</v>
      </c>
      <c r="AP16" s="8" t="s">
        <v>391</v>
      </c>
      <c r="AQ16" s="8" t="s">
        <v>392</v>
      </c>
      <c r="AR16" s="8" t="s">
        <v>393</v>
      </c>
      <c r="AS16" s="8" t="s">
        <v>394</v>
      </c>
      <c r="AT16" s="8" t="s">
        <v>457</v>
      </c>
      <c r="AU16" s="8" t="s">
        <v>395</v>
      </c>
    </row>
    <row r="17" spans="1:47" ht="15.75" thickBot="1" x14ac:dyDescent="0.3">
      <c r="A17" s="22" t="s">
        <v>124</v>
      </c>
      <c r="B17" s="51" t="s">
        <v>125</v>
      </c>
      <c r="C17" s="8" t="s">
        <v>396</v>
      </c>
      <c r="D17" s="8" t="s">
        <v>396</v>
      </c>
      <c r="E17" s="8" t="s">
        <v>458</v>
      </c>
      <c r="F17" s="8" t="s">
        <v>458</v>
      </c>
      <c r="G17" s="8" t="s">
        <v>396</v>
      </c>
      <c r="H17" s="8" t="s">
        <v>458</v>
      </c>
      <c r="I17" s="8" t="s">
        <v>458</v>
      </c>
      <c r="J17" s="8" t="s">
        <v>396</v>
      </c>
      <c r="K17" s="8" t="s">
        <v>396</v>
      </c>
      <c r="L17" s="8" t="s">
        <v>396</v>
      </c>
      <c r="M17" s="8" t="s">
        <v>396</v>
      </c>
      <c r="N17" s="8" t="s">
        <v>458</v>
      </c>
      <c r="O17" s="8" t="s">
        <v>396</v>
      </c>
      <c r="P17" s="8" t="s">
        <v>396</v>
      </c>
      <c r="Q17" s="8" t="s">
        <v>396</v>
      </c>
      <c r="R17" s="8" t="s">
        <v>396</v>
      </c>
      <c r="S17" s="8" t="s">
        <v>396</v>
      </c>
      <c r="T17" s="8" t="s">
        <v>396</v>
      </c>
      <c r="U17" s="8" t="s">
        <v>458</v>
      </c>
      <c r="V17" s="8" t="s">
        <v>396</v>
      </c>
      <c r="W17" s="8" t="s">
        <v>396</v>
      </c>
      <c r="X17" s="8" t="s">
        <v>396</v>
      </c>
      <c r="Y17" s="8" t="s">
        <v>396</v>
      </c>
      <c r="Z17" s="8" t="s">
        <v>396</v>
      </c>
      <c r="AA17" s="8" t="s">
        <v>396</v>
      </c>
      <c r="AB17" s="8" t="s">
        <v>396</v>
      </c>
      <c r="AC17" s="8" t="s">
        <v>396</v>
      </c>
      <c r="AD17" s="8" t="s">
        <v>396</v>
      </c>
      <c r="AE17" s="8" t="s">
        <v>396</v>
      </c>
      <c r="AF17" s="8" t="s">
        <v>396</v>
      </c>
      <c r="AG17" s="8" t="s">
        <v>396</v>
      </c>
      <c r="AH17" s="8" t="s">
        <v>396</v>
      </c>
      <c r="AI17" s="8" t="s">
        <v>396</v>
      </c>
      <c r="AJ17" s="8" t="s">
        <v>396</v>
      </c>
      <c r="AK17" s="8" t="s">
        <v>396</v>
      </c>
      <c r="AL17" s="8" t="s">
        <v>396</v>
      </c>
      <c r="AM17" s="8" t="s">
        <v>396</v>
      </c>
      <c r="AN17" s="8" t="s">
        <v>396</v>
      </c>
      <c r="AO17" s="8" t="s">
        <v>396</v>
      </c>
      <c r="AP17" s="8" t="s">
        <v>396</v>
      </c>
      <c r="AQ17" s="8" t="s">
        <v>396</v>
      </c>
      <c r="AR17" s="8" t="s">
        <v>396</v>
      </c>
      <c r="AS17" s="8" t="s">
        <v>396</v>
      </c>
      <c r="AT17" s="8" t="s">
        <v>396</v>
      </c>
      <c r="AU17" s="8" t="s">
        <v>396</v>
      </c>
    </row>
    <row r="18" spans="1:47" x14ac:dyDescent="0.25">
      <c r="A18" s="108" t="str">
        <f>'ICPOES RESULTS'!A18</f>
      </c>
      <c r="B18" s="109"/>
      <c r="C18" s="121"/>
      <c r="D18" s="122"/>
      <c r="E18" s="121"/>
      <c r="F18" s="122"/>
      <c r="G18" s="121"/>
      <c r="H18" s="122"/>
      <c r="I18" s="121"/>
      <c r="J18" s="122"/>
      <c r="K18" s="121"/>
      <c r="L18" s="122"/>
      <c r="M18" s="121"/>
      <c r="N18" s="122"/>
      <c r="O18" s="121"/>
      <c r="P18" s="122"/>
      <c r="Q18" s="121"/>
      <c r="R18" s="122"/>
      <c r="S18" s="121"/>
      <c r="T18" s="122"/>
      <c r="U18" s="121"/>
      <c r="V18" s="122"/>
      <c r="W18" s="121"/>
      <c r="X18" s="122"/>
      <c r="Y18" s="121"/>
      <c r="Z18" s="122"/>
      <c r="AA18" s="121"/>
      <c r="AB18" s="122"/>
      <c r="AC18" s="121"/>
      <c r="AD18" s="122"/>
      <c r="AE18" s="121"/>
      <c r="AF18" s="122"/>
      <c r="AG18" s="121"/>
      <c r="AH18" s="122"/>
      <c r="AI18" s="121"/>
      <c r="AJ18" s="122"/>
      <c r="AK18" s="121"/>
      <c r="AL18" s="122"/>
      <c r="AM18" s="115"/>
      <c r="AN18" s="115"/>
      <c r="AO18" s="115"/>
      <c r="AP18" s="115"/>
      <c r="AQ18" s="115"/>
      <c r="AR18" s="115"/>
      <c r="AS18" s="115"/>
      <c r="AT18" s="115"/>
      <c r="AU18" s="115"/>
    </row>
    <row r="19" spans="1:47" x14ac:dyDescent="0.25">
      <c r="A19" s="108" t="str">
        <f>'ICPOES RESULTS'!A19</f>
      </c>
      <c r="B19" s="113"/>
      <c r="C19" s="114"/>
      <c r="D19" s="115"/>
      <c r="E19" s="114"/>
      <c r="F19" s="115"/>
      <c r="G19" s="114"/>
      <c r="H19" s="115"/>
      <c r="I19" s="114"/>
      <c r="J19" s="115"/>
      <c r="K19" s="114"/>
      <c r="L19" s="115"/>
      <c r="M19" s="114"/>
      <c r="N19" s="115"/>
      <c r="O19" s="114"/>
      <c r="P19" s="115"/>
      <c r="Q19" s="114"/>
      <c r="R19" s="115"/>
      <c r="S19" s="114"/>
      <c r="T19" s="115"/>
      <c r="U19" s="114"/>
      <c r="V19" s="115"/>
      <c r="W19" s="114"/>
      <c r="X19" s="115"/>
      <c r="Y19" s="114"/>
      <c r="Z19" s="115"/>
      <c r="AA19" s="114"/>
      <c r="AB19" s="115"/>
      <c r="AC19" s="114"/>
      <c r="AD19" s="115"/>
      <c r="AE19" s="114"/>
      <c r="AF19" s="115"/>
      <c r="AG19" s="114"/>
      <c r="AH19" s="115"/>
      <c r="AI19" s="114"/>
      <c r="AJ19" s="115"/>
      <c r="AK19" s="114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</row>
    <row r="20" spans="1:47" x14ac:dyDescent="0.25">
      <c r="A20" s="108" t="str">
        <f>'ICPOES RESULTS'!A20</f>
      </c>
      <c r="B20" s="113"/>
      <c r="C20" s="114"/>
      <c r="D20" s="115"/>
      <c r="E20" s="114"/>
      <c r="F20" s="115"/>
      <c r="G20" s="121"/>
      <c r="H20" s="115"/>
      <c r="I20" s="114"/>
      <c r="J20" s="115"/>
      <c r="K20" s="114"/>
      <c r="L20" s="115"/>
      <c r="M20" s="114"/>
      <c r="N20" s="115"/>
      <c r="O20" s="114"/>
      <c r="P20" s="115"/>
      <c r="Q20" s="114"/>
      <c r="R20" s="115"/>
      <c r="S20" s="114"/>
      <c r="T20" s="115"/>
      <c r="U20" s="114"/>
      <c r="V20" s="115"/>
      <c r="W20" s="114"/>
      <c r="X20" s="115"/>
      <c r="Y20" s="114"/>
      <c r="Z20" s="115"/>
      <c r="AA20" s="114"/>
      <c r="AB20" s="115"/>
      <c r="AC20" s="114"/>
      <c r="AD20" s="115"/>
      <c r="AE20" s="114"/>
      <c r="AF20" s="115"/>
      <c r="AG20" s="114"/>
      <c r="AH20" s="115"/>
      <c r="AI20" s="114"/>
      <c r="AJ20" s="115"/>
      <c r="AK20" s="114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</row>
    <row r="21" spans="1:47" x14ac:dyDescent="0.25">
      <c r="A21" s="108" t="str">
        <f>'ICPOES RESULTS'!A21</f>
      </c>
      <c r="B21" s="113"/>
      <c r="C21" s="114"/>
      <c r="D21" s="115"/>
      <c r="E21" s="114"/>
      <c r="F21" s="115"/>
      <c r="G21" s="114"/>
      <c r="H21" s="115"/>
      <c r="I21" s="114"/>
      <c r="J21" s="115"/>
      <c r="K21" s="114"/>
      <c r="L21" s="115"/>
      <c r="M21" s="114"/>
      <c r="N21" s="115"/>
      <c r="O21" s="114"/>
      <c r="P21" s="115"/>
      <c r="Q21" s="114"/>
      <c r="R21" s="115"/>
      <c r="S21" s="114"/>
      <c r="T21" s="115"/>
      <c r="U21" s="114"/>
      <c r="V21" s="115"/>
      <c r="W21" s="114"/>
      <c r="X21" s="115"/>
      <c r="Y21" s="114"/>
      <c r="Z21" s="115"/>
      <c r="AA21" s="114"/>
      <c r="AB21" s="115"/>
      <c r="AC21" s="114"/>
      <c r="AD21" s="115"/>
      <c r="AE21" s="114"/>
      <c r="AF21" s="115"/>
      <c r="AG21" s="114"/>
      <c r="AH21" s="115"/>
      <c r="AI21" s="114"/>
      <c r="AJ21" s="115"/>
      <c r="AK21" s="114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</row>
    <row r="22" spans="1:47" x14ac:dyDescent="0.25">
      <c r="A22" s="108" t="str">
        <f>'ICPOES RESULTS'!A22</f>
      </c>
      <c r="B22" s="113"/>
      <c r="C22" s="114"/>
      <c r="D22" s="115"/>
      <c r="E22" s="114"/>
      <c r="F22" s="115"/>
      <c r="G22" s="121"/>
      <c r="H22" s="115"/>
      <c r="I22" s="114"/>
      <c r="J22" s="115"/>
      <c r="K22" s="114"/>
      <c r="L22" s="115"/>
      <c r="M22" s="114"/>
      <c r="N22" s="115"/>
      <c r="O22" s="114"/>
      <c r="P22" s="115"/>
      <c r="Q22" s="114"/>
      <c r="R22" s="115"/>
      <c r="S22" s="114"/>
      <c r="T22" s="115"/>
      <c r="U22" s="114"/>
      <c r="V22" s="115"/>
      <c r="W22" s="114"/>
      <c r="X22" s="115"/>
      <c r="Y22" s="114"/>
      <c r="Z22" s="115"/>
      <c r="AA22" s="114"/>
      <c r="AB22" s="115"/>
      <c r="AC22" s="114"/>
      <c r="AD22" s="115"/>
      <c r="AE22" s="114"/>
      <c r="AF22" s="115"/>
      <c r="AG22" s="114"/>
      <c r="AH22" s="115"/>
      <c r="AI22" s="114"/>
      <c r="AJ22" s="115"/>
      <c r="AK22" s="114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</row>
    <row r="23" spans="1:47" x14ac:dyDescent="0.25">
      <c r="A23" s="108" t="str">
        <f>'ICPOES RESULTS'!A23</f>
      </c>
      <c r="B23" s="113"/>
      <c r="C23" s="114"/>
      <c r="D23" s="115"/>
      <c r="E23" s="114"/>
      <c r="F23" s="115"/>
      <c r="G23" s="114"/>
      <c r="H23" s="115"/>
      <c r="I23" s="114"/>
      <c r="J23" s="115"/>
      <c r="K23" s="114"/>
      <c r="L23" s="115"/>
      <c r="M23" s="114"/>
      <c r="N23" s="115"/>
      <c r="O23" s="114"/>
      <c r="P23" s="115"/>
      <c r="Q23" s="114"/>
      <c r="R23" s="115"/>
      <c r="S23" s="114"/>
      <c r="T23" s="115"/>
      <c r="U23" s="114"/>
      <c r="V23" s="115"/>
      <c r="W23" s="114"/>
      <c r="X23" s="115"/>
      <c r="Y23" s="114"/>
      <c r="Z23" s="115"/>
      <c r="AA23" s="114"/>
      <c r="AB23" s="115"/>
      <c r="AC23" s="114"/>
      <c r="AD23" s="115"/>
      <c r="AE23" s="114"/>
      <c r="AF23" s="115"/>
      <c r="AG23" s="114"/>
      <c r="AH23" s="115"/>
      <c r="AI23" s="114"/>
      <c r="AJ23" s="115"/>
      <c r="AK23" s="114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</row>
    <row r="24" spans="1:47" x14ac:dyDescent="0.25">
      <c r="A24" s="108" t="str">
        <f>'ICPOES RESULTS'!A24</f>
      </c>
      <c r="B24" s="113"/>
      <c r="C24" s="114"/>
      <c r="D24" s="115"/>
      <c r="E24" s="114"/>
      <c r="F24" s="115"/>
      <c r="G24" s="121"/>
      <c r="H24" s="115"/>
      <c r="I24" s="114"/>
      <c r="J24" s="115"/>
      <c r="K24" s="114"/>
      <c r="L24" s="115"/>
      <c r="M24" s="114"/>
      <c r="N24" s="115"/>
      <c r="O24" s="114"/>
      <c r="P24" s="115"/>
      <c r="Q24" s="114"/>
      <c r="R24" s="115"/>
      <c r="S24" s="114"/>
      <c r="T24" s="115"/>
      <c r="U24" s="114"/>
      <c r="V24" s="115"/>
      <c r="W24" s="114"/>
      <c r="X24" s="115"/>
      <c r="Y24" s="114"/>
      <c r="Z24" s="115"/>
      <c r="AA24" s="114"/>
      <c r="AB24" s="115"/>
      <c r="AC24" s="114"/>
      <c r="AD24" s="115"/>
      <c r="AE24" s="114"/>
      <c r="AF24" s="115"/>
      <c r="AG24" s="114"/>
      <c r="AH24" s="115"/>
      <c r="AI24" s="114"/>
      <c r="AJ24" s="115"/>
      <c r="AK24" s="114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</row>
    <row r="25" spans="1:47" x14ac:dyDescent="0.25">
      <c r="A25" s="108" t="str">
        <f>'ICPOES RESULTS'!A25</f>
      </c>
      <c r="B25" s="113"/>
      <c r="C25" s="114"/>
      <c r="D25" s="115"/>
      <c r="E25" s="114"/>
      <c r="F25" s="115"/>
      <c r="G25" s="114"/>
      <c r="H25" s="115"/>
      <c r="I25" s="114"/>
      <c r="J25" s="115"/>
      <c r="K25" s="114"/>
      <c r="L25" s="115"/>
      <c r="M25" s="114"/>
      <c r="N25" s="115"/>
      <c r="O25" s="114"/>
      <c r="P25" s="115"/>
      <c r="Q25" s="114"/>
      <c r="R25" s="115"/>
      <c r="S25" s="114"/>
      <c r="T25" s="115"/>
      <c r="U25" s="114"/>
      <c r="V25" s="115"/>
      <c r="W25" s="114"/>
      <c r="X25" s="115"/>
      <c r="Y25" s="114"/>
      <c r="Z25" s="115"/>
      <c r="AA25" s="114"/>
      <c r="AB25" s="115"/>
      <c r="AC25" s="114"/>
      <c r="AD25" s="115"/>
      <c r="AE25" s="114"/>
      <c r="AF25" s="115"/>
      <c r="AG25" s="114"/>
      <c r="AH25" s="115"/>
      <c r="AI25" s="114"/>
      <c r="AJ25" s="115"/>
      <c r="AK25" s="114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</row>
    <row r="26" spans="1:47" x14ac:dyDescent="0.25">
      <c r="A26" s="108" t="str">
        <f>'ICPOES RESULTS'!A26</f>
      </c>
      <c r="B26" s="113"/>
      <c r="C26" s="114"/>
      <c r="D26" s="115"/>
      <c r="E26" s="114"/>
      <c r="F26" s="115"/>
      <c r="G26" s="121"/>
      <c r="H26" s="115"/>
      <c r="I26" s="114"/>
      <c r="J26" s="115"/>
      <c r="K26" s="114"/>
      <c r="L26" s="115"/>
      <c r="M26" s="114"/>
      <c r="N26" s="115"/>
      <c r="O26" s="114"/>
      <c r="P26" s="115"/>
      <c r="Q26" s="114"/>
      <c r="R26" s="115"/>
      <c r="S26" s="114"/>
      <c r="T26" s="115"/>
      <c r="U26" s="114"/>
      <c r="V26" s="115"/>
      <c r="W26" s="114"/>
      <c r="X26" s="115"/>
      <c r="Y26" s="114"/>
      <c r="Z26" s="115"/>
      <c r="AA26" s="114"/>
      <c r="AB26" s="115"/>
      <c r="AC26" s="114"/>
      <c r="AD26" s="115"/>
      <c r="AE26" s="114"/>
      <c r="AF26" s="115"/>
      <c r="AG26" s="114"/>
      <c r="AH26" s="115"/>
      <c r="AI26" s="114"/>
      <c r="AJ26" s="115"/>
      <c r="AK26" s="114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</row>
    <row r="27" spans="1:47" x14ac:dyDescent="0.25">
      <c r="A27" s="108" t="str">
        <f>'ICPOES RESULTS'!A27</f>
      </c>
      <c r="B27" s="113"/>
      <c r="C27" s="114"/>
      <c r="D27" s="115"/>
      <c r="E27" s="114"/>
      <c r="F27" s="115"/>
      <c r="G27" s="114"/>
      <c r="H27" s="115"/>
      <c r="I27" s="114"/>
      <c r="J27" s="115"/>
      <c r="K27" s="114"/>
      <c r="L27" s="115"/>
      <c r="M27" s="114"/>
      <c r="N27" s="115"/>
      <c r="O27" s="114"/>
      <c r="P27" s="115"/>
      <c r="Q27" s="114"/>
      <c r="R27" s="115"/>
      <c r="S27" s="114"/>
      <c r="T27" s="115"/>
      <c r="U27" s="114"/>
      <c r="V27" s="115"/>
      <c r="W27" s="114"/>
      <c r="X27" s="115"/>
      <c r="Y27" s="114"/>
      <c r="Z27" s="115"/>
      <c r="AA27" s="114"/>
      <c r="AB27" s="115"/>
      <c r="AC27" s="114"/>
      <c r="AD27" s="115"/>
      <c r="AE27" s="114"/>
      <c r="AF27" s="115"/>
      <c r="AG27" s="114"/>
      <c r="AH27" s="115"/>
      <c r="AI27" s="114"/>
      <c r="AJ27" s="115"/>
      <c r="AK27" s="114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</row>
    <row r="28" spans="1:47" x14ac:dyDescent="0.25">
      <c r="A28" s="108" t="str">
        <f>'ICPOES RESULTS'!A28</f>
      </c>
      <c r="B28" s="113"/>
      <c r="C28" s="114"/>
      <c r="D28" s="100"/>
      <c r="E28" s="114"/>
      <c r="F28" s="100"/>
      <c r="G28" s="121"/>
      <c r="H28" s="100"/>
      <c r="I28" s="114"/>
      <c r="J28" s="100"/>
      <c r="K28" s="114"/>
      <c r="L28" s="100"/>
      <c r="M28" s="114"/>
      <c r="N28" s="100"/>
      <c r="O28" s="114"/>
      <c r="P28" s="100"/>
      <c r="Q28" s="114"/>
      <c r="R28" s="100"/>
      <c r="S28" s="114"/>
      <c r="T28" s="100"/>
      <c r="U28" s="114"/>
      <c r="V28" s="100"/>
      <c r="W28" s="114"/>
      <c r="X28" s="100"/>
      <c r="Y28" s="114"/>
      <c r="Z28" s="100"/>
      <c r="AA28" s="114"/>
      <c r="AB28" s="100"/>
      <c r="AC28" s="114"/>
      <c r="AD28" s="100"/>
      <c r="AE28" s="114"/>
      <c r="AF28" s="100"/>
      <c r="AG28" s="114"/>
      <c r="AH28" s="100"/>
      <c r="AI28" s="114"/>
      <c r="AJ28" s="100"/>
      <c r="AK28" s="114"/>
      <c r="AL28" s="100"/>
      <c r="AM28" s="115"/>
      <c r="AN28" s="115"/>
      <c r="AO28" s="115"/>
      <c r="AP28" s="115"/>
      <c r="AQ28" s="115"/>
      <c r="AR28" s="115"/>
      <c r="AS28" s="115"/>
      <c r="AT28" s="115"/>
      <c r="AU28" s="115"/>
    </row>
    <row r="29" spans="1:47" x14ac:dyDescent="0.25">
      <c r="A29" s="108" t="str">
        <f>'ICPOES RESULTS'!A29</f>
      </c>
      <c r="B29" s="113"/>
      <c r="C29" s="114"/>
      <c r="D29" s="100"/>
      <c r="E29" s="114"/>
      <c r="F29" s="100"/>
      <c r="G29" s="114"/>
      <c r="H29" s="100"/>
      <c r="I29" s="114"/>
      <c r="J29" s="100"/>
      <c r="K29" s="114"/>
      <c r="L29" s="100"/>
      <c r="M29" s="114"/>
      <c r="N29" s="100"/>
      <c r="O29" s="114"/>
      <c r="P29" s="100"/>
      <c r="Q29" s="114"/>
      <c r="R29" s="100"/>
      <c r="S29" s="114"/>
      <c r="T29" s="100"/>
      <c r="U29" s="114"/>
      <c r="V29" s="100"/>
      <c r="W29" s="114"/>
      <c r="X29" s="100"/>
      <c r="Y29" s="114"/>
      <c r="Z29" s="100"/>
      <c r="AA29" s="114"/>
      <c r="AB29" s="100"/>
      <c r="AC29" s="114"/>
      <c r="AD29" s="100"/>
      <c r="AE29" s="114"/>
      <c r="AF29" s="100"/>
      <c r="AG29" s="114"/>
      <c r="AH29" s="100"/>
      <c r="AI29" s="114"/>
      <c r="AJ29" s="100"/>
      <c r="AK29" s="114"/>
      <c r="AL29" s="100"/>
      <c r="AM29" s="115"/>
      <c r="AN29" s="115"/>
      <c r="AO29" s="115"/>
      <c r="AP29" s="115"/>
      <c r="AQ29" s="115"/>
      <c r="AR29" s="115"/>
      <c r="AS29" s="115"/>
      <c r="AT29" s="115"/>
      <c r="AU29" s="115"/>
    </row>
    <row r="30" spans="1:47" x14ac:dyDescent="0.25">
      <c r="A30" s="108" t="str">
        <f>'ICPOES RESULTS'!A30</f>
      </c>
      <c r="B30" s="113"/>
      <c r="C30" s="114"/>
      <c r="D30" s="100"/>
      <c r="E30" s="114"/>
      <c r="F30" s="100"/>
      <c r="G30" s="121"/>
      <c r="H30" s="100"/>
      <c r="I30" s="114"/>
      <c r="J30" s="100"/>
      <c r="K30" s="114"/>
      <c r="L30" s="100"/>
      <c r="M30" s="114"/>
      <c r="N30" s="100"/>
      <c r="O30" s="114"/>
      <c r="P30" s="100"/>
      <c r="Q30" s="114"/>
      <c r="R30" s="100"/>
      <c r="S30" s="114"/>
      <c r="T30" s="100"/>
      <c r="U30" s="114"/>
      <c r="V30" s="100"/>
      <c r="W30" s="114"/>
      <c r="X30" s="100"/>
      <c r="Y30" s="114"/>
      <c r="Z30" s="100"/>
      <c r="AA30" s="114"/>
      <c r="AB30" s="100"/>
      <c r="AC30" s="114"/>
      <c r="AD30" s="100"/>
      <c r="AE30" s="114"/>
      <c r="AF30" s="100"/>
      <c r="AG30" s="114"/>
      <c r="AH30" s="100"/>
      <c r="AI30" s="114"/>
      <c r="AJ30" s="100"/>
      <c r="AK30" s="114"/>
      <c r="AL30" s="100"/>
      <c r="AM30" s="115"/>
      <c r="AN30" s="115"/>
      <c r="AO30" s="115"/>
      <c r="AP30" s="115"/>
      <c r="AQ30" s="115"/>
      <c r="AR30" s="115"/>
      <c r="AS30" s="115"/>
      <c r="AT30" s="115"/>
      <c r="AU30" s="115"/>
    </row>
    <row r="31" spans="1:47" x14ac:dyDescent="0.25">
      <c r="A31" s="108" t="str">
        <f>'ICPOES RESULTS'!A31</f>
      </c>
      <c r="B31" s="113"/>
      <c r="C31" s="114"/>
      <c r="D31" s="100"/>
      <c r="E31" s="114"/>
      <c r="F31" s="100"/>
      <c r="G31" s="114"/>
      <c r="H31" s="100"/>
      <c r="I31" s="114"/>
      <c r="J31" s="100"/>
      <c r="K31" s="114"/>
      <c r="L31" s="100"/>
      <c r="M31" s="114"/>
      <c r="N31" s="100"/>
      <c r="O31" s="114"/>
      <c r="P31" s="100"/>
      <c r="Q31" s="114"/>
      <c r="R31" s="100"/>
      <c r="S31" s="114"/>
      <c r="T31" s="100"/>
      <c r="U31" s="114"/>
      <c r="V31" s="100"/>
      <c r="W31" s="114"/>
      <c r="X31" s="100"/>
      <c r="Y31" s="114"/>
      <c r="Z31" s="100"/>
      <c r="AA31" s="114"/>
      <c r="AB31" s="100"/>
      <c r="AC31" s="114"/>
      <c r="AD31" s="100"/>
      <c r="AE31" s="114"/>
      <c r="AF31" s="100"/>
      <c r="AG31" s="114"/>
      <c r="AH31" s="100"/>
      <c r="AI31" s="114"/>
      <c r="AJ31" s="100"/>
      <c r="AK31" s="114"/>
      <c r="AL31" s="100"/>
      <c r="AM31" s="115"/>
      <c r="AN31" s="115"/>
      <c r="AO31" s="115"/>
      <c r="AP31" s="115"/>
      <c r="AQ31" s="115"/>
      <c r="AR31" s="115"/>
      <c r="AS31" s="115"/>
      <c r="AT31" s="115"/>
      <c r="AU31" s="115"/>
    </row>
    <row r="32" spans="1:47" x14ac:dyDescent="0.25">
      <c r="A32" s="108" t="str">
        <f>'ICPOES RESULTS'!A32</f>
      </c>
      <c r="B32" s="113"/>
      <c r="C32" s="114"/>
      <c r="D32" s="100"/>
      <c r="E32" s="114"/>
      <c r="F32" s="100"/>
      <c r="G32" s="121"/>
      <c r="H32" s="100"/>
      <c r="I32" s="114"/>
      <c r="J32" s="100"/>
      <c r="K32" s="114"/>
      <c r="L32" s="100"/>
      <c r="M32" s="114"/>
      <c r="N32" s="100"/>
      <c r="O32" s="114"/>
      <c r="P32" s="100"/>
      <c r="Q32" s="114"/>
      <c r="R32" s="100"/>
      <c r="S32" s="114"/>
      <c r="T32" s="100"/>
      <c r="U32" s="114"/>
      <c r="V32" s="100"/>
      <c r="W32" s="114"/>
      <c r="X32" s="100"/>
      <c r="Y32" s="114"/>
      <c r="Z32" s="100"/>
      <c r="AA32" s="114"/>
      <c r="AB32" s="100"/>
      <c r="AC32" s="114"/>
      <c r="AD32" s="100"/>
      <c r="AE32" s="114"/>
      <c r="AF32" s="100"/>
      <c r="AG32" s="114"/>
      <c r="AH32" s="100"/>
      <c r="AI32" s="114"/>
      <c r="AJ32" s="100"/>
      <c r="AK32" s="114"/>
      <c r="AL32" s="100"/>
      <c r="AM32" s="115"/>
      <c r="AN32" s="115"/>
      <c r="AO32" s="115"/>
      <c r="AP32" s="115"/>
      <c r="AQ32" s="115"/>
      <c r="AR32" s="115"/>
      <c r="AS32" s="115"/>
      <c r="AT32" s="115"/>
      <c r="AU32" s="115"/>
    </row>
    <row r="33" spans="1:47" x14ac:dyDescent="0.25">
      <c r="A33" s="108" t="str">
        <f>'ICPOES RESULTS'!A33</f>
      </c>
      <c r="B33" s="113"/>
      <c r="C33" s="114"/>
      <c r="D33" s="100"/>
      <c r="E33" s="114"/>
      <c r="F33" s="100"/>
      <c r="G33" s="114"/>
      <c r="H33" s="100"/>
      <c r="I33" s="114"/>
      <c r="J33" s="100"/>
      <c r="K33" s="114"/>
      <c r="L33" s="100"/>
      <c r="M33" s="114"/>
      <c r="N33" s="100"/>
      <c r="O33" s="114"/>
      <c r="P33" s="100"/>
      <c r="Q33" s="114"/>
      <c r="R33" s="100"/>
      <c r="S33" s="114"/>
      <c r="T33" s="100"/>
      <c r="U33" s="114"/>
      <c r="V33" s="100"/>
      <c r="W33" s="114"/>
      <c r="X33" s="100"/>
      <c r="Y33" s="114"/>
      <c r="Z33" s="100"/>
      <c r="AA33" s="114"/>
      <c r="AB33" s="100"/>
      <c r="AC33" s="114"/>
      <c r="AD33" s="100"/>
      <c r="AE33" s="114"/>
      <c r="AF33" s="100"/>
      <c r="AG33" s="114"/>
      <c r="AH33" s="100"/>
      <c r="AI33" s="114"/>
      <c r="AJ33" s="100"/>
      <c r="AK33" s="114"/>
      <c r="AL33" s="100"/>
      <c r="AM33" s="115"/>
      <c r="AN33" s="115"/>
      <c r="AO33" s="115"/>
      <c r="AP33" s="115"/>
      <c r="AQ33" s="115"/>
      <c r="AR33" s="115"/>
      <c r="AS33" s="115"/>
      <c r="AT33" s="115"/>
      <c r="AU33" s="115"/>
    </row>
    <row r="34" spans="1:47" x14ac:dyDescent="0.25">
      <c r="A34" s="108" t="str">
        <f>'ICPOES RESULTS'!A34</f>
      </c>
      <c r="B34" s="113"/>
      <c r="C34" s="114"/>
      <c r="D34" s="100"/>
      <c r="E34" s="114"/>
      <c r="F34" s="100"/>
      <c r="G34" s="121"/>
      <c r="H34" s="100"/>
      <c r="I34" s="114"/>
      <c r="J34" s="100"/>
      <c r="K34" s="114"/>
      <c r="L34" s="100"/>
      <c r="M34" s="114"/>
      <c r="N34" s="100"/>
      <c r="O34" s="114"/>
      <c r="P34" s="100"/>
      <c r="Q34" s="114"/>
      <c r="R34" s="100"/>
      <c r="S34" s="114"/>
      <c r="T34" s="100"/>
      <c r="U34" s="114"/>
      <c r="V34" s="100"/>
      <c r="W34" s="114"/>
      <c r="X34" s="100"/>
      <c r="Y34" s="114"/>
      <c r="Z34" s="100"/>
      <c r="AA34" s="114"/>
      <c r="AB34" s="100"/>
      <c r="AC34" s="114"/>
      <c r="AD34" s="100"/>
      <c r="AE34" s="114"/>
      <c r="AF34" s="100"/>
      <c r="AG34" s="114"/>
      <c r="AH34" s="100"/>
      <c r="AI34" s="114"/>
      <c r="AJ34" s="100"/>
      <c r="AK34" s="114"/>
      <c r="AL34" s="100"/>
      <c r="AM34" s="115"/>
      <c r="AN34" s="115"/>
      <c r="AO34" s="115"/>
      <c r="AP34" s="115"/>
      <c r="AQ34" s="115"/>
      <c r="AR34" s="115"/>
      <c r="AS34" s="115"/>
      <c r="AT34" s="115"/>
      <c r="AU34" s="115"/>
    </row>
    <row r="35" spans="1:47" x14ac:dyDescent="0.25">
      <c r="A35" s="108" t="str">
        <f>'ICPOES RESULTS'!A35</f>
      </c>
      <c r="B35" s="113"/>
      <c r="C35" s="114"/>
      <c r="D35" s="100"/>
      <c r="E35" s="114"/>
      <c r="F35" s="100"/>
      <c r="G35" s="114"/>
      <c r="H35" s="100"/>
      <c r="I35" s="114"/>
      <c r="J35" s="100"/>
      <c r="K35" s="114"/>
      <c r="L35" s="100"/>
      <c r="M35" s="114"/>
      <c r="N35" s="100"/>
      <c r="O35" s="114"/>
      <c r="P35" s="100"/>
      <c r="Q35" s="114"/>
      <c r="R35" s="100"/>
      <c r="S35" s="114"/>
      <c r="T35" s="100"/>
      <c r="U35" s="114"/>
      <c r="V35" s="100"/>
      <c r="W35" s="114"/>
      <c r="X35" s="100"/>
      <c r="Y35" s="114"/>
      <c r="Z35" s="100"/>
      <c r="AA35" s="114"/>
      <c r="AB35" s="100"/>
      <c r="AC35" s="114"/>
      <c r="AD35" s="100"/>
      <c r="AE35" s="114"/>
      <c r="AF35" s="100"/>
      <c r="AG35" s="114"/>
      <c r="AH35" s="100"/>
      <c r="AI35" s="114"/>
      <c r="AJ35" s="100"/>
      <c r="AK35" s="114"/>
      <c r="AL35" s="100"/>
      <c r="AM35" s="115"/>
      <c r="AN35" s="115"/>
      <c r="AO35" s="115"/>
      <c r="AP35" s="115"/>
      <c r="AQ35" s="115"/>
      <c r="AR35" s="115"/>
      <c r="AS35" s="115"/>
      <c r="AT35" s="115"/>
      <c r="AU35" s="115"/>
    </row>
    <row r="36" spans="1:47" x14ac:dyDescent="0.25">
      <c r="A36" s="108" t="str">
        <f>'ICPOES RESULTS'!A36</f>
      </c>
      <c r="B36" s="113"/>
      <c r="C36" s="114"/>
      <c r="D36" s="100"/>
      <c r="E36" s="114"/>
      <c r="F36" s="100"/>
      <c r="G36" s="121"/>
      <c r="H36" s="100"/>
      <c r="I36" s="114"/>
      <c r="J36" s="100"/>
      <c r="K36" s="114"/>
      <c r="L36" s="100"/>
      <c r="M36" s="114"/>
      <c r="N36" s="100"/>
      <c r="O36" s="114"/>
      <c r="P36" s="100"/>
      <c r="Q36" s="114"/>
      <c r="R36" s="100"/>
      <c r="S36" s="114"/>
      <c r="T36" s="100"/>
      <c r="U36" s="114"/>
      <c r="V36" s="100"/>
      <c r="W36" s="114"/>
      <c r="X36" s="100"/>
      <c r="Y36" s="114"/>
      <c r="Z36" s="100"/>
      <c r="AA36" s="114"/>
      <c r="AB36" s="100"/>
      <c r="AC36" s="114"/>
      <c r="AD36" s="100"/>
      <c r="AE36" s="114"/>
      <c r="AF36" s="100"/>
      <c r="AG36" s="114"/>
      <c r="AH36" s="100"/>
      <c r="AI36" s="114"/>
      <c r="AJ36" s="100"/>
      <c r="AK36" s="114"/>
      <c r="AL36" s="100"/>
      <c r="AM36" s="115"/>
      <c r="AN36" s="115"/>
      <c r="AO36" s="115"/>
      <c r="AP36" s="115"/>
      <c r="AQ36" s="115"/>
      <c r="AR36" s="115"/>
      <c r="AS36" s="115"/>
      <c r="AT36" s="115"/>
      <c r="AU36" s="115"/>
    </row>
    <row r="37" spans="1:47" x14ac:dyDescent="0.25">
      <c r="A37" s="108" t="str">
        <f>'ICPOES RESULTS'!A37</f>
      </c>
      <c r="B37" s="113"/>
      <c r="C37" s="114"/>
      <c r="D37" s="100"/>
      <c r="E37" s="114"/>
      <c r="F37" s="100"/>
      <c r="G37" s="114"/>
      <c r="H37" s="100"/>
      <c r="I37" s="114"/>
      <c r="J37" s="100"/>
      <c r="K37" s="114"/>
      <c r="L37" s="100"/>
      <c r="M37" s="114"/>
      <c r="N37" s="100"/>
      <c r="O37" s="114"/>
      <c r="P37" s="100"/>
      <c r="Q37" s="114"/>
      <c r="R37" s="100"/>
      <c r="S37" s="114"/>
      <c r="T37" s="100"/>
      <c r="U37" s="114"/>
      <c r="V37" s="100"/>
      <c r="W37" s="114"/>
      <c r="X37" s="100"/>
      <c r="Y37" s="114"/>
      <c r="Z37" s="100"/>
      <c r="AA37" s="114"/>
      <c r="AB37" s="100"/>
      <c r="AC37" s="114"/>
      <c r="AD37" s="100"/>
      <c r="AE37" s="114"/>
      <c r="AF37" s="100"/>
      <c r="AG37" s="114"/>
      <c r="AH37" s="100"/>
      <c r="AI37" s="114"/>
      <c r="AJ37" s="100"/>
      <c r="AK37" s="114"/>
      <c r="AL37" s="100"/>
      <c r="AM37" s="115"/>
      <c r="AN37" s="115"/>
      <c r="AO37" s="115"/>
      <c r="AP37" s="115"/>
      <c r="AQ37" s="115"/>
      <c r="AR37" s="115"/>
      <c r="AS37" s="115"/>
      <c r="AT37" s="115"/>
      <c r="AU37" s="115"/>
    </row>
    <row r="38" spans="1:47" x14ac:dyDescent="0.25">
      <c r="A38" s="108" t="str">
        <f>'ICPOES RESULTS'!A38</f>
      </c>
      <c r="B38" s="113"/>
      <c r="C38" s="114"/>
      <c r="D38" s="100"/>
      <c r="E38" s="114"/>
      <c r="F38" s="100"/>
      <c r="G38" s="121"/>
      <c r="H38" s="100"/>
      <c r="I38" s="114"/>
      <c r="J38" s="100"/>
      <c r="K38" s="114"/>
      <c r="L38" s="100"/>
      <c r="M38" s="114"/>
      <c r="N38" s="100"/>
      <c r="O38" s="114"/>
      <c r="P38" s="100"/>
      <c r="Q38" s="114"/>
      <c r="R38" s="100"/>
      <c r="S38" s="114"/>
      <c r="T38" s="100"/>
      <c r="U38" s="114"/>
      <c r="V38" s="100"/>
      <c r="W38" s="114"/>
      <c r="X38" s="100"/>
      <c r="Y38" s="114"/>
      <c r="Z38" s="100"/>
      <c r="AA38" s="114"/>
      <c r="AB38" s="100"/>
      <c r="AC38" s="114"/>
      <c r="AD38" s="100"/>
      <c r="AE38" s="114"/>
      <c r="AF38" s="100"/>
      <c r="AG38" s="114"/>
      <c r="AH38" s="100"/>
      <c r="AI38" s="114"/>
      <c r="AJ38" s="100"/>
      <c r="AK38" s="114"/>
      <c r="AL38" s="100"/>
      <c r="AM38" s="115"/>
      <c r="AN38" s="115"/>
      <c r="AO38" s="115"/>
      <c r="AP38" s="115"/>
      <c r="AQ38" s="115"/>
      <c r="AR38" s="115"/>
      <c r="AS38" s="115"/>
      <c r="AT38" s="115"/>
      <c r="AU38" s="115"/>
    </row>
    <row r="39" spans="1:47" x14ac:dyDescent="0.25">
      <c r="A39" s="108" t="str">
        <f>'ICPOES RESULTS'!A39</f>
      </c>
      <c r="B39" s="113"/>
      <c r="C39" s="114"/>
      <c r="D39" s="100"/>
      <c r="E39" s="114"/>
      <c r="F39" s="100"/>
      <c r="G39" s="114"/>
      <c r="H39" s="100"/>
      <c r="I39" s="114"/>
      <c r="J39" s="100"/>
      <c r="K39" s="114"/>
      <c r="L39" s="100"/>
      <c r="M39" s="114"/>
      <c r="N39" s="100"/>
      <c r="O39" s="114"/>
      <c r="P39" s="100"/>
      <c r="Q39" s="114"/>
      <c r="R39" s="100"/>
      <c r="S39" s="114"/>
      <c r="T39" s="100"/>
      <c r="U39" s="114"/>
      <c r="V39" s="100"/>
      <c r="W39" s="114"/>
      <c r="X39" s="100"/>
      <c r="Y39" s="114"/>
      <c r="Z39" s="100"/>
      <c r="AA39" s="114"/>
      <c r="AB39" s="100"/>
      <c r="AC39" s="114"/>
      <c r="AD39" s="100"/>
      <c r="AE39" s="114"/>
      <c r="AF39" s="100"/>
      <c r="AG39" s="114"/>
      <c r="AH39" s="100"/>
      <c r="AI39" s="114"/>
      <c r="AJ39" s="100"/>
      <c r="AK39" s="114"/>
      <c r="AL39" s="100"/>
      <c r="AM39" s="115"/>
      <c r="AN39" s="115"/>
      <c r="AO39" s="115"/>
      <c r="AP39" s="115"/>
      <c r="AQ39" s="115"/>
      <c r="AR39" s="115"/>
      <c r="AS39" s="115"/>
      <c r="AT39" s="115"/>
      <c r="AU39" s="115"/>
    </row>
    <row r="40" spans="1:47" x14ac:dyDescent="0.25">
      <c r="A40" s="108" t="str">
        <f>'ICPOES RESULTS'!A40</f>
      </c>
      <c r="B40" s="113"/>
      <c r="C40" s="114"/>
      <c r="D40" s="100"/>
      <c r="E40" s="114"/>
      <c r="F40" s="100"/>
      <c r="G40" s="121"/>
      <c r="H40" s="100"/>
      <c r="I40" s="114"/>
      <c r="J40" s="100"/>
      <c r="K40" s="114"/>
      <c r="L40" s="100"/>
      <c r="M40" s="114"/>
      <c r="N40" s="100"/>
      <c r="O40" s="114"/>
      <c r="P40" s="100"/>
      <c r="Q40" s="114"/>
      <c r="R40" s="100"/>
      <c r="S40" s="114"/>
      <c r="T40" s="100"/>
      <c r="U40" s="114"/>
      <c r="V40" s="100"/>
      <c r="W40" s="114"/>
      <c r="X40" s="100"/>
      <c r="Y40" s="114"/>
      <c r="Z40" s="100"/>
      <c r="AA40" s="114"/>
      <c r="AB40" s="100"/>
      <c r="AC40" s="114"/>
      <c r="AD40" s="100"/>
      <c r="AE40" s="114"/>
      <c r="AF40" s="100"/>
      <c r="AG40" s="114"/>
      <c r="AH40" s="100"/>
      <c r="AI40" s="114"/>
      <c r="AJ40" s="100"/>
      <c r="AK40" s="114"/>
      <c r="AL40" s="100"/>
      <c r="AM40" s="115"/>
      <c r="AN40" s="115"/>
      <c r="AO40" s="115"/>
      <c r="AP40" s="115"/>
      <c r="AQ40" s="115"/>
      <c r="AR40" s="115"/>
      <c r="AS40" s="115"/>
      <c r="AT40" s="115"/>
      <c r="AU40" s="115"/>
    </row>
    <row r="41" spans="1:47" x14ac:dyDescent="0.25">
      <c r="A41" s="108" t="str">
        <f>'ICPOES RESULTS'!A41</f>
      </c>
      <c r="B41" s="113"/>
      <c r="C41" s="114"/>
      <c r="D41" s="100"/>
      <c r="E41" s="114"/>
      <c r="F41" s="100"/>
      <c r="G41" s="114"/>
      <c r="H41" s="100"/>
      <c r="I41" s="114"/>
      <c r="J41" s="100"/>
      <c r="K41" s="114"/>
      <c r="L41" s="100"/>
      <c r="M41" s="114"/>
      <c r="N41" s="100"/>
      <c r="O41" s="114"/>
      <c r="P41" s="100"/>
      <c r="Q41" s="114"/>
      <c r="R41" s="100"/>
      <c r="S41" s="114"/>
      <c r="T41" s="100"/>
      <c r="U41" s="114"/>
      <c r="V41" s="100"/>
      <c r="W41" s="114"/>
      <c r="X41" s="100"/>
      <c r="Y41" s="114"/>
      <c r="Z41" s="100"/>
      <c r="AA41" s="114"/>
      <c r="AB41" s="100"/>
      <c r="AC41" s="114"/>
      <c r="AD41" s="100"/>
      <c r="AE41" s="114"/>
      <c r="AF41" s="100"/>
      <c r="AG41" s="114"/>
      <c r="AH41" s="100"/>
      <c r="AI41" s="114"/>
      <c r="AJ41" s="100"/>
      <c r="AK41" s="114"/>
      <c r="AL41" s="100"/>
      <c r="AM41" s="115"/>
      <c r="AN41" s="115"/>
      <c r="AO41" s="115"/>
      <c r="AP41" s="115"/>
      <c r="AQ41" s="115"/>
      <c r="AR41" s="115"/>
      <c r="AS41" s="115"/>
      <c r="AT41" s="115"/>
      <c r="AU41" s="115"/>
    </row>
    <row r="42" spans="1:47" x14ac:dyDescent="0.25">
      <c r="A42" s="108" t="str">
        <f>'ICPOES RESULTS'!A42</f>
      </c>
      <c r="B42" s="113"/>
      <c r="C42" s="114"/>
      <c r="D42" s="100"/>
      <c r="E42" s="114"/>
      <c r="F42" s="100"/>
      <c r="G42" s="121"/>
      <c r="H42" s="100"/>
      <c r="I42" s="114"/>
      <c r="J42" s="100"/>
      <c r="K42" s="114"/>
      <c r="L42" s="100"/>
      <c r="M42" s="114"/>
      <c r="N42" s="100"/>
      <c r="O42" s="114"/>
      <c r="P42" s="100"/>
      <c r="Q42" s="114"/>
      <c r="R42" s="100"/>
      <c r="S42" s="114"/>
      <c r="T42" s="100"/>
      <c r="U42" s="114"/>
      <c r="V42" s="100"/>
      <c r="W42" s="114"/>
      <c r="X42" s="100"/>
      <c r="Y42" s="114"/>
      <c r="Z42" s="100"/>
      <c r="AA42" s="114"/>
      <c r="AB42" s="100"/>
      <c r="AC42" s="114"/>
      <c r="AD42" s="100"/>
      <c r="AE42" s="114"/>
      <c r="AF42" s="100"/>
      <c r="AG42" s="114"/>
      <c r="AH42" s="100"/>
      <c r="AI42" s="114"/>
      <c r="AJ42" s="100"/>
      <c r="AK42" s="114"/>
      <c r="AL42" s="100"/>
      <c r="AM42" s="115"/>
      <c r="AN42" s="115"/>
      <c r="AO42" s="115"/>
      <c r="AP42" s="115"/>
      <c r="AQ42" s="115"/>
      <c r="AR42" s="115"/>
      <c r="AS42" s="115"/>
      <c r="AT42" s="115"/>
      <c r="AU42" s="115"/>
    </row>
    <row r="43" spans="1:47" x14ac:dyDescent="0.25">
      <c r="A43" s="108" t="str">
        <f>'ICPOES RESULTS'!A43</f>
      </c>
      <c r="B43" s="113"/>
      <c r="C43" s="114"/>
      <c r="D43" s="100"/>
      <c r="E43" s="114"/>
      <c r="F43" s="100"/>
      <c r="G43" s="114"/>
      <c r="H43" s="100"/>
      <c r="I43" s="114"/>
      <c r="J43" s="100"/>
      <c r="K43" s="114"/>
      <c r="L43" s="100"/>
      <c r="M43" s="114"/>
      <c r="N43" s="100"/>
      <c r="O43" s="114"/>
      <c r="P43" s="100"/>
      <c r="Q43" s="114"/>
      <c r="R43" s="100"/>
      <c r="S43" s="114"/>
      <c r="T43" s="100"/>
      <c r="U43" s="114"/>
      <c r="V43" s="100"/>
      <c r="W43" s="114"/>
      <c r="X43" s="100"/>
      <c r="Y43" s="114"/>
      <c r="Z43" s="100"/>
      <c r="AA43" s="114"/>
      <c r="AB43" s="100"/>
      <c r="AC43" s="114"/>
      <c r="AD43" s="100"/>
      <c r="AE43" s="114"/>
      <c r="AF43" s="100"/>
      <c r="AG43" s="114"/>
      <c r="AH43" s="100"/>
      <c r="AI43" s="114"/>
      <c r="AJ43" s="100"/>
      <c r="AK43" s="114"/>
      <c r="AL43" s="100"/>
      <c r="AM43" s="115"/>
      <c r="AN43" s="115"/>
      <c r="AO43" s="115"/>
      <c r="AP43" s="115"/>
      <c r="AQ43" s="115"/>
      <c r="AR43" s="115"/>
      <c r="AS43" s="115"/>
      <c r="AT43" s="115"/>
      <c r="AU43" s="115"/>
    </row>
    <row r="44" spans="1:47" x14ac:dyDescent="0.25">
      <c r="A44" s="108" t="str">
        <f>'ICPOES RESULTS'!A44</f>
      </c>
      <c r="B44" s="113"/>
      <c r="C44" s="114"/>
      <c r="D44" s="100"/>
      <c r="E44" s="114"/>
      <c r="F44" s="100"/>
      <c r="G44" s="121"/>
      <c r="H44" s="100"/>
      <c r="I44" s="114"/>
      <c r="J44" s="100"/>
      <c r="K44" s="114"/>
      <c r="L44" s="100"/>
      <c r="M44" s="114"/>
      <c r="N44" s="100"/>
      <c r="O44" s="114"/>
      <c r="P44" s="100"/>
      <c r="Q44" s="114"/>
      <c r="R44" s="100"/>
      <c r="S44" s="114"/>
      <c r="T44" s="100"/>
      <c r="U44" s="114"/>
      <c r="V44" s="100"/>
      <c r="W44" s="114"/>
      <c r="X44" s="100"/>
      <c r="Y44" s="114"/>
      <c r="Z44" s="100"/>
      <c r="AA44" s="114"/>
      <c r="AB44" s="100"/>
      <c r="AC44" s="114"/>
      <c r="AD44" s="100"/>
      <c r="AE44" s="114"/>
      <c r="AF44" s="100"/>
      <c r="AG44" s="114"/>
      <c r="AH44" s="100"/>
      <c r="AI44" s="114"/>
      <c r="AJ44" s="100"/>
      <c r="AK44" s="114"/>
      <c r="AL44" s="100"/>
      <c r="AM44" s="115"/>
      <c r="AN44" s="115"/>
      <c r="AO44" s="115"/>
      <c r="AP44" s="115"/>
      <c r="AQ44" s="115"/>
      <c r="AR44" s="115"/>
      <c r="AS44" s="115"/>
      <c r="AT44" s="115"/>
      <c r="AU44" s="115"/>
    </row>
    <row r="45" spans="1:47" x14ac:dyDescent="0.25">
      <c r="A45" s="108" t="str">
        <f>'ICPOES RESULTS'!A45</f>
      </c>
      <c r="B45" s="113"/>
      <c r="C45" s="114"/>
      <c r="D45" s="100"/>
      <c r="E45" s="114"/>
      <c r="F45" s="100"/>
      <c r="G45" s="114"/>
      <c r="H45" s="100"/>
      <c r="I45" s="114"/>
      <c r="J45" s="100"/>
      <c r="K45" s="114"/>
      <c r="L45" s="100"/>
      <c r="M45" s="114"/>
      <c r="N45" s="100"/>
      <c r="O45" s="114"/>
      <c r="P45" s="100"/>
      <c r="Q45" s="114"/>
      <c r="R45" s="100"/>
      <c r="S45" s="114"/>
      <c r="T45" s="100"/>
      <c r="U45" s="114"/>
      <c r="V45" s="100"/>
      <c r="W45" s="114"/>
      <c r="X45" s="100"/>
      <c r="Y45" s="114"/>
      <c r="Z45" s="100"/>
      <c r="AA45" s="114"/>
      <c r="AB45" s="100"/>
      <c r="AC45" s="114"/>
      <c r="AD45" s="100"/>
      <c r="AE45" s="114"/>
      <c r="AF45" s="100"/>
      <c r="AG45" s="114"/>
      <c r="AH45" s="100"/>
      <c r="AI45" s="114"/>
      <c r="AJ45" s="100"/>
      <c r="AK45" s="114"/>
      <c r="AL45" s="100"/>
      <c r="AM45" s="115"/>
      <c r="AN45" s="115"/>
      <c r="AO45" s="115"/>
      <c r="AP45" s="115"/>
      <c r="AQ45" s="115"/>
      <c r="AR45" s="115"/>
      <c r="AS45" s="115"/>
      <c r="AT45" s="115"/>
      <c r="AU45" s="115"/>
    </row>
    <row r="46" spans="1:47" x14ac:dyDescent="0.25">
      <c r="A46" s="108" t="str">
        <f>'ICPOES RESULTS'!A46</f>
      </c>
      <c r="B46" s="113"/>
      <c r="C46" s="114"/>
      <c r="D46" s="100"/>
      <c r="E46" s="114"/>
      <c r="F46" s="100"/>
      <c r="G46" s="121"/>
      <c r="H46" s="100"/>
      <c r="I46" s="114"/>
      <c r="J46" s="100"/>
      <c r="K46" s="114"/>
      <c r="L46" s="100"/>
      <c r="M46" s="114"/>
      <c r="N46" s="100"/>
      <c r="O46" s="114"/>
      <c r="P46" s="100"/>
      <c r="Q46" s="114"/>
      <c r="R46" s="100"/>
      <c r="S46" s="114"/>
      <c r="T46" s="100"/>
      <c r="U46" s="114"/>
      <c r="V46" s="100"/>
      <c r="W46" s="114"/>
      <c r="X46" s="100"/>
      <c r="Y46" s="114"/>
      <c r="Z46" s="100"/>
      <c r="AA46" s="114"/>
      <c r="AB46" s="100"/>
      <c r="AC46" s="114"/>
      <c r="AD46" s="100"/>
      <c r="AE46" s="114"/>
      <c r="AF46" s="100"/>
      <c r="AG46" s="114"/>
      <c r="AH46" s="100"/>
      <c r="AI46" s="114"/>
      <c r="AJ46" s="100"/>
      <c r="AK46" s="114"/>
      <c r="AL46" s="100"/>
      <c r="AM46" s="115"/>
      <c r="AN46" s="115"/>
      <c r="AO46" s="115"/>
      <c r="AP46" s="115"/>
      <c r="AQ46" s="115"/>
      <c r="AR46" s="115"/>
      <c r="AS46" s="115"/>
      <c r="AT46" s="115"/>
      <c r="AU46" s="115"/>
    </row>
    <row r="47" spans="1:47" x14ac:dyDescent="0.25">
      <c r="A47" s="108" t="str">
        <f>'ICPOES RESULTS'!A47</f>
      </c>
      <c r="B47" s="113"/>
      <c r="C47" s="114"/>
      <c r="D47" s="100"/>
      <c r="E47" s="114"/>
      <c r="F47" s="100"/>
      <c r="G47" s="114"/>
      <c r="H47" s="100"/>
      <c r="I47" s="114"/>
      <c r="J47" s="100"/>
      <c r="K47" s="114"/>
      <c r="L47" s="100"/>
      <c r="M47" s="114"/>
      <c r="N47" s="100"/>
      <c r="O47" s="114"/>
      <c r="P47" s="100"/>
      <c r="Q47" s="114"/>
      <c r="R47" s="100"/>
      <c r="S47" s="114"/>
      <c r="T47" s="100"/>
      <c r="U47" s="114"/>
      <c r="V47" s="100"/>
      <c r="W47" s="114"/>
      <c r="X47" s="100"/>
      <c r="Y47" s="114"/>
      <c r="Z47" s="100"/>
      <c r="AA47" s="114"/>
      <c r="AB47" s="100"/>
      <c r="AC47" s="114"/>
      <c r="AD47" s="100"/>
      <c r="AE47" s="114"/>
      <c r="AF47" s="100"/>
      <c r="AG47" s="114"/>
      <c r="AH47" s="100"/>
      <c r="AI47" s="114"/>
      <c r="AJ47" s="100"/>
      <c r="AK47" s="114"/>
      <c r="AL47" s="100"/>
      <c r="AM47" s="115"/>
      <c r="AN47" s="115"/>
      <c r="AO47" s="115"/>
      <c r="AP47" s="115"/>
      <c r="AQ47" s="115"/>
      <c r="AR47" s="115"/>
      <c r="AS47" s="115"/>
      <c r="AT47" s="115"/>
      <c r="AU47" s="115"/>
    </row>
    <row r="48" spans="1:47" x14ac:dyDescent="0.25">
      <c r="A48" s="108" t="str">
        <f>'ICPOES RESULTS'!A48</f>
      </c>
      <c r="B48" s="113"/>
      <c r="C48" s="114"/>
      <c r="D48" s="100"/>
      <c r="E48" s="114"/>
      <c r="F48" s="100"/>
      <c r="G48" s="121"/>
      <c r="H48" s="100"/>
      <c r="I48" s="114"/>
      <c r="J48" s="100"/>
      <c r="K48" s="114"/>
      <c r="L48" s="100"/>
      <c r="M48" s="114"/>
      <c r="N48" s="100"/>
      <c r="O48" s="114"/>
      <c r="P48" s="100"/>
      <c r="Q48" s="114"/>
      <c r="R48" s="100"/>
      <c r="S48" s="114"/>
      <c r="T48" s="100"/>
      <c r="U48" s="114"/>
      <c r="V48" s="100"/>
      <c r="W48" s="114"/>
      <c r="X48" s="100"/>
      <c r="Y48" s="114"/>
      <c r="Z48" s="100"/>
      <c r="AA48" s="114"/>
      <c r="AB48" s="100"/>
      <c r="AC48" s="114"/>
      <c r="AD48" s="100"/>
      <c r="AE48" s="114"/>
      <c r="AF48" s="100"/>
      <c r="AG48" s="114"/>
      <c r="AH48" s="100"/>
      <c r="AI48" s="114"/>
      <c r="AJ48" s="100"/>
      <c r="AK48" s="114"/>
      <c r="AL48" s="100"/>
      <c r="AM48" s="115"/>
      <c r="AN48" s="115"/>
      <c r="AO48" s="115"/>
      <c r="AP48" s="115"/>
      <c r="AQ48" s="115"/>
      <c r="AR48" s="115"/>
      <c r="AS48" s="115"/>
      <c r="AT48" s="115"/>
      <c r="AU48" s="115"/>
    </row>
    <row r="49" spans="1:47" x14ac:dyDescent="0.25">
      <c r="A49" s="108" t="str">
        <f>'ICPOES RESULTS'!A49</f>
      </c>
      <c r="B49" s="113"/>
      <c r="C49" s="114"/>
      <c r="D49" s="100"/>
      <c r="E49" s="114"/>
      <c r="F49" s="100"/>
      <c r="G49" s="114"/>
      <c r="H49" s="100"/>
      <c r="I49" s="114"/>
      <c r="J49" s="100"/>
      <c r="K49" s="114"/>
      <c r="L49" s="100"/>
      <c r="M49" s="114"/>
      <c r="N49" s="100"/>
      <c r="O49" s="114"/>
      <c r="P49" s="100"/>
      <c r="Q49" s="114"/>
      <c r="R49" s="100"/>
      <c r="S49" s="114"/>
      <c r="T49" s="100"/>
      <c r="U49" s="114"/>
      <c r="V49" s="100"/>
      <c r="W49" s="114"/>
      <c r="X49" s="100"/>
      <c r="Y49" s="114"/>
      <c r="Z49" s="100"/>
      <c r="AA49" s="114"/>
      <c r="AB49" s="100"/>
      <c r="AC49" s="114"/>
      <c r="AD49" s="100"/>
      <c r="AE49" s="114"/>
      <c r="AF49" s="100"/>
      <c r="AG49" s="114"/>
      <c r="AH49" s="100"/>
      <c r="AI49" s="114"/>
      <c r="AJ49" s="100"/>
      <c r="AK49" s="114"/>
      <c r="AL49" s="100"/>
      <c r="AM49" s="115"/>
      <c r="AN49" s="115"/>
      <c r="AO49" s="115"/>
      <c r="AP49" s="115"/>
      <c r="AQ49" s="115"/>
      <c r="AR49" s="115"/>
      <c r="AS49" s="115"/>
      <c r="AT49" s="115"/>
      <c r="AU49" s="115"/>
    </row>
    <row r="50" spans="1:47" x14ac:dyDescent="0.25">
      <c r="A50" s="108" t="str">
        <f>'ICPOES RESULTS'!A50</f>
      </c>
      <c r="B50" s="113"/>
      <c r="C50" s="114"/>
      <c r="D50" s="100"/>
      <c r="E50" s="114"/>
      <c r="F50" s="100"/>
      <c r="G50" s="121"/>
      <c r="H50" s="100"/>
      <c r="I50" s="114"/>
      <c r="J50" s="100"/>
      <c r="K50" s="114"/>
      <c r="L50" s="100"/>
      <c r="M50" s="114"/>
      <c r="N50" s="100"/>
      <c r="O50" s="114"/>
      <c r="P50" s="100"/>
      <c r="Q50" s="114"/>
      <c r="R50" s="100"/>
      <c r="S50" s="114"/>
      <c r="T50" s="100"/>
      <c r="U50" s="114"/>
      <c r="V50" s="100"/>
      <c r="W50" s="114"/>
      <c r="X50" s="100"/>
      <c r="Y50" s="114"/>
      <c r="Z50" s="100"/>
      <c r="AA50" s="114"/>
      <c r="AB50" s="100"/>
      <c r="AC50" s="114"/>
      <c r="AD50" s="100"/>
      <c r="AE50" s="114"/>
      <c r="AF50" s="100"/>
      <c r="AG50" s="114"/>
      <c r="AH50" s="100"/>
      <c r="AI50" s="114"/>
      <c r="AJ50" s="100"/>
      <c r="AK50" s="114"/>
      <c r="AL50" s="100"/>
      <c r="AM50" s="115"/>
      <c r="AN50" s="115"/>
      <c r="AO50" s="115"/>
      <c r="AP50" s="115"/>
      <c r="AQ50" s="115"/>
      <c r="AR50" s="115"/>
      <c r="AS50" s="115"/>
      <c r="AT50" s="115"/>
      <c r="AU50" s="115"/>
    </row>
    <row r="51" spans="1:47" x14ac:dyDescent="0.25">
      <c r="A51" s="108" t="str">
        <f>'ICPOES RESULTS'!A51</f>
      </c>
      <c r="B51" s="113"/>
      <c r="C51" s="114"/>
      <c r="D51" s="100"/>
      <c r="E51" s="114"/>
      <c r="F51" s="100"/>
      <c r="G51" s="114"/>
      <c r="H51" s="100"/>
      <c r="I51" s="114"/>
      <c r="J51" s="100"/>
      <c r="K51" s="114"/>
      <c r="L51" s="100"/>
      <c r="M51" s="114"/>
      <c r="N51" s="100"/>
      <c r="O51" s="114"/>
      <c r="P51" s="100"/>
      <c r="Q51" s="114"/>
      <c r="R51" s="100"/>
      <c r="S51" s="114"/>
      <c r="T51" s="100"/>
      <c r="U51" s="114"/>
      <c r="V51" s="100"/>
      <c r="W51" s="114"/>
      <c r="X51" s="100"/>
      <c r="Y51" s="114"/>
      <c r="Z51" s="100"/>
      <c r="AA51" s="114"/>
      <c r="AB51" s="100"/>
      <c r="AC51" s="114"/>
      <c r="AD51" s="100"/>
      <c r="AE51" s="114"/>
      <c r="AF51" s="100"/>
      <c r="AG51" s="114"/>
      <c r="AH51" s="100"/>
      <c r="AI51" s="114"/>
      <c r="AJ51" s="100"/>
      <c r="AK51" s="114"/>
      <c r="AL51" s="100"/>
      <c r="AM51" s="115"/>
      <c r="AN51" s="115"/>
      <c r="AO51" s="115"/>
      <c r="AP51" s="115"/>
      <c r="AQ51" s="115"/>
      <c r="AR51" s="115"/>
      <c r="AS51" s="115"/>
      <c r="AT51" s="115"/>
      <c r="AU51" s="115"/>
    </row>
    <row r="52" spans="1:47" x14ac:dyDescent="0.25">
      <c r="A52" s="108" t="str">
        <f>'ICPOES RESULTS'!A52</f>
      </c>
      <c r="B52" s="113"/>
      <c r="C52" s="114"/>
      <c r="D52" s="100"/>
      <c r="E52" s="114"/>
      <c r="F52" s="100"/>
      <c r="G52" s="121"/>
      <c r="H52" s="100"/>
      <c r="I52" s="114"/>
      <c r="J52" s="100"/>
      <c r="K52" s="114"/>
      <c r="L52" s="100"/>
      <c r="M52" s="114"/>
      <c r="N52" s="100"/>
      <c r="O52" s="114"/>
      <c r="P52" s="100"/>
      <c r="Q52" s="114"/>
      <c r="R52" s="100"/>
      <c r="S52" s="114"/>
      <c r="T52" s="100"/>
      <c r="U52" s="114"/>
      <c r="V52" s="100"/>
      <c r="W52" s="114"/>
      <c r="X52" s="100"/>
      <c r="Y52" s="114"/>
      <c r="Z52" s="100"/>
      <c r="AA52" s="114"/>
      <c r="AB52" s="100"/>
      <c r="AC52" s="114"/>
      <c r="AD52" s="100"/>
      <c r="AE52" s="114"/>
      <c r="AF52" s="100"/>
      <c r="AG52" s="114"/>
      <c r="AH52" s="100"/>
      <c r="AI52" s="114"/>
      <c r="AJ52" s="100"/>
      <c r="AK52" s="114"/>
      <c r="AL52" s="100"/>
      <c r="AM52" s="115"/>
      <c r="AN52" s="115"/>
      <c r="AO52" s="115"/>
      <c r="AP52" s="115"/>
      <c r="AQ52" s="115"/>
      <c r="AR52" s="115"/>
      <c r="AS52" s="115"/>
      <c r="AT52" s="115"/>
      <c r="AU52" s="115"/>
    </row>
    <row r="53" spans="1:47" x14ac:dyDescent="0.25">
      <c r="A53" s="108" t="str">
        <f>'ICPOES RESULTS'!A53</f>
      </c>
      <c r="B53" s="113"/>
      <c r="C53" s="114"/>
      <c r="D53" s="100"/>
      <c r="E53" s="114"/>
      <c r="F53" s="100"/>
      <c r="G53" s="114"/>
      <c r="H53" s="100"/>
      <c r="I53" s="114"/>
      <c r="J53" s="100"/>
      <c r="K53" s="114"/>
      <c r="L53" s="100"/>
      <c r="M53" s="114"/>
      <c r="N53" s="100"/>
      <c r="O53" s="114"/>
      <c r="P53" s="100"/>
      <c r="Q53" s="114"/>
      <c r="R53" s="100"/>
      <c r="S53" s="114"/>
      <c r="T53" s="100"/>
      <c r="U53" s="114"/>
      <c r="V53" s="100"/>
      <c r="W53" s="114"/>
      <c r="X53" s="100"/>
      <c r="Y53" s="114"/>
      <c r="Z53" s="100"/>
      <c r="AA53" s="114"/>
      <c r="AB53" s="100"/>
      <c r="AC53" s="114"/>
      <c r="AD53" s="100"/>
      <c r="AE53" s="114"/>
      <c r="AF53" s="100"/>
      <c r="AG53" s="114"/>
      <c r="AH53" s="100"/>
      <c r="AI53" s="114"/>
      <c r="AJ53" s="100"/>
      <c r="AK53" s="114"/>
      <c r="AL53" s="100"/>
      <c r="AM53" s="115"/>
      <c r="AN53" s="115"/>
      <c r="AO53" s="115"/>
      <c r="AP53" s="115"/>
      <c r="AQ53" s="115"/>
      <c r="AR53" s="115"/>
      <c r="AS53" s="115"/>
      <c r="AT53" s="115"/>
      <c r="AU53" s="115"/>
    </row>
    <row r="54" spans="1:47" x14ac:dyDescent="0.25">
      <c r="A54" s="108" t="str">
        <f>'ICPOES RESULTS'!A54</f>
      </c>
      <c r="B54" s="113"/>
      <c r="C54" s="114"/>
      <c r="D54" s="100"/>
      <c r="E54" s="114"/>
      <c r="F54" s="100"/>
      <c r="G54" s="121"/>
      <c r="H54" s="100"/>
      <c r="I54" s="114"/>
      <c r="J54" s="100"/>
      <c r="K54" s="114"/>
      <c r="L54" s="100"/>
      <c r="M54" s="114"/>
      <c r="N54" s="100"/>
      <c r="O54" s="114"/>
      <c r="P54" s="100"/>
      <c r="Q54" s="114"/>
      <c r="R54" s="100"/>
      <c r="S54" s="114"/>
      <c r="T54" s="100"/>
      <c r="U54" s="114"/>
      <c r="V54" s="100"/>
      <c r="W54" s="114"/>
      <c r="X54" s="100"/>
      <c r="Y54" s="114"/>
      <c r="Z54" s="100"/>
      <c r="AA54" s="114"/>
      <c r="AB54" s="100"/>
      <c r="AC54" s="114"/>
      <c r="AD54" s="100"/>
      <c r="AE54" s="114"/>
      <c r="AF54" s="100"/>
      <c r="AG54" s="114"/>
      <c r="AH54" s="100"/>
      <c r="AI54" s="114"/>
      <c r="AJ54" s="100"/>
      <c r="AK54" s="114"/>
      <c r="AL54" s="100"/>
      <c r="AM54" s="115"/>
      <c r="AN54" s="115"/>
      <c r="AO54" s="115"/>
      <c r="AP54" s="115"/>
      <c r="AQ54" s="115"/>
      <c r="AR54" s="115"/>
      <c r="AS54" s="115"/>
      <c r="AT54" s="115"/>
      <c r="AU54" s="115"/>
    </row>
    <row r="55" spans="1:47" x14ac:dyDescent="0.25">
      <c r="A55" s="108" t="str">
        <f>'ICPOES RESULTS'!A55</f>
      </c>
      <c r="B55" s="113"/>
      <c r="C55" s="114"/>
      <c r="D55" s="100"/>
      <c r="E55" s="114"/>
      <c r="F55" s="100"/>
      <c r="G55" s="114"/>
      <c r="H55" s="100"/>
      <c r="I55" s="114"/>
      <c r="J55" s="100"/>
      <c r="K55" s="114"/>
      <c r="L55" s="100"/>
      <c r="M55" s="114"/>
      <c r="N55" s="100"/>
      <c r="O55" s="114"/>
      <c r="P55" s="100"/>
      <c r="Q55" s="114"/>
      <c r="R55" s="100"/>
      <c r="S55" s="114"/>
      <c r="T55" s="100"/>
      <c r="U55" s="114"/>
      <c r="V55" s="100"/>
      <c r="W55" s="114"/>
      <c r="X55" s="100"/>
      <c r="Y55" s="114"/>
      <c r="Z55" s="100"/>
      <c r="AA55" s="114"/>
      <c r="AB55" s="100"/>
      <c r="AC55" s="114"/>
      <c r="AD55" s="100"/>
      <c r="AE55" s="114"/>
      <c r="AF55" s="100"/>
      <c r="AG55" s="114"/>
      <c r="AH55" s="100"/>
      <c r="AI55" s="114"/>
      <c r="AJ55" s="100"/>
      <c r="AK55" s="114"/>
      <c r="AL55" s="100"/>
      <c r="AM55" s="115"/>
      <c r="AN55" s="115"/>
      <c r="AO55" s="115"/>
      <c r="AP55" s="115"/>
      <c r="AQ55" s="115"/>
      <c r="AR55" s="115"/>
      <c r="AS55" s="115"/>
      <c r="AT55" s="115"/>
      <c r="AU55" s="115"/>
    </row>
    <row r="56" spans="1:47" x14ac:dyDescent="0.25">
      <c r="A56" s="108" t="str">
        <f>'ICPOES RESULTS'!A56</f>
      </c>
      <c r="B56" s="113"/>
      <c r="C56" s="114"/>
      <c r="D56" s="100"/>
      <c r="E56" s="114"/>
      <c r="F56" s="100"/>
      <c r="G56" s="121"/>
      <c r="H56" s="100"/>
      <c r="I56" s="114"/>
      <c r="J56" s="100"/>
      <c r="K56" s="114"/>
      <c r="L56" s="100"/>
      <c r="M56" s="114"/>
      <c r="N56" s="100"/>
      <c r="O56" s="114"/>
      <c r="P56" s="100"/>
      <c r="Q56" s="114"/>
      <c r="R56" s="100"/>
      <c r="S56" s="114"/>
      <c r="T56" s="100"/>
      <c r="U56" s="114"/>
      <c r="V56" s="100"/>
      <c r="W56" s="114"/>
      <c r="X56" s="100"/>
      <c r="Y56" s="114"/>
      <c r="Z56" s="100"/>
      <c r="AA56" s="114"/>
      <c r="AB56" s="100"/>
      <c r="AC56" s="114"/>
      <c r="AD56" s="100"/>
      <c r="AE56" s="114"/>
      <c r="AF56" s="100"/>
      <c r="AG56" s="114"/>
      <c r="AH56" s="100"/>
      <c r="AI56" s="114"/>
      <c r="AJ56" s="100"/>
      <c r="AK56" s="114"/>
      <c r="AL56" s="100"/>
      <c r="AM56" s="115"/>
      <c r="AN56" s="115"/>
      <c r="AO56" s="115"/>
      <c r="AP56" s="115"/>
      <c r="AQ56" s="115"/>
      <c r="AR56" s="115"/>
      <c r="AS56" s="115"/>
      <c r="AT56" s="115"/>
      <c r="AU56" s="115"/>
    </row>
    <row r="57" spans="1:47" x14ac:dyDescent="0.25">
      <c r="A57" s="108" t="str">
        <f>'ICPOES RESULTS'!A57</f>
      </c>
      <c r="B57" s="113"/>
      <c r="C57" s="114"/>
      <c r="D57" s="100"/>
      <c r="E57" s="114"/>
      <c r="F57" s="100"/>
      <c r="G57" s="114"/>
      <c r="H57" s="100"/>
      <c r="I57" s="114"/>
      <c r="J57" s="100"/>
      <c r="K57" s="114"/>
      <c r="L57" s="100"/>
      <c r="M57" s="114"/>
      <c r="N57" s="100"/>
      <c r="O57" s="114"/>
      <c r="P57" s="100"/>
      <c r="Q57" s="114"/>
      <c r="R57" s="100"/>
      <c r="S57" s="114"/>
      <c r="T57" s="100"/>
      <c r="U57" s="114"/>
      <c r="V57" s="100"/>
      <c r="W57" s="114"/>
      <c r="X57" s="100"/>
      <c r="Y57" s="114"/>
      <c r="Z57" s="100"/>
      <c r="AA57" s="114"/>
      <c r="AB57" s="100"/>
      <c r="AC57" s="114"/>
      <c r="AD57" s="100"/>
      <c r="AE57" s="114"/>
      <c r="AF57" s="100"/>
      <c r="AG57" s="114"/>
      <c r="AH57" s="100"/>
      <c r="AI57" s="114"/>
      <c r="AJ57" s="100"/>
      <c r="AK57" s="114"/>
      <c r="AL57" s="100"/>
      <c r="AM57" s="115"/>
      <c r="AN57" s="115"/>
      <c r="AO57" s="115"/>
      <c r="AP57" s="115"/>
      <c r="AQ57" s="115"/>
      <c r="AR57" s="115"/>
      <c r="AS57" s="115"/>
      <c r="AT57" s="115"/>
      <c r="AU57" s="115"/>
    </row>
    <row r="58" spans="1:47" x14ac:dyDescent="0.25">
      <c r="A58" s="108" t="str">
        <f>'ICPOES RESULTS'!A58</f>
      </c>
      <c r="B58" s="113"/>
      <c r="C58" s="114"/>
      <c r="D58" s="100"/>
      <c r="E58" s="114"/>
      <c r="F58" s="100"/>
      <c r="G58" s="121"/>
      <c r="H58" s="100"/>
      <c r="I58" s="114"/>
      <c r="J58" s="100"/>
      <c r="K58" s="114"/>
      <c r="L58" s="100"/>
      <c r="M58" s="114"/>
      <c r="N58" s="100"/>
      <c r="O58" s="114"/>
      <c r="P58" s="100"/>
      <c r="Q58" s="114"/>
      <c r="R58" s="100"/>
      <c r="S58" s="114"/>
      <c r="T58" s="100"/>
      <c r="U58" s="114"/>
      <c r="V58" s="100"/>
      <c r="W58" s="114"/>
      <c r="X58" s="100"/>
      <c r="Y58" s="114"/>
      <c r="Z58" s="100"/>
      <c r="AA58" s="114"/>
      <c r="AB58" s="100"/>
      <c r="AC58" s="114"/>
      <c r="AD58" s="100"/>
      <c r="AE58" s="114"/>
      <c r="AF58" s="100"/>
      <c r="AG58" s="114"/>
      <c r="AH58" s="100"/>
      <c r="AI58" s="114"/>
      <c r="AJ58" s="100"/>
      <c r="AK58" s="114"/>
      <c r="AL58" s="100"/>
      <c r="AM58" s="115"/>
      <c r="AN58" s="115"/>
      <c r="AO58" s="115"/>
      <c r="AP58" s="115"/>
      <c r="AQ58" s="115"/>
      <c r="AR58" s="115"/>
      <c r="AS58" s="115"/>
      <c r="AT58" s="115"/>
      <c r="AU58" s="115"/>
    </row>
    <row r="59" spans="1:47" x14ac:dyDescent="0.25">
      <c r="A59" s="108" t="str">
        <f>'ICPOES RESULTS'!A59</f>
      </c>
      <c r="B59" s="113"/>
      <c r="C59" s="114"/>
      <c r="D59" s="100"/>
      <c r="E59" s="114"/>
      <c r="F59" s="100"/>
      <c r="G59" s="114"/>
      <c r="H59" s="100"/>
      <c r="I59" s="114"/>
      <c r="J59" s="100"/>
      <c r="K59" s="114"/>
      <c r="L59" s="100"/>
      <c r="M59" s="114"/>
      <c r="N59" s="100"/>
      <c r="O59" s="114"/>
      <c r="P59" s="100"/>
      <c r="Q59" s="114"/>
      <c r="R59" s="100"/>
      <c r="S59" s="114"/>
      <c r="T59" s="100"/>
      <c r="U59" s="114"/>
      <c r="V59" s="100"/>
      <c r="W59" s="114"/>
      <c r="X59" s="100"/>
      <c r="Y59" s="114"/>
      <c r="Z59" s="100"/>
      <c r="AA59" s="114"/>
      <c r="AB59" s="100"/>
      <c r="AC59" s="114"/>
      <c r="AD59" s="100"/>
      <c r="AE59" s="114"/>
      <c r="AF59" s="100"/>
      <c r="AG59" s="114"/>
      <c r="AH59" s="100"/>
      <c r="AI59" s="114"/>
      <c r="AJ59" s="100"/>
      <c r="AK59" s="114"/>
      <c r="AL59" s="100"/>
      <c r="AM59" s="115"/>
      <c r="AN59" s="115"/>
      <c r="AO59" s="115"/>
      <c r="AP59" s="115"/>
      <c r="AQ59" s="115"/>
      <c r="AR59" s="115"/>
      <c r="AS59" s="115"/>
      <c r="AT59" s="115"/>
      <c r="AU59" s="115"/>
    </row>
    <row r="60" spans="1:47" x14ac:dyDescent="0.25">
      <c r="A60" s="108" t="str">
        <f>'ICPOES RESULTS'!A60</f>
      </c>
      <c r="B60" s="113"/>
      <c r="C60" s="114"/>
      <c r="D60" s="100"/>
      <c r="E60" s="114"/>
      <c r="F60" s="100"/>
      <c r="G60" s="121"/>
      <c r="H60" s="100"/>
      <c r="I60" s="114"/>
      <c r="J60" s="100"/>
      <c r="K60" s="114"/>
      <c r="L60" s="100"/>
      <c r="M60" s="114"/>
      <c r="N60" s="100"/>
      <c r="O60" s="114"/>
      <c r="P60" s="100"/>
      <c r="Q60" s="114"/>
      <c r="R60" s="100"/>
      <c r="S60" s="114"/>
      <c r="T60" s="100"/>
      <c r="U60" s="114"/>
      <c r="V60" s="100"/>
      <c r="W60" s="114"/>
      <c r="X60" s="100"/>
      <c r="Y60" s="114"/>
      <c r="Z60" s="100"/>
      <c r="AA60" s="114"/>
      <c r="AB60" s="100"/>
      <c r="AC60" s="114"/>
      <c r="AD60" s="100"/>
      <c r="AE60" s="114"/>
      <c r="AF60" s="100"/>
      <c r="AG60" s="114"/>
      <c r="AH60" s="100"/>
      <c r="AI60" s="114"/>
      <c r="AJ60" s="100"/>
      <c r="AK60" s="114"/>
      <c r="AL60" s="100"/>
      <c r="AM60" s="115"/>
      <c r="AN60" s="115"/>
      <c r="AO60" s="115"/>
      <c r="AP60" s="115"/>
      <c r="AQ60" s="115"/>
      <c r="AR60" s="115"/>
      <c r="AS60" s="115"/>
      <c r="AT60" s="115"/>
      <c r="AU60" s="115"/>
    </row>
    <row r="61" spans="1:47" x14ac:dyDescent="0.25">
      <c r="A61" s="108" t="str">
        <f>'ICPOES RESULTS'!A61</f>
      </c>
      <c r="B61" s="113"/>
      <c r="C61" s="114"/>
      <c r="D61" s="100"/>
      <c r="E61" s="114"/>
      <c r="F61" s="100"/>
      <c r="G61" s="114"/>
      <c r="H61" s="100"/>
      <c r="I61" s="114"/>
      <c r="J61" s="100"/>
      <c r="K61" s="114"/>
      <c r="L61" s="100"/>
      <c r="M61" s="114"/>
      <c r="N61" s="100"/>
      <c r="O61" s="114"/>
      <c r="P61" s="100"/>
      <c r="Q61" s="114"/>
      <c r="R61" s="100"/>
      <c r="S61" s="114"/>
      <c r="T61" s="100"/>
      <c r="U61" s="114"/>
      <c r="V61" s="100"/>
      <c r="W61" s="114"/>
      <c r="X61" s="100"/>
      <c r="Y61" s="114"/>
      <c r="Z61" s="100"/>
      <c r="AA61" s="114"/>
      <c r="AB61" s="100"/>
      <c r="AC61" s="114"/>
      <c r="AD61" s="100"/>
      <c r="AE61" s="114"/>
      <c r="AF61" s="100"/>
      <c r="AG61" s="114"/>
      <c r="AH61" s="100"/>
      <c r="AI61" s="114"/>
      <c r="AJ61" s="100"/>
      <c r="AK61" s="114"/>
      <c r="AL61" s="100"/>
      <c r="AM61" s="115"/>
      <c r="AN61" s="115"/>
      <c r="AO61" s="115"/>
      <c r="AP61" s="115"/>
      <c r="AQ61" s="115"/>
      <c r="AR61" s="115"/>
      <c r="AS61" s="115"/>
      <c r="AT61" s="115"/>
      <c r="AU61" s="115"/>
    </row>
    <row r="62" spans="1:47" ht="15.75" thickBot="1" x14ac:dyDescent="0.3">
      <c r="A62" s="108" t="str">
        <f>'ICPOES RESULTS'!A62</f>
      </c>
      <c r="B62" s="117"/>
      <c r="C62" s="114"/>
      <c r="D62" s="100"/>
      <c r="E62" s="114"/>
      <c r="F62" s="100"/>
      <c r="G62" s="121"/>
      <c r="H62" s="100"/>
      <c r="I62" s="114"/>
      <c r="J62" s="100"/>
      <c r="K62" s="114"/>
      <c r="L62" s="100"/>
      <c r="M62" s="114"/>
      <c r="N62" s="100"/>
      <c r="O62" s="114"/>
      <c r="P62" s="100"/>
      <c r="Q62" s="114"/>
      <c r="R62" s="100"/>
      <c r="S62" s="114"/>
      <c r="T62" s="100"/>
      <c r="U62" s="114"/>
      <c r="V62" s="100"/>
      <c r="W62" s="114"/>
      <c r="X62" s="100"/>
      <c r="Y62" s="114"/>
      <c r="Z62" s="100"/>
      <c r="AA62" s="114"/>
      <c r="AB62" s="100"/>
      <c r="AC62" s="114"/>
      <c r="AD62" s="100"/>
      <c r="AE62" s="114"/>
      <c r="AF62" s="100"/>
      <c r="AG62" s="114"/>
      <c r="AH62" s="100"/>
      <c r="AI62" s="114"/>
      <c r="AJ62" s="100"/>
      <c r="AK62" s="114"/>
      <c r="AL62" s="100"/>
      <c r="AM62" s="115"/>
      <c r="AN62" s="115"/>
      <c r="AO62" s="115"/>
      <c r="AP62" s="115"/>
      <c r="AQ62" s="115"/>
      <c r="AR62" s="115"/>
      <c r="AS62" s="115"/>
      <c r="AT62" s="115"/>
      <c r="AU62" s="115"/>
    </row>
    <row r="63" spans="1:47" x14ac:dyDescent="0.25">
      <c r="A63" s="24" t="s">
        <v>164</v>
      </c>
      <c r="B63" s="62" t="s">
        <v>165</v>
      </c>
      <c r="C63" s="26">
        <v>3</v>
      </c>
      <c r="D63" s="26">
        <v>6</v>
      </c>
      <c r="E63" s="26">
        <v>0.01</v>
      </c>
      <c r="F63" s="93">
        <v>0.01</v>
      </c>
      <c r="G63" s="26">
        <v>4</v>
      </c>
      <c r="H63" s="26">
        <v>0.01</v>
      </c>
      <c r="I63" s="26">
        <v>0.01</v>
      </c>
      <c r="J63" s="26">
        <v>2</v>
      </c>
      <c r="K63" s="26">
        <v>2</v>
      </c>
      <c r="L63" s="26">
        <v>4</v>
      </c>
      <c r="M63" s="26">
        <v>1</v>
      </c>
      <c r="N63" s="26">
        <v>0.02</v>
      </c>
      <c r="O63" s="26">
        <v>0.2</v>
      </c>
      <c r="P63" s="26">
        <v>0.3</v>
      </c>
      <c r="Q63" s="26">
        <v>1</v>
      </c>
      <c r="R63" s="26">
        <v>1</v>
      </c>
      <c r="S63" s="26">
        <v>0.2</v>
      </c>
      <c r="T63" s="26">
        <v>0.3</v>
      </c>
      <c r="U63" s="26">
        <v>0.01</v>
      </c>
      <c r="V63" s="26">
        <v>0.2</v>
      </c>
      <c r="W63" s="26">
        <v>1</v>
      </c>
      <c r="X63" s="26">
        <v>1</v>
      </c>
      <c r="Y63" s="26">
        <v>0.3</v>
      </c>
      <c r="Z63" s="26">
        <v>0.4</v>
      </c>
      <c r="AA63" s="26">
        <v>0.6</v>
      </c>
      <c r="AB63" s="26">
        <v>0.2</v>
      </c>
      <c r="AC63" s="26">
        <v>0.4</v>
      </c>
      <c r="AD63" s="26">
        <v>0.3</v>
      </c>
      <c r="AE63" s="26">
        <v>1</v>
      </c>
      <c r="AF63" s="26">
        <v>0.2</v>
      </c>
      <c r="AG63" s="26">
        <v>1</v>
      </c>
      <c r="AH63" s="26">
        <v>7</v>
      </c>
      <c r="AI63" s="26">
        <v>0.3</v>
      </c>
      <c r="AJ63" s="26">
        <v>0.3</v>
      </c>
      <c r="AK63" s="26">
        <v>0.8</v>
      </c>
      <c r="AL63" s="26">
        <v>0.2</v>
      </c>
      <c r="AM63" s="26">
        <v>0.2</v>
      </c>
      <c r="AN63" s="26">
        <v>0.4</v>
      </c>
      <c r="AO63" s="26">
        <v>0.1</v>
      </c>
      <c r="AP63" s="26">
        <v>0.3</v>
      </c>
      <c r="AQ63" s="26">
        <v>0.2</v>
      </c>
      <c r="AR63" s="26">
        <v>0.2</v>
      </c>
      <c r="AS63" s="26">
        <v>0.2</v>
      </c>
      <c r="AT63" s="26">
        <v>0.2</v>
      </c>
      <c r="AU63" s="26">
        <v>0.2</v>
      </c>
    </row>
    <row r="64" spans="1:47" x14ac:dyDescent="0.25">
      <c r="A64" s="24" t="s">
        <v>164</v>
      </c>
      <c r="B64" s="63" t="s">
        <v>165</v>
      </c>
      <c r="C64" s="26" t="str">
        <f>"&lt;"&amp;C63</f>
      </c>
      <c r="D64" s="26" t="str">
        <f t="shared" ref="D64:AU64" si="0">"&lt;"&amp;D63</f>
      </c>
      <c r="E64" s="26" t="str">
        <f t="shared" si="0"/>
      </c>
      <c r="F64" s="26" t="str">
        <f t="shared" si="0"/>
      </c>
      <c r="G64" s="26" t="str">
        <f t="shared" si="0"/>
      </c>
      <c r="H64" s="26" t="str">
        <f t="shared" si="0"/>
      </c>
      <c r="I64" s="26" t="str">
        <f t="shared" si="0"/>
      </c>
      <c r="J64" s="26" t="str">
        <f t="shared" si="0"/>
      </c>
      <c r="K64" s="26" t="str">
        <f t="shared" si="0"/>
      </c>
      <c r="L64" s="26" t="str">
        <f t="shared" si="0"/>
      </c>
      <c r="M64" s="26" t="str">
        <f t="shared" si="0"/>
      </c>
      <c r="N64" s="26" t="str">
        <f t="shared" si="0"/>
      </c>
      <c r="O64" s="26" t="str">
        <f t="shared" si="0"/>
      </c>
      <c r="P64" s="26" t="str">
        <f t="shared" si="0"/>
      </c>
      <c r="Q64" s="26" t="str">
        <f t="shared" si="0"/>
      </c>
      <c r="R64" s="26" t="str">
        <f t="shared" si="0"/>
      </c>
      <c r="S64" s="26" t="str">
        <f t="shared" si="0"/>
      </c>
      <c r="T64" s="26" t="str">
        <f t="shared" si="0"/>
      </c>
      <c r="U64" s="26" t="str">
        <f t="shared" si="0"/>
      </c>
      <c r="V64" s="26" t="str">
        <f t="shared" si="0"/>
      </c>
      <c r="W64" s="26" t="str">
        <f t="shared" si="0"/>
      </c>
      <c r="X64" s="26" t="str">
        <f t="shared" si="0"/>
      </c>
      <c r="Y64" s="26" t="str">
        <f t="shared" si="0"/>
      </c>
      <c r="Z64" s="26" t="str">
        <f t="shared" si="0"/>
      </c>
      <c r="AA64" s="26" t="str">
        <f t="shared" si="0"/>
      </c>
      <c r="AB64" s="26" t="str">
        <f t="shared" si="0"/>
      </c>
      <c r="AC64" s="26" t="str">
        <f t="shared" si="0"/>
      </c>
      <c r="AD64" s="26" t="str">
        <f t="shared" si="0"/>
      </c>
      <c r="AE64" s="26" t="str">
        <f t="shared" si="0"/>
      </c>
      <c r="AF64" s="26" t="str">
        <f t="shared" si="0"/>
      </c>
      <c r="AG64" s="26" t="str">
        <f t="shared" si="0"/>
      </c>
      <c r="AH64" s="26" t="str">
        <f t="shared" si="0"/>
      </c>
      <c r="AI64" s="26" t="str">
        <f t="shared" si="0"/>
      </c>
      <c r="AJ64" s="26" t="str">
        <f t="shared" si="0"/>
      </c>
      <c r="AK64" s="26" t="str">
        <f t="shared" si="0"/>
      </c>
      <c r="AL64" s="26" t="str">
        <f t="shared" si="0"/>
      </c>
      <c r="AM64" s="26" t="str">
        <f t="shared" si="0"/>
      </c>
      <c r="AN64" s="26" t="str">
        <f t="shared" si="0"/>
      </c>
      <c r="AO64" s="26" t="str">
        <f t="shared" si="0"/>
      </c>
      <c r="AP64" s="26" t="str">
        <f t="shared" si="0"/>
      </c>
      <c r="AQ64" s="26" t="str">
        <f t="shared" si="0"/>
      </c>
      <c r="AR64" s="26" t="str">
        <f t="shared" si="0"/>
      </c>
      <c r="AS64" s="26" t="str">
        <f t="shared" si="0"/>
      </c>
      <c r="AT64" s="26" t="str">
        <f t="shared" si="0"/>
      </c>
      <c r="AU64" s="26" t="str">
        <f t="shared" si="0"/>
      </c>
    </row>
    <row r="66" spans="1:47" x14ac:dyDescent="0.25"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1:47" x14ac:dyDescent="0.25">
      <c r="A67" s="175" t="s">
        <v>401</v>
      </c>
      <c r="B67" s="175"/>
      <c r="C67" s="40" t="s">
        <v>361</v>
      </c>
      <c r="D67" s="40" t="s">
        <v>362</v>
      </c>
      <c r="E67" s="40" t="s">
        <v>449</v>
      </c>
      <c r="F67" s="40" t="s">
        <v>450</v>
      </c>
      <c r="G67" s="40" t="s">
        <v>363</v>
      </c>
      <c r="H67" s="40" t="s">
        <v>451</v>
      </c>
      <c r="I67" s="8" t="s">
        <v>452</v>
      </c>
      <c r="J67" s="8" t="s">
        <v>453</v>
      </c>
      <c r="K67" s="40" t="s">
        <v>454</v>
      </c>
      <c r="L67" s="40" t="s">
        <v>364</v>
      </c>
      <c r="M67" s="40" t="s">
        <v>365</v>
      </c>
      <c r="N67" s="40" t="s">
        <v>455</v>
      </c>
      <c r="O67" s="40" t="s">
        <v>366</v>
      </c>
      <c r="P67" s="40" t="s">
        <v>367</v>
      </c>
      <c r="Q67" s="40" t="s">
        <v>368</v>
      </c>
      <c r="R67" s="40" t="s">
        <v>369</v>
      </c>
      <c r="S67" s="40" t="s">
        <v>370</v>
      </c>
      <c r="T67" s="40" t="s">
        <v>371</v>
      </c>
      <c r="U67" s="40" t="s">
        <v>456</v>
      </c>
      <c r="V67" s="40" t="s">
        <v>372</v>
      </c>
      <c r="W67" s="40" t="s">
        <v>373</v>
      </c>
      <c r="X67" s="40" t="s">
        <v>374</v>
      </c>
      <c r="Y67" s="40" t="s">
        <v>375</v>
      </c>
      <c r="Z67" s="40" t="s">
        <v>376</v>
      </c>
      <c r="AA67" s="40" t="s">
        <v>377</v>
      </c>
      <c r="AB67" s="40" t="s">
        <v>378</v>
      </c>
      <c r="AC67" s="40" t="s">
        <v>434</v>
      </c>
      <c r="AD67" s="40" t="s">
        <v>379</v>
      </c>
      <c r="AE67" s="40" t="s">
        <v>380</v>
      </c>
      <c r="AF67" s="40" t="s">
        <v>381</v>
      </c>
      <c r="AG67" s="40" t="s">
        <v>382</v>
      </c>
      <c r="AH67" s="40" t="s">
        <v>383</v>
      </c>
      <c r="AI67" s="40" t="s">
        <v>384</v>
      </c>
      <c r="AJ67" s="40" t="s">
        <v>385</v>
      </c>
      <c r="AK67" s="40" t="s">
        <v>386</v>
      </c>
      <c r="AL67" s="40" t="s">
        <v>387</v>
      </c>
      <c r="AM67" s="95" t="s">
        <v>388</v>
      </c>
      <c r="AN67" s="95" t="s">
        <v>389</v>
      </c>
      <c r="AO67" s="95" t="s">
        <v>390</v>
      </c>
      <c r="AP67" s="95" t="s">
        <v>391</v>
      </c>
      <c r="AQ67" s="79" t="s">
        <v>392</v>
      </c>
      <c r="AR67" s="79" t="s">
        <v>393</v>
      </c>
      <c r="AS67" s="95" t="s">
        <v>394</v>
      </c>
      <c r="AT67" s="95" t="s">
        <v>457</v>
      </c>
      <c r="AU67" s="95" t="s">
        <v>395</v>
      </c>
    </row>
    <row r="68" spans="1:47" x14ac:dyDescent="0.25">
      <c r="A68" s="39" t="s">
        <v>124</v>
      </c>
      <c r="B68" s="39" t="s">
        <v>125</v>
      </c>
      <c r="C68" s="40" t="s">
        <v>396</v>
      </c>
      <c r="D68" s="40" t="s">
        <v>396</v>
      </c>
      <c r="E68" s="40" t="s">
        <v>458</v>
      </c>
      <c r="F68" s="40" t="s">
        <v>458</v>
      </c>
      <c r="G68" s="40" t="s">
        <v>396</v>
      </c>
      <c r="H68" s="40" t="s">
        <v>458</v>
      </c>
      <c r="I68" s="8" t="s">
        <v>458</v>
      </c>
      <c r="J68" s="8" t="s">
        <v>396</v>
      </c>
      <c r="K68" s="40" t="s">
        <v>396</v>
      </c>
      <c r="L68" s="40" t="s">
        <v>396</v>
      </c>
      <c r="M68" s="40" t="s">
        <v>396</v>
      </c>
      <c r="N68" s="40" t="s">
        <v>458</v>
      </c>
      <c r="O68" s="40" t="s">
        <v>396</v>
      </c>
      <c r="P68" s="40" t="s">
        <v>396</v>
      </c>
      <c r="Q68" s="40" t="s">
        <v>396</v>
      </c>
      <c r="R68" s="40" t="s">
        <v>396</v>
      </c>
      <c r="S68" s="40" t="s">
        <v>396</v>
      </c>
      <c r="T68" s="40" t="s">
        <v>396</v>
      </c>
      <c r="U68" s="40" t="s">
        <v>458</v>
      </c>
      <c r="V68" s="40" t="s">
        <v>396</v>
      </c>
      <c r="W68" s="40" t="s">
        <v>396</v>
      </c>
      <c r="X68" s="40" t="s">
        <v>396</v>
      </c>
      <c r="Y68" s="40" t="s">
        <v>396</v>
      </c>
      <c r="Z68" s="40" t="s">
        <v>396</v>
      </c>
      <c r="AA68" s="40" t="s">
        <v>396</v>
      </c>
      <c r="AB68" s="40" t="s">
        <v>396</v>
      </c>
      <c r="AC68" s="40" t="s">
        <v>396</v>
      </c>
      <c r="AD68" s="40" t="s">
        <v>396</v>
      </c>
      <c r="AE68" s="40" t="s">
        <v>396</v>
      </c>
      <c r="AF68" s="40" t="s">
        <v>396</v>
      </c>
      <c r="AG68" s="40" t="s">
        <v>396</v>
      </c>
      <c r="AH68" s="40" t="s">
        <v>396</v>
      </c>
      <c r="AI68" s="40" t="s">
        <v>396</v>
      </c>
      <c r="AJ68" s="40" t="s">
        <v>396</v>
      </c>
      <c r="AK68" s="40" t="s">
        <v>396</v>
      </c>
      <c r="AL68" s="40" t="s">
        <v>396</v>
      </c>
      <c r="AM68" s="95" t="s">
        <v>396</v>
      </c>
      <c r="AN68" s="95" t="s">
        <v>396</v>
      </c>
      <c r="AO68" s="95" t="s">
        <v>396</v>
      </c>
      <c r="AP68" s="95" t="s">
        <v>396</v>
      </c>
      <c r="AQ68" s="79" t="s">
        <v>396</v>
      </c>
      <c r="AR68" s="79" t="s">
        <v>396</v>
      </c>
      <c r="AS68" s="95" t="s">
        <v>396</v>
      </c>
      <c r="AT68" s="95" t="s">
        <v>396</v>
      </c>
      <c r="AU68" s="95" t="s">
        <v>396</v>
      </c>
    </row>
    <row r="69" spans="1:47" x14ac:dyDescent="0.25">
      <c r="A69" s="23" t="str">
        <f>A18</f>
      </c>
      <c r="B69" s="23">
        <f>B18</f>
      </c>
      <c r="C69" s="94" t="str">
        <f t="shared" ref="C69" si="1">IF(ISBLANK(C18),"NO DATA",IF(OR(C18&lt;C$63,ISNUMBER(C18)=FALSE),C$64,C18))</f>
      </c>
      <c r="D69" s="94" t="str">
        <f t="shared" ref="D69:AU69" si="2">IF(ISBLANK(D18),"NO DATA",IF(OR(D18&lt;D$63,ISNUMBER(D18)=FALSE),D$64,D18))</f>
      </c>
      <c r="E69" s="94" t="str">
        <f t="shared" si="2"/>
      </c>
      <c r="F69" s="94" t="str">
        <f t="shared" si="2"/>
      </c>
      <c r="G69" s="94" t="str">
        <f t="shared" si="2"/>
      </c>
      <c r="H69" s="94" t="str">
        <f t="shared" si="2"/>
      </c>
      <c r="I69" s="94" t="str">
        <f t="shared" si="2"/>
      </c>
      <c r="J69" s="94" t="str">
        <f t="shared" si="2"/>
      </c>
      <c r="K69" s="94" t="str">
        <f t="shared" si="2"/>
      </c>
      <c r="L69" s="94" t="str">
        <f t="shared" si="2"/>
      </c>
      <c r="M69" s="94" t="str">
        <f t="shared" si="2"/>
      </c>
      <c r="N69" s="94" t="str">
        <f t="shared" si="2"/>
      </c>
      <c r="O69" s="94" t="str">
        <f t="shared" si="2"/>
      </c>
      <c r="P69" s="94" t="str">
        <f t="shared" si="2"/>
      </c>
      <c r="Q69" s="94" t="str">
        <f t="shared" si="2"/>
      </c>
      <c r="R69" s="94" t="str">
        <f t="shared" si="2"/>
      </c>
      <c r="S69" s="94" t="str">
        <f t="shared" si="2"/>
      </c>
      <c r="T69" s="94" t="str">
        <f t="shared" si="2"/>
      </c>
      <c r="U69" s="94" t="str">
        <f t="shared" si="2"/>
      </c>
      <c r="V69" s="94" t="str">
        <f t="shared" si="2"/>
      </c>
      <c r="W69" s="94" t="str">
        <f t="shared" si="2"/>
      </c>
      <c r="X69" s="94" t="str">
        <f t="shared" si="2"/>
      </c>
      <c r="Y69" s="94" t="str">
        <f t="shared" si="2"/>
      </c>
      <c r="Z69" s="94" t="str">
        <f t="shared" si="2"/>
      </c>
      <c r="AA69" s="94" t="str">
        <f t="shared" si="2"/>
      </c>
      <c r="AB69" s="94" t="str">
        <f t="shared" si="2"/>
      </c>
      <c r="AC69" s="94" t="str">
        <f t="shared" si="2"/>
      </c>
      <c r="AD69" s="94" t="str">
        <f t="shared" si="2"/>
      </c>
      <c r="AE69" s="94" t="str">
        <f t="shared" si="2"/>
      </c>
      <c r="AF69" s="94" t="str">
        <f t="shared" si="2"/>
      </c>
      <c r="AG69" s="94" t="str">
        <f t="shared" si="2"/>
      </c>
      <c r="AH69" s="94" t="str">
        <f t="shared" si="2"/>
      </c>
      <c r="AI69" s="94" t="str">
        <f t="shared" si="2"/>
      </c>
      <c r="AJ69" s="94" t="str">
        <f t="shared" si="2"/>
      </c>
      <c r="AK69" s="94" t="str">
        <f t="shared" si="2"/>
      </c>
      <c r="AL69" s="94" t="str">
        <f t="shared" si="2"/>
      </c>
      <c r="AM69" s="94" t="str">
        <f t="shared" si="2"/>
      </c>
      <c r="AN69" s="94" t="str">
        <f t="shared" si="2"/>
      </c>
      <c r="AO69" s="94" t="str">
        <f t="shared" si="2"/>
      </c>
      <c r="AP69" s="94" t="str">
        <f t="shared" si="2"/>
      </c>
      <c r="AQ69" s="94" t="str">
        <f t="shared" si="2"/>
      </c>
      <c r="AR69" s="94" t="str">
        <f t="shared" si="2"/>
      </c>
      <c r="AS69" s="94" t="str">
        <f>IF(ISBLANK(AS18),"NO DATA",IF(OR(AS18&lt;AS$63,ISNUMBER(AS18)=FALSE),AS$64,AS18))</f>
      </c>
      <c r="AT69" s="94" t="str">
        <f t="shared" si="2"/>
      </c>
      <c r="AU69" s="94" t="str">
        <f t="shared" si="2"/>
      </c>
    </row>
    <row r="70" spans="1:47" x14ac:dyDescent="0.25">
      <c r="A70" s="23" t="str">
        <f t="shared" ref="A70:B85" si="3">A19</f>
      </c>
      <c r="B70" s="23">
        <f t="shared" si="3"/>
      </c>
      <c r="C70" s="80" t="str">
        <f t="shared" ref="C70" si="4">IF(ISBLANK(C19),"NO DATA",IF(OR(C19&lt;C$63,ISNUMBER(C19)=FALSE),C$64,C19))</f>
      </c>
      <c r="D70" s="80" t="str">
        <f t="shared" ref="D70:AU70" si="5">IF(ISBLANK(D19),"NO DATA",IF(OR(D19&lt;D$63,ISNUMBER(D19)=FALSE),D$64,D19))</f>
      </c>
      <c r="E70" s="80" t="str">
        <f t="shared" si="5"/>
      </c>
      <c r="F70" s="80" t="str">
        <f t="shared" si="5"/>
      </c>
      <c r="G70" s="80" t="str">
        <f t="shared" si="5"/>
      </c>
      <c r="H70" s="80" t="str">
        <f t="shared" si="5"/>
      </c>
      <c r="I70" s="80" t="str">
        <f t="shared" si="5"/>
      </c>
      <c r="J70" s="80" t="str">
        <f t="shared" si="5"/>
      </c>
      <c r="K70" s="80" t="str">
        <f t="shared" si="5"/>
      </c>
      <c r="L70" s="80" t="str">
        <f t="shared" si="5"/>
      </c>
      <c r="M70" s="80" t="str">
        <f t="shared" si="5"/>
      </c>
      <c r="N70" s="80" t="str">
        <f t="shared" si="5"/>
      </c>
      <c r="O70" s="80" t="str">
        <f t="shared" si="5"/>
      </c>
      <c r="P70" s="80" t="str">
        <f t="shared" si="5"/>
      </c>
      <c r="Q70" s="80" t="str">
        <f t="shared" si="5"/>
      </c>
      <c r="R70" s="80" t="str">
        <f t="shared" si="5"/>
      </c>
      <c r="S70" s="80" t="str">
        <f t="shared" si="5"/>
      </c>
      <c r="T70" s="80" t="str">
        <f t="shared" si="5"/>
      </c>
      <c r="U70" s="80" t="str">
        <f t="shared" si="5"/>
      </c>
      <c r="V70" s="80" t="str">
        <f t="shared" si="5"/>
      </c>
      <c r="W70" s="80" t="str">
        <f t="shared" si="5"/>
      </c>
      <c r="X70" s="80" t="str">
        <f t="shared" si="5"/>
      </c>
      <c r="Y70" s="80" t="str">
        <f t="shared" si="5"/>
      </c>
      <c r="Z70" s="80" t="str">
        <f t="shared" si="5"/>
      </c>
      <c r="AA70" s="80" t="str">
        <f t="shared" si="5"/>
      </c>
      <c r="AB70" s="80" t="str">
        <f t="shared" si="5"/>
      </c>
      <c r="AC70" s="80" t="str">
        <f t="shared" si="5"/>
      </c>
      <c r="AD70" s="80" t="str">
        <f t="shared" si="5"/>
      </c>
      <c r="AE70" s="80" t="str">
        <f t="shared" si="5"/>
      </c>
      <c r="AF70" s="80" t="str">
        <f t="shared" si="5"/>
      </c>
      <c r="AG70" s="80" t="str">
        <f t="shared" si="5"/>
      </c>
      <c r="AH70" s="80" t="str">
        <f t="shared" si="5"/>
      </c>
      <c r="AI70" s="80" t="str">
        <f t="shared" si="5"/>
      </c>
      <c r="AJ70" s="80" t="str">
        <f t="shared" si="5"/>
      </c>
      <c r="AK70" s="80" t="str">
        <f t="shared" si="5"/>
      </c>
      <c r="AL70" s="80" t="str">
        <f t="shared" si="5"/>
      </c>
      <c r="AM70" s="80" t="str">
        <f t="shared" si="5"/>
      </c>
      <c r="AN70" s="80" t="str">
        <f t="shared" si="5"/>
      </c>
      <c r="AO70" s="80" t="str">
        <f t="shared" si="5"/>
      </c>
      <c r="AP70" s="80" t="str">
        <f t="shared" si="5"/>
      </c>
      <c r="AQ70" s="80" t="str">
        <f t="shared" si="5"/>
      </c>
      <c r="AR70" s="80" t="str">
        <f t="shared" si="5"/>
      </c>
      <c r="AS70" s="80" t="str">
        <f t="shared" si="5"/>
      </c>
      <c r="AT70" s="80" t="str">
        <f t="shared" si="5"/>
      </c>
      <c r="AU70" s="80" t="str">
        <f t="shared" si="5"/>
      </c>
    </row>
    <row r="71" spans="1:47" x14ac:dyDescent="0.25">
      <c r="A71" s="23" t="str">
        <f t="shared" si="3"/>
      </c>
      <c r="B71" s="23">
        <f t="shared" si="3"/>
      </c>
      <c r="C71" s="80" t="str">
        <f t="shared" ref="C71" si="6">IF(ISBLANK(C20),"NO DATA",IF(OR(C20&lt;C$63,ISNUMBER(C20)=FALSE),C$64,C20))</f>
      </c>
      <c r="D71" s="80" t="str">
        <f t="shared" ref="D71:AU71" si="7">IF(ISBLANK(D20),"NO DATA",IF(OR(D20&lt;D$63,ISNUMBER(D20)=FALSE),D$64,D20))</f>
      </c>
      <c r="E71" s="80" t="str">
        <f t="shared" si="7"/>
      </c>
      <c r="F71" s="80" t="str">
        <f t="shared" si="7"/>
      </c>
      <c r="G71" s="80" t="str">
        <f t="shared" si="7"/>
      </c>
      <c r="H71" s="80" t="str">
        <f t="shared" si="7"/>
      </c>
      <c r="I71" s="80" t="str">
        <f t="shared" si="7"/>
      </c>
      <c r="J71" s="80" t="str">
        <f t="shared" si="7"/>
      </c>
      <c r="K71" s="80" t="str">
        <f t="shared" si="7"/>
      </c>
      <c r="L71" s="80" t="str">
        <f t="shared" si="7"/>
      </c>
      <c r="M71" s="80" t="str">
        <f t="shared" si="7"/>
      </c>
      <c r="N71" s="80" t="str">
        <f t="shared" si="7"/>
      </c>
      <c r="O71" s="80" t="str">
        <f t="shared" si="7"/>
      </c>
      <c r="P71" s="80" t="str">
        <f t="shared" si="7"/>
      </c>
      <c r="Q71" s="80" t="str">
        <f t="shared" si="7"/>
      </c>
      <c r="R71" s="80" t="str">
        <f t="shared" si="7"/>
      </c>
      <c r="S71" s="80" t="str">
        <f t="shared" si="7"/>
      </c>
      <c r="T71" s="80" t="str">
        <f t="shared" si="7"/>
      </c>
      <c r="U71" s="80" t="str">
        <f t="shared" si="7"/>
      </c>
      <c r="V71" s="80" t="str">
        <f t="shared" si="7"/>
      </c>
      <c r="W71" s="80" t="str">
        <f t="shared" si="7"/>
      </c>
      <c r="X71" s="80" t="str">
        <f t="shared" si="7"/>
      </c>
      <c r="Y71" s="80" t="str">
        <f t="shared" si="7"/>
      </c>
      <c r="Z71" s="80" t="str">
        <f t="shared" si="7"/>
      </c>
      <c r="AA71" s="80" t="str">
        <f t="shared" si="7"/>
      </c>
      <c r="AB71" s="80" t="str">
        <f t="shared" si="7"/>
      </c>
      <c r="AC71" s="80" t="str">
        <f t="shared" si="7"/>
      </c>
      <c r="AD71" s="80" t="str">
        <f t="shared" si="7"/>
      </c>
      <c r="AE71" s="80" t="str">
        <f t="shared" si="7"/>
      </c>
      <c r="AF71" s="80" t="str">
        <f t="shared" si="7"/>
      </c>
      <c r="AG71" s="80" t="str">
        <f t="shared" si="7"/>
      </c>
      <c r="AH71" s="80" t="str">
        <f t="shared" si="7"/>
      </c>
      <c r="AI71" s="80" t="str">
        <f t="shared" si="7"/>
      </c>
      <c r="AJ71" s="80" t="str">
        <f t="shared" si="7"/>
      </c>
      <c r="AK71" s="80" t="str">
        <f t="shared" si="7"/>
      </c>
      <c r="AL71" s="80" t="str">
        <f t="shared" si="7"/>
      </c>
      <c r="AM71" s="80" t="str">
        <f t="shared" si="7"/>
      </c>
      <c r="AN71" s="80" t="str">
        <f t="shared" si="7"/>
      </c>
      <c r="AO71" s="80" t="str">
        <f t="shared" si="7"/>
      </c>
      <c r="AP71" s="80" t="str">
        <f t="shared" si="7"/>
      </c>
      <c r="AQ71" s="80" t="str">
        <f t="shared" si="7"/>
      </c>
      <c r="AR71" s="80" t="str">
        <f t="shared" si="7"/>
      </c>
      <c r="AS71" s="80" t="str">
        <f t="shared" si="7"/>
      </c>
      <c r="AT71" s="80" t="str">
        <f t="shared" si="7"/>
      </c>
      <c r="AU71" s="80" t="str">
        <f t="shared" si="7"/>
      </c>
    </row>
    <row r="72" spans="1:47" x14ac:dyDescent="0.25">
      <c r="A72" s="23" t="str">
        <f t="shared" si="3"/>
      </c>
      <c r="B72" s="23">
        <f t="shared" si="3"/>
      </c>
      <c r="C72" s="80" t="str">
        <f t="shared" ref="C72" si="8">IF(ISBLANK(C21),"NO DATA",IF(OR(C21&lt;C$63,ISNUMBER(C21)=FALSE),C$64,C21))</f>
      </c>
      <c r="D72" s="80" t="str">
        <f t="shared" ref="D72:AU72" si="9">IF(ISBLANK(D21),"NO DATA",IF(OR(D21&lt;D$63,ISNUMBER(D21)=FALSE),D$64,D21))</f>
      </c>
      <c r="E72" s="80" t="str">
        <f t="shared" si="9"/>
      </c>
      <c r="F72" s="80" t="str">
        <f t="shared" si="9"/>
      </c>
      <c r="G72" s="80" t="str">
        <f t="shared" si="9"/>
      </c>
      <c r="H72" s="80" t="str">
        <f t="shared" si="9"/>
      </c>
      <c r="I72" s="80" t="str">
        <f t="shared" si="9"/>
      </c>
      <c r="J72" s="80" t="str">
        <f t="shared" si="9"/>
      </c>
      <c r="K72" s="80" t="str">
        <f t="shared" si="9"/>
      </c>
      <c r="L72" s="80" t="str">
        <f t="shared" si="9"/>
      </c>
      <c r="M72" s="80" t="str">
        <f t="shared" si="9"/>
      </c>
      <c r="N72" s="80" t="str">
        <f t="shared" si="9"/>
      </c>
      <c r="O72" s="80" t="str">
        <f t="shared" si="9"/>
      </c>
      <c r="P72" s="80" t="str">
        <f t="shared" si="9"/>
      </c>
      <c r="Q72" s="80" t="str">
        <f t="shared" si="9"/>
      </c>
      <c r="R72" s="80" t="str">
        <f t="shared" si="9"/>
      </c>
      <c r="S72" s="80" t="str">
        <f t="shared" si="9"/>
      </c>
      <c r="T72" s="80" t="str">
        <f t="shared" si="9"/>
      </c>
      <c r="U72" s="80" t="str">
        <f t="shared" si="9"/>
      </c>
      <c r="V72" s="80" t="str">
        <f t="shared" si="9"/>
      </c>
      <c r="W72" s="80" t="str">
        <f t="shared" si="9"/>
      </c>
      <c r="X72" s="80" t="str">
        <f t="shared" si="9"/>
      </c>
      <c r="Y72" s="80" t="str">
        <f t="shared" si="9"/>
      </c>
      <c r="Z72" s="80" t="str">
        <f t="shared" si="9"/>
      </c>
      <c r="AA72" s="80" t="str">
        <f t="shared" si="9"/>
      </c>
      <c r="AB72" s="80" t="str">
        <f t="shared" si="9"/>
      </c>
      <c r="AC72" s="80" t="str">
        <f t="shared" si="9"/>
      </c>
      <c r="AD72" s="80" t="str">
        <f t="shared" si="9"/>
      </c>
      <c r="AE72" s="80" t="str">
        <f t="shared" si="9"/>
      </c>
      <c r="AF72" s="80" t="str">
        <f t="shared" si="9"/>
      </c>
      <c r="AG72" s="80" t="str">
        <f t="shared" si="9"/>
      </c>
      <c r="AH72" s="80" t="str">
        <f t="shared" si="9"/>
      </c>
      <c r="AI72" s="80" t="str">
        <f t="shared" si="9"/>
      </c>
      <c r="AJ72" s="80" t="str">
        <f t="shared" si="9"/>
      </c>
      <c r="AK72" s="80" t="str">
        <f t="shared" si="9"/>
      </c>
      <c r="AL72" s="80" t="str">
        <f t="shared" si="9"/>
      </c>
      <c r="AM72" s="80" t="str">
        <f t="shared" si="9"/>
      </c>
      <c r="AN72" s="80" t="str">
        <f t="shared" si="9"/>
      </c>
      <c r="AO72" s="80" t="str">
        <f t="shared" si="9"/>
      </c>
      <c r="AP72" s="80" t="str">
        <f t="shared" si="9"/>
      </c>
      <c r="AQ72" s="80" t="str">
        <f t="shared" si="9"/>
      </c>
      <c r="AR72" s="80" t="str">
        <f t="shared" si="9"/>
      </c>
      <c r="AS72" s="80" t="str">
        <f t="shared" si="9"/>
      </c>
      <c r="AT72" s="80" t="str">
        <f t="shared" si="9"/>
      </c>
      <c r="AU72" s="80" t="str">
        <f t="shared" si="9"/>
      </c>
    </row>
    <row r="73" spans="1:47" x14ac:dyDescent="0.25">
      <c r="A73" s="23" t="str">
        <f t="shared" si="3"/>
      </c>
      <c r="B73" s="23">
        <f t="shared" si="3"/>
      </c>
      <c r="C73" s="80" t="str">
        <f t="shared" ref="C73" si="10">IF(ISBLANK(C22),"NO DATA",IF(OR(C22&lt;C$63,ISNUMBER(C22)=FALSE),C$64,C22))</f>
      </c>
      <c r="D73" s="80" t="str">
        <f t="shared" ref="D73:AU73" si="11">IF(ISBLANK(D22),"NO DATA",IF(OR(D22&lt;D$63,ISNUMBER(D22)=FALSE),D$64,D22))</f>
      </c>
      <c r="E73" s="80" t="str">
        <f t="shared" si="11"/>
      </c>
      <c r="F73" s="80" t="str">
        <f t="shared" si="11"/>
      </c>
      <c r="G73" s="80" t="str">
        <f t="shared" si="11"/>
      </c>
      <c r="H73" s="80" t="str">
        <f t="shared" si="11"/>
      </c>
      <c r="I73" s="80" t="str">
        <f t="shared" si="11"/>
      </c>
      <c r="J73" s="80" t="str">
        <f t="shared" si="11"/>
      </c>
      <c r="K73" s="80" t="str">
        <f t="shared" si="11"/>
      </c>
      <c r="L73" s="80" t="str">
        <f t="shared" si="11"/>
      </c>
      <c r="M73" s="80" t="str">
        <f t="shared" si="11"/>
      </c>
      <c r="N73" s="80" t="str">
        <f t="shared" si="11"/>
      </c>
      <c r="O73" s="80" t="str">
        <f t="shared" si="11"/>
      </c>
      <c r="P73" s="80" t="str">
        <f t="shared" si="11"/>
      </c>
      <c r="Q73" s="80" t="str">
        <f t="shared" si="11"/>
      </c>
      <c r="R73" s="80" t="str">
        <f t="shared" si="11"/>
      </c>
      <c r="S73" s="80" t="str">
        <f t="shared" si="11"/>
      </c>
      <c r="T73" s="80" t="str">
        <f t="shared" si="11"/>
      </c>
      <c r="U73" s="80" t="str">
        <f t="shared" si="11"/>
      </c>
      <c r="V73" s="80" t="str">
        <f t="shared" si="11"/>
      </c>
      <c r="W73" s="80" t="str">
        <f t="shared" si="11"/>
      </c>
      <c r="X73" s="80" t="str">
        <f t="shared" si="11"/>
      </c>
      <c r="Y73" s="80" t="str">
        <f t="shared" si="11"/>
      </c>
      <c r="Z73" s="80" t="str">
        <f t="shared" si="11"/>
      </c>
      <c r="AA73" s="80" t="str">
        <f t="shared" si="11"/>
      </c>
      <c r="AB73" s="80" t="str">
        <f t="shared" si="11"/>
      </c>
      <c r="AC73" s="80" t="str">
        <f t="shared" si="11"/>
      </c>
      <c r="AD73" s="80" t="str">
        <f t="shared" si="11"/>
      </c>
      <c r="AE73" s="80" t="str">
        <f t="shared" si="11"/>
      </c>
      <c r="AF73" s="80" t="str">
        <f t="shared" si="11"/>
      </c>
      <c r="AG73" s="80" t="str">
        <f t="shared" si="11"/>
      </c>
      <c r="AH73" s="80" t="str">
        <f t="shared" si="11"/>
      </c>
      <c r="AI73" s="80" t="str">
        <f t="shared" si="11"/>
      </c>
      <c r="AJ73" s="80" t="str">
        <f t="shared" si="11"/>
      </c>
      <c r="AK73" s="80" t="str">
        <f t="shared" si="11"/>
      </c>
      <c r="AL73" s="80" t="str">
        <f t="shared" si="11"/>
      </c>
      <c r="AM73" s="80" t="str">
        <f t="shared" si="11"/>
      </c>
      <c r="AN73" s="80" t="str">
        <f t="shared" si="11"/>
      </c>
      <c r="AO73" s="80" t="str">
        <f t="shared" si="11"/>
      </c>
      <c r="AP73" s="80" t="str">
        <f t="shared" si="11"/>
      </c>
      <c r="AQ73" s="80" t="str">
        <f t="shared" si="11"/>
      </c>
      <c r="AR73" s="80" t="str">
        <f t="shared" si="11"/>
      </c>
      <c r="AS73" s="80" t="str">
        <f t="shared" si="11"/>
      </c>
      <c r="AT73" s="80" t="str">
        <f t="shared" si="11"/>
      </c>
      <c r="AU73" s="80" t="str">
        <f t="shared" si="11"/>
      </c>
    </row>
    <row r="74" spans="1:47" x14ac:dyDescent="0.25">
      <c r="A74" s="23" t="str">
        <f t="shared" si="3"/>
      </c>
      <c r="B74" s="23">
        <f t="shared" si="3"/>
      </c>
      <c r="C74" s="80" t="str">
        <f t="shared" ref="C74" si="12">IF(ISBLANK(C23),"NO DATA",IF(OR(C23&lt;C$63,ISNUMBER(C23)=FALSE),C$64,C23))</f>
      </c>
      <c r="D74" s="80" t="str">
        <f t="shared" ref="D74:AU74" si="13">IF(ISBLANK(D23),"NO DATA",IF(OR(D23&lt;D$63,ISNUMBER(D23)=FALSE),D$64,D23))</f>
      </c>
      <c r="E74" s="80" t="str">
        <f t="shared" si="13"/>
      </c>
      <c r="F74" s="80" t="str">
        <f t="shared" si="13"/>
      </c>
      <c r="G74" s="80" t="str">
        <f t="shared" si="13"/>
      </c>
      <c r="H74" s="80" t="str">
        <f t="shared" si="13"/>
      </c>
      <c r="I74" s="80" t="str">
        <f t="shared" si="13"/>
      </c>
      <c r="J74" s="80" t="str">
        <f t="shared" si="13"/>
      </c>
      <c r="K74" s="80" t="str">
        <f t="shared" si="13"/>
      </c>
      <c r="L74" s="80" t="str">
        <f t="shared" si="13"/>
      </c>
      <c r="M74" s="80" t="str">
        <f t="shared" si="13"/>
      </c>
      <c r="N74" s="80" t="str">
        <f t="shared" si="13"/>
      </c>
      <c r="O74" s="80" t="str">
        <f t="shared" si="13"/>
      </c>
      <c r="P74" s="80" t="str">
        <f t="shared" si="13"/>
      </c>
      <c r="Q74" s="80" t="str">
        <f t="shared" si="13"/>
      </c>
      <c r="R74" s="80" t="str">
        <f t="shared" si="13"/>
      </c>
      <c r="S74" s="80" t="str">
        <f t="shared" si="13"/>
      </c>
      <c r="T74" s="80" t="str">
        <f t="shared" si="13"/>
      </c>
      <c r="U74" s="80" t="str">
        <f t="shared" si="13"/>
      </c>
      <c r="V74" s="80" t="str">
        <f t="shared" si="13"/>
      </c>
      <c r="W74" s="80" t="str">
        <f t="shared" si="13"/>
      </c>
      <c r="X74" s="80" t="str">
        <f t="shared" si="13"/>
      </c>
      <c r="Y74" s="80" t="str">
        <f t="shared" si="13"/>
      </c>
      <c r="Z74" s="80" t="str">
        <f t="shared" si="13"/>
      </c>
      <c r="AA74" s="80" t="str">
        <f t="shared" si="13"/>
      </c>
      <c r="AB74" s="80" t="str">
        <f t="shared" si="13"/>
      </c>
      <c r="AC74" s="80" t="str">
        <f t="shared" si="13"/>
      </c>
      <c r="AD74" s="80" t="str">
        <f t="shared" si="13"/>
      </c>
      <c r="AE74" s="80" t="str">
        <f t="shared" si="13"/>
      </c>
      <c r="AF74" s="80" t="str">
        <f t="shared" si="13"/>
      </c>
      <c r="AG74" s="80" t="str">
        <f t="shared" si="13"/>
      </c>
      <c r="AH74" s="80" t="str">
        <f t="shared" si="13"/>
      </c>
      <c r="AI74" s="80" t="str">
        <f t="shared" si="13"/>
      </c>
      <c r="AJ74" s="80" t="str">
        <f t="shared" si="13"/>
      </c>
      <c r="AK74" s="80" t="str">
        <f t="shared" si="13"/>
      </c>
      <c r="AL74" s="80" t="str">
        <f t="shared" si="13"/>
      </c>
      <c r="AM74" s="80" t="str">
        <f t="shared" si="13"/>
      </c>
      <c r="AN74" s="80" t="str">
        <f t="shared" si="13"/>
      </c>
      <c r="AO74" s="80" t="str">
        <f t="shared" si="13"/>
      </c>
      <c r="AP74" s="80" t="str">
        <f t="shared" si="13"/>
      </c>
      <c r="AQ74" s="80" t="str">
        <f t="shared" si="13"/>
      </c>
      <c r="AR74" s="80" t="str">
        <f t="shared" si="13"/>
      </c>
      <c r="AS74" s="80" t="str">
        <f t="shared" si="13"/>
      </c>
      <c r="AT74" s="80" t="str">
        <f t="shared" si="13"/>
      </c>
      <c r="AU74" s="80" t="str">
        <f t="shared" si="13"/>
      </c>
    </row>
    <row r="75" spans="1:47" x14ac:dyDescent="0.25">
      <c r="A75" s="23" t="str">
        <f t="shared" si="3"/>
      </c>
      <c r="B75" s="23">
        <f t="shared" si="3"/>
      </c>
      <c r="C75" s="80" t="str">
        <f t="shared" ref="C75" si="14">IF(ISBLANK(C24),"NO DATA",IF(OR(C24&lt;C$63,ISNUMBER(C24)=FALSE),C$64,C24))</f>
      </c>
      <c r="D75" s="80" t="str">
        <f t="shared" ref="D75:AU75" si="15">IF(ISBLANK(D24),"NO DATA",IF(OR(D24&lt;D$63,ISNUMBER(D24)=FALSE),D$64,D24))</f>
      </c>
      <c r="E75" s="80" t="str">
        <f t="shared" si="15"/>
      </c>
      <c r="F75" s="80" t="str">
        <f t="shared" si="15"/>
      </c>
      <c r="G75" s="80" t="str">
        <f t="shared" si="15"/>
      </c>
      <c r="H75" s="80" t="str">
        <f t="shared" si="15"/>
      </c>
      <c r="I75" s="80" t="str">
        <f t="shared" si="15"/>
      </c>
      <c r="J75" s="80" t="str">
        <f t="shared" si="15"/>
      </c>
      <c r="K75" s="80" t="str">
        <f t="shared" si="15"/>
      </c>
      <c r="L75" s="80" t="str">
        <f t="shared" si="15"/>
      </c>
      <c r="M75" s="80" t="str">
        <f t="shared" si="15"/>
      </c>
      <c r="N75" s="80" t="str">
        <f t="shared" si="15"/>
      </c>
      <c r="O75" s="80" t="str">
        <f t="shared" si="15"/>
      </c>
      <c r="P75" s="80" t="str">
        <f t="shared" si="15"/>
      </c>
      <c r="Q75" s="80" t="str">
        <f t="shared" si="15"/>
      </c>
      <c r="R75" s="80" t="str">
        <f t="shared" si="15"/>
      </c>
      <c r="S75" s="80" t="str">
        <f t="shared" si="15"/>
      </c>
      <c r="T75" s="80" t="str">
        <f t="shared" si="15"/>
      </c>
      <c r="U75" s="80" t="str">
        <f t="shared" si="15"/>
      </c>
      <c r="V75" s="80" t="str">
        <f t="shared" si="15"/>
      </c>
      <c r="W75" s="80" t="str">
        <f t="shared" si="15"/>
      </c>
      <c r="X75" s="80" t="str">
        <f t="shared" si="15"/>
      </c>
      <c r="Y75" s="80" t="str">
        <f t="shared" si="15"/>
      </c>
      <c r="Z75" s="80" t="str">
        <f t="shared" si="15"/>
      </c>
      <c r="AA75" s="80" t="str">
        <f t="shared" si="15"/>
      </c>
      <c r="AB75" s="80" t="str">
        <f t="shared" si="15"/>
      </c>
      <c r="AC75" s="80" t="str">
        <f t="shared" si="15"/>
      </c>
      <c r="AD75" s="80" t="str">
        <f t="shared" si="15"/>
      </c>
      <c r="AE75" s="80" t="str">
        <f t="shared" si="15"/>
      </c>
      <c r="AF75" s="80" t="str">
        <f t="shared" si="15"/>
      </c>
      <c r="AG75" s="80" t="str">
        <f t="shared" si="15"/>
      </c>
      <c r="AH75" s="80" t="str">
        <f t="shared" si="15"/>
      </c>
      <c r="AI75" s="80" t="str">
        <f t="shared" si="15"/>
      </c>
      <c r="AJ75" s="80" t="str">
        <f t="shared" si="15"/>
      </c>
      <c r="AK75" s="80" t="str">
        <f t="shared" si="15"/>
      </c>
      <c r="AL75" s="80" t="str">
        <f t="shared" si="15"/>
      </c>
      <c r="AM75" s="80" t="str">
        <f t="shared" si="15"/>
      </c>
      <c r="AN75" s="80" t="str">
        <f t="shared" si="15"/>
      </c>
      <c r="AO75" s="80" t="str">
        <f t="shared" si="15"/>
      </c>
      <c r="AP75" s="80" t="str">
        <f t="shared" si="15"/>
      </c>
      <c r="AQ75" s="80" t="str">
        <f t="shared" si="15"/>
      </c>
      <c r="AR75" s="80" t="str">
        <f t="shared" si="15"/>
      </c>
      <c r="AS75" s="80" t="str">
        <f t="shared" si="15"/>
      </c>
      <c r="AT75" s="80" t="str">
        <f t="shared" si="15"/>
      </c>
      <c r="AU75" s="80" t="str">
        <f t="shared" si="15"/>
      </c>
    </row>
    <row r="76" spans="1:47" x14ac:dyDescent="0.25">
      <c r="A76" s="23" t="str">
        <f t="shared" si="3"/>
      </c>
      <c r="B76" s="23">
        <f t="shared" si="3"/>
      </c>
      <c r="C76" s="80" t="str">
        <f t="shared" ref="C76" si="16">IF(ISBLANK(C25),"NO DATA",IF(OR(C25&lt;C$63,ISNUMBER(C25)=FALSE),C$64,C25))</f>
      </c>
      <c r="D76" s="80" t="str">
        <f t="shared" ref="D76:AU76" si="17">IF(ISBLANK(D25),"NO DATA",IF(OR(D25&lt;D$63,ISNUMBER(D25)=FALSE),D$64,D25))</f>
      </c>
      <c r="E76" s="80" t="str">
        <f t="shared" si="17"/>
      </c>
      <c r="F76" s="80" t="str">
        <f t="shared" si="17"/>
      </c>
      <c r="G76" s="80" t="str">
        <f t="shared" si="17"/>
      </c>
      <c r="H76" s="80" t="str">
        <f t="shared" si="17"/>
      </c>
      <c r="I76" s="80" t="str">
        <f t="shared" si="17"/>
      </c>
      <c r="J76" s="80" t="str">
        <f t="shared" si="17"/>
      </c>
      <c r="K76" s="80" t="str">
        <f t="shared" si="17"/>
      </c>
      <c r="L76" s="80" t="str">
        <f t="shared" si="17"/>
      </c>
      <c r="M76" s="80" t="str">
        <f t="shared" si="17"/>
      </c>
      <c r="N76" s="80" t="str">
        <f t="shared" si="17"/>
      </c>
      <c r="O76" s="80" t="str">
        <f t="shared" si="17"/>
      </c>
      <c r="P76" s="80" t="str">
        <f t="shared" si="17"/>
      </c>
      <c r="Q76" s="80" t="str">
        <f t="shared" si="17"/>
      </c>
      <c r="R76" s="80" t="str">
        <f t="shared" si="17"/>
      </c>
      <c r="S76" s="80" t="str">
        <f t="shared" si="17"/>
      </c>
      <c r="T76" s="80" t="str">
        <f t="shared" si="17"/>
      </c>
      <c r="U76" s="80" t="str">
        <f t="shared" si="17"/>
      </c>
      <c r="V76" s="80" t="str">
        <f t="shared" si="17"/>
      </c>
      <c r="W76" s="80" t="str">
        <f t="shared" si="17"/>
      </c>
      <c r="X76" s="80" t="str">
        <f t="shared" si="17"/>
      </c>
      <c r="Y76" s="80" t="str">
        <f t="shared" si="17"/>
      </c>
      <c r="Z76" s="80" t="str">
        <f t="shared" si="17"/>
      </c>
      <c r="AA76" s="80" t="str">
        <f t="shared" si="17"/>
      </c>
      <c r="AB76" s="80" t="str">
        <f t="shared" si="17"/>
      </c>
      <c r="AC76" s="80" t="str">
        <f t="shared" si="17"/>
      </c>
      <c r="AD76" s="80" t="str">
        <f t="shared" si="17"/>
      </c>
      <c r="AE76" s="80" t="str">
        <f t="shared" si="17"/>
      </c>
      <c r="AF76" s="80" t="str">
        <f t="shared" si="17"/>
      </c>
      <c r="AG76" s="80" t="str">
        <f t="shared" si="17"/>
      </c>
      <c r="AH76" s="80" t="str">
        <f t="shared" si="17"/>
      </c>
      <c r="AI76" s="80" t="str">
        <f t="shared" si="17"/>
      </c>
      <c r="AJ76" s="80" t="str">
        <f t="shared" si="17"/>
      </c>
      <c r="AK76" s="80" t="str">
        <f t="shared" si="17"/>
      </c>
      <c r="AL76" s="80" t="str">
        <f t="shared" si="17"/>
      </c>
      <c r="AM76" s="80" t="str">
        <f t="shared" si="17"/>
      </c>
      <c r="AN76" s="80" t="str">
        <f t="shared" si="17"/>
      </c>
      <c r="AO76" s="80" t="str">
        <f t="shared" si="17"/>
      </c>
      <c r="AP76" s="80" t="str">
        <f t="shared" si="17"/>
      </c>
      <c r="AQ76" s="80" t="str">
        <f t="shared" si="17"/>
      </c>
      <c r="AR76" s="80" t="str">
        <f t="shared" si="17"/>
      </c>
      <c r="AS76" s="80" t="str">
        <f t="shared" si="17"/>
      </c>
      <c r="AT76" s="80" t="str">
        <f t="shared" si="17"/>
      </c>
      <c r="AU76" s="80" t="str">
        <f t="shared" si="17"/>
      </c>
    </row>
    <row r="77" spans="1:47" x14ac:dyDescent="0.25">
      <c r="A77" s="23" t="str">
        <f t="shared" si="3"/>
      </c>
      <c r="B77" s="23">
        <f t="shared" si="3"/>
      </c>
      <c r="C77" s="80" t="str">
        <f t="shared" ref="C77" si="18">IF(ISBLANK(C26),"NO DATA",IF(OR(C26&lt;C$63,ISNUMBER(C26)=FALSE),C$64,C26))</f>
      </c>
      <c r="D77" s="80" t="str">
        <f t="shared" ref="D77:AU77" si="19">IF(ISBLANK(D26),"NO DATA",IF(OR(D26&lt;D$63,ISNUMBER(D26)=FALSE),D$64,D26))</f>
      </c>
      <c r="E77" s="80" t="str">
        <f t="shared" si="19"/>
      </c>
      <c r="F77" s="80" t="str">
        <f t="shared" si="19"/>
      </c>
      <c r="G77" s="80" t="str">
        <f t="shared" si="19"/>
      </c>
      <c r="H77" s="80" t="str">
        <f t="shared" si="19"/>
      </c>
      <c r="I77" s="80" t="str">
        <f t="shared" si="19"/>
      </c>
      <c r="J77" s="80" t="str">
        <f t="shared" si="19"/>
      </c>
      <c r="K77" s="80" t="str">
        <f t="shared" si="19"/>
      </c>
      <c r="L77" s="80" t="str">
        <f t="shared" si="19"/>
      </c>
      <c r="M77" s="80" t="str">
        <f t="shared" si="19"/>
      </c>
      <c r="N77" s="80" t="str">
        <f t="shared" si="19"/>
      </c>
      <c r="O77" s="80" t="str">
        <f t="shared" si="19"/>
      </c>
      <c r="P77" s="80" t="str">
        <f t="shared" si="19"/>
      </c>
      <c r="Q77" s="80" t="str">
        <f t="shared" si="19"/>
      </c>
      <c r="R77" s="80" t="str">
        <f t="shared" si="19"/>
      </c>
      <c r="S77" s="80" t="str">
        <f t="shared" si="19"/>
      </c>
      <c r="T77" s="80" t="str">
        <f t="shared" si="19"/>
      </c>
      <c r="U77" s="80" t="str">
        <f t="shared" si="19"/>
      </c>
      <c r="V77" s="80" t="str">
        <f t="shared" si="19"/>
      </c>
      <c r="W77" s="80" t="str">
        <f t="shared" si="19"/>
      </c>
      <c r="X77" s="80" t="str">
        <f t="shared" si="19"/>
      </c>
      <c r="Y77" s="80" t="str">
        <f t="shared" si="19"/>
      </c>
      <c r="Z77" s="80" t="str">
        <f t="shared" si="19"/>
      </c>
      <c r="AA77" s="80" t="str">
        <f t="shared" si="19"/>
      </c>
      <c r="AB77" s="80" t="str">
        <f t="shared" si="19"/>
      </c>
      <c r="AC77" s="80" t="str">
        <f t="shared" si="19"/>
      </c>
      <c r="AD77" s="80" t="str">
        <f t="shared" si="19"/>
      </c>
      <c r="AE77" s="80" t="str">
        <f t="shared" si="19"/>
      </c>
      <c r="AF77" s="80" t="str">
        <f t="shared" si="19"/>
      </c>
      <c r="AG77" s="80" t="str">
        <f t="shared" si="19"/>
      </c>
      <c r="AH77" s="80" t="str">
        <f t="shared" si="19"/>
      </c>
      <c r="AI77" s="80" t="str">
        <f t="shared" si="19"/>
      </c>
      <c r="AJ77" s="80" t="str">
        <f t="shared" si="19"/>
      </c>
      <c r="AK77" s="80" t="str">
        <f t="shared" si="19"/>
      </c>
      <c r="AL77" s="80" t="str">
        <f t="shared" si="19"/>
      </c>
      <c r="AM77" s="80" t="str">
        <f t="shared" si="19"/>
      </c>
      <c r="AN77" s="80" t="str">
        <f t="shared" si="19"/>
      </c>
      <c r="AO77" s="80" t="str">
        <f t="shared" si="19"/>
      </c>
      <c r="AP77" s="80" t="str">
        <f t="shared" si="19"/>
      </c>
      <c r="AQ77" s="80" t="str">
        <f t="shared" si="19"/>
      </c>
      <c r="AR77" s="80" t="str">
        <f t="shared" si="19"/>
      </c>
      <c r="AS77" s="80" t="str">
        <f t="shared" si="19"/>
      </c>
      <c r="AT77" s="80" t="str">
        <f t="shared" si="19"/>
      </c>
      <c r="AU77" s="80" t="str">
        <f t="shared" si="19"/>
      </c>
    </row>
    <row r="78" spans="1:47" x14ac:dyDescent="0.25">
      <c r="A78" s="23" t="str">
        <f t="shared" si="3"/>
      </c>
      <c r="B78" s="23">
        <f t="shared" si="3"/>
      </c>
      <c r="C78" s="80" t="str">
        <f t="shared" ref="C78" si="20">IF(ISBLANK(C27),"NO DATA",IF(OR(C27&lt;C$63,ISNUMBER(C27)=FALSE),C$64,C27))</f>
      </c>
      <c r="D78" s="80" t="str">
        <f t="shared" ref="D78:AU78" si="21">IF(ISBLANK(D27),"NO DATA",IF(OR(D27&lt;D$63,ISNUMBER(D27)=FALSE),D$64,D27))</f>
      </c>
      <c r="E78" s="80" t="str">
        <f t="shared" si="21"/>
      </c>
      <c r="F78" s="80" t="str">
        <f t="shared" si="21"/>
      </c>
      <c r="G78" s="80" t="str">
        <f t="shared" si="21"/>
      </c>
      <c r="H78" s="80" t="str">
        <f t="shared" si="21"/>
      </c>
      <c r="I78" s="80" t="str">
        <f t="shared" si="21"/>
      </c>
      <c r="J78" s="80" t="str">
        <f t="shared" si="21"/>
      </c>
      <c r="K78" s="80" t="str">
        <f t="shared" si="21"/>
      </c>
      <c r="L78" s="80" t="str">
        <f t="shared" si="21"/>
      </c>
      <c r="M78" s="80" t="str">
        <f t="shared" si="21"/>
      </c>
      <c r="N78" s="80" t="str">
        <f t="shared" si="21"/>
      </c>
      <c r="O78" s="80" t="str">
        <f t="shared" si="21"/>
      </c>
      <c r="P78" s="80" t="str">
        <f t="shared" si="21"/>
      </c>
      <c r="Q78" s="80" t="str">
        <f t="shared" si="21"/>
      </c>
      <c r="R78" s="80" t="str">
        <f t="shared" si="21"/>
      </c>
      <c r="S78" s="80" t="str">
        <f t="shared" si="21"/>
      </c>
      <c r="T78" s="80" t="str">
        <f t="shared" si="21"/>
      </c>
      <c r="U78" s="80" t="str">
        <f t="shared" si="21"/>
      </c>
      <c r="V78" s="80" t="str">
        <f t="shared" si="21"/>
      </c>
      <c r="W78" s="80" t="str">
        <f t="shared" si="21"/>
      </c>
      <c r="X78" s="80" t="str">
        <f t="shared" si="21"/>
      </c>
      <c r="Y78" s="80" t="str">
        <f t="shared" si="21"/>
      </c>
      <c r="Z78" s="80" t="str">
        <f t="shared" si="21"/>
      </c>
      <c r="AA78" s="80" t="str">
        <f t="shared" si="21"/>
      </c>
      <c r="AB78" s="80" t="str">
        <f t="shared" si="21"/>
      </c>
      <c r="AC78" s="80" t="str">
        <f t="shared" si="21"/>
      </c>
      <c r="AD78" s="80" t="str">
        <f t="shared" si="21"/>
      </c>
      <c r="AE78" s="80" t="str">
        <f t="shared" si="21"/>
      </c>
      <c r="AF78" s="80" t="str">
        <f t="shared" si="21"/>
      </c>
      <c r="AG78" s="80" t="str">
        <f t="shared" si="21"/>
      </c>
      <c r="AH78" s="80" t="str">
        <f t="shared" si="21"/>
      </c>
      <c r="AI78" s="80" t="str">
        <f t="shared" si="21"/>
      </c>
      <c r="AJ78" s="80" t="str">
        <f t="shared" si="21"/>
      </c>
      <c r="AK78" s="80" t="str">
        <f t="shared" si="21"/>
      </c>
      <c r="AL78" s="80" t="str">
        <f t="shared" si="21"/>
      </c>
      <c r="AM78" s="80" t="str">
        <f t="shared" si="21"/>
      </c>
      <c r="AN78" s="80" t="str">
        <f t="shared" si="21"/>
      </c>
      <c r="AO78" s="80" t="str">
        <f t="shared" si="21"/>
      </c>
      <c r="AP78" s="80" t="str">
        <f t="shared" si="21"/>
      </c>
      <c r="AQ78" s="80" t="str">
        <f t="shared" si="21"/>
      </c>
      <c r="AR78" s="80" t="str">
        <f t="shared" si="21"/>
      </c>
      <c r="AS78" s="80" t="str">
        <f t="shared" si="21"/>
      </c>
      <c r="AT78" s="80" t="str">
        <f t="shared" si="21"/>
      </c>
      <c r="AU78" s="80" t="str">
        <f t="shared" si="21"/>
      </c>
    </row>
    <row r="79" spans="1:47" x14ac:dyDescent="0.25">
      <c r="A79" s="23" t="str">
        <f t="shared" si="3"/>
      </c>
      <c r="B79" s="23">
        <f t="shared" si="3"/>
      </c>
      <c r="C79" s="80" t="str">
        <f t="shared" ref="C79" si="22">IF(ISBLANK(C28),"NO DATA",IF(OR(C28&lt;C$63,ISNUMBER(C28)=FALSE),C$64,C28))</f>
      </c>
      <c r="D79" s="80" t="str">
        <f t="shared" ref="D79:AU79" si="23">IF(ISBLANK(D28),"NO DATA",IF(OR(D28&lt;D$63,ISNUMBER(D28)=FALSE),D$64,D28))</f>
      </c>
      <c r="E79" s="80" t="str">
        <f t="shared" si="23"/>
      </c>
      <c r="F79" s="80" t="str">
        <f t="shared" si="23"/>
      </c>
      <c r="G79" s="80" t="str">
        <f t="shared" si="23"/>
      </c>
      <c r="H79" s="80" t="str">
        <f t="shared" si="23"/>
      </c>
      <c r="I79" s="80" t="str">
        <f t="shared" si="23"/>
      </c>
      <c r="J79" s="80" t="str">
        <f t="shared" si="23"/>
      </c>
      <c r="K79" s="80" t="str">
        <f t="shared" si="23"/>
      </c>
      <c r="L79" s="80" t="str">
        <f t="shared" si="23"/>
      </c>
      <c r="M79" s="80" t="str">
        <f t="shared" si="23"/>
      </c>
      <c r="N79" s="80" t="str">
        <f t="shared" si="23"/>
      </c>
      <c r="O79" s="80" t="str">
        <f t="shared" si="23"/>
      </c>
      <c r="P79" s="80" t="str">
        <f t="shared" si="23"/>
      </c>
      <c r="Q79" s="80" t="str">
        <f t="shared" si="23"/>
      </c>
      <c r="R79" s="80" t="str">
        <f t="shared" si="23"/>
      </c>
      <c r="S79" s="80" t="str">
        <f t="shared" si="23"/>
      </c>
      <c r="T79" s="80" t="str">
        <f t="shared" si="23"/>
      </c>
      <c r="U79" s="80" t="str">
        <f t="shared" si="23"/>
      </c>
      <c r="V79" s="80" t="str">
        <f t="shared" si="23"/>
      </c>
      <c r="W79" s="80" t="str">
        <f t="shared" si="23"/>
      </c>
      <c r="X79" s="80" t="str">
        <f t="shared" si="23"/>
      </c>
      <c r="Y79" s="80" t="str">
        <f t="shared" si="23"/>
      </c>
      <c r="Z79" s="80" t="str">
        <f t="shared" si="23"/>
      </c>
      <c r="AA79" s="80" t="str">
        <f t="shared" si="23"/>
      </c>
      <c r="AB79" s="80" t="str">
        <f t="shared" si="23"/>
      </c>
      <c r="AC79" s="80" t="str">
        <f t="shared" si="23"/>
      </c>
      <c r="AD79" s="80" t="str">
        <f t="shared" si="23"/>
      </c>
      <c r="AE79" s="80" t="str">
        <f t="shared" si="23"/>
      </c>
      <c r="AF79" s="80" t="str">
        <f t="shared" si="23"/>
      </c>
      <c r="AG79" s="80" t="str">
        <f t="shared" si="23"/>
      </c>
      <c r="AH79" s="80" t="str">
        <f t="shared" si="23"/>
      </c>
      <c r="AI79" s="80" t="str">
        <f t="shared" si="23"/>
      </c>
      <c r="AJ79" s="80" t="str">
        <f t="shared" si="23"/>
      </c>
      <c r="AK79" s="80" t="str">
        <f t="shared" si="23"/>
      </c>
      <c r="AL79" s="80" t="str">
        <f t="shared" si="23"/>
      </c>
      <c r="AM79" s="80" t="str">
        <f t="shared" si="23"/>
      </c>
      <c r="AN79" s="80" t="str">
        <f t="shared" si="23"/>
      </c>
      <c r="AO79" s="80" t="str">
        <f t="shared" si="23"/>
      </c>
      <c r="AP79" s="80" t="str">
        <f t="shared" si="23"/>
      </c>
      <c r="AQ79" s="80" t="str">
        <f t="shared" si="23"/>
      </c>
      <c r="AR79" s="80" t="str">
        <f t="shared" si="23"/>
      </c>
      <c r="AS79" s="80" t="str">
        <f t="shared" si="23"/>
      </c>
      <c r="AT79" s="80" t="str">
        <f t="shared" si="23"/>
      </c>
      <c r="AU79" s="80" t="str">
        <f t="shared" si="23"/>
      </c>
    </row>
    <row r="80" spans="1:47" x14ac:dyDescent="0.25">
      <c r="A80" s="23" t="str">
        <f t="shared" si="3"/>
      </c>
      <c r="B80" s="23">
        <f t="shared" si="3"/>
      </c>
      <c r="C80" s="80" t="str">
        <f t="shared" ref="C80" si="24">IF(ISBLANK(C29),"NO DATA",IF(OR(C29&lt;C$63,ISNUMBER(C29)=FALSE),C$64,C29))</f>
      </c>
      <c r="D80" s="80" t="str">
        <f t="shared" ref="D80:AU80" si="25">IF(ISBLANK(D29),"NO DATA",IF(OR(D29&lt;D$63,ISNUMBER(D29)=FALSE),D$64,D29))</f>
      </c>
      <c r="E80" s="80" t="str">
        <f t="shared" si="25"/>
      </c>
      <c r="F80" s="80" t="str">
        <f t="shared" si="25"/>
      </c>
      <c r="G80" s="80" t="str">
        <f t="shared" si="25"/>
      </c>
      <c r="H80" s="80" t="str">
        <f t="shared" si="25"/>
      </c>
      <c r="I80" s="80" t="str">
        <f t="shared" si="25"/>
      </c>
      <c r="J80" s="80" t="str">
        <f t="shared" si="25"/>
      </c>
      <c r="K80" s="80" t="str">
        <f t="shared" si="25"/>
      </c>
      <c r="L80" s="80" t="str">
        <f t="shared" si="25"/>
      </c>
      <c r="M80" s="80" t="str">
        <f t="shared" si="25"/>
      </c>
      <c r="N80" s="80" t="str">
        <f t="shared" si="25"/>
      </c>
      <c r="O80" s="80" t="str">
        <f t="shared" si="25"/>
      </c>
      <c r="P80" s="80" t="str">
        <f t="shared" si="25"/>
      </c>
      <c r="Q80" s="80" t="str">
        <f t="shared" si="25"/>
      </c>
      <c r="R80" s="80" t="str">
        <f t="shared" si="25"/>
      </c>
      <c r="S80" s="80" t="str">
        <f t="shared" si="25"/>
      </c>
      <c r="T80" s="80" t="str">
        <f t="shared" si="25"/>
      </c>
      <c r="U80" s="80" t="str">
        <f t="shared" si="25"/>
      </c>
      <c r="V80" s="80" t="str">
        <f t="shared" si="25"/>
      </c>
      <c r="W80" s="80" t="str">
        <f t="shared" si="25"/>
      </c>
      <c r="X80" s="80" t="str">
        <f t="shared" si="25"/>
      </c>
      <c r="Y80" s="80" t="str">
        <f t="shared" si="25"/>
      </c>
      <c r="Z80" s="80" t="str">
        <f t="shared" si="25"/>
      </c>
      <c r="AA80" s="80" t="str">
        <f t="shared" si="25"/>
      </c>
      <c r="AB80" s="80" t="str">
        <f t="shared" si="25"/>
      </c>
      <c r="AC80" s="80" t="str">
        <f t="shared" si="25"/>
      </c>
      <c r="AD80" s="80" t="str">
        <f t="shared" si="25"/>
      </c>
      <c r="AE80" s="80" t="str">
        <f t="shared" si="25"/>
      </c>
      <c r="AF80" s="80" t="str">
        <f t="shared" si="25"/>
      </c>
      <c r="AG80" s="80" t="str">
        <f t="shared" si="25"/>
      </c>
      <c r="AH80" s="80" t="str">
        <f t="shared" si="25"/>
      </c>
      <c r="AI80" s="80" t="str">
        <f t="shared" si="25"/>
      </c>
      <c r="AJ80" s="80" t="str">
        <f t="shared" si="25"/>
      </c>
      <c r="AK80" s="80" t="str">
        <f t="shared" si="25"/>
      </c>
      <c r="AL80" s="80" t="str">
        <f t="shared" si="25"/>
      </c>
      <c r="AM80" s="80" t="str">
        <f t="shared" si="25"/>
      </c>
      <c r="AN80" s="80" t="str">
        <f t="shared" si="25"/>
      </c>
      <c r="AO80" s="80" t="str">
        <f t="shared" si="25"/>
      </c>
      <c r="AP80" s="80" t="str">
        <f t="shared" si="25"/>
      </c>
      <c r="AQ80" s="80" t="str">
        <f t="shared" si="25"/>
      </c>
      <c r="AR80" s="80" t="str">
        <f t="shared" si="25"/>
      </c>
      <c r="AS80" s="80" t="str">
        <f t="shared" si="25"/>
      </c>
      <c r="AT80" s="80" t="str">
        <f t="shared" si="25"/>
      </c>
      <c r="AU80" s="80" t="str">
        <f t="shared" si="25"/>
      </c>
    </row>
    <row r="81" spans="1:47" x14ac:dyDescent="0.25">
      <c r="A81" s="23" t="str">
        <f t="shared" si="3"/>
      </c>
      <c r="B81" s="23">
        <f t="shared" si="3"/>
      </c>
      <c r="C81" s="80" t="str">
        <f t="shared" ref="C81" si="26">IF(ISBLANK(C30),"NO DATA",IF(OR(C30&lt;C$63,ISNUMBER(C30)=FALSE),C$64,C30))</f>
      </c>
      <c r="D81" s="80" t="str">
        <f t="shared" ref="D81:AU81" si="27">IF(ISBLANK(D30),"NO DATA",IF(OR(D30&lt;D$63,ISNUMBER(D30)=FALSE),D$64,D30))</f>
      </c>
      <c r="E81" s="80" t="str">
        <f t="shared" si="27"/>
      </c>
      <c r="F81" s="80" t="str">
        <f t="shared" si="27"/>
      </c>
      <c r="G81" s="80" t="str">
        <f t="shared" si="27"/>
      </c>
      <c r="H81" s="80" t="str">
        <f t="shared" si="27"/>
      </c>
      <c r="I81" s="80" t="str">
        <f t="shared" si="27"/>
      </c>
      <c r="J81" s="80" t="str">
        <f t="shared" si="27"/>
      </c>
      <c r="K81" s="80" t="str">
        <f t="shared" si="27"/>
      </c>
      <c r="L81" s="80" t="str">
        <f t="shared" si="27"/>
      </c>
      <c r="M81" s="80" t="str">
        <f t="shared" si="27"/>
      </c>
      <c r="N81" s="80" t="str">
        <f t="shared" si="27"/>
      </c>
      <c r="O81" s="80" t="str">
        <f t="shared" si="27"/>
      </c>
      <c r="P81" s="80" t="str">
        <f t="shared" si="27"/>
      </c>
      <c r="Q81" s="80" t="str">
        <f t="shared" si="27"/>
      </c>
      <c r="R81" s="80" t="str">
        <f t="shared" si="27"/>
      </c>
      <c r="S81" s="80" t="str">
        <f t="shared" si="27"/>
      </c>
      <c r="T81" s="80" t="str">
        <f t="shared" si="27"/>
      </c>
      <c r="U81" s="80" t="str">
        <f t="shared" si="27"/>
      </c>
      <c r="V81" s="80" t="str">
        <f t="shared" si="27"/>
      </c>
      <c r="W81" s="80" t="str">
        <f t="shared" si="27"/>
      </c>
      <c r="X81" s="80" t="str">
        <f t="shared" si="27"/>
      </c>
      <c r="Y81" s="80" t="str">
        <f t="shared" si="27"/>
      </c>
      <c r="Z81" s="80" t="str">
        <f t="shared" si="27"/>
      </c>
      <c r="AA81" s="80" t="str">
        <f t="shared" si="27"/>
      </c>
      <c r="AB81" s="80" t="str">
        <f t="shared" si="27"/>
      </c>
      <c r="AC81" s="80" t="str">
        <f t="shared" si="27"/>
      </c>
      <c r="AD81" s="80" t="str">
        <f t="shared" si="27"/>
      </c>
      <c r="AE81" s="80" t="str">
        <f t="shared" si="27"/>
      </c>
      <c r="AF81" s="80" t="str">
        <f t="shared" si="27"/>
      </c>
      <c r="AG81" s="80" t="str">
        <f t="shared" si="27"/>
      </c>
      <c r="AH81" s="80" t="str">
        <f t="shared" si="27"/>
      </c>
      <c r="AI81" s="80" t="str">
        <f t="shared" si="27"/>
      </c>
      <c r="AJ81" s="80" t="str">
        <f t="shared" si="27"/>
      </c>
      <c r="AK81" s="80" t="str">
        <f t="shared" si="27"/>
      </c>
      <c r="AL81" s="80" t="str">
        <f t="shared" si="27"/>
      </c>
      <c r="AM81" s="80" t="str">
        <f t="shared" si="27"/>
      </c>
      <c r="AN81" s="80" t="str">
        <f t="shared" si="27"/>
      </c>
      <c r="AO81" s="80" t="str">
        <f t="shared" si="27"/>
      </c>
      <c r="AP81" s="80" t="str">
        <f t="shared" si="27"/>
      </c>
      <c r="AQ81" s="80" t="str">
        <f t="shared" si="27"/>
      </c>
      <c r="AR81" s="80" t="str">
        <f t="shared" si="27"/>
      </c>
      <c r="AS81" s="80" t="str">
        <f t="shared" si="27"/>
      </c>
      <c r="AT81" s="80" t="str">
        <f t="shared" si="27"/>
      </c>
      <c r="AU81" s="80" t="str">
        <f t="shared" si="27"/>
      </c>
    </row>
    <row r="82" spans="1:47" x14ac:dyDescent="0.25">
      <c r="A82" s="23" t="str">
        <f t="shared" si="3"/>
      </c>
      <c r="B82" s="23">
        <f t="shared" si="3"/>
      </c>
      <c r="C82" s="80" t="str">
        <f t="shared" ref="C82" si="28">IF(ISBLANK(C31),"NO DATA",IF(OR(C31&lt;C$63,ISNUMBER(C31)=FALSE),C$64,C31))</f>
      </c>
      <c r="D82" s="80" t="str">
        <f t="shared" ref="D82:AU82" si="29">IF(ISBLANK(D31),"NO DATA",IF(OR(D31&lt;D$63,ISNUMBER(D31)=FALSE),D$64,D31))</f>
      </c>
      <c r="E82" s="80" t="str">
        <f t="shared" si="29"/>
      </c>
      <c r="F82" s="80" t="str">
        <f t="shared" si="29"/>
      </c>
      <c r="G82" s="80" t="str">
        <f t="shared" si="29"/>
      </c>
      <c r="H82" s="80" t="str">
        <f t="shared" si="29"/>
      </c>
      <c r="I82" s="80" t="str">
        <f t="shared" si="29"/>
      </c>
      <c r="J82" s="80" t="str">
        <f t="shared" si="29"/>
      </c>
      <c r="K82" s="80" t="str">
        <f t="shared" si="29"/>
      </c>
      <c r="L82" s="80" t="str">
        <f t="shared" si="29"/>
      </c>
      <c r="M82" s="80" t="str">
        <f t="shared" si="29"/>
      </c>
      <c r="N82" s="80" t="str">
        <f t="shared" si="29"/>
      </c>
      <c r="O82" s="80" t="str">
        <f t="shared" si="29"/>
      </c>
      <c r="P82" s="80" t="str">
        <f t="shared" si="29"/>
      </c>
      <c r="Q82" s="80" t="str">
        <f t="shared" si="29"/>
      </c>
      <c r="R82" s="80" t="str">
        <f t="shared" si="29"/>
      </c>
      <c r="S82" s="80" t="str">
        <f t="shared" si="29"/>
      </c>
      <c r="T82" s="80" t="str">
        <f t="shared" si="29"/>
      </c>
      <c r="U82" s="80" t="str">
        <f t="shared" si="29"/>
      </c>
      <c r="V82" s="80" t="str">
        <f t="shared" si="29"/>
      </c>
      <c r="W82" s="80" t="str">
        <f t="shared" si="29"/>
      </c>
      <c r="X82" s="80" t="str">
        <f t="shared" si="29"/>
      </c>
      <c r="Y82" s="80" t="str">
        <f t="shared" si="29"/>
      </c>
      <c r="Z82" s="80" t="str">
        <f t="shared" si="29"/>
      </c>
      <c r="AA82" s="80" t="str">
        <f t="shared" si="29"/>
      </c>
      <c r="AB82" s="80" t="str">
        <f t="shared" si="29"/>
      </c>
      <c r="AC82" s="80" t="str">
        <f t="shared" si="29"/>
      </c>
      <c r="AD82" s="80" t="str">
        <f t="shared" si="29"/>
      </c>
      <c r="AE82" s="80" t="str">
        <f t="shared" si="29"/>
      </c>
      <c r="AF82" s="80" t="str">
        <f t="shared" si="29"/>
      </c>
      <c r="AG82" s="80" t="str">
        <f t="shared" si="29"/>
      </c>
      <c r="AH82" s="80" t="str">
        <f t="shared" si="29"/>
      </c>
      <c r="AI82" s="80" t="str">
        <f t="shared" si="29"/>
      </c>
      <c r="AJ82" s="80" t="str">
        <f t="shared" si="29"/>
      </c>
      <c r="AK82" s="80" t="str">
        <f t="shared" si="29"/>
      </c>
      <c r="AL82" s="80" t="str">
        <f t="shared" si="29"/>
      </c>
      <c r="AM82" s="80" t="str">
        <f t="shared" si="29"/>
      </c>
      <c r="AN82" s="80" t="str">
        <f t="shared" si="29"/>
      </c>
      <c r="AO82" s="80" t="str">
        <f t="shared" si="29"/>
      </c>
      <c r="AP82" s="80" t="str">
        <f t="shared" si="29"/>
      </c>
      <c r="AQ82" s="80" t="str">
        <f t="shared" si="29"/>
      </c>
      <c r="AR82" s="80" t="str">
        <f t="shared" si="29"/>
      </c>
      <c r="AS82" s="80" t="str">
        <f t="shared" si="29"/>
      </c>
      <c r="AT82" s="80" t="str">
        <f t="shared" si="29"/>
      </c>
      <c r="AU82" s="80" t="str">
        <f t="shared" si="29"/>
      </c>
    </row>
    <row r="83" spans="1:47" x14ac:dyDescent="0.25">
      <c r="A83" s="23" t="str">
        <f t="shared" si="3"/>
      </c>
      <c r="B83" s="23">
        <f t="shared" si="3"/>
      </c>
      <c r="C83" s="80" t="str">
        <f t="shared" ref="C83" si="30">IF(ISBLANK(C32),"NO DATA",IF(OR(C32&lt;C$63,ISNUMBER(C32)=FALSE),C$64,C32))</f>
      </c>
      <c r="D83" s="80" t="str">
        <f t="shared" ref="D83:AU83" si="31">IF(ISBLANK(D32),"NO DATA",IF(OR(D32&lt;D$63,ISNUMBER(D32)=FALSE),D$64,D32))</f>
      </c>
      <c r="E83" s="80" t="str">
        <f t="shared" si="31"/>
      </c>
      <c r="F83" s="80" t="str">
        <f t="shared" si="31"/>
      </c>
      <c r="G83" s="80" t="str">
        <f t="shared" si="31"/>
      </c>
      <c r="H83" s="80" t="str">
        <f t="shared" si="31"/>
      </c>
      <c r="I83" s="80" t="str">
        <f t="shared" si="31"/>
      </c>
      <c r="J83" s="80" t="str">
        <f t="shared" si="31"/>
      </c>
      <c r="K83" s="80" t="str">
        <f t="shared" si="31"/>
      </c>
      <c r="L83" s="80" t="str">
        <f t="shared" si="31"/>
      </c>
      <c r="M83" s="80" t="str">
        <f t="shared" si="31"/>
      </c>
      <c r="N83" s="80" t="str">
        <f t="shared" si="31"/>
      </c>
      <c r="O83" s="80" t="str">
        <f t="shared" si="31"/>
      </c>
      <c r="P83" s="80" t="str">
        <f t="shared" si="31"/>
      </c>
      <c r="Q83" s="80" t="str">
        <f t="shared" si="31"/>
      </c>
      <c r="R83" s="80" t="str">
        <f t="shared" si="31"/>
      </c>
      <c r="S83" s="80" t="str">
        <f t="shared" si="31"/>
      </c>
      <c r="T83" s="80" t="str">
        <f t="shared" si="31"/>
      </c>
      <c r="U83" s="80" t="str">
        <f t="shared" si="31"/>
      </c>
      <c r="V83" s="80" t="str">
        <f t="shared" si="31"/>
      </c>
      <c r="W83" s="80" t="str">
        <f t="shared" si="31"/>
      </c>
      <c r="X83" s="80" t="str">
        <f t="shared" si="31"/>
      </c>
      <c r="Y83" s="80" t="str">
        <f t="shared" si="31"/>
      </c>
      <c r="Z83" s="80" t="str">
        <f t="shared" si="31"/>
      </c>
      <c r="AA83" s="80" t="str">
        <f t="shared" si="31"/>
      </c>
      <c r="AB83" s="80" t="str">
        <f t="shared" si="31"/>
      </c>
      <c r="AC83" s="80" t="str">
        <f t="shared" si="31"/>
      </c>
      <c r="AD83" s="80" t="str">
        <f t="shared" si="31"/>
      </c>
      <c r="AE83" s="80" t="str">
        <f t="shared" si="31"/>
      </c>
      <c r="AF83" s="80" t="str">
        <f t="shared" si="31"/>
      </c>
      <c r="AG83" s="80" t="str">
        <f t="shared" si="31"/>
      </c>
      <c r="AH83" s="80" t="str">
        <f t="shared" si="31"/>
      </c>
      <c r="AI83" s="80" t="str">
        <f t="shared" si="31"/>
      </c>
      <c r="AJ83" s="80" t="str">
        <f t="shared" si="31"/>
      </c>
      <c r="AK83" s="80" t="str">
        <f t="shared" si="31"/>
      </c>
      <c r="AL83" s="80" t="str">
        <f t="shared" si="31"/>
      </c>
      <c r="AM83" s="80" t="str">
        <f t="shared" si="31"/>
      </c>
      <c r="AN83" s="80" t="str">
        <f t="shared" si="31"/>
      </c>
      <c r="AO83" s="80" t="str">
        <f t="shared" si="31"/>
      </c>
      <c r="AP83" s="80" t="str">
        <f t="shared" si="31"/>
      </c>
      <c r="AQ83" s="80" t="str">
        <f t="shared" si="31"/>
      </c>
      <c r="AR83" s="80" t="str">
        <f t="shared" si="31"/>
      </c>
      <c r="AS83" s="80" t="str">
        <f t="shared" si="31"/>
      </c>
      <c r="AT83" s="80" t="str">
        <f t="shared" si="31"/>
      </c>
      <c r="AU83" s="80" t="str">
        <f t="shared" si="31"/>
      </c>
    </row>
    <row r="84" spans="1:47" x14ac:dyDescent="0.25">
      <c r="A84" s="23" t="str">
        <f t="shared" si="3"/>
      </c>
      <c r="B84" s="23">
        <f t="shared" si="3"/>
      </c>
      <c r="C84" s="80" t="str">
        <f t="shared" ref="C84" si="32">IF(ISBLANK(C33),"NO DATA",IF(OR(C33&lt;C$63,ISNUMBER(C33)=FALSE),C$64,C33))</f>
      </c>
      <c r="D84" s="80" t="str">
        <f t="shared" ref="D84:AU84" si="33">IF(ISBLANK(D33),"NO DATA",IF(OR(D33&lt;D$63,ISNUMBER(D33)=FALSE),D$64,D33))</f>
      </c>
      <c r="E84" s="80" t="str">
        <f t="shared" si="33"/>
      </c>
      <c r="F84" s="80" t="str">
        <f t="shared" si="33"/>
      </c>
      <c r="G84" s="80" t="str">
        <f t="shared" si="33"/>
      </c>
      <c r="H84" s="80" t="str">
        <f t="shared" si="33"/>
      </c>
      <c r="I84" s="80" t="str">
        <f t="shared" si="33"/>
      </c>
      <c r="J84" s="80" t="str">
        <f t="shared" si="33"/>
      </c>
      <c r="K84" s="80" t="str">
        <f t="shared" si="33"/>
      </c>
      <c r="L84" s="80" t="str">
        <f t="shared" si="33"/>
      </c>
      <c r="M84" s="80" t="str">
        <f t="shared" si="33"/>
      </c>
      <c r="N84" s="80" t="str">
        <f t="shared" si="33"/>
      </c>
      <c r="O84" s="80" t="str">
        <f t="shared" si="33"/>
      </c>
      <c r="P84" s="80" t="str">
        <f t="shared" si="33"/>
      </c>
      <c r="Q84" s="80" t="str">
        <f t="shared" si="33"/>
      </c>
      <c r="R84" s="80" t="str">
        <f t="shared" si="33"/>
      </c>
      <c r="S84" s="80" t="str">
        <f t="shared" si="33"/>
      </c>
      <c r="T84" s="80" t="str">
        <f t="shared" si="33"/>
      </c>
      <c r="U84" s="80" t="str">
        <f t="shared" si="33"/>
      </c>
      <c r="V84" s="80" t="str">
        <f t="shared" si="33"/>
      </c>
      <c r="W84" s="80" t="str">
        <f t="shared" si="33"/>
      </c>
      <c r="X84" s="80" t="str">
        <f t="shared" si="33"/>
      </c>
      <c r="Y84" s="80" t="str">
        <f t="shared" si="33"/>
      </c>
      <c r="Z84" s="80" t="str">
        <f t="shared" si="33"/>
      </c>
      <c r="AA84" s="80" t="str">
        <f t="shared" si="33"/>
      </c>
      <c r="AB84" s="80" t="str">
        <f t="shared" si="33"/>
      </c>
      <c r="AC84" s="80" t="str">
        <f t="shared" si="33"/>
      </c>
      <c r="AD84" s="80" t="str">
        <f t="shared" si="33"/>
      </c>
      <c r="AE84" s="80" t="str">
        <f t="shared" si="33"/>
      </c>
      <c r="AF84" s="80" t="str">
        <f t="shared" si="33"/>
      </c>
      <c r="AG84" s="80" t="str">
        <f t="shared" si="33"/>
      </c>
      <c r="AH84" s="80" t="str">
        <f t="shared" si="33"/>
      </c>
      <c r="AI84" s="80" t="str">
        <f t="shared" si="33"/>
      </c>
      <c r="AJ84" s="80" t="str">
        <f t="shared" si="33"/>
      </c>
      <c r="AK84" s="80" t="str">
        <f t="shared" si="33"/>
      </c>
      <c r="AL84" s="80" t="str">
        <f t="shared" si="33"/>
      </c>
      <c r="AM84" s="80" t="str">
        <f t="shared" si="33"/>
      </c>
      <c r="AN84" s="80" t="str">
        <f t="shared" si="33"/>
      </c>
      <c r="AO84" s="80" t="str">
        <f t="shared" si="33"/>
      </c>
      <c r="AP84" s="80" t="str">
        <f t="shared" si="33"/>
      </c>
      <c r="AQ84" s="80" t="str">
        <f t="shared" si="33"/>
      </c>
      <c r="AR84" s="80" t="str">
        <f t="shared" si="33"/>
      </c>
      <c r="AS84" s="80" t="str">
        <f t="shared" si="33"/>
      </c>
      <c r="AT84" s="80" t="str">
        <f t="shared" si="33"/>
      </c>
      <c r="AU84" s="80" t="str">
        <f t="shared" si="33"/>
      </c>
    </row>
    <row r="85" spans="1:47" x14ac:dyDescent="0.25">
      <c r="A85" s="23" t="str">
        <f t="shared" si="3"/>
      </c>
      <c r="B85" s="23">
        <f t="shared" si="3"/>
      </c>
      <c r="C85" s="80" t="str">
        <f t="shared" ref="C85" si="34">IF(ISBLANK(C34),"NO DATA",IF(OR(C34&lt;C$63,ISNUMBER(C34)=FALSE),C$64,C34))</f>
      </c>
      <c r="D85" s="80" t="str">
        <f t="shared" ref="D85:AU85" si="35">IF(ISBLANK(D34),"NO DATA",IF(OR(D34&lt;D$63,ISNUMBER(D34)=FALSE),D$64,D34))</f>
      </c>
      <c r="E85" s="80" t="str">
        <f t="shared" si="35"/>
      </c>
      <c r="F85" s="80" t="str">
        <f t="shared" si="35"/>
      </c>
      <c r="G85" s="80" t="str">
        <f t="shared" si="35"/>
      </c>
      <c r="H85" s="80" t="str">
        <f t="shared" si="35"/>
      </c>
      <c r="I85" s="80" t="str">
        <f t="shared" si="35"/>
      </c>
      <c r="J85" s="80" t="str">
        <f t="shared" si="35"/>
      </c>
      <c r="K85" s="80" t="str">
        <f t="shared" si="35"/>
      </c>
      <c r="L85" s="80" t="str">
        <f t="shared" si="35"/>
      </c>
      <c r="M85" s="80" t="str">
        <f t="shared" si="35"/>
      </c>
      <c r="N85" s="80" t="str">
        <f t="shared" si="35"/>
      </c>
      <c r="O85" s="80" t="str">
        <f t="shared" si="35"/>
      </c>
      <c r="P85" s="80" t="str">
        <f t="shared" si="35"/>
      </c>
      <c r="Q85" s="80" t="str">
        <f t="shared" si="35"/>
      </c>
      <c r="R85" s="80" t="str">
        <f t="shared" si="35"/>
      </c>
      <c r="S85" s="80" t="str">
        <f t="shared" si="35"/>
      </c>
      <c r="T85" s="80" t="str">
        <f t="shared" si="35"/>
      </c>
      <c r="U85" s="80" t="str">
        <f t="shared" si="35"/>
      </c>
      <c r="V85" s="80" t="str">
        <f t="shared" si="35"/>
      </c>
      <c r="W85" s="80" t="str">
        <f t="shared" si="35"/>
      </c>
      <c r="X85" s="80" t="str">
        <f t="shared" si="35"/>
      </c>
      <c r="Y85" s="80" t="str">
        <f t="shared" si="35"/>
      </c>
      <c r="Z85" s="80" t="str">
        <f t="shared" si="35"/>
      </c>
      <c r="AA85" s="80" t="str">
        <f t="shared" si="35"/>
      </c>
      <c r="AB85" s="80" t="str">
        <f t="shared" si="35"/>
      </c>
      <c r="AC85" s="80" t="str">
        <f t="shared" si="35"/>
      </c>
      <c r="AD85" s="80" t="str">
        <f t="shared" si="35"/>
      </c>
      <c r="AE85" s="80" t="str">
        <f t="shared" si="35"/>
      </c>
      <c r="AF85" s="80" t="str">
        <f t="shared" si="35"/>
      </c>
      <c r="AG85" s="80" t="str">
        <f t="shared" si="35"/>
      </c>
      <c r="AH85" s="80" t="str">
        <f t="shared" si="35"/>
      </c>
      <c r="AI85" s="80" t="str">
        <f t="shared" si="35"/>
      </c>
      <c r="AJ85" s="80" t="str">
        <f t="shared" si="35"/>
      </c>
      <c r="AK85" s="80" t="str">
        <f t="shared" si="35"/>
      </c>
      <c r="AL85" s="80" t="str">
        <f t="shared" si="35"/>
      </c>
      <c r="AM85" s="80" t="str">
        <f t="shared" si="35"/>
      </c>
      <c r="AN85" s="80" t="str">
        <f t="shared" si="35"/>
      </c>
      <c r="AO85" s="80" t="str">
        <f t="shared" si="35"/>
      </c>
      <c r="AP85" s="80" t="str">
        <f t="shared" si="35"/>
      </c>
      <c r="AQ85" s="80" t="str">
        <f t="shared" si="35"/>
      </c>
      <c r="AR85" s="80" t="str">
        <f t="shared" si="35"/>
      </c>
      <c r="AS85" s="80" t="str">
        <f t="shared" si="35"/>
      </c>
      <c r="AT85" s="80" t="str">
        <f t="shared" si="35"/>
      </c>
      <c r="AU85" s="80" t="str">
        <f t="shared" si="35"/>
      </c>
    </row>
    <row r="86" spans="1:47" x14ac:dyDescent="0.25">
      <c r="A86" s="23" t="str">
        <f t="shared" ref="A86:B101" si="36">A35</f>
      </c>
      <c r="B86" s="23">
        <f t="shared" si="36"/>
      </c>
      <c r="C86" s="80" t="str">
        <f t="shared" ref="C86" si="37">IF(ISBLANK(C35),"NO DATA",IF(OR(C35&lt;C$63,ISNUMBER(C35)=FALSE),C$64,C35))</f>
      </c>
      <c r="D86" s="80" t="str">
        <f t="shared" ref="D86:AU86" si="38">IF(ISBLANK(D35),"NO DATA",IF(OR(D35&lt;D$63,ISNUMBER(D35)=FALSE),D$64,D35))</f>
      </c>
      <c r="E86" s="80" t="str">
        <f t="shared" si="38"/>
      </c>
      <c r="F86" s="80" t="str">
        <f t="shared" si="38"/>
      </c>
      <c r="G86" s="80" t="str">
        <f t="shared" si="38"/>
      </c>
      <c r="H86" s="80" t="str">
        <f t="shared" si="38"/>
      </c>
      <c r="I86" s="80" t="str">
        <f t="shared" si="38"/>
      </c>
      <c r="J86" s="80" t="str">
        <f t="shared" si="38"/>
      </c>
      <c r="K86" s="80" t="str">
        <f t="shared" si="38"/>
      </c>
      <c r="L86" s="80" t="str">
        <f t="shared" si="38"/>
      </c>
      <c r="M86" s="80" t="str">
        <f t="shared" si="38"/>
      </c>
      <c r="N86" s="80" t="str">
        <f t="shared" si="38"/>
      </c>
      <c r="O86" s="80" t="str">
        <f t="shared" si="38"/>
      </c>
      <c r="P86" s="80" t="str">
        <f t="shared" si="38"/>
      </c>
      <c r="Q86" s="80" t="str">
        <f t="shared" si="38"/>
      </c>
      <c r="R86" s="80" t="str">
        <f t="shared" si="38"/>
      </c>
      <c r="S86" s="80" t="str">
        <f t="shared" si="38"/>
      </c>
      <c r="T86" s="80" t="str">
        <f t="shared" si="38"/>
      </c>
      <c r="U86" s="80" t="str">
        <f t="shared" si="38"/>
      </c>
      <c r="V86" s="80" t="str">
        <f t="shared" si="38"/>
      </c>
      <c r="W86" s="80" t="str">
        <f t="shared" si="38"/>
      </c>
      <c r="X86" s="80" t="str">
        <f t="shared" si="38"/>
      </c>
      <c r="Y86" s="80" t="str">
        <f t="shared" si="38"/>
      </c>
      <c r="Z86" s="80" t="str">
        <f t="shared" si="38"/>
      </c>
      <c r="AA86" s="80" t="str">
        <f t="shared" si="38"/>
      </c>
      <c r="AB86" s="80" t="str">
        <f t="shared" si="38"/>
      </c>
      <c r="AC86" s="80" t="str">
        <f t="shared" si="38"/>
      </c>
      <c r="AD86" s="80" t="str">
        <f t="shared" si="38"/>
      </c>
      <c r="AE86" s="80" t="str">
        <f t="shared" si="38"/>
      </c>
      <c r="AF86" s="80" t="str">
        <f t="shared" si="38"/>
      </c>
      <c r="AG86" s="80" t="str">
        <f t="shared" si="38"/>
      </c>
      <c r="AH86" s="80" t="str">
        <f t="shared" si="38"/>
      </c>
      <c r="AI86" s="80" t="str">
        <f t="shared" si="38"/>
      </c>
      <c r="AJ86" s="80" t="str">
        <f t="shared" si="38"/>
      </c>
      <c r="AK86" s="80" t="str">
        <f t="shared" si="38"/>
      </c>
      <c r="AL86" s="80" t="str">
        <f t="shared" si="38"/>
      </c>
      <c r="AM86" s="80" t="str">
        <f t="shared" si="38"/>
      </c>
      <c r="AN86" s="80" t="str">
        <f t="shared" si="38"/>
      </c>
      <c r="AO86" s="80" t="str">
        <f t="shared" si="38"/>
      </c>
      <c r="AP86" s="80" t="str">
        <f t="shared" si="38"/>
      </c>
      <c r="AQ86" s="80" t="str">
        <f t="shared" si="38"/>
      </c>
      <c r="AR86" s="80" t="str">
        <f t="shared" si="38"/>
      </c>
      <c r="AS86" s="80" t="str">
        <f t="shared" si="38"/>
      </c>
      <c r="AT86" s="80" t="str">
        <f t="shared" si="38"/>
      </c>
      <c r="AU86" s="80" t="str">
        <f t="shared" si="38"/>
      </c>
    </row>
    <row r="87" spans="1:47" x14ac:dyDescent="0.25">
      <c r="A87" s="23" t="str">
        <f t="shared" si="36"/>
      </c>
      <c r="B87" s="23">
        <f t="shared" si="36"/>
      </c>
      <c r="C87" s="80" t="str">
        <f t="shared" ref="C87" si="39">IF(ISBLANK(C36),"NO DATA",IF(OR(C36&lt;C$63,ISNUMBER(C36)=FALSE),C$64,C36))</f>
      </c>
      <c r="D87" s="80" t="str">
        <f t="shared" ref="D87:AU87" si="40">IF(ISBLANK(D36),"NO DATA",IF(OR(D36&lt;D$63,ISNUMBER(D36)=FALSE),D$64,D36))</f>
      </c>
      <c r="E87" s="80" t="str">
        <f t="shared" si="40"/>
      </c>
      <c r="F87" s="80" t="str">
        <f t="shared" si="40"/>
      </c>
      <c r="G87" s="80" t="str">
        <f t="shared" si="40"/>
      </c>
      <c r="H87" s="80" t="str">
        <f t="shared" si="40"/>
      </c>
      <c r="I87" s="80" t="str">
        <f t="shared" si="40"/>
      </c>
      <c r="J87" s="80" t="str">
        <f t="shared" si="40"/>
      </c>
      <c r="K87" s="80" t="str">
        <f t="shared" si="40"/>
      </c>
      <c r="L87" s="80" t="str">
        <f t="shared" si="40"/>
      </c>
      <c r="M87" s="80" t="str">
        <f t="shared" si="40"/>
      </c>
      <c r="N87" s="80" t="str">
        <f t="shared" si="40"/>
      </c>
      <c r="O87" s="80" t="str">
        <f t="shared" si="40"/>
      </c>
      <c r="P87" s="80" t="str">
        <f t="shared" si="40"/>
      </c>
      <c r="Q87" s="80" t="str">
        <f t="shared" si="40"/>
      </c>
      <c r="R87" s="80" t="str">
        <f t="shared" si="40"/>
      </c>
      <c r="S87" s="80" t="str">
        <f t="shared" si="40"/>
      </c>
      <c r="T87" s="80" t="str">
        <f t="shared" si="40"/>
      </c>
      <c r="U87" s="80" t="str">
        <f t="shared" si="40"/>
      </c>
      <c r="V87" s="80" t="str">
        <f t="shared" si="40"/>
      </c>
      <c r="W87" s="80" t="str">
        <f t="shared" si="40"/>
      </c>
      <c r="X87" s="80" t="str">
        <f t="shared" si="40"/>
      </c>
      <c r="Y87" s="80" t="str">
        <f t="shared" si="40"/>
      </c>
      <c r="Z87" s="80" t="str">
        <f t="shared" si="40"/>
      </c>
      <c r="AA87" s="80" t="str">
        <f t="shared" si="40"/>
      </c>
      <c r="AB87" s="80" t="str">
        <f t="shared" si="40"/>
      </c>
      <c r="AC87" s="80" t="str">
        <f t="shared" si="40"/>
      </c>
      <c r="AD87" s="80" t="str">
        <f t="shared" si="40"/>
      </c>
      <c r="AE87" s="80" t="str">
        <f t="shared" si="40"/>
      </c>
      <c r="AF87" s="80" t="str">
        <f t="shared" si="40"/>
      </c>
      <c r="AG87" s="80" t="str">
        <f t="shared" si="40"/>
      </c>
      <c r="AH87" s="80" t="str">
        <f t="shared" si="40"/>
      </c>
      <c r="AI87" s="80" t="str">
        <f t="shared" si="40"/>
      </c>
      <c r="AJ87" s="80" t="str">
        <f t="shared" si="40"/>
      </c>
      <c r="AK87" s="80" t="str">
        <f t="shared" si="40"/>
      </c>
      <c r="AL87" s="80" t="str">
        <f t="shared" si="40"/>
      </c>
      <c r="AM87" s="80" t="str">
        <f t="shared" si="40"/>
      </c>
      <c r="AN87" s="80" t="str">
        <f t="shared" si="40"/>
      </c>
      <c r="AO87" s="80" t="str">
        <f t="shared" si="40"/>
      </c>
      <c r="AP87" s="80" t="str">
        <f t="shared" si="40"/>
      </c>
      <c r="AQ87" s="80" t="str">
        <f t="shared" si="40"/>
      </c>
      <c r="AR87" s="80" t="str">
        <f t="shared" si="40"/>
      </c>
      <c r="AS87" s="80" t="str">
        <f t="shared" si="40"/>
      </c>
      <c r="AT87" s="80" t="str">
        <f t="shared" si="40"/>
      </c>
      <c r="AU87" s="80" t="str">
        <f t="shared" si="40"/>
      </c>
    </row>
    <row r="88" spans="1:47" x14ac:dyDescent="0.25">
      <c r="A88" s="23" t="str">
        <f t="shared" si="36"/>
      </c>
      <c r="B88" s="23">
        <f t="shared" si="36"/>
      </c>
      <c r="C88" s="80" t="str">
        <f t="shared" ref="C88" si="41">IF(ISBLANK(C37),"NO DATA",IF(OR(C37&lt;C$63,ISNUMBER(C37)=FALSE),C$64,C37))</f>
      </c>
      <c r="D88" s="80" t="str">
        <f t="shared" ref="D88:AU88" si="42">IF(ISBLANK(D37),"NO DATA",IF(OR(D37&lt;D$63,ISNUMBER(D37)=FALSE),D$64,D37))</f>
      </c>
      <c r="E88" s="80" t="str">
        <f t="shared" si="42"/>
      </c>
      <c r="F88" s="80" t="str">
        <f t="shared" si="42"/>
      </c>
      <c r="G88" s="80" t="str">
        <f t="shared" si="42"/>
      </c>
      <c r="H88" s="80" t="str">
        <f t="shared" si="42"/>
      </c>
      <c r="I88" s="80" t="str">
        <f t="shared" si="42"/>
      </c>
      <c r="J88" s="80" t="str">
        <f t="shared" si="42"/>
      </c>
      <c r="K88" s="80" t="str">
        <f t="shared" si="42"/>
      </c>
      <c r="L88" s="80" t="str">
        <f t="shared" si="42"/>
      </c>
      <c r="M88" s="80" t="str">
        <f t="shared" si="42"/>
      </c>
      <c r="N88" s="80" t="str">
        <f t="shared" si="42"/>
      </c>
      <c r="O88" s="80" t="str">
        <f t="shared" si="42"/>
      </c>
      <c r="P88" s="80" t="str">
        <f t="shared" si="42"/>
      </c>
      <c r="Q88" s="80" t="str">
        <f t="shared" si="42"/>
      </c>
      <c r="R88" s="80" t="str">
        <f t="shared" si="42"/>
      </c>
      <c r="S88" s="80" t="str">
        <f t="shared" si="42"/>
      </c>
      <c r="T88" s="80" t="str">
        <f t="shared" si="42"/>
      </c>
      <c r="U88" s="80" t="str">
        <f t="shared" si="42"/>
      </c>
      <c r="V88" s="80" t="str">
        <f t="shared" si="42"/>
      </c>
      <c r="W88" s="80" t="str">
        <f t="shared" si="42"/>
      </c>
      <c r="X88" s="80" t="str">
        <f t="shared" si="42"/>
      </c>
      <c r="Y88" s="80" t="str">
        <f t="shared" si="42"/>
      </c>
      <c r="Z88" s="80" t="str">
        <f t="shared" si="42"/>
      </c>
      <c r="AA88" s="80" t="str">
        <f t="shared" si="42"/>
      </c>
      <c r="AB88" s="80" t="str">
        <f t="shared" si="42"/>
      </c>
      <c r="AC88" s="80" t="str">
        <f t="shared" si="42"/>
      </c>
      <c r="AD88" s="80" t="str">
        <f t="shared" si="42"/>
      </c>
      <c r="AE88" s="80" t="str">
        <f t="shared" si="42"/>
      </c>
      <c r="AF88" s="80" t="str">
        <f t="shared" si="42"/>
      </c>
      <c r="AG88" s="80" t="str">
        <f t="shared" si="42"/>
      </c>
      <c r="AH88" s="80" t="str">
        <f t="shared" si="42"/>
      </c>
      <c r="AI88" s="80" t="str">
        <f t="shared" si="42"/>
      </c>
      <c r="AJ88" s="80" t="str">
        <f t="shared" si="42"/>
      </c>
      <c r="AK88" s="80" t="str">
        <f t="shared" si="42"/>
      </c>
      <c r="AL88" s="80" t="str">
        <f t="shared" si="42"/>
      </c>
      <c r="AM88" s="80" t="str">
        <f t="shared" si="42"/>
      </c>
      <c r="AN88" s="80" t="str">
        <f t="shared" si="42"/>
      </c>
      <c r="AO88" s="80" t="str">
        <f t="shared" si="42"/>
      </c>
      <c r="AP88" s="80" t="str">
        <f t="shared" si="42"/>
      </c>
      <c r="AQ88" s="80" t="str">
        <f t="shared" si="42"/>
      </c>
      <c r="AR88" s="80" t="str">
        <f t="shared" si="42"/>
      </c>
      <c r="AS88" s="80" t="str">
        <f t="shared" si="42"/>
      </c>
      <c r="AT88" s="80" t="str">
        <f t="shared" si="42"/>
      </c>
      <c r="AU88" s="80" t="str">
        <f t="shared" si="42"/>
      </c>
    </row>
    <row r="89" spans="1:47" x14ac:dyDescent="0.25">
      <c r="A89" s="23" t="str">
        <f t="shared" si="36"/>
      </c>
      <c r="B89" s="23">
        <f t="shared" si="36"/>
      </c>
      <c r="C89" s="80" t="str">
        <f t="shared" ref="C89" si="43">IF(ISBLANK(C38),"NO DATA",IF(OR(C38&lt;C$63,ISNUMBER(C38)=FALSE),C$64,C38))</f>
      </c>
      <c r="D89" s="80" t="str">
        <f t="shared" ref="D89:AU89" si="44">IF(ISBLANK(D38),"NO DATA",IF(OR(D38&lt;D$63,ISNUMBER(D38)=FALSE),D$64,D38))</f>
      </c>
      <c r="E89" s="80" t="str">
        <f t="shared" si="44"/>
      </c>
      <c r="F89" s="80" t="str">
        <f t="shared" si="44"/>
      </c>
      <c r="G89" s="80" t="str">
        <f t="shared" si="44"/>
      </c>
      <c r="H89" s="80" t="str">
        <f t="shared" si="44"/>
      </c>
      <c r="I89" s="80" t="str">
        <f t="shared" si="44"/>
      </c>
      <c r="J89" s="80" t="str">
        <f t="shared" si="44"/>
      </c>
      <c r="K89" s="80" t="str">
        <f t="shared" si="44"/>
      </c>
      <c r="L89" s="80" t="str">
        <f t="shared" si="44"/>
      </c>
      <c r="M89" s="80" t="str">
        <f t="shared" si="44"/>
      </c>
      <c r="N89" s="80" t="str">
        <f t="shared" si="44"/>
      </c>
      <c r="O89" s="80" t="str">
        <f t="shared" si="44"/>
      </c>
      <c r="P89" s="80" t="str">
        <f t="shared" si="44"/>
      </c>
      <c r="Q89" s="80" t="str">
        <f t="shared" si="44"/>
      </c>
      <c r="R89" s="80" t="str">
        <f t="shared" si="44"/>
      </c>
      <c r="S89" s="80" t="str">
        <f t="shared" si="44"/>
      </c>
      <c r="T89" s="80" t="str">
        <f t="shared" si="44"/>
      </c>
      <c r="U89" s="80" t="str">
        <f t="shared" si="44"/>
      </c>
      <c r="V89" s="80" t="str">
        <f t="shared" si="44"/>
      </c>
      <c r="W89" s="80" t="str">
        <f t="shared" si="44"/>
      </c>
      <c r="X89" s="80" t="str">
        <f t="shared" si="44"/>
      </c>
      <c r="Y89" s="80" t="str">
        <f t="shared" si="44"/>
      </c>
      <c r="Z89" s="80" t="str">
        <f t="shared" si="44"/>
      </c>
      <c r="AA89" s="80" t="str">
        <f t="shared" si="44"/>
      </c>
      <c r="AB89" s="80" t="str">
        <f t="shared" si="44"/>
      </c>
      <c r="AC89" s="80" t="str">
        <f t="shared" si="44"/>
      </c>
      <c r="AD89" s="80" t="str">
        <f t="shared" si="44"/>
      </c>
      <c r="AE89" s="80" t="str">
        <f t="shared" si="44"/>
      </c>
      <c r="AF89" s="80" t="str">
        <f t="shared" si="44"/>
      </c>
      <c r="AG89" s="80" t="str">
        <f t="shared" si="44"/>
      </c>
      <c r="AH89" s="80" t="str">
        <f t="shared" si="44"/>
      </c>
      <c r="AI89" s="80" t="str">
        <f t="shared" si="44"/>
      </c>
      <c r="AJ89" s="80" t="str">
        <f t="shared" si="44"/>
      </c>
      <c r="AK89" s="80" t="str">
        <f t="shared" si="44"/>
      </c>
      <c r="AL89" s="80" t="str">
        <f t="shared" si="44"/>
      </c>
      <c r="AM89" s="80" t="str">
        <f t="shared" si="44"/>
      </c>
      <c r="AN89" s="80" t="str">
        <f t="shared" si="44"/>
      </c>
      <c r="AO89" s="80" t="str">
        <f t="shared" si="44"/>
      </c>
      <c r="AP89" s="80" t="str">
        <f t="shared" si="44"/>
      </c>
      <c r="AQ89" s="80" t="str">
        <f t="shared" si="44"/>
      </c>
      <c r="AR89" s="80" t="str">
        <f t="shared" si="44"/>
      </c>
      <c r="AS89" s="80" t="str">
        <f t="shared" si="44"/>
      </c>
      <c r="AT89" s="80" t="str">
        <f t="shared" si="44"/>
      </c>
      <c r="AU89" s="80" t="str">
        <f t="shared" si="44"/>
      </c>
    </row>
    <row r="90" spans="1:47" x14ac:dyDescent="0.25">
      <c r="A90" s="23" t="str">
        <f t="shared" si="36"/>
      </c>
      <c r="B90" s="23">
        <f t="shared" si="36"/>
      </c>
      <c r="C90" s="80" t="str">
        <f t="shared" ref="C90" si="45">IF(ISBLANK(C39),"NO DATA",IF(OR(C39&lt;C$63,ISNUMBER(C39)=FALSE),C$64,C39))</f>
      </c>
      <c r="D90" s="80" t="str">
        <f t="shared" ref="D90:AU90" si="46">IF(ISBLANK(D39),"NO DATA",IF(OR(D39&lt;D$63,ISNUMBER(D39)=FALSE),D$64,D39))</f>
      </c>
      <c r="E90" s="80" t="str">
        <f t="shared" si="46"/>
      </c>
      <c r="F90" s="80" t="str">
        <f t="shared" si="46"/>
      </c>
      <c r="G90" s="80" t="str">
        <f t="shared" si="46"/>
      </c>
      <c r="H90" s="80" t="str">
        <f t="shared" si="46"/>
      </c>
      <c r="I90" s="80" t="str">
        <f t="shared" si="46"/>
      </c>
      <c r="J90" s="80" t="str">
        <f t="shared" si="46"/>
      </c>
      <c r="K90" s="80" t="str">
        <f t="shared" si="46"/>
      </c>
      <c r="L90" s="80" t="str">
        <f t="shared" si="46"/>
      </c>
      <c r="M90" s="80" t="str">
        <f t="shared" si="46"/>
      </c>
      <c r="N90" s="80" t="str">
        <f t="shared" si="46"/>
      </c>
      <c r="O90" s="80" t="str">
        <f t="shared" si="46"/>
      </c>
      <c r="P90" s="80" t="str">
        <f t="shared" si="46"/>
      </c>
      <c r="Q90" s="80" t="str">
        <f t="shared" si="46"/>
      </c>
      <c r="R90" s="80" t="str">
        <f t="shared" si="46"/>
      </c>
      <c r="S90" s="80" t="str">
        <f t="shared" si="46"/>
      </c>
      <c r="T90" s="80" t="str">
        <f t="shared" si="46"/>
      </c>
      <c r="U90" s="80" t="str">
        <f t="shared" si="46"/>
      </c>
      <c r="V90" s="80" t="str">
        <f t="shared" si="46"/>
      </c>
      <c r="W90" s="80" t="str">
        <f t="shared" si="46"/>
      </c>
      <c r="X90" s="80" t="str">
        <f t="shared" si="46"/>
      </c>
      <c r="Y90" s="80" t="str">
        <f t="shared" si="46"/>
      </c>
      <c r="Z90" s="80" t="str">
        <f t="shared" si="46"/>
      </c>
      <c r="AA90" s="80" t="str">
        <f t="shared" si="46"/>
      </c>
      <c r="AB90" s="80" t="str">
        <f t="shared" si="46"/>
      </c>
      <c r="AC90" s="80" t="str">
        <f t="shared" si="46"/>
      </c>
      <c r="AD90" s="80" t="str">
        <f t="shared" si="46"/>
      </c>
      <c r="AE90" s="80" t="str">
        <f t="shared" si="46"/>
      </c>
      <c r="AF90" s="80" t="str">
        <f t="shared" si="46"/>
      </c>
      <c r="AG90" s="80" t="str">
        <f t="shared" si="46"/>
      </c>
      <c r="AH90" s="80" t="str">
        <f t="shared" si="46"/>
      </c>
      <c r="AI90" s="80" t="str">
        <f t="shared" si="46"/>
      </c>
      <c r="AJ90" s="80" t="str">
        <f t="shared" si="46"/>
      </c>
      <c r="AK90" s="80" t="str">
        <f t="shared" si="46"/>
      </c>
      <c r="AL90" s="80" t="str">
        <f t="shared" si="46"/>
      </c>
      <c r="AM90" s="80" t="str">
        <f t="shared" si="46"/>
      </c>
      <c r="AN90" s="80" t="str">
        <f t="shared" si="46"/>
      </c>
      <c r="AO90" s="80" t="str">
        <f t="shared" si="46"/>
      </c>
      <c r="AP90" s="80" t="str">
        <f t="shared" si="46"/>
      </c>
      <c r="AQ90" s="80" t="str">
        <f t="shared" si="46"/>
      </c>
      <c r="AR90" s="80" t="str">
        <f t="shared" si="46"/>
      </c>
      <c r="AS90" s="80" t="str">
        <f t="shared" si="46"/>
      </c>
      <c r="AT90" s="80" t="str">
        <f t="shared" si="46"/>
      </c>
      <c r="AU90" s="80" t="str">
        <f t="shared" si="46"/>
      </c>
    </row>
    <row r="91" spans="1:47" x14ac:dyDescent="0.25">
      <c r="A91" s="23" t="str">
        <f t="shared" si="36"/>
      </c>
      <c r="B91" s="23">
        <f t="shared" si="36"/>
      </c>
      <c r="C91" s="80" t="str">
        <f t="shared" ref="C91" si="47">IF(ISBLANK(C40),"NO DATA",IF(OR(C40&lt;C$63,ISNUMBER(C40)=FALSE),C$64,C40))</f>
      </c>
      <c r="D91" s="80" t="str">
        <f t="shared" ref="D91:AU91" si="48">IF(ISBLANK(D40),"NO DATA",IF(OR(D40&lt;D$63,ISNUMBER(D40)=FALSE),D$64,D40))</f>
      </c>
      <c r="E91" s="80" t="str">
        <f t="shared" si="48"/>
      </c>
      <c r="F91" s="80" t="str">
        <f t="shared" si="48"/>
      </c>
      <c r="G91" s="80" t="str">
        <f t="shared" si="48"/>
      </c>
      <c r="H91" s="80" t="str">
        <f t="shared" si="48"/>
      </c>
      <c r="I91" s="80" t="str">
        <f t="shared" si="48"/>
      </c>
      <c r="J91" s="80" t="str">
        <f t="shared" si="48"/>
      </c>
      <c r="K91" s="80" t="str">
        <f t="shared" si="48"/>
      </c>
      <c r="L91" s="80" t="str">
        <f t="shared" si="48"/>
      </c>
      <c r="M91" s="80" t="str">
        <f t="shared" si="48"/>
      </c>
      <c r="N91" s="80" t="str">
        <f t="shared" si="48"/>
      </c>
      <c r="O91" s="80" t="str">
        <f t="shared" si="48"/>
      </c>
      <c r="P91" s="80" t="str">
        <f t="shared" si="48"/>
      </c>
      <c r="Q91" s="80" t="str">
        <f t="shared" si="48"/>
      </c>
      <c r="R91" s="80" t="str">
        <f t="shared" si="48"/>
      </c>
      <c r="S91" s="80" t="str">
        <f t="shared" si="48"/>
      </c>
      <c r="T91" s="80" t="str">
        <f t="shared" si="48"/>
      </c>
      <c r="U91" s="80" t="str">
        <f t="shared" si="48"/>
      </c>
      <c r="V91" s="80" t="str">
        <f t="shared" si="48"/>
      </c>
      <c r="W91" s="80" t="str">
        <f t="shared" si="48"/>
      </c>
      <c r="X91" s="80" t="str">
        <f t="shared" si="48"/>
      </c>
      <c r="Y91" s="80" t="str">
        <f t="shared" si="48"/>
      </c>
      <c r="Z91" s="80" t="str">
        <f t="shared" si="48"/>
      </c>
      <c r="AA91" s="80" t="str">
        <f t="shared" si="48"/>
      </c>
      <c r="AB91" s="80" t="str">
        <f t="shared" si="48"/>
      </c>
      <c r="AC91" s="80" t="str">
        <f t="shared" si="48"/>
      </c>
      <c r="AD91" s="80" t="str">
        <f t="shared" si="48"/>
      </c>
      <c r="AE91" s="80" t="str">
        <f t="shared" si="48"/>
      </c>
      <c r="AF91" s="80" t="str">
        <f t="shared" si="48"/>
      </c>
      <c r="AG91" s="80" t="str">
        <f t="shared" si="48"/>
      </c>
      <c r="AH91" s="80" t="str">
        <f t="shared" si="48"/>
      </c>
      <c r="AI91" s="80" t="str">
        <f t="shared" si="48"/>
      </c>
      <c r="AJ91" s="80" t="str">
        <f t="shared" si="48"/>
      </c>
      <c r="AK91" s="80" t="str">
        <f t="shared" si="48"/>
      </c>
      <c r="AL91" s="80" t="str">
        <f t="shared" si="48"/>
      </c>
      <c r="AM91" s="80" t="str">
        <f t="shared" si="48"/>
      </c>
      <c r="AN91" s="80" t="str">
        <f t="shared" si="48"/>
      </c>
      <c r="AO91" s="80" t="str">
        <f t="shared" si="48"/>
      </c>
      <c r="AP91" s="80" t="str">
        <f t="shared" si="48"/>
      </c>
      <c r="AQ91" s="80" t="str">
        <f t="shared" si="48"/>
      </c>
      <c r="AR91" s="80" t="str">
        <f t="shared" si="48"/>
      </c>
      <c r="AS91" s="80" t="str">
        <f t="shared" si="48"/>
      </c>
      <c r="AT91" s="80" t="str">
        <f t="shared" si="48"/>
      </c>
      <c r="AU91" s="80" t="str">
        <f t="shared" si="48"/>
      </c>
    </row>
    <row r="92" spans="1:47" x14ac:dyDescent="0.25">
      <c r="A92" s="23" t="str">
        <f t="shared" si="36"/>
      </c>
      <c r="B92" s="23">
        <f t="shared" si="36"/>
      </c>
      <c r="C92" s="80" t="str">
        <f t="shared" ref="C92" si="49">IF(ISBLANK(C41),"NO DATA",IF(OR(C41&lt;C$63,ISNUMBER(C41)=FALSE),C$64,C41))</f>
      </c>
      <c r="D92" s="80" t="str">
        <f t="shared" ref="D92:AU92" si="50">IF(ISBLANK(D41),"NO DATA",IF(OR(D41&lt;D$63,ISNUMBER(D41)=FALSE),D$64,D41))</f>
      </c>
      <c r="E92" s="80" t="str">
        <f t="shared" si="50"/>
      </c>
      <c r="F92" s="80" t="str">
        <f t="shared" si="50"/>
      </c>
      <c r="G92" s="80" t="str">
        <f t="shared" si="50"/>
      </c>
      <c r="H92" s="80" t="str">
        <f t="shared" si="50"/>
      </c>
      <c r="I92" s="80" t="str">
        <f t="shared" si="50"/>
      </c>
      <c r="J92" s="80" t="str">
        <f t="shared" si="50"/>
      </c>
      <c r="K92" s="80" t="str">
        <f t="shared" si="50"/>
      </c>
      <c r="L92" s="80" t="str">
        <f t="shared" si="50"/>
      </c>
      <c r="M92" s="80" t="str">
        <f t="shared" si="50"/>
      </c>
      <c r="N92" s="80" t="str">
        <f t="shared" si="50"/>
      </c>
      <c r="O92" s="80" t="str">
        <f t="shared" si="50"/>
      </c>
      <c r="P92" s="80" t="str">
        <f t="shared" si="50"/>
      </c>
      <c r="Q92" s="80" t="str">
        <f t="shared" si="50"/>
      </c>
      <c r="R92" s="80" t="str">
        <f t="shared" si="50"/>
      </c>
      <c r="S92" s="80" t="str">
        <f t="shared" si="50"/>
      </c>
      <c r="T92" s="80" t="str">
        <f t="shared" si="50"/>
      </c>
      <c r="U92" s="80" t="str">
        <f t="shared" si="50"/>
      </c>
      <c r="V92" s="80" t="str">
        <f t="shared" si="50"/>
      </c>
      <c r="W92" s="80" t="str">
        <f t="shared" si="50"/>
      </c>
      <c r="X92" s="80" t="str">
        <f t="shared" si="50"/>
      </c>
      <c r="Y92" s="80" t="str">
        <f t="shared" si="50"/>
      </c>
      <c r="Z92" s="80" t="str">
        <f t="shared" si="50"/>
      </c>
      <c r="AA92" s="80" t="str">
        <f t="shared" si="50"/>
      </c>
      <c r="AB92" s="80" t="str">
        <f t="shared" si="50"/>
      </c>
      <c r="AC92" s="80" t="str">
        <f t="shared" si="50"/>
      </c>
      <c r="AD92" s="80" t="str">
        <f t="shared" si="50"/>
      </c>
      <c r="AE92" s="80" t="str">
        <f t="shared" si="50"/>
      </c>
      <c r="AF92" s="80" t="str">
        <f t="shared" si="50"/>
      </c>
      <c r="AG92" s="80" t="str">
        <f t="shared" si="50"/>
      </c>
      <c r="AH92" s="80" t="str">
        <f t="shared" si="50"/>
      </c>
      <c r="AI92" s="80" t="str">
        <f t="shared" si="50"/>
      </c>
      <c r="AJ92" s="80" t="str">
        <f t="shared" si="50"/>
      </c>
      <c r="AK92" s="80" t="str">
        <f t="shared" si="50"/>
      </c>
      <c r="AL92" s="80" t="str">
        <f t="shared" si="50"/>
      </c>
      <c r="AM92" s="80" t="str">
        <f t="shared" si="50"/>
      </c>
      <c r="AN92" s="80" t="str">
        <f t="shared" si="50"/>
      </c>
      <c r="AO92" s="80" t="str">
        <f t="shared" si="50"/>
      </c>
      <c r="AP92" s="80" t="str">
        <f t="shared" si="50"/>
      </c>
      <c r="AQ92" s="80" t="str">
        <f t="shared" si="50"/>
      </c>
      <c r="AR92" s="80" t="str">
        <f t="shared" si="50"/>
      </c>
      <c r="AS92" s="80" t="str">
        <f t="shared" si="50"/>
      </c>
      <c r="AT92" s="80" t="str">
        <f t="shared" si="50"/>
      </c>
      <c r="AU92" s="80" t="str">
        <f t="shared" si="50"/>
      </c>
    </row>
    <row r="93" spans="1:47" x14ac:dyDescent="0.25">
      <c r="A93" s="23" t="str">
        <f t="shared" si="36"/>
      </c>
      <c r="B93" s="23">
        <f t="shared" si="36"/>
      </c>
      <c r="C93" s="80" t="str">
        <f t="shared" ref="C93" si="51">IF(ISBLANK(C42),"NO DATA",IF(OR(C42&lt;C$63,ISNUMBER(C42)=FALSE),C$64,C42))</f>
      </c>
      <c r="D93" s="80" t="str">
        <f t="shared" ref="D93:AU93" si="52">IF(ISBLANK(D42),"NO DATA",IF(OR(D42&lt;D$63,ISNUMBER(D42)=FALSE),D$64,D42))</f>
      </c>
      <c r="E93" s="80" t="str">
        <f t="shared" si="52"/>
      </c>
      <c r="F93" s="80" t="str">
        <f t="shared" si="52"/>
      </c>
      <c r="G93" s="80" t="str">
        <f t="shared" si="52"/>
      </c>
      <c r="H93" s="80" t="str">
        <f t="shared" si="52"/>
      </c>
      <c r="I93" s="80" t="str">
        <f t="shared" si="52"/>
      </c>
      <c r="J93" s="80" t="str">
        <f t="shared" si="52"/>
      </c>
      <c r="K93" s="80" t="str">
        <f t="shared" si="52"/>
      </c>
      <c r="L93" s="80" t="str">
        <f t="shared" si="52"/>
      </c>
      <c r="M93" s="80" t="str">
        <f t="shared" si="52"/>
      </c>
      <c r="N93" s="80" t="str">
        <f t="shared" si="52"/>
      </c>
      <c r="O93" s="80" t="str">
        <f t="shared" si="52"/>
      </c>
      <c r="P93" s="80" t="str">
        <f t="shared" si="52"/>
      </c>
      <c r="Q93" s="80" t="str">
        <f t="shared" si="52"/>
      </c>
      <c r="R93" s="80" t="str">
        <f t="shared" si="52"/>
      </c>
      <c r="S93" s="80" t="str">
        <f t="shared" si="52"/>
      </c>
      <c r="T93" s="80" t="str">
        <f t="shared" si="52"/>
      </c>
      <c r="U93" s="80" t="str">
        <f t="shared" si="52"/>
      </c>
      <c r="V93" s="80" t="str">
        <f t="shared" si="52"/>
      </c>
      <c r="W93" s="80" t="str">
        <f t="shared" si="52"/>
      </c>
      <c r="X93" s="80" t="str">
        <f t="shared" si="52"/>
      </c>
      <c r="Y93" s="80" t="str">
        <f t="shared" si="52"/>
      </c>
      <c r="Z93" s="80" t="str">
        <f t="shared" si="52"/>
      </c>
      <c r="AA93" s="80" t="str">
        <f t="shared" si="52"/>
      </c>
      <c r="AB93" s="80" t="str">
        <f t="shared" si="52"/>
      </c>
      <c r="AC93" s="80" t="str">
        <f t="shared" si="52"/>
      </c>
      <c r="AD93" s="80" t="str">
        <f t="shared" si="52"/>
      </c>
      <c r="AE93" s="80" t="str">
        <f t="shared" si="52"/>
      </c>
      <c r="AF93" s="80" t="str">
        <f t="shared" si="52"/>
      </c>
      <c r="AG93" s="80" t="str">
        <f t="shared" si="52"/>
      </c>
      <c r="AH93" s="80" t="str">
        <f t="shared" si="52"/>
      </c>
      <c r="AI93" s="80" t="str">
        <f t="shared" si="52"/>
      </c>
      <c r="AJ93" s="80" t="str">
        <f t="shared" si="52"/>
      </c>
      <c r="AK93" s="80" t="str">
        <f t="shared" si="52"/>
      </c>
      <c r="AL93" s="80" t="str">
        <f t="shared" si="52"/>
      </c>
      <c r="AM93" s="80" t="str">
        <f t="shared" si="52"/>
      </c>
      <c r="AN93" s="80" t="str">
        <f t="shared" si="52"/>
      </c>
      <c r="AO93" s="80" t="str">
        <f t="shared" si="52"/>
      </c>
      <c r="AP93" s="80" t="str">
        <f t="shared" si="52"/>
      </c>
      <c r="AQ93" s="80" t="str">
        <f t="shared" si="52"/>
      </c>
      <c r="AR93" s="80" t="str">
        <f t="shared" si="52"/>
      </c>
      <c r="AS93" s="80" t="str">
        <f t="shared" si="52"/>
      </c>
      <c r="AT93" s="80" t="str">
        <f t="shared" si="52"/>
      </c>
      <c r="AU93" s="80" t="str">
        <f t="shared" si="52"/>
      </c>
    </row>
    <row r="94" spans="1:47" x14ac:dyDescent="0.25">
      <c r="A94" s="23" t="str">
        <f t="shared" si="36"/>
      </c>
      <c r="B94" s="23">
        <f t="shared" si="36"/>
      </c>
      <c r="C94" s="80" t="str">
        <f t="shared" ref="C94" si="53">IF(ISBLANK(C43),"NO DATA",IF(OR(C43&lt;C$63,ISNUMBER(C43)=FALSE),C$64,C43))</f>
      </c>
      <c r="D94" s="80" t="str">
        <f t="shared" ref="D94:AU94" si="54">IF(ISBLANK(D43),"NO DATA",IF(OR(D43&lt;D$63,ISNUMBER(D43)=FALSE),D$64,D43))</f>
      </c>
      <c r="E94" s="80" t="str">
        <f t="shared" si="54"/>
      </c>
      <c r="F94" s="80" t="str">
        <f t="shared" si="54"/>
      </c>
      <c r="G94" s="80" t="str">
        <f t="shared" si="54"/>
      </c>
      <c r="H94" s="80" t="str">
        <f t="shared" si="54"/>
      </c>
      <c r="I94" s="80" t="str">
        <f t="shared" si="54"/>
      </c>
      <c r="J94" s="80" t="str">
        <f t="shared" si="54"/>
      </c>
      <c r="K94" s="80" t="str">
        <f t="shared" si="54"/>
      </c>
      <c r="L94" s="80" t="str">
        <f t="shared" si="54"/>
      </c>
      <c r="M94" s="80" t="str">
        <f t="shared" si="54"/>
      </c>
      <c r="N94" s="80" t="str">
        <f t="shared" si="54"/>
      </c>
      <c r="O94" s="80" t="str">
        <f t="shared" si="54"/>
      </c>
      <c r="P94" s="80" t="str">
        <f t="shared" si="54"/>
      </c>
      <c r="Q94" s="80" t="str">
        <f t="shared" si="54"/>
      </c>
      <c r="R94" s="80" t="str">
        <f t="shared" si="54"/>
      </c>
      <c r="S94" s="80" t="str">
        <f t="shared" si="54"/>
      </c>
      <c r="T94" s="80" t="str">
        <f t="shared" si="54"/>
      </c>
      <c r="U94" s="80" t="str">
        <f t="shared" si="54"/>
      </c>
      <c r="V94" s="80" t="str">
        <f t="shared" si="54"/>
      </c>
      <c r="W94" s="80" t="str">
        <f t="shared" si="54"/>
      </c>
      <c r="X94" s="80" t="str">
        <f t="shared" si="54"/>
      </c>
      <c r="Y94" s="80" t="str">
        <f t="shared" si="54"/>
      </c>
      <c r="Z94" s="80" t="str">
        <f t="shared" si="54"/>
      </c>
      <c r="AA94" s="80" t="str">
        <f t="shared" si="54"/>
      </c>
      <c r="AB94" s="80" t="str">
        <f t="shared" si="54"/>
      </c>
      <c r="AC94" s="80" t="str">
        <f t="shared" si="54"/>
      </c>
      <c r="AD94" s="80" t="str">
        <f t="shared" si="54"/>
      </c>
      <c r="AE94" s="80" t="str">
        <f t="shared" si="54"/>
      </c>
      <c r="AF94" s="80" t="str">
        <f t="shared" si="54"/>
      </c>
      <c r="AG94" s="80" t="str">
        <f t="shared" si="54"/>
      </c>
      <c r="AH94" s="80" t="str">
        <f t="shared" si="54"/>
      </c>
      <c r="AI94" s="80" t="str">
        <f t="shared" si="54"/>
      </c>
      <c r="AJ94" s="80" t="str">
        <f t="shared" si="54"/>
      </c>
      <c r="AK94" s="80" t="str">
        <f t="shared" si="54"/>
      </c>
      <c r="AL94" s="80" t="str">
        <f t="shared" si="54"/>
      </c>
      <c r="AM94" s="80" t="str">
        <f t="shared" si="54"/>
      </c>
      <c r="AN94" s="80" t="str">
        <f t="shared" si="54"/>
      </c>
      <c r="AO94" s="80" t="str">
        <f t="shared" si="54"/>
      </c>
      <c r="AP94" s="80" t="str">
        <f t="shared" si="54"/>
      </c>
      <c r="AQ94" s="80" t="str">
        <f t="shared" si="54"/>
      </c>
      <c r="AR94" s="80" t="str">
        <f t="shared" si="54"/>
      </c>
      <c r="AS94" s="80" t="str">
        <f t="shared" si="54"/>
      </c>
      <c r="AT94" s="80" t="str">
        <f t="shared" si="54"/>
      </c>
      <c r="AU94" s="80" t="str">
        <f t="shared" si="54"/>
      </c>
    </row>
    <row r="95" spans="1:47" x14ac:dyDescent="0.25">
      <c r="A95" s="23" t="str">
        <f t="shared" si="36"/>
      </c>
      <c r="B95" s="23">
        <f t="shared" si="36"/>
      </c>
      <c r="C95" s="80" t="str">
        <f t="shared" ref="C95" si="55">IF(ISBLANK(C44),"NO DATA",IF(OR(C44&lt;C$63,ISNUMBER(C44)=FALSE),C$64,C44))</f>
      </c>
      <c r="D95" s="80" t="str">
        <f t="shared" ref="D95:AU95" si="56">IF(ISBLANK(D44),"NO DATA",IF(OR(D44&lt;D$63,ISNUMBER(D44)=FALSE),D$64,D44))</f>
      </c>
      <c r="E95" s="80" t="str">
        <f t="shared" si="56"/>
      </c>
      <c r="F95" s="80" t="str">
        <f t="shared" si="56"/>
      </c>
      <c r="G95" s="80" t="str">
        <f t="shared" si="56"/>
      </c>
      <c r="H95" s="80" t="str">
        <f t="shared" si="56"/>
      </c>
      <c r="I95" s="80" t="str">
        <f t="shared" si="56"/>
      </c>
      <c r="J95" s="80" t="str">
        <f t="shared" si="56"/>
      </c>
      <c r="K95" s="80" t="str">
        <f t="shared" si="56"/>
      </c>
      <c r="L95" s="80" t="str">
        <f t="shared" si="56"/>
      </c>
      <c r="M95" s="80" t="str">
        <f t="shared" si="56"/>
      </c>
      <c r="N95" s="80" t="str">
        <f t="shared" si="56"/>
      </c>
      <c r="O95" s="80" t="str">
        <f t="shared" si="56"/>
      </c>
      <c r="P95" s="80" t="str">
        <f t="shared" si="56"/>
      </c>
      <c r="Q95" s="80" t="str">
        <f t="shared" si="56"/>
      </c>
      <c r="R95" s="80" t="str">
        <f t="shared" si="56"/>
      </c>
      <c r="S95" s="80" t="str">
        <f t="shared" si="56"/>
      </c>
      <c r="T95" s="80" t="str">
        <f t="shared" si="56"/>
      </c>
      <c r="U95" s="80" t="str">
        <f t="shared" si="56"/>
      </c>
      <c r="V95" s="80" t="str">
        <f t="shared" si="56"/>
      </c>
      <c r="W95" s="80" t="str">
        <f t="shared" si="56"/>
      </c>
      <c r="X95" s="80" t="str">
        <f t="shared" si="56"/>
      </c>
      <c r="Y95" s="80" t="str">
        <f t="shared" si="56"/>
      </c>
      <c r="Z95" s="80" t="str">
        <f t="shared" si="56"/>
      </c>
      <c r="AA95" s="80" t="str">
        <f t="shared" si="56"/>
      </c>
      <c r="AB95" s="80" t="str">
        <f t="shared" si="56"/>
      </c>
      <c r="AC95" s="80" t="str">
        <f t="shared" si="56"/>
      </c>
      <c r="AD95" s="80" t="str">
        <f t="shared" si="56"/>
      </c>
      <c r="AE95" s="80" t="str">
        <f t="shared" si="56"/>
      </c>
      <c r="AF95" s="80" t="str">
        <f t="shared" si="56"/>
      </c>
      <c r="AG95" s="80" t="str">
        <f t="shared" si="56"/>
      </c>
      <c r="AH95" s="80" t="str">
        <f t="shared" si="56"/>
      </c>
      <c r="AI95" s="80" t="str">
        <f t="shared" si="56"/>
      </c>
      <c r="AJ95" s="80" t="str">
        <f t="shared" si="56"/>
      </c>
      <c r="AK95" s="80" t="str">
        <f t="shared" si="56"/>
      </c>
      <c r="AL95" s="80" t="str">
        <f t="shared" si="56"/>
      </c>
      <c r="AM95" s="80" t="str">
        <f t="shared" si="56"/>
      </c>
      <c r="AN95" s="80" t="str">
        <f t="shared" si="56"/>
      </c>
      <c r="AO95" s="80" t="str">
        <f t="shared" si="56"/>
      </c>
      <c r="AP95" s="80" t="str">
        <f t="shared" si="56"/>
      </c>
      <c r="AQ95" s="80" t="str">
        <f t="shared" si="56"/>
      </c>
      <c r="AR95" s="80" t="str">
        <f t="shared" si="56"/>
      </c>
      <c r="AS95" s="80" t="str">
        <f t="shared" si="56"/>
      </c>
      <c r="AT95" s="80" t="str">
        <f t="shared" si="56"/>
      </c>
      <c r="AU95" s="80" t="str">
        <f t="shared" si="56"/>
      </c>
    </row>
    <row r="96" spans="1:47" x14ac:dyDescent="0.25">
      <c r="A96" s="23" t="str">
        <f t="shared" si="36"/>
      </c>
      <c r="B96" s="23">
        <f t="shared" si="36"/>
      </c>
      <c r="C96" s="80" t="str">
        <f t="shared" ref="C96" si="57">IF(ISBLANK(C45),"NO DATA",IF(OR(C45&lt;C$63,ISNUMBER(C45)=FALSE),C$64,C45))</f>
      </c>
      <c r="D96" s="80" t="str">
        <f t="shared" ref="D96:AU96" si="58">IF(ISBLANK(D45),"NO DATA",IF(OR(D45&lt;D$63,ISNUMBER(D45)=FALSE),D$64,D45))</f>
      </c>
      <c r="E96" s="80" t="str">
        <f t="shared" si="58"/>
      </c>
      <c r="F96" s="80" t="str">
        <f t="shared" si="58"/>
      </c>
      <c r="G96" s="80" t="str">
        <f t="shared" si="58"/>
      </c>
      <c r="H96" s="80" t="str">
        <f t="shared" si="58"/>
      </c>
      <c r="I96" s="80" t="str">
        <f t="shared" si="58"/>
      </c>
      <c r="J96" s="80" t="str">
        <f t="shared" si="58"/>
      </c>
      <c r="K96" s="80" t="str">
        <f t="shared" si="58"/>
      </c>
      <c r="L96" s="80" t="str">
        <f t="shared" si="58"/>
      </c>
      <c r="M96" s="80" t="str">
        <f t="shared" si="58"/>
      </c>
      <c r="N96" s="80" t="str">
        <f t="shared" si="58"/>
      </c>
      <c r="O96" s="80" t="str">
        <f t="shared" si="58"/>
      </c>
      <c r="P96" s="80" t="str">
        <f t="shared" si="58"/>
      </c>
      <c r="Q96" s="80" t="str">
        <f t="shared" si="58"/>
      </c>
      <c r="R96" s="80" t="str">
        <f t="shared" si="58"/>
      </c>
      <c r="S96" s="80" t="str">
        <f t="shared" si="58"/>
      </c>
      <c r="T96" s="80" t="str">
        <f t="shared" si="58"/>
      </c>
      <c r="U96" s="80" t="str">
        <f t="shared" si="58"/>
      </c>
      <c r="V96" s="80" t="str">
        <f t="shared" si="58"/>
      </c>
      <c r="W96" s="80" t="str">
        <f t="shared" si="58"/>
      </c>
      <c r="X96" s="80" t="str">
        <f t="shared" si="58"/>
      </c>
      <c r="Y96" s="80" t="str">
        <f t="shared" si="58"/>
      </c>
      <c r="Z96" s="80" t="str">
        <f t="shared" si="58"/>
      </c>
      <c r="AA96" s="80" t="str">
        <f t="shared" si="58"/>
      </c>
      <c r="AB96" s="80" t="str">
        <f t="shared" si="58"/>
      </c>
      <c r="AC96" s="80" t="str">
        <f t="shared" si="58"/>
      </c>
      <c r="AD96" s="80" t="str">
        <f t="shared" si="58"/>
      </c>
      <c r="AE96" s="80" t="str">
        <f t="shared" si="58"/>
      </c>
      <c r="AF96" s="80" t="str">
        <f t="shared" si="58"/>
      </c>
      <c r="AG96" s="80" t="str">
        <f t="shared" si="58"/>
      </c>
      <c r="AH96" s="80" t="str">
        <f t="shared" si="58"/>
      </c>
      <c r="AI96" s="80" t="str">
        <f t="shared" si="58"/>
      </c>
      <c r="AJ96" s="80" t="str">
        <f t="shared" si="58"/>
      </c>
      <c r="AK96" s="80" t="str">
        <f t="shared" si="58"/>
      </c>
      <c r="AL96" s="80" t="str">
        <f t="shared" si="58"/>
      </c>
      <c r="AM96" s="80" t="str">
        <f t="shared" si="58"/>
      </c>
      <c r="AN96" s="80" t="str">
        <f t="shared" si="58"/>
      </c>
      <c r="AO96" s="80" t="str">
        <f t="shared" si="58"/>
      </c>
      <c r="AP96" s="80" t="str">
        <f t="shared" si="58"/>
      </c>
      <c r="AQ96" s="80" t="str">
        <f t="shared" si="58"/>
      </c>
      <c r="AR96" s="80" t="str">
        <f t="shared" si="58"/>
      </c>
      <c r="AS96" s="80" t="str">
        <f t="shared" si="58"/>
      </c>
      <c r="AT96" s="80" t="str">
        <f t="shared" si="58"/>
      </c>
      <c r="AU96" s="80" t="str">
        <f t="shared" si="58"/>
      </c>
    </row>
    <row r="97" spans="1:47" x14ac:dyDescent="0.25">
      <c r="A97" s="23" t="str">
        <f t="shared" si="36"/>
      </c>
      <c r="B97" s="23">
        <f t="shared" si="36"/>
      </c>
      <c r="C97" s="80" t="str">
        <f t="shared" ref="C97" si="59">IF(ISBLANK(C46),"NO DATA",IF(OR(C46&lt;C$63,ISNUMBER(C46)=FALSE),C$64,C46))</f>
      </c>
      <c r="D97" s="80" t="str">
        <f t="shared" ref="D97:AU97" si="60">IF(ISBLANK(D46),"NO DATA",IF(OR(D46&lt;D$63,ISNUMBER(D46)=FALSE),D$64,D46))</f>
      </c>
      <c r="E97" s="80" t="str">
        <f t="shared" si="60"/>
      </c>
      <c r="F97" s="80" t="str">
        <f t="shared" si="60"/>
      </c>
      <c r="G97" s="80" t="str">
        <f t="shared" si="60"/>
      </c>
      <c r="H97" s="80" t="str">
        <f t="shared" si="60"/>
      </c>
      <c r="I97" s="80" t="str">
        <f t="shared" si="60"/>
      </c>
      <c r="J97" s="80" t="str">
        <f t="shared" si="60"/>
      </c>
      <c r="K97" s="80" t="str">
        <f t="shared" si="60"/>
      </c>
      <c r="L97" s="80" t="str">
        <f t="shared" si="60"/>
      </c>
      <c r="M97" s="80" t="str">
        <f t="shared" si="60"/>
      </c>
      <c r="N97" s="80" t="str">
        <f t="shared" si="60"/>
      </c>
      <c r="O97" s="80" t="str">
        <f t="shared" si="60"/>
      </c>
      <c r="P97" s="80" t="str">
        <f t="shared" si="60"/>
      </c>
      <c r="Q97" s="80" t="str">
        <f t="shared" si="60"/>
      </c>
      <c r="R97" s="80" t="str">
        <f t="shared" si="60"/>
      </c>
      <c r="S97" s="80" t="str">
        <f t="shared" si="60"/>
      </c>
      <c r="T97" s="80" t="str">
        <f t="shared" si="60"/>
      </c>
      <c r="U97" s="80" t="str">
        <f t="shared" si="60"/>
      </c>
      <c r="V97" s="80" t="str">
        <f t="shared" si="60"/>
      </c>
      <c r="W97" s="80" t="str">
        <f t="shared" si="60"/>
      </c>
      <c r="X97" s="80" t="str">
        <f t="shared" si="60"/>
      </c>
      <c r="Y97" s="80" t="str">
        <f t="shared" si="60"/>
      </c>
      <c r="Z97" s="80" t="str">
        <f t="shared" si="60"/>
      </c>
      <c r="AA97" s="80" t="str">
        <f t="shared" si="60"/>
      </c>
      <c r="AB97" s="80" t="str">
        <f t="shared" si="60"/>
      </c>
      <c r="AC97" s="80" t="str">
        <f t="shared" si="60"/>
      </c>
      <c r="AD97" s="80" t="str">
        <f t="shared" si="60"/>
      </c>
      <c r="AE97" s="80" t="str">
        <f t="shared" si="60"/>
      </c>
      <c r="AF97" s="80" t="str">
        <f t="shared" si="60"/>
      </c>
      <c r="AG97" s="80" t="str">
        <f t="shared" si="60"/>
      </c>
      <c r="AH97" s="80" t="str">
        <f t="shared" si="60"/>
      </c>
      <c r="AI97" s="80" t="str">
        <f t="shared" si="60"/>
      </c>
      <c r="AJ97" s="80" t="str">
        <f t="shared" si="60"/>
      </c>
      <c r="AK97" s="80" t="str">
        <f t="shared" si="60"/>
      </c>
      <c r="AL97" s="80" t="str">
        <f t="shared" si="60"/>
      </c>
      <c r="AM97" s="80" t="str">
        <f t="shared" si="60"/>
      </c>
      <c r="AN97" s="80" t="str">
        <f t="shared" si="60"/>
      </c>
      <c r="AO97" s="80" t="str">
        <f t="shared" si="60"/>
      </c>
      <c r="AP97" s="80" t="str">
        <f t="shared" si="60"/>
      </c>
      <c r="AQ97" s="80" t="str">
        <f t="shared" si="60"/>
      </c>
      <c r="AR97" s="80" t="str">
        <f t="shared" si="60"/>
      </c>
      <c r="AS97" s="80" t="str">
        <f t="shared" si="60"/>
      </c>
      <c r="AT97" s="80" t="str">
        <f t="shared" si="60"/>
      </c>
      <c r="AU97" s="80" t="str">
        <f t="shared" si="60"/>
      </c>
    </row>
    <row r="98" spans="1:47" x14ac:dyDescent="0.25">
      <c r="A98" s="23" t="str">
        <f t="shared" si="36"/>
      </c>
      <c r="B98" s="23">
        <f t="shared" si="36"/>
      </c>
      <c r="C98" s="80" t="str">
        <f t="shared" ref="C98" si="61">IF(ISBLANK(C47),"NO DATA",IF(OR(C47&lt;C$63,ISNUMBER(C47)=FALSE),C$64,C47))</f>
      </c>
      <c r="D98" s="80" t="str">
        <f t="shared" ref="D98:AU98" si="62">IF(ISBLANK(D47),"NO DATA",IF(OR(D47&lt;D$63,ISNUMBER(D47)=FALSE),D$64,D47))</f>
      </c>
      <c r="E98" s="80" t="str">
        <f t="shared" si="62"/>
      </c>
      <c r="F98" s="80" t="str">
        <f t="shared" si="62"/>
      </c>
      <c r="G98" s="80" t="str">
        <f t="shared" si="62"/>
      </c>
      <c r="H98" s="80" t="str">
        <f t="shared" si="62"/>
      </c>
      <c r="I98" s="80" t="str">
        <f t="shared" si="62"/>
      </c>
      <c r="J98" s="80" t="str">
        <f t="shared" si="62"/>
      </c>
      <c r="K98" s="80" t="str">
        <f t="shared" si="62"/>
      </c>
      <c r="L98" s="80" t="str">
        <f t="shared" si="62"/>
      </c>
      <c r="M98" s="80" t="str">
        <f t="shared" si="62"/>
      </c>
      <c r="N98" s="80" t="str">
        <f t="shared" si="62"/>
      </c>
      <c r="O98" s="80" t="str">
        <f t="shared" si="62"/>
      </c>
      <c r="P98" s="80" t="str">
        <f t="shared" si="62"/>
      </c>
      <c r="Q98" s="80" t="str">
        <f t="shared" si="62"/>
      </c>
      <c r="R98" s="80" t="str">
        <f t="shared" si="62"/>
      </c>
      <c r="S98" s="80" t="str">
        <f t="shared" si="62"/>
      </c>
      <c r="T98" s="80" t="str">
        <f t="shared" si="62"/>
      </c>
      <c r="U98" s="80" t="str">
        <f t="shared" si="62"/>
      </c>
      <c r="V98" s="80" t="str">
        <f t="shared" si="62"/>
      </c>
      <c r="W98" s="80" t="str">
        <f t="shared" si="62"/>
      </c>
      <c r="X98" s="80" t="str">
        <f t="shared" si="62"/>
      </c>
      <c r="Y98" s="80" t="str">
        <f t="shared" si="62"/>
      </c>
      <c r="Z98" s="80" t="str">
        <f t="shared" si="62"/>
      </c>
      <c r="AA98" s="80" t="str">
        <f t="shared" si="62"/>
      </c>
      <c r="AB98" s="80" t="str">
        <f t="shared" si="62"/>
      </c>
      <c r="AC98" s="80" t="str">
        <f t="shared" si="62"/>
      </c>
      <c r="AD98" s="80" t="str">
        <f t="shared" si="62"/>
      </c>
      <c r="AE98" s="80" t="str">
        <f t="shared" si="62"/>
      </c>
      <c r="AF98" s="80" t="str">
        <f t="shared" si="62"/>
      </c>
      <c r="AG98" s="80" t="str">
        <f t="shared" si="62"/>
      </c>
      <c r="AH98" s="80" t="str">
        <f t="shared" si="62"/>
      </c>
      <c r="AI98" s="80" t="str">
        <f t="shared" si="62"/>
      </c>
      <c r="AJ98" s="80" t="str">
        <f t="shared" si="62"/>
      </c>
      <c r="AK98" s="80" t="str">
        <f t="shared" si="62"/>
      </c>
      <c r="AL98" s="80" t="str">
        <f t="shared" si="62"/>
      </c>
      <c r="AM98" s="80" t="str">
        <f t="shared" si="62"/>
      </c>
      <c r="AN98" s="80" t="str">
        <f t="shared" si="62"/>
      </c>
      <c r="AO98" s="80" t="str">
        <f t="shared" si="62"/>
      </c>
      <c r="AP98" s="80" t="str">
        <f t="shared" si="62"/>
      </c>
      <c r="AQ98" s="80" t="str">
        <f t="shared" si="62"/>
      </c>
      <c r="AR98" s="80" t="str">
        <f t="shared" si="62"/>
      </c>
      <c r="AS98" s="80" t="str">
        <f t="shared" si="62"/>
      </c>
      <c r="AT98" s="80" t="str">
        <f t="shared" si="62"/>
      </c>
      <c r="AU98" s="80" t="str">
        <f t="shared" si="62"/>
      </c>
    </row>
    <row r="99" spans="1:47" x14ac:dyDescent="0.25">
      <c r="A99" s="23" t="str">
        <f t="shared" si="36"/>
      </c>
      <c r="B99" s="23">
        <f t="shared" si="36"/>
      </c>
      <c r="C99" s="80" t="str">
        <f t="shared" ref="C99" si="63">IF(ISBLANK(C48),"NO DATA",IF(OR(C48&lt;C$63,ISNUMBER(C48)=FALSE),C$64,C48))</f>
      </c>
      <c r="D99" s="80" t="str">
        <f t="shared" ref="D99:AU99" si="64">IF(ISBLANK(D48),"NO DATA",IF(OR(D48&lt;D$63,ISNUMBER(D48)=FALSE),D$64,D48))</f>
      </c>
      <c r="E99" s="80" t="str">
        <f t="shared" si="64"/>
      </c>
      <c r="F99" s="80" t="str">
        <f t="shared" si="64"/>
      </c>
      <c r="G99" s="80" t="str">
        <f t="shared" si="64"/>
      </c>
      <c r="H99" s="80" t="str">
        <f t="shared" si="64"/>
      </c>
      <c r="I99" s="80" t="str">
        <f t="shared" si="64"/>
      </c>
      <c r="J99" s="80" t="str">
        <f t="shared" si="64"/>
      </c>
      <c r="K99" s="80" t="str">
        <f t="shared" si="64"/>
      </c>
      <c r="L99" s="80" t="str">
        <f t="shared" si="64"/>
      </c>
      <c r="M99" s="80" t="str">
        <f t="shared" si="64"/>
      </c>
      <c r="N99" s="80" t="str">
        <f t="shared" si="64"/>
      </c>
      <c r="O99" s="80" t="str">
        <f t="shared" si="64"/>
      </c>
      <c r="P99" s="80" t="str">
        <f t="shared" si="64"/>
      </c>
      <c r="Q99" s="80" t="str">
        <f t="shared" si="64"/>
      </c>
      <c r="R99" s="80" t="str">
        <f t="shared" si="64"/>
      </c>
      <c r="S99" s="80" t="str">
        <f t="shared" si="64"/>
      </c>
      <c r="T99" s="80" t="str">
        <f t="shared" si="64"/>
      </c>
      <c r="U99" s="80" t="str">
        <f t="shared" si="64"/>
      </c>
      <c r="V99" s="80" t="str">
        <f t="shared" si="64"/>
      </c>
      <c r="W99" s="80" t="str">
        <f t="shared" si="64"/>
      </c>
      <c r="X99" s="80" t="str">
        <f t="shared" si="64"/>
      </c>
      <c r="Y99" s="80" t="str">
        <f t="shared" si="64"/>
      </c>
      <c r="Z99" s="80" t="str">
        <f t="shared" si="64"/>
      </c>
      <c r="AA99" s="80" t="str">
        <f t="shared" si="64"/>
      </c>
      <c r="AB99" s="80" t="str">
        <f t="shared" si="64"/>
      </c>
      <c r="AC99" s="80" t="str">
        <f t="shared" si="64"/>
      </c>
      <c r="AD99" s="80" t="str">
        <f t="shared" si="64"/>
      </c>
      <c r="AE99" s="80" t="str">
        <f t="shared" si="64"/>
      </c>
      <c r="AF99" s="80" t="str">
        <f t="shared" si="64"/>
      </c>
      <c r="AG99" s="80" t="str">
        <f t="shared" si="64"/>
      </c>
      <c r="AH99" s="80" t="str">
        <f t="shared" si="64"/>
      </c>
      <c r="AI99" s="80" t="str">
        <f t="shared" si="64"/>
      </c>
      <c r="AJ99" s="80" t="str">
        <f t="shared" si="64"/>
      </c>
      <c r="AK99" s="80" t="str">
        <f t="shared" si="64"/>
      </c>
      <c r="AL99" s="80" t="str">
        <f t="shared" si="64"/>
      </c>
      <c r="AM99" s="80" t="str">
        <f t="shared" si="64"/>
      </c>
      <c r="AN99" s="80" t="str">
        <f t="shared" si="64"/>
      </c>
      <c r="AO99" s="80" t="str">
        <f t="shared" si="64"/>
      </c>
      <c r="AP99" s="80" t="str">
        <f t="shared" si="64"/>
      </c>
      <c r="AQ99" s="80" t="str">
        <f t="shared" si="64"/>
      </c>
      <c r="AR99" s="80" t="str">
        <f t="shared" si="64"/>
      </c>
      <c r="AS99" s="80" t="str">
        <f t="shared" si="64"/>
      </c>
      <c r="AT99" s="80" t="str">
        <f t="shared" si="64"/>
      </c>
      <c r="AU99" s="80" t="str">
        <f t="shared" si="64"/>
      </c>
    </row>
    <row r="100" spans="1:47" x14ac:dyDescent="0.25">
      <c r="A100" s="23" t="str">
        <f t="shared" si="36"/>
      </c>
      <c r="B100" s="23">
        <f t="shared" si="36"/>
      </c>
      <c r="C100" s="80" t="str">
        <f t="shared" ref="C100" si="65">IF(ISBLANK(C49),"NO DATA",IF(OR(C49&lt;C$63,ISNUMBER(C49)=FALSE),C$64,C49))</f>
      </c>
      <c r="D100" s="80" t="str">
        <f t="shared" ref="D100:AU100" si="66">IF(ISBLANK(D49),"NO DATA",IF(OR(D49&lt;D$63,ISNUMBER(D49)=FALSE),D$64,D49))</f>
      </c>
      <c r="E100" s="80" t="str">
        <f t="shared" si="66"/>
      </c>
      <c r="F100" s="80" t="str">
        <f t="shared" si="66"/>
      </c>
      <c r="G100" s="80" t="str">
        <f t="shared" si="66"/>
      </c>
      <c r="H100" s="80" t="str">
        <f t="shared" si="66"/>
      </c>
      <c r="I100" s="80" t="str">
        <f t="shared" si="66"/>
      </c>
      <c r="J100" s="80" t="str">
        <f t="shared" si="66"/>
      </c>
      <c r="K100" s="80" t="str">
        <f t="shared" si="66"/>
      </c>
      <c r="L100" s="80" t="str">
        <f t="shared" si="66"/>
      </c>
      <c r="M100" s="80" t="str">
        <f t="shared" si="66"/>
      </c>
      <c r="N100" s="80" t="str">
        <f t="shared" si="66"/>
      </c>
      <c r="O100" s="80" t="str">
        <f t="shared" si="66"/>
      </c>
      <c r="P100" s="80" t="str">
        <f t="shared" si="66"/>
      </c>
      <c r="Q100" s="80" t="str">
        <f t="shared" si="66"/>
      </c>
      <c r="R100" s="80" t="str">
        <f t="shared" si="66"/>
      </c>
      <c r="S100" s="80" t="str">
        <f t="shared" si="66"/>
      </c>
      <c r="T100" s="80" t="str">
        <f t="shared" si="66"/>
      </c>
      <c r="U100" s="80" t="str">
        <f t="shared" si="66"/>
      </c>
      <c r="V100" s="80" t="str">
        <f t="shared" si="66"/>
      </c>
      <c r="W100" s="80" t="str">
        <f t="shared" si="66"/>
      </c>
      <c r="X100" s="80" t="str">
        <f t="shared" si="66"/>
      </c>
      <c r="Y100" s="80" t="str">
        <f t="shared" si="66"/>
      </c>
      <c r="Z100" s="80" t="str">
        <f t="shared" si="66"/>
      </c>
      <c r="AA100" s="80" t="str">
        <f t="shared" si="66"/>
      </c>
      <c r="AB100" s="80" t="str">
        <f t="shared" si="66"/>
      </c>
      <c r="AC100" s="80" t="str">
        <f t="shared" si="66"/>
      </c>
      <c r="AD100" s="80" t="str">
        <f t="shared" si="66"/>
      </c>
      <c r="AE100" s="80" t="str">
        <f t="shared" si="66"/>
      </c>
      <c r="AF100" s="80" t="str">
        <f t="shared" si="66"/>
      </c>
      <c r="AG100" s="80" t="str">
        <f t="shared" si="66"/>
      </c>
      <c r="AH100" s="80" t="str">
        <f t="shared" si="66"/>
      </c>
      <c r="AI100" s="80" t="str">
        <f t="shared" si="66"/>
      </c>
      <c r="AJ100" s="80" t="str">
        <f t="shared" si="66"/>
      </c>
      <c r="AK100" s="80" t="str">
        <f t="shared" si="66"/>
      </c>
      <c r="AL100" s="80" t="str">
        <f t="shared" si="66"/>
      </c>
      <c r="AM100" s="80" t="str">
        <f t="shared" si="66"/>
      </c>
      <c r="AN100" s="80" t="str">
        <f t="shared" si="66"/>
      </c>
      <c r="AO100" s="80" t="str">
        <f t="shared" si="66"/>
      </c>
      <c r="AP100" s="80" t="str">
        <f t="shared" si="66"/>
      </c>
      <c r="AQ100" s="80" t="str">
        <f t="shared" si="66"/>
      </c>
      <c r="AR100" s="80" t="str">
        <f t="shared" si="66"/>
      </c>
      <c r="AS100" s="80" t="str">
        <f t="shared" si="66"/>
      </c>
      <c r="AT100" s="80" t="str">
        <f t="shared" si="66"/>
      </c>
      <c r="AU100" s="80" t="str">
        <f t="shared" si="66"/>
      </c>
    </row>
    <row r="101" spans="1:47" x14ac:dyDescent="0.25">
      <c r="A101" s="23" t="str">
        <f t="shared" si="36"/>
      </c>
      <c r="B101" s="23">
        <f t="shared" si="36"/>
      </c>
      <c r="C101" s="80" t="str">
        <f t="shared" ref="C101" si="67">IF(ISBLANK(C50),"NO DATA",IF(OR(C50&lt;C$63,ISNUMBER(C50)=FALSE),C$64,C50))</f>
      </c>
      <c r="D101" s="80" t="str">
        <f t="shared" ref="D101:AU101" si="68">IF(ISBLANK(D50),"NO DATA",IF(OR(D50&lt;D$63,ISNUMBER(D50)=FALSE),D$64,D50))</f>
      </c>
      <c r="E101" s="80" t="str">
        <f t="shared" si="68"/>
      </c>
      <c r="F101" s="80" t="str">
        <f t="shared" si="68"/>
      </c>
      <c r="G101" s="80" t="str">
        <f t="shared" si="68"/>
      </c>
      <c r="H101" s="80" t="str">
        <f t="shared" si="68"/>
      </c>
      <c r="I101" s="80" t="str">
        <f t="shared" si="68"/>
      </c>
      <c r="J101" s="80" t="str">
        <f t="shared" si="68"/>
      </c>
      <c r="K101" s="80" t="str">
        <f t="shared" si="68"/>
      </c>
      <c r="L101" s="80" t="str">
        <f t="shared" si="68"/>
      </c>
      <c r="M101" s="80" t="str">
        <f t="shared" si="68"/>
      </c>
      <c r="N101" s="80" t="str">
        <f t="shared" si="68"/>
      </c>
      <c r="O101" s="80" t="str">
        <f t="shared" si="68"/>
      </c>
      <c r="P101" s="80" t="str">
        <f t="shared" si="68"/>
      </c>
      <c r="Q101" s="80" t="str">
        <f t="shared" si="68"/>
      </c>
      <c r="R101" s="80" t="str">
        <f t="shared" si="68"/>
      </c>
      <c r="S101" s="80" t="str">
        <f t="shared" si="68"/>
      </c>
      <c r="T101" s="80" t="str">
        <f t="shared" si="68"/>
      </c>
      <c r="U101" s="80" t="str">
        <f t="shared" si="68"/>
      </c>
      <c r="V101" s="80" t="str">
        <f t="shared" si="68"/>
      </c>
      <c r="W101" s="80" t="str">
        <f t="shared" si="68"/>
      </c>
      <c r="X101" s="80" t="str">
        <f t="shared" si="68"/>
      </c>
      <c r="Y101" s="80" t="str">
        <f t="shared" si="68"/>
      </c>
      <c r="Z101" s="80" t="str">
        <f t="shared" si="68"/>
      </c>
      <c r="AA101" s="80" t="str">
        <f t="shared" si="68"/>
      </c>
      <c r="AB101" s="80" t="str">
        <f t="shared" si="68"/>
      </c>
      <c r="AC101" s="80" t="str">
        <f t="shared" si="68"/>
      </c>
      <c r="AD101" s="80" t="str">
        <f t="shared" si="68"/>
      </c>
      <c r="AE101" s="80" t="str">
        <f t="shared" si="68"/>
      </c>
      <c r="AF101" s="80" t="str">
        <f t="shared" si="68"/>
      </c>
      <c r="AG101" s="80" t="str">
        <f t="shared" si="68"/>
      </c>
      <c r="AH101" s="80" t="str">
        <f t="shared" si="68"/>
      </c>
      <c r="AI101" s="80" t="str">
        <f t="shared" si="68"/>
      </c>
      <c r="AJ101" s="80" t="str">
        <f t="shared" si="68"/>
      </c>
      <c r="AK101" s="80" t="str">
        <f t="shared" si="68"/>
      </c>
      <c r="AL101" s="80" t="str">
        <f t="shared" si="68"/>
      </c>
      <c r="AM101" s="80" t="str">
        <f t="shared" si="68"/>
      </c>
      <c r="AN101" s="80" t="str">
        <f t="shared" si="68"/>
      </c>
      <c r="AO101" s="80" t="str">
        <f t="shared" si="68"/>
      </c>
      <c r="AP101" s="80" t="str">
        <f t="shared" si="68"/>
      </c>
      <c r="AQ101" s="80" t="str">
        <f t="shared" si="68"/>
      </c>
      <c r="AR101" s="80" t="str">
        <f t="shared" si="68"/>
      </c>
      <c r="AS101" s="80" t="str">
        <f t="shared" si="68"/>
      </c>
      <c r="AT101" s="80" t="str">
        <f t="shared" si="68"/>
      </c>
      <c r="AU101" s="80" t="str">
        <f t="shared" si="68"/>
      </c>
    </row>
    <row r="102" spans="1:47" x14ac:dyDescent="0.25">
      <c r="A102" s="23" t="str">
        <f t="shared" ref="A102:B113" si="69">A51</f>
      </c>
      <c r="B102" s="23">
        <f t="shared" si="69"/>
      </c>
      <c r="C102" s="80" t="str">
        <f t="shared" ref="C102" si="70">IF(ISBLANK(C51),"NO DATA",IF(OR(C51&lt;C$63,ISNUMBER(C51)=FALSE),C$64,C51))</f>
      </c>
      <c r="D102" s="80" t="str">
        <f t="shared" ref="D102:AU102" si="71">IF(ISBLANK(D51),"NO DATA",IF(OR(D51&lt;D$63,ISNUMBER(D51)=FALSE),D$64,D51))</f>
      </c>
      <c r="E102" s="80" t="str">
        <f t="shared" si="71"/>
      </c>
      <c r="F102" s="80" t="str">
        <f t="shared" si="71"/>
      </c>
      <c r="G102" s="80" t="str">
        <f t="shared" si="71"/>
      </c>
      <c r="H102" s="80" t="str">
        <f t="shared" si="71"/>
      </c>
      <c r="I102" s="80" t="str">
        <f t="shared" si="71"/>
      </c>
      <c r="J102" s="80" t="str">
        <f t="shared" si="71"/>
      </c>
      <c r="K102" s="80" t="str">
        <f t="shared" si="71"/>
      </c>
      <c r="L102" s="80" t="str">
        <f t="shared" si="71"/>
      </c>
      <c r="M102" s="80" t="str">
        <f t="shared" si="71"/>
      </c>
      <c r="N102" s="80" t="str">
        <f t="shared" si="71"/>
      </c>
      <c r="O102" s="80" t="str">
        <f t="shared" si="71"/>
      </c>
      <c r="P102" s="80" t="str">
        <f t="shared" si="71"/>
      </c>
      <c r="Q102" s="80" t="str">
        <f t="shared" si="71"/>
      </c>
      <c r="R102" s="80" t="str">
        <f t="shared" si="71"/>
      </c>
      <c r="S102" s="80" t="str">
        <f t="shared" si="71"/>
      </c>
      <c r="T102" s="80" t="str">
        <f t="shared" si="71"/>
      </c>
      <c r="U102" s="80" t="str">
        <f t="shared" si="71"/>
      </c>
      <c r="V102" s="80" t="str">
        <f t="shared" si="71"/>
      </c>
      <c r="W102" s="80" t="str">
        <f t="shared" si="71"/>
      </c>
      <c r="X102" s="80" t="str">
        <f t="shared" si="71"/>
      </c>
      <c r="Y102" s="80" t="str">
        <f t="shared" si="71"/>
      </c>
      <c r="Z102" s="80" t="str">
        <f t="shared" si="71"/>
      </c>
      <c r="AA102" s="80" t="str">
        <f t="shared" si="71"/>
      </c>
      <c r="AB102" s="80" t="str">
        <f t="shared" si="71"/>
      </c>
      <c r="AC102" s="80" t="str">
        <f t="shared" si="71"/>
      </c>
      <c r="AD102" s="80" t="str">
        <f t="shared" si="71"/>
      </c>
      <c r="AE102" s="80" t="str">
        <f t="shared" si="71"/>
      </c>
      <c r="AF102" s="80" t="str">
        <f t="shared" si="71"/>
      </c>
      <c r="AG102" s="80" t="str">
        <f t="shared" si="71"/>
      </c>
      <c r="AH102" s="80" t="str">
        <f t="shared" si="71"/>
      </c>
      <c r="AI102" s="80" t="str">
        <f t="shared" si="71"/>
      </c>
      <c r="AJ102" s="80" t="str">
        <f t="shared" si="71"/>
      </c>
      <c r="AK102" s="80" t="str">
        <f t="shared" si="71"/>
      </c>
      <c r="AL102" s="80" t="str">
        <f t="shared" si="71"/>
      </c>
      <c r="AM102" s="80" t="str">
        <f t="shared" si="71"/>
      </c>
      <c r="AN102" s="80" t="str">
        <f t="shared" si="71"/>
      </c>
      <c r="AO102" s="80" t="str">
        <f t="shared" si="71"/>
      </c>
      <c r="AP102" s="80" t="str">
        <f t="shared" si="71"/>
      </c>
      <c r="AQ102" s="80" t="str">
        <f t="shared" si="71"/>
      </c>
      <c r="AR102" s="80" t="str">
        <f t="shared" si="71"/>
      </c>
      <c r="AS102" s="80" t="str">
        <f t="shared" si="71"/>
      </c>
      <c r="AT102" s="80" t="str">
        <f t="shared" si="71"/>
      </c>
      <c r="AU102" s="80" t="str">
        <f t="shared" si="71"/>
      </c>
    </row>
    <row r="103" spans="1:47" x14ac:dyDescent="0.25">
      <c r="A103" s="23" t="str">
        <f t="shared" si="69"/>
      </c>
      <c r="B103" s="23">
        <f t="shared" si="69"/>
      </c>
      <c r="C103" s="80" t="str">
        <f t="shared" ref="C103" si="72">IF(ISBLANK(C52),"NO DATA",IF(OR(C52&lt;C$63,ISNUMBER(C52)=FALSE),C$64,C52))</f>
      </c>
      <c r="D103" s="80" t="str">
        <f t="shared" ref="D103:AU103" si="73">IF(ISBLANK(D52),"NO DATA",IF(OR(D52&lt;D$63,ISNUMBER(D52)=FALSE),D$64,D52))</f>
      </c>
      <c r="E103" s="80" t="str">
        <f t="shared" si="73"/>
      </c>
      <c r="F103" s="80" t="str">
        <f t="shared" si="73"/>
      </c>
      <c r="G103" s="80" t="str">
        <f t="shared" si="73"/>
      </c>
      <c r="H103" s="80" t="str">
        <f t="shared" si="73"/>
      </c>
      <c r="I103" s="80" t="str">
        <f t="shared" si="73"/>
      </c>
      <c r="J103" s="80" t="str">
        <f t="shared" si="73"/>
      </c>
      <c r="K103" s="80" t="str">
        <f t="shared" si="73"/>
      </c>
      <c r="L103" s="80" t="str">
        <f t="shared" si="73"/>
      </c>
      <c r="M103" s="80" t="str">
        <f t="shared" si="73"/>
      </c>
      <c r="N103" s="80" t="str">
        <f t="shared" si="73"/>
      </c>
      <c r="O103" s="80" t="str">
        <f t="shared" si="73"/>
      </c>
      <c r="P103" s="80" t="str">
        <f t="shared" si="73"/>
      </c>
      <c r="Q103" s="80" t="str">
        <f t="shared" si="73"/>
      </c>
      <c r="R103" s="80" t="str">
        <f t="shared" si="73"/>
      </c>
      <c r="S103" s="80" t="str">
        <f t="shared" si="73"/>
      </c>
      <c r="T103" s="80" t="str">
        <f t="shared" si="73"/>
      </c>
      <c r="U103" s="80" t="str">
        <f t="shared" si="73"/>
      </c>
      <c r="V103" s="80" t="str">
        <f t="shared" si="73"/>
      </c>
      <c r="W103" s="80" t="str">
        <f t="shared" si="73"/>
      </c>
      <c r="X103" s="80" t="str">
        <f t="shared" si="73"/>
      </c>
      <c r="Y103" s="80" t="str">
        <f t="shared" si="73"/>
      </c>
      <c r="Z103" s="80" t="str">
        <f t="shared" si="73"/>
      </c>
      <c r="AA103" s="80" t="str">
        <f t="shared" si="73"/>
      </c>
      <c r="AB103" s="80" t="str">
        <f t="shared" si="73"/>
      </c>
      <c r="AC103" s="80" t="str">
        <f t="shared" si="73"/>
      </c>
      <c r="AD103" s="80" t="str">
        <f t="shared" si="73"/>
      </c>
      <c r="AE103" s="80" t="str">
        <f t="shared" si="73"/>
      </c>
      <c r="AF103" s="80" t="str">
        <f t="shared" si="73"/>
      </c>
      <c r="AG103" s="80" t="str">
        <f t="shared" si="73"/>
      </c>
      <c r="AH103" s="80" t="str">
        <f t="shared" si="73"/>
      </c>
      <c r="AI103" s="80" t="str">
        <f t="shared" si="73"/>
      </c>
      <c r="AJ103" s="80" t="str">
        <f t="shared" si="73"/>
      </c>
      <c r="AK103" s="80" t="str">
        <f t="shared" si="73"/>
      </c>
      <c r="AL103" s="80" t="str">
        <f t="shared" si="73"/>
      </c>
      <c r="AM103" s="80" t="str">
        <f t="shared" si="73"/>
      </c>
      <c r="AN103" s="80" t="str">
        <f t="shared" si="73"/>
      </c>
      <c r="AO103" s="80" t="str">
        <f t="shared" si="73"/>
      </c>
      <c r="AP103" s="80" t="str">
        <f t="shared" si="73"/>
      </c>
      <c r="AQ103" s="80" t="str">
        <f t="shared" si="73"/>
      </c>
      <c r="AR103" s="80" t="str">
        <f t="shared" si="73"/>
      </c>
      <c r="AS103" s="80" t="str">
        <f t="shared" si="73"/>
      </c>
      <c r="AT103" s="80" t="str">
        <f t="shared" si="73"/>
      </c>
      <c r="AU103" s="80" t="str">
        <f t="shared" si="73"/>
      </c>
    </row>
    <row r="104" spans="1:47" x14ac:dyDescent="0.25">
      <c r="A104" s="23" t="str">
        <f t="shared" si="69"/>
      </c>
      <c r="B104" s="23">
        <f t="shared" si="69"/>
      </c>
      <c r="C104" s="80" t="str">
        <f t="shared" ref="C104" si="74">IF(ISBLANK(C53),"NO DATA",IF(OR(C53&lt;C$63,ISNUMBER(C53)=FALSE),C$64,C53))</f>
      </c>
      <c r="D104" s="80" t="str">
        <f t="shared" ref="D104:AU104" si="75">IF(ISBLANK(D53),"NO DATA",IF(OR(D53&lt;D$63,ISNUMBER(D53)=FALSE),D$64,D53))</f>
      </c>
      <c r="E104" s="80" t="str">
        <f t="shared" si="75"/>
      </c>
      <c r="F104" s="80" t="str">
        <f t="shared" si="75"/>
      </c>
      <c r="G104" s="80" t="str">
        <f t="shared" si="75"/>
      </c>
      <c r="H104" s="80" t="str">
        <f t="shared" si="75"/>
      </c>
      <c r="I104" s="80" t="str">
        <f t="shared" si="75"/>
      </c>
      <c r="J104" s="80" t="str">
        <f t="shared" si="75"/>
      </c>
      <c r="K104" s="80" t="str">
        <f t="shared" si="75"/>
      </c>
      <c r="L104" s="80" t="str">
        <f t="shared" si="75"/>
      </c>
      <c r="M104" s="80" t="str">
        <f t="shared" si="75"/>
      </c>
      <c r="N104" s="80" t="str">
        <f t="shared" si="75"/>
      </c>
      <c r="O104" s="80" t="str">
        <f t="shared" si="75"/>
      </c>
      <c r="P104" s="80" t="str">
        <f t="shared" si="75"/>
      </c>
      <c r="Q104" s="80" t="str">
        <f t="shared" si="75"/>
      </c>
      <c r="R104" s="80" t="str">
        <f t="shared" si="75"/>
      </c>
      <c r="S104" s="80" t="str">
        <f t="shared" si="75"/>
      </c>
      <c r="T104" s="80" t="str">
        <f t="shared" si="75"/>
      </c>
      <c r="U104" s="80" t="str">
        <f t="shared" si="75"/>
      </c>
      <c r="V104" s="80" t="str">
        <f t="shared" si="75"/>
      </c>
      <c r="W104" s="80" t="str">
        <f t="shared" si="75"/>
      </c>
      <c r="X104" s="80" t="str">
        <f t="shared" si="75"/>
      </c>
      <c r="Y104" s="80" t="str">
        <f t="shared" si="75"/>
      </c>
      <c r="Z104" s="80" t="str">
        <f t="shared" si="75"/>
      </c>
      <c r="AA104" s="80" t="str">
        <f t="shared" si="75"/>
      </c>
      <c r="AB104" s="80" t="str">
        <f t="shared" si="75"/>
      </c>
      <c r="AC104" s="80" t="str">
        <f t="shared" si="75"/>
      </c>
      <c r="AD104" s="80" t="str">
        <f t="shared" si="75"/>
      </c>
      <c r="AE104" s="80" t="str">
        <f t="shared" si="75"/>
      </c>
      <c r="AF104" s="80" t="str">
        <f t="shared" si="75"/>
      </c>
      <c r="AG104" s="80" t="str">
        <f t="shared" si="75"/>
      </c>
      <c r="AH104" s="80" t="str">
        <f t="shared" si="75"/>
      </c>
      <c r="AI104" s="80" t="str">
        <f t="shared" si="75"/>
      </c>
      <c r="AJ104" s="80" t="str">
        <f t="shared" si="75"/>
      </c>
      <c r="AK104" s="80" t="str">
        <f t="shared" si="75"/>
      </c>
      <c r="AL104" s="80" t="str">
        <f t="shared" si="75"/>
      </c>
      <c r="AM104" s="80" t="str">
        <f t="shared" si="75"/>
      </c>
      <c r="AN104" s="80" t="str">
        <f t="shared" si="75"/>
      </c>
      <c r="AO104" s="80" t="str">
        <f t="shared" si="75"/>
      </c>
      <c r="AP104" s="80" t="str">
        <f t="shared" si="75"/>
      </c>
      <c r="AQ104" s="80" t="str">
        <f t="shared" si="75"/>
      </c>
      <c r="AR104" s="80" t="str">
        <f t="shared" si="75"/>
      </c>
      <c r="AS104" s="80" t="str">
        <f t="shared" si="75"/>
      </c>
      <c r="AT104" s="80" t="str">
        <f t="shared" si="75"/>
      </c>
      <c r="AU104" s="80" t="str">
        <f t="shared" si="75"/>
      </c>
    </row>
    <row r="105" spans="1:47" x14ac:dyDescent="0.25">
      <c r="A105" s="23" t="str">
        <f t="shared" si="69"/>
      </c>
      <c r="B105" s="23">
        <f t="shared" si="69"/>
      </c>
      <c r="C105" s="80" t="str">
        <f t="shared" ref="C105" si="76">IF(ISBLANK(C54),"NO DATA",IF(OR(C54&lt;C$63,ISNUMBER(C54)=FALSE),C$64,C54))</f>
      </c>
      <c r="D105" s="80" t="str">
        <f t="shared" ref="D105:AU105" si="77">IF(ISBLANK(D54),"NO DATA",IF(OR(D54&lt;D$63,ISNUMBER(D54)=FALSE),D$64,D54))</f>
      </c>
      <c r="E105" s="80" t="str">
        <f t="shared" si="77"/>
      </c>
      <c r="F105" s="80" t="str">
        <f t="shared" si="77"/>
      </c>
      <c r="G105" s="80" t="str">
        <f t="shared" si="77"/>
      </c>
      <c r="H105" s="80" t="str">
        <f t="shared" si="77"/>
      </c>
      <c r="I105" s="80" t="str">
        <f t="shared" si="77"/>
      </c>
      <c r="J105" s="80" t="str">
        <f t="shared" si="77"/>
      </c>
      <c r="K105" s="80" t="str">
        <f t="shared" si="77"/>
      </c>
      <c r="L105" s="80" t="str">
        <f t="shared" si="77"/>
      </c>
      <c r="M105" s="80" t="str">
        <f t="shared" si="77"/>
      </c>
      <c r="N105" s="80" t="str">
        <f t="shared" si="77"/>
      </c>
      <c r="O105" s="80" t="str">
        <f t="shared" si="77"/>
      </c>
      <c r="P105" s="80" t="str">
        <f t="shared" si="77"/>
      </c>
      <c r="Q105" s="80" t="str">
        <f t="shared" si="77"/>
      </c>
      <c r="R105" s="80" t="str">
        <f t="shared" si="77"/>
      </c>
      <c r="S105" s="80" t="str">
        <f t="shared" si="77"/>
      </c>
      <c r="T105" s="80" t="str">
        <f t="shared" si="77"/>
      </c>
      <c r="U105" s="80" t="str">
        <f t="shared" si="77"/>
      </c>
      <c r="V105" s="80" t="str">
        <f t="shared" si="77"/>
      </c>
      <c r="W105" s="80" t="str">
        <f t="shared" si="77"/>
      </c>
      <c r="X105" s="80" t="str">
        <f t="shared" si="77"/>
      </c>
      <c r="Y105" s="80" t="str">
        <f t="shared" si="77"/>
      </c>
      <c r="Z105" s="80" t="str">
        <f t="shared" si="77"/>
      </c>
      <c r="AA105" s="80" t="str">
        <f t="shared" si="77"/>
      </c>
      <c r="AB105" s="80" t="str">
        <f t="shared" si="77"/>
      </c>
      <c r="AC105" s="80" t="str">
        <f t="shared" si="77"/>
      </c>
      <c r="AD105" s="80" t="str">
        <f t="shared" si="77"/>
      </c>
      <c r="AE105" s="80" t="str">
        <f t="shared" si="77"/>
      </c>
      <c r="AF105" s="80" t="str">
        <f t="shared" si="77"/>
      </c>
      <c r="AG105" s="80" t="str">
        <f t="shared" si="77"/>
      </c>
      <c r="AH105" s="80" t="str">
        <f t="shared" si="77"/>
      </c>
      <c r="AI105" s="80" t="str">
        <f t="shared" si="77"/>
      </c>
      <c r="AJ105" s="80" t="str">
        <f t="shared" si="77"/>
      </c>
      <c r="AK105" s="80" t="str">
        <f t="shared" si="77"/>
      </c>
      <c r="AL105" s="80" t="str">
        <f t="shared" si="77"/>
      </c>
      <c r="AM105" s="80" t="str">
        <f t="shared" si="77"/>
      </c>
      <c r="AN105" s="80" t="str">
        <f t="shared" si="77"/>
      </c>
      <c r="AO105" s="80" t="str">
        <f t="shared" si="77"/>
      </c>
      <c r="AP105" s="80" t="str">
        <f t="shared" si="77"/>
      </c>
      <c r="AQ105" s="80" t="str">
        <f t="shared" si="77"/>
      </c>
      <c r="AR105" s="80" t="str">
        <f t="shared" si="77"/>
      </c>
      <c r="AS105" s="80" t="str">
        <f t="shared" si="77"/>
      </c>
      <c r="AT105" s="80" t="str">
        <f t="shared" si="77"/>
      </c>
      <c r="AU105" s="80" t="str">
        <f t="shared" si="77"/>
      </c>
    </row>
    <row r="106" spans="1:47" x14ac:dyDescent="0.25">
      <c r="A106" s="23" t="str">
        <f t="shared" si="69"/>
      </c>
      <c r="B106" s="23">
        <f t="shared" si="69"/>
      </c>
      <c r="C106" s="80" t="str">
        <f t="shared" ref="C106" si="78">IF(ISBLANK(C55),"NO DATA",IF(OR(C55&lt;C$63,ISNUMBER(C55)=FALSE),C$64,C55))</f>
      </c>
      <c r="D106" s="80" t="str">
        <f t="shared" ref="D106:AU106" si="79">IF(ISBLANK(D55),"NO DATA",IF(OR(D55&lt;D$63,ISNUMBER(D55)=FALSE),D$64,D55))</f>
      </c>
      <c r="E106" s="80" t="str">
        <f t="shared" si="79"/>
      </c>
      <c r="F106" s="80" t="str">
        <f t="shared" si="79"/>
      </c>
      <c r="G106" s="80" t="str">
        <f t="shared" si="79"/>
      </c>
      <c r="H106" s="80" t="str">
        <f t="shared" si="79"/>
      </c>
      <c r="I106" s="80" t="str">
        <f t="shared" si="79"/>
      </c>
      <c r="J106" s="80" t="str">
        <f t="shared" si="79"/>
      </c>
      <c r="K106" s="80" t="str">
        <f t="shared" si="79"/>
      </c>
      <c r="L106" s="80" t="str">
        <f t="shared" si="79"/>
      </c>
      <c r="M106" s="80" t="str">
        <f t="shared" si="79"/>
      </c>
      <c r="N106" s="80" t="str">
        <f t="shared" si="79"/>
      </c>
      <c r="O106" s="80" t="str">
        <f t="shared" si="79"/>
      </c>
      <c r="P106" s="80" t="str">
        <f t="shared" si="79"/>
      </c>
      <c r="Q106" s="80" t="str">
        <f t="shared" si="79"/>
      </c>
      <c r="R106" s="80" t="str">
        <f t="shared" si="79"/>
      </c>
      <c r="S106" s="80" t="str">
        <f t="shared" si="79"/>
      </c>
      <c r="T106" s="80" t="str">
        <f t="shared" si="79"/>
      </c>
      <c r="U106" s="80" t="str">
        <f t="shared" si="79"/>
      </c>
      <c r="V106" s="80" t="str">
        <f t="shared" si="79"/>
      </c>
      <c r="W106" s="80" t="str">
        <f t="shared" si="79"/>
      </c>
      <c r="X106" s="80" t="str">
        <f t="shared" si="79"/>
      </c>
      <c r="Y106" s="80" t="str">
        <f t="shared" si="79"/>
      </c>
      <c r="Z106" s="80" t="str">
        <f t="shared" si="79"/>
      </c>
      <c r="AA106" s="80" t="str">
        <f t="shared" si="79"/>
      </c>
      <c r="AB106" s="80" t="str">
        <f t="shared" si="79"/>
      </c>
      <c r="AC106" s="80" t="str">
        <f t="shared" si="79"/>
      </c>
      <c r="AD106" s="80" t="str">
        <f t="shared" si="79"/>
      </c>
      <c r="AE106" s="80" t="str">
        <f t="shared" si="79"/>
      </c>
      <c r="AF106" s="80" t="str">
        <f t="shared" si="79"/>
      </c>
      <c r="AG106" s="80" t="str">
        <f t="shared" si="79"/>
      </c>
      <c r="AH106" s="80" t="str">
        <f t="shared" si="79"/>
      </c>
      <c r="AI106" s="80" t="str">
        <f t="shared" si="79"/>
      </c>
      <c r="AJ106" s="80" t="str">
        <f t="shared" si="79"/>
      </c>
      <c r="AK106" s="80" t="str">
        <f t="shared" si="79"/>
      </c>
      <c r="AL106" s="80" t="str">
        <f t="shared" si="79"/>
      </c>
      <c r="AM106" s="80" t="str">
        <f t="shared" si="79"/>
      </c>
      <c r="AN106" s="80" t="str">
        <f t="shared" si="79"/>
      </c>
      <c r="AO106" s="80" t="str">
        <f t="shared" si="79"/>
      </c>
      <c r="AP106" s="80" t="str">
        <f t="shared" si="79"/>
      </c>
      <c r="AQ106" s="80" t="str">
        <f t="shared" si="79"/>
      </c>
      <c r="AR106" s="80" t="str">
        <f t="shared" si="79"/>
      </c>
      <c r="AS106" s="80" t="str">
        <f t="shared" si="79"/>
      </c>
      <c r="AT106" s="80" t="str">
        <f t="shared" si="79"/>
      </c>
      <c r="AU106" s="80" t="str">
        <f t="shared" si="79"/>
      </c>
    </row>
    <row r="107" spans="1:47" x14ac:dyDescent="0.25">
      <c r="A107" s="23" t="str">
        <f t="shared" si="69"/>
      </c>
      <c r="B107" s="23">
        <f t="shared" si="69"/>
      </c>
      <c r="C107" s="80" t="str">
        <f t="shared" ref="C107" si="80">IF(ISBLANK(C56),"NO DATA",IF(OR(C56&lt;C$63,ISNUMBER(C56)=FALSE),C$64,C56))</f>
      </c>
      <c r="D107" s="80" t="str">
        <f t="shared" ref="D107:AU107" si="81">IF(ISBLANK(D56),"NO DATA",IF(OR(D56&lt;D$63,ISNUMBER(D56)=FALSE),D$64,D56))</f>
      </c>
      <c r="E107" s="80" t="str">
        <f t="shared" si="81"/>
      </c>
      <c r="F107" s="80" t="str">
        <f t="shared" si="81"/>
      </c>
      <c r="G107" s="80" t="str">
        <f t="shared" si="81"/>
      </c>
      <c r="H107" s="80" t="str">
        <f t="shared" si="81"/>
      </c>
      <c r="I107" s="80" t="str">
        <f t="shared" si="81"/>
      </c>
      <c r="J107" s="80" t="str">
        <f t="shared" si="81"/>
      </c>
      <c r="K107" s="80" t="str">
        <f t="shared" si="81"/>
      </c>
      <c r="L107" s="80" t="str">
        <f t="shared" si="81"/>
      </c>
      <c r="M107" s="80" t="str">
        <f t="shared" si="81"/>
      </c>
      <c r="N107" s="80" t="str">
        <f t="shared" si="81"/>
      </c>
      <c r="O107" s="80" t="str">
        <f t="shared" si="81"/>
      </c>
      <c r="P107" s="80" t="str">
        <f t="shared" si="81"/>
      </c>
      <c r="Q107" s="80" t="str">
        <f t="shared" si="81"/>
      </c>
      <c r="R107" s="80" t="str">
        <f t="shared" si="81"/>
      </c>
      <c r="S107" s="80" t="str">
        <f t="shared" si="81"/>
      </c>
      <c r="T107" s="80" t="str">
        <f t="shared" si="81"/>
      </c>
      <c r="U107" s="80" t="str">
        <f t="shared" si="81"/>
      </c>
      <c r="V107" s="80" t="str">
        <f t="shared" si="81"/>
      </c>
      <c r="W107" s="80" t="str">
        <f t="shared" si="81"/>
      </c>
      <c r="X107" s="80" t="str">
        <f t="shared" si="81"/>
      </c>
      <c r="Y107" s="80" t="str">
        <f t="shared" si="81"/>
      </c>
      <c r="Z107" s="80" t="str">
        <f t="shared" si="81"/>
      </c>
      <c r="AA107" s="80" t="str">
        <f t="shared" si="81"/>
      </c>
      <c r="AB107" s="80" t="str">
        <f t="shared" si="81"/>
      </c>
      <c r="AC107" s="80" t="str">
        <f t="shared" si="81"/>
      </c>
      <c r="AD107" s="80" t="str">
        <f t="shared" si="81"/>
      </c>
      <c r="AE107" s="80" t="str">
        <f t="shared" si="81"/>
      </c>
      <c r="AF107" s="80" t="str">
        <f t="shared" si="81"/>
      </c>
      <c r="AG107" s="80" t="str">
        <f t="shared" si="81"/>
      </c>
      <c r="AH107" s="80" t="str">
        <f t="shared" si="81"/>
      </c>
      <c r="AI107" s="80" t="str">
        <f t="shared" si="81"/>
      </c>
      <c r="AJ107" s="80" t="str">
        <f t="shared" si="81"/>
      </c>
      <c r="AK107" s="80" t="str">
        <f t="shared" si="81"/>
      </c>
      <c r="AL107" s="80" t="str">
        <f t="shared" si="81"/>
      </c>
      <c r="AM107" s="80" t="str">
        <f t="shared" si="81"/>
      </c>
      <c r="AN107" s="80" t="str">
        <f t="shared" si="81"/>
      </c>
      <c r="AO107" s="80" t="str">
        <f t="shared" si="81"/>
      </c>
      <c r="AP107" s="80" t="str">
        <f t="shared" si="81"/>
      </c>
      <c r="AQ107" s="80" t="str">
        <f t="shared" si="81"/>
      </c>
      <c r="AR107" s="80" t="str">
        <f t="shared" si="81"/>
      </c>
      <c r="AS107" s="80" t="str">
        <f t="shared" si="81"/>
      </c>
      <c r="AT107" s="80" t="str">
        <f t="shared" si="81"/>
      </c>
      <c r="AU107" s="80" t="str">
        <f t="shared" si="81"/>
      </c>
    </row>
    <row r="108" spans="1:47" x14ac:dyDescent="0.25">
      <c r="A108" s="23" t="str">
        <f t="shared" si="69"/>
      </c>
      <c r="B108" s="23">
        <f t="shared" si="69"/>
      </c>
      <c r="C108" s="80" t="str">
        <f t="shared" ref="C108" si="82">IF(ISBLANK(C57),"NO DATA",IF(OR(C57&lt;C$63,ISNUMBER(C57)=FALSE),C$64,C57))</f>
      </c>
      <c r="D108" s="80" t="str">
        <f t="shared" ref="D108:AU108" si="83">IF(ISBLANK(D57),"NO DATA",IF(OR(D57&lt;D$63,ISNUMBER(D57)=FALSE),D$64,D57))</f>
      </c>
      <c r="E108" s="80" t="str">
        <f t="shared" si="83"/>
      </c>
      <c r="F108" s="80" t="str">
        <f t="shared" si="83"/>
      </c>
      <c r="G108" s="80" t="str">
        <f t="shared" si="83"/>
      </c>
      <c r="H108" s="80" t="str">
        <f t="shared" si="83"/>
      </c>
      <c r="I108" s="80" t="str">
        <f t="shared" si="83"/>
      </c>
      <c r="J108" s="80" t="str">
        <f t="shared" si="83"/>
      </c>
      <c r="K108" s="80" t="str">
        <f t="shared" si="83"/>
      </c>
      <c r="L108" s="80" t="str">
        <f t="shared" si="83"/>
      </c>
      <c r="M108" s="80" t="str">
        <f t="shared" si="83"/>
      </c>
      <c r="N108" s="80" t="str">
        <f t="shared" si="83"/>
      </c>
      <c r="O108" s="80" t="str">
        <f t="shared" si="83"/>
      </c>
      <c r="P108" s="80" t="str">
        <f t="shared" si="83"/>
      </c>
      <c r="Q108" s="80" t="str">
        <f t="shared" si="83"/>
      </c>
      <c r="R108" s="80" t="str">
        <f t="shared" si="83"/>
      </c>
      <c r="S108" s="80" t="str">
        <f t="shared" si="83"/>
      </c>
      <c r="T108" s="80" t="str">
        <f t="shared" si="83"/>
      </c>
      <c r="U108" s="80" t="str">
        <f t="shared" si="83"/>
      </c>
      <c r="V108" s="80" t="str">
        <f t="shared" si="83"/>
      </c>
      <c r="W108" s="80" t="str">
        <f t="shared" si="83"/>
      </c>
      <c r="X108" s="80" t="str">
        <f t="shared" si="83"/>
      </c>
      <c r="Y108" s="80" t="str">
        <f t="shared" si="83"/>
      </c>
      <c r="Z108" s="80" t="str">
        <f t="shared" si="83"/>
      </c>
      <c r="AA108" s="80" t="str">
        <f t="shared" si="83"/>
      </c>
      <c r="AB108" s="80" t="str">
        <f t="shared" si="83"/>
      </c>
      <c r="AC108" s="80" t="str">
        <f t="shared" si="83"/>
      </c>
      <c r="AD108" s="80" t="str">
        <f t="shared" si="83"/>
      </c>
      <c r="AE108" s="80" t="str">
        <f t="shared" si="83"/>
      </c>
      <c r="AF108" s="80" t="str">
        <f t="shared" si="83"/>
      </c>
      <c r="AG108" s="80" t="str">
        <f t="shared" si="83"/>
      </c>
      <c r="AH108" s="80" t="str">
        <f t="shared" si="83"/>
      </c>
      <c r="AI108" s="80" t="str">
        <f t="shared" si="83"/>
      </c>
      <c r="AJ108" s="80" t="str">
        <f t="shared" si="83"/>
      </c>
      <c r="AK108" s="80" t="str">
        <f t="shared" si="83"/>
      </c>
      <c r="AL108" s="80" t="str">
        <f t="shared" si="83"/>
      </c>
      <c r="AM108" s="80" t="str">
        <f t="shared" si="83"/>
      </c>
      <c r="AN108" s="80" t="str">
        <f t="shared" si="83"/>
      </c>
      <c r="AO108" s="80" t="str">
        <f t="shared" si="83"/>
      </c>
      <c r="AP108" s="80" t="str">
        <f t="shared" si="83"/>
      </c>
      <c r="AQ108" s="80" t="str">
        <f t="shared" si="83"/>
      </c>
      <c r="AR108" s="80" t="str">
        <f t="shared" si="83"/>
      </c>
      <c r="AS108" s="80" t="str">
        <f t="shared" si="83"/>
      </c>
      <c r="AT108" s="80" t="str">
        <f t="shared" si="83"/>
      </c>
      <c r="AU108" s="80" t="str">
        <f t="shared" si="83"/>
      </c>
    </row>
    <row r="109" spans="1:47" x14ac:dyDescent="0.25">
      <c r="A109" s="23" t="str">
        <f t="shared" si="69"/>
      </c>
      <c r="B109" s="23">
        <f t="shared" si="69"/>
      </c>
      <c r="C109" s="80" t="str">
        <f t="shared" ref="C109" si="84">IF(ISBLANK(C58),"NO DATA",IF(OR(C58&lt;C$63,ISNUMBER(C58)=FALSE),C$64,C58))</f>
      </c>
      <c r="D109" s="80" t="str">
        <f t="shared" ref="D109:AU109" si="85">IF(ISBLANK(D58),"NO DATA",IF(OR(D58&lt;D$63,ISNUMBER(D58)=FALSE),D$64,D58))</f>
      </c>
      <c r="E109" s="80" t="str">
        <f t="shared" si="85"/>
      </c>
      <c r="F109" s="80" t="str">
        <f t="shared" si="85"/>
      </c>
      <c r="G109" s="80" t="str">
        <f t="shared" si="85"/>
      </c>
      <c r="H109" s="80" t="str">
        <f t="shared" si="85"/>
      </c>
      <c r="I109" s="80" t="str">
        <f t="shared" si="85"/>
      </c>
      <c r="J109" s="80" t="str">
        <f t="shared" si="85"/>
      </c>
      <c r="K109" s="80" t="str">
        <f t="shared" si="85"/>
      </c>
      <c r="L109" s="80" t="str">
        <f t="shared" si="85"/>
      </c>
      <c r="M109" s="80" t="str">
        <f t="shared" si="85"/>
      </c>
      <c r="N109" s="80" t="str">
        <f t="shared" si="85"/>
      </c>
      <c r="O109" s="80" t="str">
        <f t="shared" si="85"/>
      </c>
      <c r="P109" s="80" t="str">
        <f t="shared" si="85"/>
      </c>
      <c r="Q109" s="80" t="str">
        <f t="shared" si="85"/>
      </c>
      <c r="R109" s="80" t="str">
        <f t="shared" si="85"/>
      </c>
      <c r="S109" s="80" t="str">
        <f t="shared" si="85"/>
      </c>
      <c r="T109" s="80" t="str">
        <f t="shared" si="85"/>
      </c>
      <c r="U109" s="80" t="str">
        <f t="shared" si="85"/>
      </c>
      <c r="V109" s="80" t="str">
        <f t="shared" si="85"/>
      </c>
      <c r="W109" s="80" t="str">
        <f t="shared" si="85"/>
      </c>
      <c r="X109" s="80" t="str">
        <f t="shared" si="85"/>
      </c>
      <c r="Y109" s="80" t="str">
        <f t="shared" si="85"/>
      </c>
      <c r="Z109" s="80" t="str">
        <f t="shared" si="85"/>
      </c>
      <c r="AA109" s="80" t="str">
        <f t="shared" si="85"/>
      </c>
      <c r="AB109" s="80" t="str">
        <f t="shared" si="85"/>
      </c>
      <c r="AC109" s="80" t="str">
        <f t="shared" si="85"/>
      </c>
      <c r="AD109" s="80" t="str">
        <f t="shared" si="85"/>
      </c>
      <c r="AE109" s="80" t="str">
        <f t="shared" si="85"/>
      </c>
      <c r="AF109" s="80" t="str">
        <f t="shared" si="85"/>
      </c>
      <c r="AG109" s="80" t="str">
        <f t="shared" si="85"/>
      </c>
      <c r="AH109" s="80" t="str">
        <f t="shared" si="85"/>
      </c>
      <c r="AI109" s="80" t="str">
        <f t="shared" si="85"/>
      </c>
      <c r="AJ109" s="80" t="str">
        <f t="shared" si="85"/>
      </c>
      <c r="AK109" s="80" t="str">
        <f t="shared" si="85"/>
      </c>
      <c r="AL109" s="80" t="str">
        <f t="shared" si="85"/>
      </c>
      <c r="AM109" s="80" t="str">
        <f t="shared" si="85"/>
      </c>
      <c r="AN109" s="80" t="str">
        <f t="shared" si="85"/>
      </c>
      <c r="AO109" s="80" t="str">
        <f t="shared" si="85"/>
      </c>
      <c r="AP109" s="80" t="str">
        <f t="shared" si="85"/>
      </c>
      <c r="AQ109" s="80" t="str">
        <f t="shared" si="85"/>
      </c>
      <c r="AR109" s="80" t="str">
        <f t="shared" si="85"/>
      </c>
      <c r="AS109" s="80" t="str">
        <f t="shared" si="85"/>
      </c>
      <c r="AT109" s="80" t="str">
        <f t="shared" si="85"/>
      </c>
      <c r="AU109" s="80" t="str">
        <f t="shared" si="85"/>
      </c>
    </row>
    <row r="110" spans="1:47" x14ac:dyDescent="0.25">
      <c r="A110" s="23" t="str">
        <f t="shared" si="69"/>
      </c>
      <c r="B110" s="23">
        <f t="shared" si="69"/>
      </c>
      <c r="C110" s="80" t="str">
        <f t="shared" ref="C110" si="86">IF(ISBLANK(C59),"NO DATA",IF(OR(C59&lt;C$63,ISNUMBER(C59)=FALSE),C$64,C59))</f>
      </c>
      <c r="D110" s="80" t="str">
        <f t="shared" ref="D110:AU110" si="87">IF(ISBLANK(D59),"NO DATA",IF(OR(D59&lt;D$63,ISNUMBER(D59)=FALSE),D$64,D59))</f>
      </c>
      <c r="E110" s="80" t="str">
        <f t="shared" si="87"/>
      </c>
      <c r="F110" s="80" t="str">
        <f t="shared" si="87"/>
      </c>
      <c r="G110" s="80" t="str">
        <f t="shared" si="87"/>
      </c>
      <c r="H110" s="80" t="str">
        <f t="shared" si="87"/>
      </c>
      <c r="I110" s="80" t="str">
        <f t="shared" si="87"/>
      </c>
      <c r="J110" s="80" t="str">
        <f t="shared" si="87"/>
      </c>
      <c r="K110" s="80" t="str">
        <f t="shared" si="87"/>
      </c>
      <c r="L110" s="80" t="str">
        <f t="shared" si="87"/>
      </c>
      <c r="M110" s="80" t="str">
        <f t="shared" si="87"/>
      </c>
      <c r="N110" s="80" t="str">
        <f t="shared" si="87"/>
      </c>
      <c r="O110" s="80" t="str">
        <f t="shared" si="87"/>
      </c>
      <c r="P110" s="80" t="str">
        <f t="shared" si="87"/>
      </c>
      <c r="Q110" s="80" t="str">
        <f t="shared" si="87"/>
      </c>
      <c r="R110" s="80" t="str">
        <f t="shared" si="87"/>
      </c>
      <c r="S110" s="80" t="str">
        <f t="shared" si="87"/>
      </c>
      <c r="T110" s="80" t="str">
        <f t="shared" si="87"/>
      </c>
      <c r="U110" s="80" t="str">
        <f t="shared" si="87"/>
      </c>
      <c r="V110" s="80" t="str">
        <f t="shared" si="87"/>
      </c>
      <c r="W110" s="80" t="str">
        <f t="shared" si="87"/>
      </c>
      <c r="X110" s="80" t="str">
        <f t="shared" si="87"/>
      </c>
      <c r="Y110" s="80" t="str">
        <f t="shared" si="87"/>
      </c>
      <c r="Z110" s="80" t="str">
        <f t="shared" si="87"/>
      </c>
      <c r="AA110" s="80" t="str">
        <f t="shared" si="87"/>
      </c>
      <c r="AB110" s="80" t="str">
        <f t="shared" si="87"/>
      </c>
      <c r="AC110" s="80" t="str">
        <f t="shared" si="87"/>
      </c>
      <c r="AD110" s="80" t="str">
        <f t="shared" si="87"/>
      </c>
      <c r="AE110" s="80" t="str">
        <f t="shared" si="87"/>
      </c>
      <c r="AF110" s="80" t="str">
        <f t="shared" si="87"/>
      </c>
      <c r="AG110" s="80" t="str">
        <f t="shared" si="87"/>
      </c>
      <c r="AH110" s="80" t="str">
        <f t="shared" si="87"/>
      </c>
      <c r="AI110" s="80" t="str">
        <f t="shared" si="87"/>
      </c>
      <c r="AJ110" s="80" t="str">
        <f t="shared" si="87"/>
      </c>
      <c r="AK110" s="80" t="str">
        <f t="shared" si="87"/>
      </c>
      <c r="AL110" s="80" t="str">
        <f t="shared" si="87"/>
      </c>
      <c r="AM110" s="80" t="str">
        <f t="shared" si="87"/>
      </c>
      <c r="AN110" s="80" t="str">
        <f t="shared" si="87"/>
      </c>
      <c r="AO110" s="80" t="str">
        <f t="shared" si="87"/>
      </c>
      <c r="AP110" s="80" t="str">
        <f t="shared" si="87"/>
      </c>
      <c r="AQ110" s="80" t="str">
        <f t="shared" si="87"/>
      </c>
      <c r="AR110" s="80" t="str">
        <f t="shared" si="87"/>
      </c>
      <c r="AS110" s="80" t="str">
        <f t="shared" si="87"/>
      </c>
      <c r="AT110" s="80" t="str">
        <f t="shared" si="87"/>
      </c>
      <c r="AU110" s="80" t="str">
        <f t="shared" si="87"/>
      </c>
    </row>
    <row r="111" spans="1:47" x14ac:dyDescent="0.25">
      <c r="A111" s="23" t="str">
        <f t="shared" si="69"/>
      </c>
      <c r="B111" s="23">
        <f t="shared" si="69"/>
      </c>
      <c r="C111" s="80" t="str">
        <f t="shared" ref="C111" si="88">IF(ISBLANK(C60),"NO DATA",IF(OR(C60&lt;C$63,ISNUMBER(C60)=FALSE),C$64,C60))</f>
      </c>
      <c r="D111" s="80" t="str">
        <f t="shared" ref="D111:AU111" si="89">IF(ISBLANK(D60),"NO DATA",IF(OR(D60&lt;D$63,ISNUMBER(D60)=FALSE),D$64,D60))</f>
      </c>
      <c r="E111" s="80" t="str">
        <f t="shared" si="89"/>
      </c>
      <c r="F111" s="80" t="str">
        <f t="shared" si="89"/>
      </c>
      <c r="G111" s="80" t="str">
        <f t="shared" si="89"/>
      </c>
      <c r="H111" s="80" t="str">
        <f t="shared" si="89"/>
      </c>
      <c r="I111" s="80" t="str">
        <f t="shared" si="89"/>
      </c>
      <c r="J111" s="80" t="str">
        <f t="shared" si="89"/>
      </c>
      <c r="K111" s="80" t="str">
        <f t="shared" si="89"/>
      </c>
      <c r="L111" s="80" t="str">
        <f t="shared" si="89"/>
      </c>
      <c r="M111" s="80" t="str">
        <f t="shared" si="89"/>
      </c>
      <c r="N111" s="80" t="str">
        <f t="shared" si="89"/>
      </c>
      <c r="O111" s="80" t="str">
        <f t="shared" si="89"/>
      </c>
      <c r="P111" s="80" t="str">
        <f t="shared" si="89"/>
      </c>
      <c r="Q111" s="80" t="str">
        <f t="shared" si="89"/>
      </c>
      <c r="R111" s="80" t="str">
        <f t="shared" si="89"/>
      </c>
      <c r="S111" s="80" t="str">
        <f t="shared" si="89"/>
      </c>
      <c r="T111" s="80" t="str">
        <f t="shared" si="89"/>
      </c>
      <c r="U111" s="80" t="str">
        <f t="shared" si="89"/>
      </c>
      <c r="V111" s="80" t="str">
        <f t="shared" si="89"/>
      </c>
      <c r="W111" s="80" t="str">
        <f t="shared" si="89"/>
      </c>
      <c r="X111" s="80" t="str">
        <f t="shared" si="89"/>
      </c>
      <c r="Y111" s="80" t="str">
        <f t="shared" si="89"/>
      </c>
      <c r="Z111" s="80" t="str">
        <f t="shared" si="89"/>
      </c>
      <c r="AA111" s="80" t="str">
        <f t="shared" si="89"/>
      </c>
      <c r="AB111" s="80" t="str">
        <f t="shared" si="89"/>
      </c>
      <c r="AC111" s="80" t="str">
        <f t="shared" si="89"/>
      </c>
      <c r="AD111" s="80" t="str">
        <f t="shared" si="89"/>
      </c>
      <c r="AE111" s="80" t="str">
        <f t="shared" si="89"/>
      </c>
      <c r="AF111" s="80" t="str">
        <f t="shared" si="89"/>
      </c>
      <c r="AG111" s="80" t="str">
        <f t="shared" si="89"/>
      </c>
      <c r="AH111" s="80" t="str">
        <f t="shared" si="89"/>
      </c>
      <c r="AI111" s="80" t="str">
        <f t="shared" si="89"/>
      </c>
      <c r="AJ111" s="80" t="str">
        <f t="shared" si="89"/>
      </c>
      <c r="AK111" s="80" t="str">
        <f t="shared" si="89"/>
      </c>
      <c r="AL111" s="80" t="str">
        <f t="shared" si="89"/>
      </c>
      <c r="AM111" s="80" t="str">
        <f t="shared" si="89"/>
      </c>
      <c r="AN111" s="80" t="str">
        <f t="shared" si="89"/>
      </c>
      <c r="AO111" s="80" t="str">
        <f t="shared" si="89"/>
      </c>
      <c r="AP111" s="80" t="str">
        <f t="shared" si="89"/>
      </c>
      <c r="AQ111" s="80" t="str">
        <f t="shared" si="89"/>
      </c>
      <c r="AR111" s="80" t="str">
        <f t="shared" si="89"/>
      </c>
      <c r="AS111" s="80" t="str">
        <f t="shared" si="89"/>
      </c>
      <c r="AT111" s="80" t="str">
        <f t="shared" si="89"/>
      </c>
      <c r="AU111" s="80" t="str">
        <f t="shared" si="89"/>
      </c>
    </row>
    <row r="112" spans="1:47" x14ac:dyDescent="0.25">
      <c r="A112" s="23" t="str">
        <f t="shared" si="69"/>
      </c>
      <c r="B112" s="23">
        <f t="shared" si="69"/>
      </c>
      <c r="C112" s="80" t="str">
        <f t="shared" ref="C112" si="90">IF(ISBLANK(C61),"NO DATA",IF(OR(C61&lt;C$63,ISNUMBER(C61)=FALSE),C$64,C61))</f>
      </c>
      <c r="D112" s="80" t="str">
        <f t="shared" ref="D112:AU112" si="91">IF(ISBLANK(D61),"NO DATA",IF(OR(D61&lt;D$63,ISNUMBER(D61)=FALSE),D$64,D61))</f>
      </c>
      <c r="E112" s="80" t="str">
        <f t="shared" si="91"/>
      </c>
      <c r="F112" s="80" t="str">
        <f t="shared" si="91"/>
      </c>
      <c r="G112" s="80" t="str">
        <f t="shared" si="91"/>
      </c>
      <c r="H112" s="80" t="str">
        <f t="shared" si="91"/>
      </c>
      <c r="I112" s="80" t="str">
        <f t="shared" si="91"/>
      </c>
      <c r="J112" s="80" t="str">
        <f t="shared" si="91"/>
      </c>
      <c r="K112" s="80" t="str">
        <f t="shared" si="91"/>
      </c>
      <c r="L112" s="80" t="str">
        <f t="shared" si="91"/>
      </c>
      <c r="M112" s="80" t="str">
        <f t="shared" si="91"/>
      </c>
      <c r="N112" s="80" t="str">
        <f t="shared" si="91"/>
      </c>
      <c r="O112" s="80" t="str">
        <f t="shared" si="91"/>
      </c>
      <c r="P112" s="80" t="str">
        <f t="shared" si="91"/>
      </c>
      <c r="Q112" s="80" t="str">
        <f t="shared" si="91"/>
      </c>
      <c r="R112" s="80" t="str">
        <f t="shared" si="91"/>
      </c>
      <c r="S112" s="80" t="str">
        <f t="shared" si="91"/>
      </c>
      <c r="T112" s="80" t="str">
        <f t="shared" si="91"/>
      </c>
      <c r="U112" s="80" t="str">
        <f t="shared" si="91"/>
      </c>
      <c r="V112" s="80" t="str">
        <f t="shared" si="91"/>
      </c>
      <c r="W112" s="80" t="str">
        <f t="shared" si="91"/>
      </c>
      <c r="X112" s="80" t="str">
        <f t="shared" si="91"/>
      </c>
      <c r="Y112" s="80" t="str">
        <f t="shared" si="91"/>
      </c>
      <c r="Z112" s="80" t="str">
        <f t="shared" si="91"/>
      </c>
      <c r="AA112" s="80" t="str">
        <f t="shared" si="91"/>
      </c>
      <c r="AB112" s="80" t="str">
        <f t="shared" si="91"/>
      </c>
      <c r="AC112" s="80" t="str">
        <f t="shared" si="91"/>
      </c>
      <c r="AD112" s="80" t="str">
        <f t="shared" si="91"/>
      </c>
      <c r="AE112" s="80" t="str">
        <f t="shared" si="91"/>
      </c>
      <c r="AF112" s="80" t="str">
        <f t="shared" si="91"/>
      </c>
      <c r="AG112" s="80" t="str">
        <f t="shared" si="91"/>
      </c>
      <c r="AH112" s="80" t="str">
        <f t="shared" si="91"/>
      </c>
      <c r="AI112" s="80" t="str">
        <f t="shared" si="91"/>
      </c>
      <c r="AJ112" s="80" t="str">
        <f t="shared" si="91"/>
      </c>
      <c r="AK112" s="80" t="str">
        <f t="shared" si="91"/>
      </c>
      <c r="AL112" s="80" t="str">
        <f t="shared" si="91"/>
      </c>
      <c r="AM112" s="80" t="str">
        <f t="shared" si="91"/>
      </c>
      <c r="AN112" s="80" t="str">
        <f t="shared" si="91"/>
      </c>
      <c r="AO112" s="80" t="str">
        <f t="shared" si="91"/>
      </c>
      <c r="AP112" s="80" t="str">
        <f t="shared" si="91"/>
      </c>
      <c r="AQ112" s="80" t="str">
        <f t="shared" si="91"/>
      </c>
      <c r="AR112" s="80" t="str">
        <f t="shared" si="91"/>
      </c>
      <c r="AS112" s="80" t="str">
        <f t="shared" si="91"/>
      </c>
      <c r="AT112" s="80" t="str">
        <f t="shared" si="91"/>
      </c>
      <c r="AU112" s="80" t="str">
        <f t="shared" si="91"/>
      </c>
    </row>
    <row r="113" spans="1:47" x14ac:dyDescent="0.25">
      <c r="A113" s="23" t="str">
        <f t="shared" si="69"/>
      </c>
      <c r="B113" s="23">
        <f t="shared" si="69"/>
      </c>
      <c r="C113" s="80" t="str">
        <f t="shared" ref="C113" si="92">IF(ISBLANK(C62),"NO DATA",IF(OR(C62&lt;C$63,ISNUMBER(C62)=FALSE),C$64,C62))</f>
      </c>
      <c r="D113" s="80" t="str">
        <f t="shared" ref="D113:AU113" si="93">IF(ISBLANK(D62),"NO DATA",IF(OR(D62&lt;D$63,ISNUMBER(D62)=FALSE),D$64,D62))</f>
      </c>
      <c r="E113" s="80" t="str">
        <f t="shared" si="93"/>
      </c>
      <c r="F113" s="80" t="str">
        <f t="shared" si="93"/>
      </c>
      <c r="G113" s="80" t="str">
        <f t="shared" si="93"/>
      </c>
      <c r="H113" s="80" t="str">
        <f t="shared" si="93"/>
      </c>
      <c r="I113" s="80" t="str">
        <f t="shared" si="93"/>
      </c>
      <c r="J113" s="80" t="str">
        <f t="shared" si="93"/>
      </c>
      <c r="K113" s="80" t="str">
        <f t="shared" si="93"/>
      </c>
      <c r="L113" s="80" t="str">
        <f t="shared" si="93"/>
      </c>
      <c r="M113" s="80" t="str">
        <f t="shared" si="93"/>
      </c>
      <c r="N113" s="80" t="str">
        <f t="shared" si="93"/>
      </c>
      <c r="O113" s="80" t="str">
        <f t="shared" si="93"/>
      </c>
      <c r="P113" s="80" t="str">
        <f t="shared" si="93"/>
      </c>
      <c r="Q113" s="80" t="str">
        <f t="shared" si="93"/>
      </c>
      <c r="R113" s="80" t="str">
        <f t="shared" si="93"/>
      </c>
      <c r="S113" s="80" t="str">
        <f t="shared" si="93"/>
      </c>
      <c r="T113" s="80" t="str">
        <f t="shared" si="93"/>
      </c>
      <c r="U113" s="80" t="str">
        <f t="shared" si="93"/>
      </c>
      <c r="V113" s="80" t="str">
        <f t="shared" si="93"/>
      </c>
      <c r="W113" s="80" t="str">
        <f t="shared" si="93"/>
      </c>
      <c r="X113" s="80" t="str">
        <f t="shared" si="93"/>
      </c>
      <c r="Y113" s="80" t="str">
        <f t="shared" si="93"/>
      </c>
      <c r="Z113" s="80" t="str">
        <f t="shared" si="93"/>
      </c>
      <c r="AA113" s="80" t="str">
        <f t="shared" si="93"/>
      </c>
      <c r="AB113" s="80" t="str">
        <f t="shared" si="93"/>
      </c>
      <c r="AC113" s="80" t="str">
        <f t="shared" si="93"/>
      </c>
      <c r="AD113" s="80" t="str">
        <f t="shared" si="93"/>
      </c>
      <c r="AE113" s="80" t="str">
        <f t="shared" si="93"/>
      </c>
      <c r="AF113" s="80" t="str">
        <f t="shared" si="93"/>
      </c>
      <c r="AG113" s="80" t="str">
        <f t="shared" si="93"/>
      </c>
      <c r="AH113" s="80" t="str">
        <f t="shared" si="93"/>
      </c>
      <c r="AI113" s="80" t="str">
        <f t="shared" si="93"/>
      </c>
      <c r="AJ113" s="80" t="str">
        <f t="shared" si="93"/>
      </c>
      <c r="AK113" s="80" t="str">
        <f t="shared" si="93"/>
      </c>
      <c r="AL113" s="80" t="str">
        <f t="shared" si="93"/>
      </c>
      <c r="AM113" s="80" t="str">
        <f t="shared" si="93"/>
      </c>
      <c r="AN113" s="80" t="str">
        <f t="shared" si="93"/>
      </c>
      <c r="AO113" s="80" t="str">
        <f t="shared" si="93"/>
      </c>
      <c r="AP113" s="80" t="str">
        <f t="shared" si="93"/>
      </c>
      <c r="AQ113" s="80" t="str">
        <f t="shared" si="93"/>
      </c>
      <c r="AR113" s="80" t="str">
        <f t="shared" si="93"/>
      </c>
      <c r="AS113" s="80" t="str">
        <f t="shared" si="93"/>
      </c>
      <c r="AT113" s="80" t="str">
        <f t="shared" si="93"/>
      </c>
      <c r="AU113" s="80" t="str">
        <f t="shared" si="93"/>
      </c>
    </row>
  </sheetData>
  <sheetProtection algorithmName="SHA-512" hashValue="7K2vqFO28pu736bx2Y/FbaQB6bDlW8E6JQpAUqK5emRA7To0LN23wrYt/bTRWHyMM/hZIlV3z9eR1EHkIFB47Q==" saltValue="hu4wIFepGF+RCVIxUcGvQQ==" spinCount="100000" sheet="1" objects="1" scenarios="1" formatCells="0" formatColumns="0"/>
  <protectedRanges>
    <protectedRange sqref="A18:AU62" name="Range2"/>
    <protectedRange sqref="B5:B13" name="Range1"/>
  </protectedRanges>
  <mergeCells count="2">
    <mergeCell ref="A16:B16"/>
    <mergeCell ref="A67:B67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B9822F5F-BCB1-4D02-A6F4-90084B11A76B}">
            <xm:f>CODES!$A$122</xm:f>
            <x14:dxf>
              <fill>
                <patternFill>
                  <bgColor rgb="FFFFC000"/>
                </patternFill>
              </fill>
            </x14:dxf>
          </x14:cfRule>
          <xm:sqref>C18:D62 G18:G62 J18:M62 O18:T62 V18:AU62</xm:sqref>
        </x14:conditionalFormatting>
        <x14:conditionalFormatting xmlns:xm="http://schemas.microsoft.com/office/excel/2006/main">
          <x14:cfRule type="cellIs" priority="1" operator="greaterThan" id="{243ABA0D-DBB6-43D1-849F-D6EC26ABF9AB}">
            <xm:f>CODES!$A$123</xm:f>
            <x14:dxf>
              <fill>
                <patternFill>
                  <bgColor rgb="FFFFC000"/>
                </patternFill>
              </fill>
            </x14:dxf>
          </x14:cfRule>
          <xm:sqref>E18:F62 H18:I62 N18:N62 U18:U62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3"/>
  <sheetViews>
    <sheetView topLeftCell="A7" workbookViewId="0">
      <selection activeCell="E19" sqref="E19"/>
    </sheetView>
  </sheetViews>
  <sheetFormatPr defaultRowHeight="15" x14ac:dyDescent="0.25"/>
  <cols>
    <col min="1" max="1" width="44" customWidth="1"/>
    <col min="2" max="2" width="35.7109375" customWidth="1"/>
    <col min="3" max="25" width="15.7109375" style="4" customWidth="1"/>
    <col min="26" max="113" width="15.7109375" customWidth="1"/>
  </cols>
  <sheetData>
    <row r="1" spans="1:25" x14ac:dyDescent="0.25">
      <c r="A1" s="1" t="s">
        <v>0</v>
      </c>
      <c r="B1" s="83" t="s">
        <v>405</v>
      </c>
      <c r="C1" s="84"/>
      <c r="D1" s="85"/>
    </row>
    <row r="2" spans="1:25" x14ac:dyDescent="0.25">
      <c r="A2" s="1" t="s">
        <v>1</v>
      </c>
      <c r="B2" s="2"/>
      <c r="C2" s="6"/>
    </row>
    <row r="3" spans="1:25" x14ac:dyDescent="0.25">
      <c r="A3" s="1" t="s">
        <v>2</v>
      </c>
      <c r="B3" s="2" t="str">
        <f>INSTRUCTIONS!A3</f>
      </c>
      <c r="C3" s="6"/>
    </row>
    <row r="4" spans="1:25" x14ac:dyDescent="0.25">
      <c r="A4" s="1"/>
      <c r="B4" s="2"/>
      <c r="C4" s="6"/>
    </row>
    <row r="5" spans="1:25" x14ac:dyDescent="0.25">
      <c r="A5" s="1" t="s">
        <v>3</v>
      </c>
      <c r="B5" s="106" t="str">
        <f>'ICPOES RESULTS'!B5</f>
      </c>
      <c r="C5" s="6"/>
    </row>
    <row r="6" spans="1:25" x14ac:dyDescent="0.25">
      <c r="A6" s="1" t="s">
        <v>4</v>
      </c>
      <c r="B6" s="106" t="str">
        <f>'ICPOES RESULTS'!B6</f>
      </c>
      <c r="C6" s="6"/>
    </row>
    <row r="7" spans="1:25" x14ac:dyDescent="0.25">
      <c r="A7" s="1"/>
      <c r="B7" s="106"/>
      <c r="C7" s="6"/>
    </row>
    <row r="8" spans="1:25" x14ac:dyDescent="0.25">
      <c r="A8" s="1" t="s">
        <v>6</v>
      </c>
      <c r="B8" s="107">
        <f>'ICPOES RESULTS'!B8</f>
      </c>
      <c r="C8" s="6"/>
    </row>
    <row r="9" spans="1:25" x14ac:dyDescent="0.25">
      <c r="A9" s="1" t="s">
        <v>7</v>
      </c>
      <c r="B9" s="106" t="str">
        <f>'ICPOES RESULTS'!B9</f>
      </c>
      <c r="C9" s="6"/>
    </row>
    <row r="10" spans="1:25" x14ac:dyDescent="0.25">
      <c r="A10" s="1" t="s">
        <v>8</v>
      </c>
      <c r="B10" s="106" t="str">
        <f>'ICPOES RESULTS'!B10</f>
      </c>
      <c r="C10" s="6"/>
    </row>
    <row r="11" spans="1:25" x14ac:dyDescent="0.25">
      <c r="A11" s="1" t="s">
        <v>9</v>
      </c>
      <c r="B11" s="106" t="str">
        <f>'ICPOES RESULTS'!B11</f>
      </c>
      <c r="C11" s="7"/>
    </row>
    <row r="12" spans="1:25" x14ac:dyDescent="0.25">
      <c r="A12" s="1" t="s">
        <v>10</v>
      </c>
      <c r="B12" s="106" t="str">
        <f>'ICPOES RESULTS'!B12</f>
      </c>
      <c r="C12" s="7"/>
    </row>
    <row r="13" spans="1:25" x14ac:dyDescent="0.25">
      <c r="A13" s="1" t="s">
        <v>11</v>
      </c>
      <c r="B13" s="106" t="str">
        <f>'ICPOES RESULTS'!B13</f>
      </c>
      <c r="C13" s="6"/>
    </row>
    <row r="14" spans="1:25" x14ac:dyDescent="0.25">
      <c r="A14" s="1" t="s">
        <v>406</v>
      </c>
      <c r="B14" s="163" t="str">
        <f>INSTRUCTIONS!B42</f>
      </c>
      <c r="C14" s="6"/>
    </row>
    <row r="15" spans="1:25" x14ac:dyDescent="0.25">
      <c r="A15" s="12"/>
      <c r="B15" s="1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25">
      <c r="A16" s="174" t="s">
        <v>176</v>
      </c>
      <c r="B16" s="174"/>
      <c r="C16" s="8" t="s">
        <v>177</v>
      </c>
      <c r="D16" s="8" t="s">
        <v>178</v>
      </c>
      <c r="E16" s="8" t="s">
        <v>179</v>
      </c>
      <c r="F16" s="8" t="s">
        <v>180</v>
      </c>
      <c r="G16" s="8" t="s">
        <v>181</v>
      </c>
      <c r="H16" s="8" t="s">
        <v>182</v>
      </c>
      <c r="I16" s="8" t="s">
        <v>183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2"/>
      <c r="W16" s="12"/>
      <c r="X16" s="12"/>
      <c r="Y16"/>
    </row>
    <row r="17" spans="1:25" x14ac:dyDescent="0.25">
      <c r="A17" s="22" t="s">
        <v>124</v>
      </c>
      <c r="B17" s="51" t="s">
        <v>125</v>
      </c>
      <c r="C17" s="52" t="s">
        <v>126</v>
      </c>
      <c r="D17" s="52" t="s">
        <v>126</v>
      </c>
      <c r="E17" s="52" t="s">
        <v>126</v>
      </c>
      <c r="F17" s="52" t="s">
        <v>126</v>
      </c>
      <c r="G17" s="52" t="s">
        <v>126</v>
      </c>
      <c r="H17" s="52" t="s">
        <v>126</v>
      </c>
      <c r="I17" s="52" t="s">
        <v>126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2"/>
      <c r="W17" s="12"/>
      <c r="X17" s="12"/>
      <c r="Y17"/>
    </row>
    <row r="18" spans="1:25" x14ac:dyDescent="0.25">
      <c r="A18" s="123" t="str">
        <f>'ICPOES RESULTS'!A18</f>
      </c>
      <c r="B18" s="124"/>
      <c r="C18" s="125"/>
      <c r="D18" s="125"/>
      <c r="E18" s="125"/>
      <c r="F18" s="125"/>
      <c r="G18" s="125"/>
      <c r="H18" s="125"/>
      <c r="I18" s="125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2"/>
      <c r="W18" s="12"/>
      <c r="X18" s="12"/>
      <c r="Y18"/>
    </row>
    <row r="19" spans="1:25" x14ac:dyDescent="0.25">
      <c r="A19" s="123" t="str">
        <f>'ICPOES RESULTS'!A19</f>
      </c>
      <c r="B19" s="124"/>
      <c r="C19" s="125"/>
      <c r="D19" s="125"/>
      <c r="E19" s="125"/>
      <c r="F19" s="125"/>
      <c r="G19" s="125"/>
      <c r="H19" s="125"/>
      <c r="I19" s="125"/>
      <c r="J19" s="1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2"/>
      <c r="W19" s="12"/>
      <c r="X19" s="12"/>
      <c r="Y19"/>
    </row>
    <row r="20" spans="1:25" x14ac:dyDescent="0.25">
      <c r="A20" s="123" t="str">
        <f>'ICPOES RESULTS'!A20</f>
      </c>
      <c r="B20" s="124"/>
      <c r="C20" s="125"/>
      <c r="D20" s="125"/>
      <c r="E20" s="125"/>
      <c r="F20" s="125"/>
      <c r="G20" s="125"/>
      <c r="H20" s="125"/>
      <c r="I20" s="125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2"/>
      <c r="W20" s="12"/>
      <c r="X20" s="12"/>
      <c r="Y20"/>
    </row>
    <row r="21" spans="1:25" x14ac:dyDescent="0.25">
      <c r="A21" s="123" t="str">
        <f>'ICPOES RESULTS'!A21</f>
      </c>
      <c r="B21" s="124"/>
      <c r="C21" s="125"/>
      <c r="D21" s="125"/>
      <c r="E21" s="125"/>
      <c r="F21" s="125"/>
      <c r="G21" s="125"/>
      <c r="H21" s="125"/>
      <c r="I21" s="125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2"/>
      <c r="W21" s="12"/>
      <c r="X21" s="12"/>
      <c r="Y21"/>
    </row>
    <row r="22" spans="1:25" x14ac:dyDescent="0.25">
      <c r="A22" s="123" t="str">
        <f>'ICPOES RESULTS'!A22</f>
      </c>
      <c r="B22" s="124"/>
      <c r="C22" s="125"/>
      <c r="D22" s="125"/>
      <c r="E22" s="125"/>
      <c r="F22" s="125"/>
      <c r="G22" s="125"/>
      <c r="H22" s="125"/>
      <c r="I22" s="125"/>
      <c r="J22" s="1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2"/>
      <c r="W22" s="12"/>
      <c r="X22" s="12"/>
      <c r="Y22"/>
    </row>
    <row r="23" spans="1:25" x14ac:dyDescent="0.25">
      <c r="A23" s="123" t="str">
        <f>'ICPOES RESULTS'!A23</f>
      </c>
      <c r="B23" s="124"/>
      <c r="C23" s="125"/>
      <c r="D23" s="125"/>
      <c r="E23" s="125"/>
      <c r="F23" s="125"/>
      <c r="G23" s="125"/>
      <c r="H23" s="125"/>
      <c r="I23" s="125"/>
      <c r="J23" s="1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2"/>
      <c r="W23" s="12"/>
      <c r="X23" s="12"/>
      <c r="Y23"/>
    </row>
    <row r="24" spans="1:25" x14ac:dyDescent="0.25">
      <c r="A24" s="123" t="str">
        <f>'ICPOES RESULTS'!A24</f>
      </c>
      <c r="B24" s="124"/>
      <c r="C24" s="125"/>
      <c r="D24" s="125"/>
      <c r="E24" s="125"/>
      <c r="F24" s="125"/>
      <c r="G24" s="125"/>
      <c r="H24" s="125"/>
      <c r="I24" s="125"/>
      <c r="J24" s="1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2"/>
      <c r="W24" s="12"/>
      <c r="X24" s="12"/>
      <c r="Y24"/>
    </row>
    <row r="25" spans="1:25" x14ac:dyDescent="0.25">
      <c r="A25" s="123" t="str">
        <f>'ICPOES RESULTS'!A25</f>
      </c>
      <c r="B25" s="126"/>
      <c r="C25" s="127"/>
      <c r="D25" s="128"/>
      <c r="E25" s="128"/>
      <c r="F25" s="128"/>
      <c r="G25" s="128"/>
      <c r="H25" s="128"/>
      <c r="I25" s="129"/>
      <c r="J25" s="1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2"/>
      <c r="W25" s="12"/>
      <c r="X25" s="12"/>
      <c r="Y25"/>
    </row>
    <row r="26" spans="1:25" x14ac:dyDescent="0.25">
      <c r="A26" s="123" t="str">
        <f>'ICPOES RESULTS'!A26</f>
      </c>
      <c r="B26" s="126"/>
      <c r="C26" s="127"/>
      <c r="D26" s="128"/>
      <c r="E26" s="128"/>
      <c r="F26" s="128"/>
      <c r="G26" s="128"/>
      <c r="H26" s="128"/>
      <c r="I26" s="129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2"/>
      <c r="W26" s="12"/>
      <c r="X26" s="12"/>
      <c r="Y26"/>
    </row>
    <row r="27" spans="1:25" x14ac:dyDescent="0.25">
      <c r="A27" s="123" t="str">
        <f>'ICPOES RESULTS'!A27</f>
      </c>
      <c r="B27" s="126"/>
      <c r="C27" s="127"/>
      <c r="D27" s="128"/>
      <c r="E27" s="128"/>
      <c r="F27" s="128"/>
      <c r="G27" s="128"/>
      <c r="H27" s="128"/>
      <c r="I27" s="129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2"/>
      <c r="W27" s="12"/>
      <c r="X27" s="12"/>
      <c r="Y27"/>
    </row>
    <row r="28" spans="1:25" x14ac:dyDescent="0.25">
      <c r="A28" s="123" t="str">
        <f>'ICPOES RESULTS'!A28</f>
      </c>
      <c r="B28" s="126"/>
      <c r="C28" s="127"/>
      <c r="D28" s="128"/>
      <c r="E28" s="128"/>
      <c r="F28" s="128"/>
      <c r="G28" s="128"/>
      <c r="H28" s="128"/>
      <c r="I28" s="129"/>
      <c r="J28" s="1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2"/>
      <c r="W28" s="12"/>
      <c r="X28" s="12"/>
      <c r="Y28"/>
    </row>
    <row r="29" spans="1:25" x14ac:dyDescent="0.25">
      <c r="A29" s="123" t="str">
        <f>'ICPOES RESULTS'!A29</f>
      </c>
      <c r="B29" s="126"/>
      <c r="C29" s="127"/>
      <c r="D29" s="128"/>
      <c r="E29" s="128"/>
      <c r="F29" s="128"/>
      <c r="G29" s="128"/>
      <c r="H29" s="128"/>
      <c r="I29" s="129"/>
      <c r="J29" s="1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2"/>
      <c r="W29" s="12"/>
      <c r="X29" s="12"/>
      <c r="Y29"/>
    </row>
    <row r="30" spans="1:25" x14ac:dyDescent="0.25">
      <c r="A30" s="123" t="str">
        <f>'ICPOES RESULTS'!A30</f>
      </c>
      <c r="B30" s="126"/>
      <c r="C30" s="127"/>
      <c r="D30" s="128"/>
      <c r="E30" s="128"/>
      <c r="F30" s="128"/>
      <c r="G30" s="128"/>
      <c r="H30" s="128"/>
      <c r="I30" s="129"/>
      <c r="J30" s="17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2"/>
      <c r="W30" s="12"/>
      <c r="X30" s="12"/>
      <c r="Y30"/>
    </row>
    <row r="31" spans="1:25" x14ac:dyDescent="0.25">
      <c r="A31" s="123" t="str">
        <f>'ICPOES RESULTS'!A31</f>
      </c>
      <c r="B31" s="126"/>
      <c r="C31" s="127"/>
      <c r="D31" s="128"/>
      <c r="E31" s="128"/>
      <c r="F31" s="128"/>
      <c r="G31" s="128"/>
      <c r="H31" s="128"/>
      <c r="I31" s="129"/>
      <c r="J31" s="1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2"/>
      <c r="W31" s="12"/>
      <c r="X31" s="12"/>
      <c r="Y31"/>
    </row>
    <row r="32" spans="1:25" x14ac:dyDescent="0.25">
      <c r="A32" s="123" t="str">
        <f>'ICPOES RESULTS'!A32</f>
      </c>
      <c r="B32" s="126"/>
      <c r="C32" s="127"/>
      <c r="D32" s="128"/>
      <c r="E32" s="128"/>
      <c r="F32" s="128"/>
      <c r="G32" s="128"/>
      <c r="H32" s="128"/>
      <c r="I32" s="129"/>
      <c r="J32" s="1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2"/>
      <c r="W32" s="12"/>
      <c r="X32" s="12"/>
      <c r="Y32"/>
    </row>
    <row r="33" spans="1:25" x14ac:dyDescent="0.25">
      <c r="A33" s="123" t="str">
        <f>'ICPOES RESULTS'!A33</f>
      </c>
      <c r="B33" s="126"/>
      <c r="C33" s="127"/>
      <c r="D33" s="128"/>
      <c r="E33" s="128"/>
      <c r="F33" s="128"/>
      <c r="G33" s="128"/>
      <c r="H33" s="128"/>
      <c r="I33" s="129"/>
      <c r="J33" s="1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2"/>
      <c r="W33" s="12"/>
      <c r="X33" s="12"/>
      <c r="Y33"/>
    </row>
    <row r="34" spans="1:25" x14ac:dyDescent="0.25">
      <c r="A34" s="123" t="str">
        <f>'ICPOES RESULTS'!A34</f>
      </c>
      <c r="B34" s="126"/>
      <c r="C34" s="127"/>
      <c r="D34" s="128"/>
      <c r="E34" s="128"/>
      <c r="F34" s="128"/>
      <c r="G34" s="128"/>
      <c r="H34" s="128"/>
      <c r="I34" s="129"/>
      <c r="J34" s="1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2"/>
      <c r="W34" s="12"/>
      <c r="X34" s="12"/>
      <c r="Y34"/>
    </row>
    <row r="35" spans="1:25" x14ac:dyDescent="0.25">
      <c r="A35" s="123" t="str">
        <f>'ICPOES RESULTS'!A35</f>
      </c>
      <c r="B35" s="126"/>
      <c r="C35" s="127"/>
      <c r="D35" s="128"/>
      <c r="E35" s="128"/>
      <c r="F35" s="128"/>
      <c r="G35" s="128"/>
      <c r="H35" s="128"/>
      <c r="I35" s="129"/>
      <c r="J35" s="1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2"/>
      <c r="W35" s="12"/>
      <c r="X35" s="12"/>
      <c r="Y35"/>
    </row>
    <row r="36" spans="1:25" x14ac:dyDescent="0.25">
      <c r="A36" s="123" t="str">
        <f>'ICPOES RESULTS'!A36</f>
      </c>
      <c r="B36" s="126"/>
      <c r="C36" s="127"/>
      <c r="D36" s="128"/>
      <c r="E36" s="128"/>
      <c r="F36" s="128"/>
      <c r="G36" s="128"/>
      <c r="H36" s="128"/>
      <c r="I36" s="129"/>
      <c r="J36" s="1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2"/>
      <c r="W36" s="12"/>
      <c r="X36" s="12"/>
      <c r="Y36"/>
    </row>
    <row r="37" spans="1:25" x14ac:dyDescent="0.25">
      <c r="A37" s="123" t="str">
        <f>'ICPOES RESULTS'!A37</f>
      </c>
      <c r="B37" s="126"/>
      <c r="C37" s="127"/>
      <c r="D37" s="128"/>
      <c r="E37" s="128"/>
      <c r="F37" s="128"/>
      <c r="G37" s="128"/>
      <c r="H37" s="128"/>
      <c r="I37" s="129"/>
      <c r="J37" s="1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2"/>
      <c r="W37" s="12"/>
      <c r="X37" s="12"/>
      <c r="Y37"/>
    </row>
    <row r="38" spans="1:25" x14ac:dyDescent="0.25">
      <c r="A38" s="123" t="str">
        <f>'ICPOES RESULTS'!A38</f>
      </c>
      <c r="B38" s="126"/>
      <c r="C38" s="127"/>
      <c r="D38" s="128"/>
      <c r="E38" s="128"/>
      <c r="F38" s="128"/>
      <c r="G38" s="128"/>
      <c r="H38" s="128"/>
      <c r="I38" s="129"/>
      <c r="J38" s="1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2"/>
      <c r="W38" s="12"/>
      <c r="X38" s="12"/>
      <c r="Y38"/>
    </row>
    <row r="39" spans="1:25" x14ac:dyDescent="0.25">
      <c r="A39" s="123" t="str">
        <f>'ICPOES RESULTS'!A39</f>
      </c>
      <c r="B39" s="126"/>
      <c r="C39" s="127"/>
      <c r="D39" s="128"/>
      <c r="E39" s="128"/>
      <c r="F39" s="128"/>
      <c r="G39" s="128"/>
      <c r="H39" s="128"/>
      <c r="I39" s="129"/>
      <c r="J39" s="1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2"/>
      <c r="W39" s="12"/>
      <c r="X39" s="12"/>
      <c r="Y39"/>
    </row>
    <row r="40" spans="1:25" x14ac:dyDescent="0.25">
      <c r="A40" s="123" t="str">
        <f>'ICPOES RESULTS'!A40</f>
      </c>
      <c r="B40" s="126"/>
      <c r="C40" s="127"/>
      <c r="D40" s="128"/>
      <c r="E40" s="128"/>
      <c r="F40" s="128"/>
      <c r="G40" s="128"/>
      <c r="H40" s="128"/>
      <c r="I40" s="129"/>
      <c r="J40" s="1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2"/>
      <c r="W40" s="12"/>
      <c r="X40" s="12"/>
      <c r="Y40"/>
    </row>
    <row r="41" spans="1:25" x14ac:dyDescent="0.25">
      <c r="A41" s="123" t="str">
        <f>'ICPOES RESULTS'!A41</f>
      </c>
      <c r="B41" s="126"/>
      <c r="C41" s="127"/>
      <c r="D41" s="128"/>
      <c r="E41" s="128"/>
      <c r="F41" s="128"/>
      <c r="G41" s="128"/>
      <c r="H41" s="128"/>
      <c r="I41" s="129"/>
      <c r="J41" s="1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2"/>
      <c r="W41" s="12"/>
      <c r="X41" s="12"/>
      <c r="Y41"/>
    </row>
    <row r="42" spans="1:25" x14ac:dyDescent="0.25">
      <c r="A42" s="123" t="str">
        <f>'ICPOES RESULTS'!A42</f>
      </c>
      <c r="B42" s="126"/>
      <c r="C42" s="127"/>
      <c r="D42" s="128"/>
      <c r="E42" s="128"/>
      <c r="F42" s="128"/>
      <c r="G42" s="128"/>
      <c r="H42" s="128"/>
      <c r="I42" s="129"/>
      <c r="J42" s="17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2"/>
      <c r="W42" s="12"/>
      <c r="X42" s="12"/>
      <c r="Y42"/>
    </row>
    <row r="43" spans="1:25" x14ac:dyDescent="0.25">
      <c r="A43" s="123" t="str">
        <f>'ICPOES RESULTS'!A43</f>
      </c>
      <c r="B43" s="126"/>
      <c r="C43" s="127"/>
      <c r="D43" s="128"/>
      <c r="E43" s="128"/>
      <c r="F43" s="128"/>
      <c r="G43" s="128"/>
      <c r="H43" s="128"/>
      <c r="I43" s="129"/>
      <c r="J43" s="17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2"/>
      <c r="W43" s="12"/>
      <c r="X43" s="12"/>
      <c r="Y43"/>
    </row>
    <row r="44" spans="1:25" x14ac:dyDescent="0.25">
      <c r="A44" s="123" t="str">
        <f>'ICPOES RESULTS'!A44</f>
      </c>
      <c r="B44" s="126"/>
      <c r="C44" s="127"/>
      <c r="D44" s="128"/>
      <c r="E44" s="128"/>
      <c r="F44" s="128"/>
      <c r="G44" s="128"/>
      <c r="H44" s="128"/>
      <c r="I44" s="129"/>
      <c r="J44" s="1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2"/>
      <c r="W44" s="12"/>
      <c r="X44" s="12"/>
      <c r="Y44"/>
    </row>
    <row r="45" spans="1:25" x14ac:dyDescent="0.25">
      <c r="A45" s="123" t="str">
        <f>'ICPOES RESULTS'!A45</f>
      </c>
      <c r="B45" s="126"/>
      <c r="C45" s="127"/>
      <c r="D45" s="128"/>
      <c r="E45" s="128"/>
      <c r="F45" s="128"/>
      <c r="G45" s="128"/>
      <c r="H45" s="128"/>
      <c r="I45" s="129"/>
      <c r="J45" s="1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2"/>
      <c r="W45" s="12"/>
      <c r="X45" s="12"/>
      <c r="Y45"/>
    </row>
    <row r="46" spans="1:25" x14ac:dyDescent="0.25">
      <c r="A46" s="123" t="str">
        <f>'ICPOES RESULTS'!A46</f>
      </c>
      <c r="B46" s="126"/>
      <c r="C46" s="127"/>
      <c r="D46" s="128"/>
      <c r="E46" s="128"/>
      <c r="F46" s="128"/>
      <c r="G46" s="128"/>
      <c r="H46" s="128"/>
      <c r="I46" s="129"/>
      <c r="J46" s="1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2"/>
      <c r="W46" s="12"/>
      <c r="X46" s="12"/>
      <c r="Y46"/>
    </row>
    <row r="47" spans="1:25" x14ac:dyDescent="0.25">
      <c r="A47" s="123" t="str">
        <f>'ICPOES RESULTS'!A47</f>
      </c>
      <c r="B47" s="126"/>
      <c r="C47" s="127"/>
      <c r="D47" s="128"/>
      <c r="E47" s="128"/>
      <c r="F47" s="128"/>
      <c r="G47" s="128"/>
      <c r="H47" s="128"/>
      <c r="I47" s="129"/>
      <c r="J47" s="17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2"/>
      <c r="W47" s="12"/>
      <c r="X47" s="12"/>
      <c r="Y47"/>
    </row>
    <row r="48" spans="1:25" x14ac:dyDescent="0.25">
      <c r="A48" s="123" t="str">
        <f>'ICPOES RESULTS'!A48</f>
      </c>
      <c r="B48" s="126"/>
      <c r="C48" s="127"/>
      <c r="D48" s="128"/>
      <c r="E48" s="128"/>
      <c r="F48" s="128"/>
      <c r="G48" s="128"/>
      <c r="H48" s="128"/>
      <c r="I48" s="129"/>
      <c r="J48" s="1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2"/>
      <c r="W48" s="12"/>
      <c r="X48" s="12"/>
      <c r="Y48"/>
    </row>
    <row r="49" spans="1:25" x14ac:dyDescent="0.25">
      <c r="A49" s="123" t="str">
        <f>'ICPOES RESULTS'!A49</f>
      </c>
      <c r="B49" s="126"/>
      <c r="C49" s="127"/>
      <c r="D49" s="128"/>
      <c r="E49" s="128"/>
      <c r="F49" s="128"/>
      <c r="G49" s="128"/>
      <c r="H49" s="128"/>
      <c r="I49" s="129"/>
      <c r="J49" s="1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2"/>
      <c r="W49" s="12"/>
      <c r="X49" s="12"/>
      <c r="Y49"/>
    </row>
    <row r="50" spans="1:25" x14ac:dyDescent="0.25">
      <c r="A50" s="123" t="str">
        <f>'ICPOES RESULTS'!A50</f>
      </c>
      <c r="B50" s="126"/>
      <c r="C50" s="127"/>
      <c r="D50" s="128"/>
      <c r="E50" s="128"/>
      <c r="F50" s="128"/>
      <c r="G50" s="128"/>
      <c r="H50" s="128"/>
      <c r="I50" s="129"/>
      <c r="J50" s="1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2"/>
      <c r="W50" s="12"/>
      <c r="X50" s="12"/>
      <c r="Y50"/>
    </row>
    <row r="51" spans="1:25" x14ac:dyDescent="0.25">
      <c r="A51" s="123" t="str">
        <f>'ICPOES RESULTS'!A51</f>
      </c>
      <c r="B51" s="126"/>
      <c r="C51" s="127"/>
      <c r="D51" s="128"/>
      <c r="E51" s="128"/>
      <c r="F51" s="128"/>
      <c r="G51" s="128"/>
      <c r="H51" s="128"/>
      <c r="I51" s="129"/>
      <c r="J51" s="1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2"/>
      <c r="W51" s="12"/>
      <c r="X51" s="12"/>
      <c r="Y51"/>
    </row>
    <row r="52" spans="1:25" x14ac:dyDescent="0.25">
      <c r="A52" s="123" t="str">
        <f>'ICPOES RESULTS'!A52</f>
      </c>
      <c r="B52" s="126"/>
      <c r="C52" s="127"/>
      <c r="D52" s="128"/>
      <c r="E52" s="128"/>
      <c r="F52" s="128"/>
      <c r="G52" s="128"/>
      <c r="H52" s="128"/>
      <c r="I52" s="129"/>
      <c r="J52" s="17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2"/>
      <c r="W52" s="12"/>
      <c r="X52" s="12"/>
      <c r="Y52"/>
    </row>
    <row r="53" spans="1:25" x14ac:dyDescent="0.25">
      <c r="A53" s="123" t="str">
        <f>'ICPOES RESULTS'!A53</f>
      </c>
      <c r="B53" s="126"/>
      <c r="C53" s="127"/>
      <c r="D53" s="128"/>
      <c r="E53" s="128"/>
      <c r="F53" s="128"/>
      <c r="G53" s="128"/>
      <c r="H53" s="128"/>
      <c r="I53" s="129"/>
      <c r="J53" s="17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2"/>
      <c r="W53" s="12"/>
      <c r="X53" s="12"/>
      <c r="Y53"/>
    </row>
    <row r="54" spans="1:25" x14ac:dyDescent="0.25">
      <c r="A54" s="123" t="str">
        <f>'ICPOES RESULTS'!A54</f>
      </c>
      <c r="B54" s="126"/>
      <c r="C54" s="127"/>
      <c r="D54" s="128"/>
      <c r="E54" s="128"/>
      <c r="F54" s="128"/>
      <c r="G54" s="128"/>
      <c r="H54" s="128"/>
      <c r="I54" s="129"/>
      <c r="J54" s="17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2"/>
      <c r="W54" s="12"/>
      <c r="X54" s="12"/>
      <c r="Y54"/>
    </row>
    <row r="55" spans="1:25" x14ac:dyDescent="0.25">
      <c r="A55" s="123" t="str">
        <f>'ICPOES RESULTS'!A55</f>
      </c>
      <c r="B55" s="126"/>
      <c r="C55" s="127"/>
      <c r="D55" s="128"/>
      <c r="E55" s="128"/>
      <c r="F55" s="128"/>
      <c r="G55" s="128"/>
      <c r="H55" s="128"/>
      <c r="I55" s="129"/>
      <c r="J55" s="17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2"/>
      <c r="W55" s="12"/>
      <c r="X55" s="12"/>
      <c r="Y55"/>
    </row>
    <row r="56" spans="1:25" x14ac:dyDescent="0.25">
      <c r="A56" s="123" t="str">
        <f>'ICPOES RESULTS'!A56</f>
      </c>
      <c r="B56" s="126"/>
      <c r="C56" s="127"/>
      <c r="D56" s="128"/>
      <c r="E56" s="128"/>
      <c r="F56" s="128"/>
      <c r="G56" s="128"/>
      <c r="H56" s="128"/>
      <c r="I56" s="129"/>
      <c r="J56" s="17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2"/>
      <c r="W56" s="12"/>
      <c r="X56" s="12"/>
      <c r="Y56"/>
    </row>
    <row r="57" spans="1:25" x14ac:dyDescent="0.25">
      <c r="A57" s="123" t="str">
        <f>'ICPOES RESULTS'!A57</f>
      </c>
      <c r="B57" s="126"/>
      <c r="C57" s="127"/>
      <c r="D57" s="128"/>
      <c r="E57" s="128"/>
      <c r="F57" s="128"/>
      <c r="G57" s="128"/>
      <c r="H57" s="128"/>
      <c r="I57" s="129"/>
      <c r="J57" s="17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2"/>
      <c r="W57" s="12"/>
      <c r="X57" s="12"/>
      <c r="Y57"/>
    </row>
    <row r="58" spans="1:25" x14ac:dyDescent="0.25">
      <c r="A58" s="123" t="str">
        <f>'ICPOES RESULTS'!A58</f>
      </c>
      <c r="B58" s="126"/>
      <c r="C58" s="127"/>
      <c r="D58" s="128"/>
      <c r="E58" s="128"/>
      <c r="F58" s="128"/>
      <c r="G58" s="128"/>
      <c r="H58" s="128"/>
      <c r="I58" s="129"/>
      <c r="J58" s="1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2"/>
      <c r="W58" s="12"/>
      <c r="X58" s="12"/>
      <c r="Y58"/>
    </row>
    <row r="59" spans="1:25" x14ac:dyDescent="0.25">
      <c r="A59" s="123" t="str">
        <f>'ICPOES RESULTS'!A59</f>
      </c>
      <c r="B59" s="126"/>
      <c r="C59" s="127"/>
      <c r="D59" s="128"/>
      <c r="E59" s="128"/>
      <c r="F59" s="128"/>
      <c r="G59" s="128"/>
      <c r="H59" s="128"/>
      <c r="I59" s="129"/>
      <c r="J59" s="1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2"/>
      <c r="W59" s="12"/>
      <c r="X59" s="12"/>
      <c r="Y59"/>
    </row>
    <row r="60" spans="1:25" x14ac:dyDescent="0.25">
      <c r="A60" s="123" t="str">
        <f>'ICPOES RESULTS'!A60</f>
      </c>
      <c r="B60" s="126"/>
      <c r="C60" s="127"/>
      <c r="D60" s="128"/>
      <c r="E60" s="128"/>
      <c r="F60" s="128"/>
      <c r="G60" s="128"/>
      <c r="H60" s="128"/>
      <c r="I60" s="129"/>
      <c r="J60" s="1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2"/>
      <c r="W60" s="12"/>
      <c r="X60" s="12"/>
      <c r="Y60"/>
    </row>
    <row r="61" spans="1:25" x14ac:dyDescent="0.25">
      <c r="A61" s="123" t="str">
        <f>'ICPOES RESULTS'!A61</f>
      </c>
      <c r="B61" s="126"/>
      <c r="C61" s="127"/>
      <c r="D61" s="128"/>
      <c r="E61" s="128"/>
      <c r="F61" s="128"/>
      <c r="G61" s="128"/>
      <c r="H61" s="128"/>
      <c r="I61" s="129"/>
      <c r="J61" s="1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2"/>
      <c r="W61" s="12"/>
      <c r="X61" s="12"/>
      <c r="Y61"/>
    </row>
    <row r="62" spans="1:25" ht="15.75" thickBot="1" x14ac:dyDescent="0.3">
      <c r="A62" s="123" t="str">
        <f>'ICPOES RESULTS'!A62</f>
      </c>
      <c r="B62" s="130"/>
      <c r="C62" s="131"/>
      <c r="D62" s="132"/>
      <c r="E62" s="132"/>
      <c r="F62" s="132"/>
      <c r="G62" s="132"/>
      <c r="H62" s="132"/>
      <c r="I62" s="133"/>
      <c r="J62" s="1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2"/>
      <c r="W62" s="12"/>
      <c r="X62" s="12"/>
      <c r="Y62"/>
    </row>
    <row r="63" spans="1:25" ht="15.75" thickTop="1" x14ac:dyDescent="0.25">
      <c r="A63" s="24" t="s">
        <v>184</v>
      </c>
      <c r="B63" s="54" t="s">
        <v>165</v>
      </c>
      <c r="C63" s="58">
        <v>0.1</v>
      </c>
      <c r="D63" s="58">
        <v>0.1</v>
      </c>
      <c r="E63" s="58">
        <v>0.1</v>
      </c>
      <c r="F63" s="58">
        <v>0.1</v>
      </c>
      <c r="G63" s="58">
        <v>0.1</v>
      </c>
      <c r="H63" s="58">
        <v>0.1</v>
      </c>
      <c r="I63" s="58">
        <v>0.3</v>
      </c>
      <c r="J63" s="17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2"/>
      <c r="W63" s="12"/>
      <c r="X63" s="12"/>
      <c r="Y63"/>
    </row>
    <row r="64" spans="1:25" x14ac:dyDescent="0.25">
      <c r="A64" s="24" t="s">
        <v>184</v>
      </c>
      <c r="B64" s="25" t="s">
        <v>165</v>
      </c>
      <c r="C64" s="28" t="s">
        <v>174</v>
      </c>
      <c r="D64" s="28" t="s">
        <v>174</v>
      </c>
      <c r="E64" s="28" t="s">
        <v>174</v>
      </c>
      <c r="F64" s="28" t="s">
        <v>174</v>
      </c>
      <c r="G64" s="28" t="s">
        <v>174</v>
      </c>
      <c r="H64" s="28" t="s">
        <v>174</v>
      </c>
      <c r="I64" s="28" t="s">
        <v>185</v>
      </c>
      <c r="J64" s="17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2"/>
      <c r="W64" s="12"/>
      <c r="X64" s="12"/>
      <c r="Y64"/>
    </row>
    <row r="65" spans="1:25" x14ac:dyDescent="0.25">
      <c r="A65" s="19"/>
      <c r="B65" s="13"/>
      <c r="C65" s="14"/>
      <c r="D65" s="14"/>
      <c r="E65" s="14"/>
      <c r="F65" s="14"/>
      <c r="G65" s="17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2"/>
      <c r="Y65" s="12"/>
    </row>
    <row r="66" spans="1:25" x14ac:dyDescent="0.25">
      <c r="A66" s="12"/>
      <c r="B66" s="12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2"/>
      <c r="Y66" s="12"/>
    </row>
    <row r="67" spans="1:25" x14ac:dyDescent="0.25">
      <c r="A67" s="175" t="s">
        <v>186</v>
      </c>
      <c r="B67" s="175"/>
      <c r="C67" s="40" t="s">
        <v>177</v>
      </c>
      <c r="D67" s="40" t="s">
        <v>178</v>
      </c>
      <c r="E67" s="40" t="s">
        <v>179</v>
      </c>
      <c r="F67" s="40" t="s">
        <v>180</v>
      </c>
      <c r="G67" s="40" t="s">
        <v>181</v>
      </c>
      <c r="H67" s="40" t="s">
        <v>182</v>
      </c>
      <c r="I67" s="40" t="s">
        <v>183</v>
      </c>
    </row>
    <row r="68" spans="1:25" x14ac:dyDescent="0.25">
      <c r="A68" s="39" t="s">
        <v>124</v>
      </c>
      <c r="B68" s="39" t="s">
        <v>125</v>
      </c>
      <c r="C68" s="40" t="s">
        <v>126</v>
      </c>
      <c r="D68" s="40" t="s">
        <v>126</v>
      </c>
      <c r="E68" s="40" t="s">
        <v>126</v>
      </c>
      <c r="F68" s="40" t="s">
        <v>126</v>
      </c>
      <c r="G68" s="40" t="s">
        <v>126</v>
      </c>
      <c r="H68" s="40" t="s">
        <v>126</v>
      </c>
      <c r="I68" s="40" t="s">
        <v>126</v>
      </c>
    </row>
    <row r="69" spans="1:25" x14ac:dyDescent="0.25">
      <c r="A69" s="20" t="str">
        <f>A18</f>
      </c>
      <c r="B69" s="20">
        <f>B18</f>
      </c>
      <c r="C69" s="10" t="str">
        <f>IF(ISBLANK(C18),"NO DATA",IF(OR(C18&lt;C$63,ISNUMBER(C18)=FALSE),C$64,C18))</f>
      </c>
      <c r="D69" s="10" t="str">
        <f t="shared" ref="D69:I69" si="0">IF(ISBLANK(D18),"NO DATA",IF(OR(D18&lt;D$63,ISNUMBER(D18)=FALSE),D$64,D18))</f>
      </c>
      <c r="E69" s="10" t="str">
        <f t="shared" si="0"/>
      </c>
      <c r="F69" s="10" t="str">
        <f t="shared" si="0"/>
      </c>
      <c r="G69" s="10" t="str">
        <f t="shared" si="0"/>
      </c>
      <c r="H69" s="10" t="str">
        <f t="shared" si="0"/>
      </c>
      <c r="I69" s="10" t="str">
        <f t="shared" si="0"/>
      </c>
    </row>
    <row r="70" spans="1:25" x14ac:dyDescent="0.25">
      <c r="A70" s="20" t="str">
        <f t="shared" ref="A70:B70" si="1">A19</f>
      </c>
      <c r="B70" s="20">
        <f t="shared" si="1"/>
      </c>
      <c r="C70" s="10" t="str">
        <f t="shared" ref="C70:I70" si="2">IF(ISBLANK(C19),"NO DATA",IF(OR(C19&lt;C$63,ISNUMBER(C19)=FALSE),C$64,C19))</f>
      </c>
      <c r="D70" s="10" t="str">
        <f t="shared" si="2"/>
      </c>
      <c r="E70" s="10" t="str">
        <f t="shared" si="2"/>
      </c>
      <c r="F70" s="10" t="str">
        <f t="shared" si="2"/>
      </c>
      <c r="G70" s="10" t="str">
        <f t="shared" si="2"/>
      </c>
      <c r="H70" s="10" t="str">
        <f t="shared" si="2"/>
      </c>
      <c r="I70" s="10" t="str">
        <f t="shared" si="2"/>
      </c>
    </row>
    <row r="71" spans="1:25" x14ac:dyDescent="0.25">
      <c r="A71" s="20" t="str">
        <f t="shared" ref="A71:B71" si="3">A20</f>
      </c>
      <c r="B71" s="20">
        <f t="shared" si="3"/>
      </c>
      <c r="C71" s="10" t="str">
        <f t="shared" ref="C71:I71" si="4">IF(ISBLANK(C20),"NO DATA",IF(OR(C20&lt;C$63,ISNUMBER(C20)=FALSE),C$64,C20))</f>
      </c>
      <c r="D71" s="10" t="str">
        <f t="shared" si="4"/>
      </c>
      <c r="E71" s="10" t="str">
        <f t="shared" si="4"/>
      </c>
      <c r="F71" s="10" t="str">
        <f t="shared" si="4"/>
      </c>
      <c r="G71" s="10" t="str">
        <f t="shared" si="4"/>
      </c>
      <c r="H71" s="10" t="str">
        <f t="shared" si="4"/>
      </c>
      <c r="I71" s="10" t="str">
        <f t="shared" si="4"/>
      </c>
    </row>
    <row r="72" spans="1:25" x14ac:dyDescent="0.25">
      <c r="A72" s="20" t="str">
        <f t="shared" ref="A72:B72" si="5">A21</f>
      </c>
      <c r="B72" s="20">
        <f t="shared" si="5"/>
      </c>
      <c r="C72" s="10" t="str">
        <f t="shared" ref="C72:I72" si="6">IF(ISBLANK(C21),"NO DATA",IF(OR(C21&lt;C$63,ISNUMBER(C21)=FALSE),C$64,C21))</f>
      </c>
      <c r="D72" s="10" t="str">
        <f t="shared" si="6"/>
      </c>
      <c r="E72" s="10" t="str">
        <f t="shared" si="6"/>
      </c>
      <c r="F72" s="10" t="str">
        <f t="shared" si="6"/>
      </c>
      <c r="G72" s="10" t="str">
        <f t="shared" si="6"/>
      </c>
      <c r="H72" s="10" t="str">
        <f t="shared" si="6"/>
      </c>
      <c r="I72" s="10" t="str">
        <f t="shared" si="6"/>
      </c>
    </row>
    <row r="73" spans="1:25" x14ac:dyDescent="0.25">
      <c r="A73" s="20" t="str">
        <f t="shared" ref="A73:B73" si="7">A22</f>
      </c>
      <c r="B73" s="20" t="str">
        <f t="shared" si="7"/>
      </c>
      <c r="C73" s="10" t="str">
        <f t="shared" ref="C73:I73" si="8">IF(ISBLANK(C22),"NO DATA",IF(OR(C22&lt;C$63,ISNUMBER(C22)=FALSE),C$64,C22))</f>
      </c>
      <c r="D73" s="10">
        <f t="shared" si="8"/>
      </c>
      <c r="E73" s="10" t="str">
        <f t="shared" si="8"/>
      </c>
      <c r="F73" s="10">
        <f t="shared" si="8"/>
      </c>
      <c r="G73" s="10">
        <f t="shared" si="8"/>
      </c>
      <c r="H73" s="10">
        <f t="shared" si="8"/>
      </c>
      <c r="I73" s="10" t="str">
        <f t="shared" si="8"/>
      </c>
    </row>
    <row r="74" spans="1:25" x14ac:dyDescent="0.25">
      <c r="A74" s="20" t="str">
        <f t="shared" ref="A74:B74" si="9">A23</f>
      </c>
      <c r="B74" s="20">
        <f t="shared" si="9"/>
      </c>
      <c r="C74" s="10" t="str">
        <f t="shared" ref="C74:I74" si="10">IF(ISBLANK(C23),"NO DATA",IF(OR(C23&lt;C$63,ISNUMBER(C23)=FALSE),C$64,C23))</f>
      </c>
      <c r="D74" s="10" t="str">
        <f t="shared" si="10"/>
      </c>
      <c r="E74" s="10" t="str">
        <f t="shared" si="10"/>
      </c>
      <c r="F74" s="10" t="str">
        <f t="shared" si="10"/>
      </c>
      <c r="G74" s="10" t="str">
        <f t="shared" si="10"/>
      </c>
      <c r="H74" s="10" t="str">
        <f t="shared" si="10"/>
      </c>
      <c r="I74" s="10" t="str">
        <f t="shared" si="10"/>
      </c>
    </row>
    <row r="75" spans="1:25" x14ac:dyDescent="0.25">
      <c r="A75" s="20" t="str">
        <f t="shared" ref="A75:B75" si="11">A24</f>
      </c>
      <c r="B75" s="20">
        <f t="shared" si="11"/>
      </c>
      <c r="C75" s="10" t="str">
        <f t="shared" ref="C75:I75" si="12">IF(ISBLANK(C24),"NO DATA",IF(OR(C24&lt;C$63,ISNUMBER(C24)=FALSE),C$64,C24))</f>
      </c>
      <c r="D75" s="10" t="str">
        <f t="shared" si="12"/>
      </c>
      <c r="E75" s="10" t="str">
        <f t="shared" si="12"/>
      </c>
      <c r="F75" s="10" t="str">
        <f t="shared" si="12"/>
      </c>
      <c r="G75" s="10" t="str">
        <f t="shared" si="12"/>
      </c>
      <c r="H75" s="10" t="str">
        <f t="shared" si="12"/>
      </c>
      <c r="I75" s="10" t="str">
        <f t="shared" si="12"/>
      </c>
    </row>
    <row r="76" spans="1:25" x14ac:dyDescent="0.25">
      <c r="A76" s="20" t="str">
        <f t="shared" ref="A76:B76" si="13">A25</f>
      </c>
      <c r="B76" s="20">
        <f t="shared" si="13"/>
      </c>
      <c r="C76" s="10" t="str">
        <f t="shared" ref="C76:I76" si="14">IF(ISBLANK(C25),"NO DATA",IF(OR(C25&lt;C$63,ISNUMBER(C25)=FALSE),C$64,C25))</f>
      </c>
      <c r="D76" s="10" t="str">
        <f t="shared" si="14"/>
      </c>
      <c r="E76" s="10" t="str">
        <f t="shared" si="14"/>
      </c>
      <c r="F76" s="10" t="str">
        <f t="shared" si="14"/>
      </c>
      <c r="G76" s="10" t="str">
        <f t="shared" si="14"/>
      </c>
      <c r="H76" s="10" t="str">
        <f t="shared" si="14"/>
      </c>
      <c r="I76" s="10" t="str">
        <f t="shared" si="14"/>
      </c>
    </row>
    <row r="77" spans="1:25" x14ac:dyDescent="0.25">
      <c r="A77" s="20" t="str">
        <f t="shared" ref="A77:B77" si="15">A26</f>
      </c>
      <c r="B77" s="20">
        <f t="shared" si="15"/>
      </c>
      <c r="C77" s="10" t="str">
        <f t="shared" ref="C77:I77" si="16">IF(ISBLANK(C26),"NO DATA",IF(OR(C26&lt;C$63,ISNUMBER(C26)=FALSE),C$64,C26))</f>
      </c>
      <c r="D77" s="10" t="str">
        <f t="shared" si="16"/>
      </c>
      <c r="E77" s="10" t="str">
        <f t="shared" si="16"/>
      </c>
      <c r="F77" s="10" t="str">
        <f t="shared" si="16"/>
      </c>
      <c r="G77" s="10" t="str">
        <f t="shared" si="16"/>
      </c>
      <c r="H77" s="10" t="str">
        <f t="shared" si="16"/>
      </c>
      <c r="I77" s="10" t="str">
        <f t="shared" si="16"/>
      </c>
    </row>
    <row r="78" spans="1:25" x14ac:dyDescent="0.25">
      <c r="A78" s="20" t="str">
        <f t="shared" ref="A78:B78" si="17">A27</f>
      </c>
      <c r="B78" s="20">
        <f t="shared" si="17"/>
      </c>
      <c r="C78" s="10" t="str">
        <f t="shared" ref="C78:I78" si="18">IF(ISBLANK(C27),"NO DATA",IF(OR(C27&lt;C$63,ISNUMBER(C27)=FALSE),C$64,C27))</f>
      </c>
      <c r="D78" s="10" t="str">
        <f t="shared" si="18"/>
      </c>
      <c r="E78" s="10" t="str">
        <f t="shared" si="18"/>
      </c>
      <c r="F78" s="10" t="str">
        <f t="shared" si="18"/>
      </c>
      <c r="G78" s="10" t="str">
        <f t="shared" si="18"/>
      </c>
      <c r="H78" s="10" t="str">
        <f t="shared" si="18"/>
      </c>
      <c r="I78" s="10" t="str">
        <f t="shared" si="18"/>
      </c>
    </row>
    <row r="79" spans="1:25" x14ac:dyDescent="0.25">
      <c r="A79" s="20" t="str">
        <f t="shared" ref="A79:B79" si="19">A28</f>
      </c>
      <c r="B79" s="20">
        <f t="shared" si="19"/>
      </c>
      <c r="C79" s="10" t="str">
        <f t="shared" ref="C79:I79" si="20">IF(ISBLANK(C28),"NO DATA",IF(OR(C28&lt;C$63,ISNUMBER(C28)=FALSE),C$64,C28))</f>
      </c>
      <c r="D79" s="10" t="str">
        <f t="shared" si="20"/>
      </c>
      <c r="E79" s="10" t="str">
        <f t="shared" si="20"/>
      </c>
      <c r="F79" s="10" t="str">
        <f t="shared" si="20"/>
      </c>
      <c r="G79" s="10" t="str">
        <f t="shared" si="20"/>
      </c>
      <c r="H79" s="10" t="str">
        <f t="shared" si="20"/>
      </c>
      <c r="I79" s="10" t="str">
        <f t="shared" si="20"/>
      </c>
    </row>
    <row r="80" spans="1:25" x14ac:dyDescent="0.25">
      <c r="A80" s="20" t="str">
        <f t="shared" ref="A80:B80" si="21">A29</f>
      </c>
      <c r="B80" s="20">
        <f t="shared" si="21"/>
      </c>
      <c r="C80" s="10" t="str">
        <f t="shared" ref="C80:I80" si="22">IF(ISBLANK(C29),"NO DATA",IF(OR(C29&lt;C$63,ISNUMBER(C29)=FALSE),C$64,C29))</f>
      </c>
      <c r="D80" s="10" t="str">
        <f t="shared" si="22"/>
      </c>
      <c r="E80" s="10" t="str">
        <f t="shared" si="22"/>
      </c>
      <c r="F80" s="10" t="str">
        <f t="shared" si="22"/>
      </c>
      <c r="G80" s="10" t="str">
        <f t="shared" si="22"/>
      </c>
      <c r="H80" s="10" t="str">
        <f t="shared" si="22"/>
      </c>
      <c r="I80" s="10" t="str">
        <f t="shared" si="22"/>
      </c>
    </row>
    <row r="81" spans="1:9" x14ac:dyDescent="0.25">
      <c r="A81" s="20" t="str">
        <f t="shared" ref="A81:B81" si="23">A30</f>
      </c>
      <c r="B81" s="20">
        <f t="shared" si="23"/>
      </c>
      <c r="C81" s="10" t="str">
        <f t="shared" ref="C81:I81" si="24">IF(ISBLANK(C30),"NO DATA",IF(OR(C30&lt;C$63,ISNUMBER(C30)=FALSE),C$64,C30))</f>
      </c>
      <c r="D81" s="10" t="str">
        <f t="shared" si="24"/>
      </c>
      <c r="E81" s="10" t="str">
        <f t="shared" si="24"/>
      </c>
      <c r="F81" s="10" t="str">
        <f t="shared" si="24"/>
      </c>
      <c r="G81" s="10" t="str">
        <f t="shared" si="24"/>
      </c>
      <c r="H81" s="10" t="str">
        <f t="shared" si="24"/>
      </c>
      <c r="I81" s="10" t="str">
        <f t="shared" si="24"/>
      </c>
    </row>
    <row r="82" spans="1:9" x14ac:dyDescent="0.25">
      <c r="A82" s="20" t="str">
        <f t="shared" ref="A82:B82" si="25">A31</f>
      </c>
      <c r="B82" s="20">
        <f t="shared" si="25"/>
      </c>
      <c r="C82" s="10" t="str">
        <f t="shared" ref="C82:I82" si="26">IF(ISBLANK(C31),"NO DATA",IF(OR(C31&lt;C$63,ISNUMBER(C31)=FALSE),C$64,C31))</f>
      </c>
      <c r="D82" s="10" t="str">
        <f t="shared" si="26"/>
      </c>
      <c r="E82" s="10" t="str">
        <f t="shared" si="26"/>
      </c>
      <c r="F82" s="10" t="str">
        <f t="shared" si="26"/>
      </c>
      <c r="G82" s="10" t="str">
        <f t="shared" si="26"/>
      </c>
      <c r="H82" s="10" t="str">
        <f t="shared" si="26"/>
      </c>
      <c r="I82" s="10" t="str">
        <f t="shared" si="26"/>
      </c>
    </row>
    <row r="83" spans="1:9" x14ac:dyDescent="0.25">
      <c r="A83" s="20" t="str">
        <f t="shared" ref="A83:B83" si="27">A32</f>
      </c>
      <c r="B83" s="20">
        <f t="shared" si="27"/>
      </c>
      <c r="C83" s="10" t="str">
        <f t="shared" ref="C83:I83" si="28">IF(ISBLANK(C32),"NO DATA",IF(OR(C32&lt;C$63,ISNUMBER(C32)=FALSE),C$64,C32))</f>
      </c>
      <c r="D83" s="10" t="str">
        <f t="shared" si="28"/>
      </c>
      <c r="E83" s="10" t="str">
        <f t="shared" si="28"/>
      </c>
      <c r="F83" s="10" t="str">
        <f t="shared" si="28"/>
      </c>
      <c r="G83" s="10" t="str">
        <f t="shared" si="28"/>
      </c>
      <c r="H83" s="10" t="str">
        <f t="shared" si="28"/>
      </c>
      <c r="I83" s="10" t="str">
        <f t="shared" si="28"/>
      </c>
    </row>
    <row r="84" spans="1:9" x14ac:dyDescent="0.25">
      <c r="A84" s="20" t="str">
        <f t="shared" ref="A84:B84" si="29">A33</f>
      </c>
      <c r="B84" s="20">
        <f t="shared" si="29"/>
      </c>
      <c r="C84" s="10" t="str">
        <f t="shared" ref="C84:I84" si="30">IF(ISBLANK(C33),"NO DATA",IF(OR(C33&lt;C$63,ISNUMBER(C33)=FALSE),C$64,C33))</f>
      </c>
      <c r="D84" s="10" t="str">
        <f t="shared" si="30"/>
      </c>
      <c r="E84" s="10" t="str">
        <f t="shared" si="30"/>
      </c>
      <c r="F84" s="10" t="str">
        <f t="shared" si="30"/>
      </c>
      <c r="G84" s="10" t="str">
        <f t="shared" si="30"/>
      </c>
      <c r="H84" s="10" t="str">
        <f t="shared" si="30"/>
      </c>
      <c r="I84" s="10" t="str">
        <f t="shared" si="30"/>
      </c>
    </row>
    <row r="85" spans="1:9" x14ac:dyDescent="0.25">
      <c r="A85" s="20" t="str">
        <f t="shared" ref="A85:B85" si="31">A34</f>
      </c>
      <c r="B85" s="20">
        <f t="shared" si="31"/>
      </c>
      <c r="C85" s="10" t="str">
        <f t="shared" ref="C85:I85" si="32">IF(ISBLANK(C34),"NO DATA",IF(OR(C34&lt;C$63,ISNUMBER(C34)=FALSE),C$64,C34))</f>
      </c>
      <c r="D85" s="10" t="str">
        <f t="shared" si="32"/>
      </c>
      <c r="E85" s="10" t="str">
        <f t="shared" si="32"/>
      </c>
      <c r="F85" s="10" t="str">
        <f t="shared" si="32"/>
      </c>
      <c r="G85" s="10" t="str">
        <f t="shared" si="32"/>
      </c>
      <c r="H85" s="10" t="str">
        <f t="shared" si="32"/>
      </c>
      <c r="I85" s="10" t="str">
        <f t="shared" si="32"/>
      </c>
    </row>
    <row r="86" spans="1:9" x14ac:dyDescent="0.25">
      <c r="A86" s="20" t="str">
        <f t="shared" ref="A86:B86" si="33">A35</f>
      </c>
      <c r="B86" s="20">
        <f t="shared" si="33"/>
      </c>
      <c r="C86" s="10" t="str">
        <f t="shared" ref="C86:I86" si="34">IF(ISBLANK(C35),"NO DATA",IF(OR(C35&lt;C$63,ISNUMBER(C35)=FALSE),C$64,C35))</f>
      </c>
      <c r="D86" s="10" t="str">
        <f t="shared" si="34"/>
      </c>
      <c r="E86" s="10" t="str">
        <f t="shared" si="34"/>
      </c>
      <c r="F86" s="10" t="str">
        <f t="shared" si="34"/>
      </c>
      <c r="G86" s="10" t="str">
        <f t="shared" si="34"/>
      </c>
      <c r="H86" s="10" t="str">
        <f t="shared" si="34"/>
      </c>
      <c r="I86" s="10" t="str">
        <f t="shared" si="34"/>
      </c>
    </row>
    <row r="87" spans="1:9" x14ac:dyDescent="0.25">
      <c r="A87" s="20" t="str">
        <f t="shared" ref="A87:B87" si="35">A36</f>
      </c>
      <c r="B87" s="20">
        <f t="shared" si="35"/>
      </c>
      <c r="C87" s="10" t="str">
        <f t="shared" ref="C87:I87" si="36">IF(ISBLANK(C36),"NO DATA",IF(OR(C36&lt;C$63,ISNUMBER(C36)=FALSE),C$64,C36))</f>
      </c>
      <c r="D87" s="10" t="str">
        <f t="shared" si="36"/>
      </c>
      <c r="E87" s="10" t="str">
        <f t="shared" si="36"/>
      </c>
      <c r="F87" s="10" t="str">
        <f t="shared" si="36"/>
      </c>
      <c r="G87" s="10" t="str">
        <f t="shared" si="36"/>
      </c>
      <c r="H87" s="10" t="str">
        <f t="shared" si="36"/>
      </c>
      <c r="I87" s="10" t="str">
        <f t="shared" si="36"/>
      </c>
    </row>
    <row r="88" spans="1:9" x14ac:dyDescent="0.25">
      <c r="A88" s="20" t="str">
        <f t="shared" ref="A88:B88" si="37">A37</f>
      </c>
      <c r="B88" s="20">
        <f t="shared" si="37"/>
      </c>
      <c r="C88" s="10" t="str">
        <f t="shared" ref="C88:I88" si="38">IF(ISBLANK(C37),"NO DATA",IF(OR(C37&lt;C$63,ISNUMBER(C37)=FALSE),C$64,C37))</f>
      </c>
      <c r="D88" s="10" t="str">
        <f t="shared" si="38"/>
      </c>
      <c r="E88" s="10" t="str">
        <f t="shared" si="38"/>
      </c>
      <c r="F88" s="10" t="str">
        <f t="shared" si="38"/>
      </c>
      <c r="G88" s="10" t="str">
        <f t="shared" si="38"/>
      </c>
      <c r="H88" s="10" t="str">
        <f t="shared" si="38"/>
      </c>
      <c r="I88" s="10" t="str">
        <f t="shared" si="38"/>
      </c>
    </row>
    <row r="89" spans="1:9" x14ac:dyDescent="0.25">
      <c r="A89" s="20" t="str">
        <f t="shared" ref="A89:B89" si="39">A38</f>
      </c>
      <c r="B89" s="20">
        <f t="shared" si="39"/>
      </c>
      <c r="C89" s="10" t="str">
        <f t="shared" ref="C89:I89" si="40">IF(ISBLANK(C38),"NO DATA",IF(OR(C38&lt;C$63,ISNUMBER(C38)=FALSE),C$64,C38))</f>
      </c>
      <c r="D89" s="10" t="str">
        <f t="shared" si="40"/>
      </c>
      <c r="E89" s="10" t="str">
        <f t="shared" si="40"/>
      </c>
      <c r="F89" s="10" t="str">
        <f t="shared" si="40"/>
      </c>
      <c r="G89" s="10" t="str">
        <f t="shared" si="40"/>
      </c>
      <c r="H89" s="10" t="str">
        <f t="shared" si="40"/>
      </c>
      <c r="I89" s="10" t="str">
        <f t="shared" si="40"/>
      </c>
    </row>
    <row r="90" spans="1:9" x14ac:dyDescent="0.25">
      <c r="A90" s="20" t="str">
        <f t="shared" ref="A90:B90" si="41">A39</f>
      </c>
      <c r="B90" s="20">
        <f t="shared" si="41"/>
      </c>
      <c r="C90" s="10" t="str">
        <f t="shared" ref="C90:I90" si="42">IF(ISBLANK(C39),"NO DATA",IF(OR(C39&lt;C$63,ISNUMBER(C39)=FALSE),C$64,C39))</f>
      </c>
      <c r="D90" s="10" t="str">
        <f t="shared" si="42"/>
      </c>
      <c r="E90" s="10" t="str">
        <f t="shared" si="42"/>
      </c>
      <c r="F90" s="10" t="str">
        <f t="shared" si="42"/>
      </c>
      <c r="G90" s="10" t="str">
        <f t="shared" si="42"/>
      </c>
      <c r="H90" s="10" t="str">
        <f t="shared" si="42"/>
      </c>
      <c r="I90" s="10" t="str">
        <f t="shared" si="42"/>
      </c>
    </row>
    <row r="91" spans="1:9" x14ac:dyDescent="0.25">
      <c r="A91" s="20" t="str">
        <f t="shared" ref="A91:B91" si="43">A40</f>
      </c>
      <c r="B91" s="20">
        <f t="shared" si="43"/>
      </c>
      <c r="C91" s="10" t="str">
        <f t="shared" ref="C91:I91" si="44">IF(ISBLANK(C40),"NO DATA",IF(OR(C40&lt;C$63,ISNUMBER(C40)=FALSE),C$64,C40))</f>
      </c>
      <c r="D91" s="10" t="str">
        <f t="shared" si="44"/>
      </c>
      <c r="E91" s="10" t="str">
        <f t="shared" si="44"/>
      </c>
      <c r="F91" s="10" t="str">
        <f t="shared" si="44"/>
      </c>
      <c r="G91" s="10" t="str">
        <f t="shared" si="44"/>
      </c>
      <c r="H91" s="10" t="str">
        <f t="shared" si="44"/>
      </c>
      <c r="I91" s="10" t="str">
        <f t="shared" si="44"/>
      </c>
    </row>
    <row r="92" spans="1:9" x14ac:dyDescent="0.25">
      <c r="A92" s="20" t="str">
        <f t="shared" ref="A92:B92" si="45">A41</f>
      </c>
      <c r="B92" s="20">
        <f t="shared" si="45"/>
      </c>
      <c r="C92" s="10" t="str">
        <f t="shared" ref="C92:I92" si="46">IF(ISBLANK(C41),"NO DATA",IF(OR(C41&lt;C$63,ISNUMBER(C41)=FALSE),C$64,C41))</f>
      </c>
      <c r="D92" s="10" t="str">
        <f t="shared" si="46"/>
      </c>
      <c r="E92" s="10" t="str">
        <f t="shared" si="46"/>
      </c>
      <c r="F92" s="10" t="str">
        <f t="shared" si="46"/>
      </c>
      <c r="G92" s="10" t="str">
        <f t="shared" si="46"/>
      </c>
      <c r="H92" s="10" t="str">
        <f t="shared" si="46"/>
      </c>
      <c r="I92" s="10" t="str">
        <f t="shared" si="46"/>
      </c>
    </row>
    <row r="93" spans="1:9" x14ac:dyDescent="0.25">
      <c r="A93" s="20" t="str">
        <f t="shared" ref="A93:B93" si="47">A42</f>
      </c>
      <c r="B93" s="20">
        <f t="shared" si="47"/>
      </c>
      <c r="C93" s="10" t="str">
        <f t="shared" ref="C93:I93" si="48">IF(ISBLANK(C42),"NO DATA",IF(OR(C42&lt;C$63,ISNUMBER(C42)=FALSE),C$64,C42))</f>
      </c>
      <c r="D93" s="10" t="str">
        <f t="shared" si="48"/>
      </c>
      <c r="E93" s="10" t="str">
        <f t="shared" si="48"/>
      </c>
      <c r="F93" s="10" t="str">
        <f t="shared" si="48"/>
      </c>
      <c r="G93" s="10" t="str">
        <f t="shared" si="48"/>
      </c>
      <c r="H93" s="10" t="str">
        <f t="shared" si="48"/>
      </c>
      <c r="I93" s="10" t="str">
        <f t="shared" si="48"/>
      </c>
    </row>
    <row r="94" spans="1:9" x14ac:dyDescent="0.25">
      <c r="A94" s="20" t="str">
        <f t="shared" ref="A94:B94" si="49">A43</f>
      </c>
      <c r="B94" s="20">
        <f t="shared" si="49"/>
      </c>
      <c r="C94" s="10" t="str">
        <f t="shared" ref="C94:I94" si="50">IF(ISBLANK(C43),"NO DATA",IF(OR(C43&lt;C$63,ISNUMBER(C43)=FALSE),C$64,C43))</f>
      </c>
      <c r="D94" s="10" t="str">
        <f t="shared" si="50"/>
      </c>
      <c r="E94" s="10" t="str">
        <f t="shared" si="50"/>
      </c>
      <c r="F94" s="10" t="str">
        <f t="shared" si="50"/>
      </c>
      <c r="G94" s="10" t="str">
        <f t="shared" si="50"/>
      </c>
      <c r="H94" s="10" t="str">
        <f t="shared" si="50"/>
      </c>
      <c r="I94" s="10" t="str">
        <f t="shared" si="50"/>
      </c>
    </row>
    <row r="95" spans="1:9" x14ac:dyDescent="0.25">
      <c r="A95" s="20" t="str">
        <f t="shared" ref="A95:B95" si="51">A44</f>
      </c>
      <c r="B95" s="20">
        <f t="shared" si="51"/>
      </c>
      <c r="C95" s="10" t="str">
        <f t="shared" ref="C95:I95" si="52">IF(ISBLANK(C44),"NO DATA",IF(OR(C44&lt;C$63,ISNUMBER(C44)=FALSE),C$64,C44))</f>
      </c>
      <c r="D95" s="10" t="str">
        <f t="shared" si="52"/>
      </c>
      <c r="E95" s="10" t="str">
        <f t="shared" si="52"/>
      </c>
      <c r="F95" s="10" t="str">
        <f t="shared" si="52"/>
      </c>
      <c r="G95" s="10" t="str">
        <f t="shared" si="52"/>
      </c>
      <c r="H95" s="10" t="str">
        <f t="shared" si="52"/>
      </c>
      <c r="I95" s="10" t="str">
        <f t="shared" si="52"/>
      </c>
    </row>
    <row r="96" spans="1:9" x14ac:dyDescent="0.25">
      <c r="A96" s="20" t="str">
        <f t="shared" ref="A96:B96" si="53">A45</f>
      </c>
      <c r="B96" s="20">
        <f t="shared" si="53"/>
      </c>
      <c r="C96" s="10" t="str">
        <f t="shared" ref="C96:I96" si="54">IF(ISBLANK(C45),"NO DATA",IF(OR(C45&lt;C$63,ISNUMBER(C45)=FALSE),C$64,C45))</f>
      </c>
      <c r="D96" s="10" t="str">
        <f t="shared" si="54"/>
      </c>
      <c r="E96" s="10" t="str">
        <f t="shared" si="54"/>
      </c>
      <c r="F96" s="10" t="str">
        <f t="shared" si="54"/>
      </c>
      <c r="G96" s="10" t="str">
        <f t="shared" si="54"/>
      </c>
      <c r="H96" s="10" t="str">
        <f t="shared" si="54"/>
      </c>
      <c r="I96" s="10" t="str">
        <f t="shared" si="54"/>
      </c>
    </row>
    <row r="97" spans="1:9" x14ac:dyDescent="0.25">
      <c r="A97" s="20" t="str">
        <f t="shared" ref="A97:B97" si="55">A46</f>
      </c>
      <c r="B97" s="20">
        <f t="shared" si="55"/>
      </c>
      <c r="C97" s="10" t="str">
        <f t="shared" ref="C97:I97" si="56">IF(ISBLANK(C46),"NO DATA",IF(OR(C46&lt;C$63,ISNUMBER(C46)=FALSE),C$64,C46))</f>
      </c>
      <c r="D97" s="10" t="str">
        <f t="shared" si="56"/>
      </c>
      <c r="E97" s="10" t="str">
        <f t="shared" si="56"/>
      </c>
      <c r="F97" s="10" t="str">
        <f t="shared" si="56"/>
      </c>
      <c r="G97" s="10" t="str">
        <f t="shared" si="56"/>
      </c>
      <c r="H97" s="10" t="str">
        <f t="shared" si="56"/>
      </c>
      <c r="I97" s="10" t="str">
        <f t="shared" si="56"/>
      </c>
    </row>
    <row r="98" spans="1:9" x14ac:dyDescent="0.25">
      <c r="A98" s="20" t="str">
        <f t="shared" ref="A98:B98" si="57">A47</f>
      </c>
      <c r="B98" s="20">
        <f t="shared" si="57"/>
      </c>
      <c r="C98" s="10" t="str">
        <f t="shared" ref="C98:I98" si="58">IF(ISBLANK(C47),"NO DATA",IF(OR(C47&lt;C$63,ISNUMBER(C47)=FALSE),C$64,C47))</f>
      </c>
      <c r="D98" s="10" t="str">
        <f t="shared" si="58"/>
      </c>
      <c r="E98" s="10" t="str">
        <f t="shared" si="58"/>
      </c>
      <c r="F98" s="10" t="str">
        <f t="shared" si="58"/>
      </c>
      <c r="G98" s="10" t="str">
        <f t="shared" si="58"/>
      </c>
      <c r="H98" s="10" t="str">
        <f t="shared" si="58"/>
      </c>
      <c r="I98" s="10" t="str">
        <f t="shared" si="58"/>
      </c>
    </row>
    <row r="99" spans="1:9" x14ac:dyDescent="0.25">
      <c r="A99" s="20" t="str">
        <f t="shared" ref="A99:B99" si="59">A48</f>
      </c>
      <c r="B99" s="20">
        <f t="shared" si="59"/>
      </c>
      <c r="C99" s="10" t="str">
        <f t="shared" ref="C99:I99" si="60">IF(ISBLANK(C48),"NO DATA",IF(OR(C48&lt;C$63,ISNUMBER(C48)=FALSE),C$64,C48))</f>
      </c>
      <c r="D99" s="10" t="str">
        <f t="shared" si="60"/>
      </c>
      <c r="E99" s="10" t="str">
        <f t="shared" si="60"/>
      </c>
      <c r="F99" s="10" t="str">
        <f t="shared" si="60"/>
      </c>
      <c r="G99" s="10" t="str">
        <f t="shared" si="60"/>
      </c>
      <c r="H99" s="10" t="str">
        <f t="shared" si="60"/>
      </c>
      <c r="I99" s="10" t="str">
        <f t="shared" si="60"/>
      </c>
    </row>
    <row r="100" spans="1:9" x14ac:dyDescent="0.25">
      <c r="A100" s="20" t="str">
        <f t="shared" ref="A100:B100" si="61">A49</f>
      </c>
      <c r="B100" s="20">
        <f t="shared" si="61"/>
      </c>
      <c r="C100" s="10" t="str">
        <f t="shared" ref="C100:I100" si="62">IF(ISBLANK(C49),"NO DATA",IF(OR(C49&lt;C$63,ISNUMBER(C49)=FALSE),C$64,C49))</f>
      </c>
      <c r="D100" s="10" t="str">
        <f t="shared" si="62"/>
      </c>
      <c r="E100" s="10" t="str">
        <f t="shared" si="62"/>
      </c>
      <c r="F100" s="10" t="str">
        <f t="shared" si="62"/>
      </c>
      <c r="G100" s="10" t="str">
        <f t="shared" si="62"/>
      </c>
      <c r="H100" s="10" t="str">
        <f t="shared" si="62"/>
      </c>
      <c r="I100" s="10" t="str">
        <f t="shared" si="62"/>
      </c>
    </row>
    <row r="101" spans="1:9" x14ac:dyDescent="0.25">
      <c r="A101" s="20" t="str">
        <f t="shared" ref="A101:B101" si="63">A50</f>
      </c>
      <c r="B101" s="20">
        <f t="shared" si="63"/>
      </c>
      <c r="C101" s="10" t="str">
        <f t="shared" ref="C101:I101" si="64">IF(ISBLANK(C50),"NO DATA",IF(OR(C50&lt;C$63,ISNUMBER(C50)=FALSE),C$64,C50))</f>
      </c>
      <c r="D101" s="10" t="str">
        <f t="shared" si="64"/>
      </c>
      <c r="E101" s="10" t="str">
        <f t="shared" si="64"/>
      </c>
      <c r="F101" s="10" t="str">
        <f t="shared" si="64"/>
      </c>
      <c r="G101" s="10" t="str">
        <f t="shared" si="64"/>
      </c>
      <c r="H101" s="10" t="str">
        <f t="shared" si="64"/>
      </c>
      <c r="I101" s="10" t="str">
        <f t="shared" si="64"/>
      </c>
    </row>
    <row r="102" spans="1:9" x14ac:dyDescent="0.25">
      <c r="A102" s="20" t="str">
        <f t="shared" ref="A102:B102" si="65">A51</f>
      </c>
      <c r="B102" s="20">
        <f t="shared" si="65"/>
      </c>
      <c r="C102" s="10" t="str">
        <f t="shared" ref="C102:I102" si="66">IF(ISBLANK(C51),"NO DATA",IF(OR(C51&lt;C$63,ISNUMBER(C51)=FALSE),C$64,C51))</f>
      </c>
      <c r="D102" s="10" t="str">
        <f t="shared" si="66"/>
      </c>
      <c r="E102" s="10" t="str">
        <f t="shared" si="66"/>
      </c>
      <c r="F102" s="10" t="str">
        <f t="shared" si="66"/>
      </c>
      <c r="G102" s="10" t="str">
        <f t="shared" si="66"/>
      </c>
      <c r="H102" s="10" t="str">
        <f t="shared" si="66"/>
      </c>
      <c r="I102" s="10" t="str">
        <f t="shared" si="66"/>
      </c>
    </row>
    <row r="103" spans="1:9" x14ac:dyDescent="0.25">
      <c r="A103" s="20" t="str">
        <f t="shared" ref="A103:B103" si="67">A52</f>
      </c>
      <c r="B103" s="20">
        <f t="shared" si="67"/>
      </c>
      <c r="C103" s="10" t="str">
        <f t="shared" ref="C103:I103" si="68">IF(ISBLANK(C52),"NO DATA",IF(OR(C52&lt;C$63,ISNUMBER(C52)=FALSE),C$64,C52))</f>
      </c>
      <c r="D103" s="10" t="str">
        <f t="shared" si="68"/>
      </c>
      <c r="E103" s="10" t="str">
        <f t="shared" si="68"/>
      </c>
      <c r="F103" s="10" t="str">
        <f t="shared" si="68"/>
      </c>
      <c r="G103" s="10" t="str">
        <f t="shared" si="68"/>
      </c>
      <c r="H103" s="10" t="str">
        <f t="shared" si="68"/>
      </c>
      <c r="I103" s="10" t="str">
        <f t="shared" si="68"/>
      </c>
    </row>
    <row r="104" spans="1:9" x14ac:dyDescent="0.25">
      <c r="A104" s="20" t="str">
        <f t="shared" ref="A104:B104" si="69">A53</f>
      </c>
      <c r="B104" s="20">
        <f t="shared" si="69"/>
      </c>
      <c r="C104" s="10" t="str">
        <f t="shared" ref="C104:I104" si="70">IF(ISBLANK(C53),"NO DATA",IF(OR(C53&lt;C$63,ISNUMBER(C53)=FALSE),C$64,C53))</f>
      </c>
      <c r="D104" s="10" t="str">
        <f t="shared" si="70"/>
      </c>
      <c r="E104" s="10" t="str">
        <f t="shared" si="70"/>
      </c>
      <c r="F104" s="10" t="str">
        <f t="shared" si="70"/>
      </c>
      <c r="G104" s="10" t="str">
        <f t="shared" si="70"/>
      </c>
      <c r="H104" s="10" t="str">
        <f t="shared" si="70"/>
      </c>
      <c r="I104" s="10" t="str">
        <f t="shared" si="70"/>
      </c>
    </row>
    <row r="105" spans="1:9" x14ac:dyDescent="0.25">
      <c r="A105" s="20" t="str">
        <f t="shared" ref="A105:B105" si="71">A54</f>
      </c>
      <c r="B105" s="20">
        <f t="shared" si="71"/>
      </c>
      <c r="C105" s="10" t="str">
        <f t="shared" ref="C105:I105" si="72">IF(ISBLANK(C54),"NO DATA",IF(OR(C54&lt;C$63,ISNUMBER(C54)=FALSE),C$64,C54))</f>
      </c>
      <c r="D105" s="10" t="str">
        <f t="shared" si="72"/>
      </c>
      <c r="E105" s="10" t="str">
        <f t="shared" si="72"/>
      </c>
      <c r="F105" s="10" t="str">
        <f t="shared" si="72"/>
      </c>
      <c r="G105" s="10" t="str">
        <f t="shared" si="72"/>
      </c>
      <c r="H105" s="10" t="str">
        <f t="shared" si="72"/>
      </c>
      <c r="I105" s="10" t="str">
        <f t="shared" si="72"/>
      </c>
    </row>
    <row r="106" spans="1:9" x14ac:dyDescent="0.25">
      <c r="A106" s="20" t="str">
        <f t="shared" ref="A106:B106" si="73">A55</f>
      </c>
      <c r="B106" s="20">
        <f t="shared" si="73"/>
      </c>
      <c r="C106" s="10" t="str">
        <f t="shared" ref="C106:I106" si="74">IF(ISBLANK(C55),"NO DATA",IF(OR(C55&lt;C$63,ISNUMBER(C55)=FALSE),C$64,C55))</f>
      </c>
      <c r="D106" s="10" t="str">
        <f t="shared" si="74"/>
      </c>
      <c r="E106" s="10" t="str">
        <f t="shared" si="74"/>
      </c>
      <c r="F106" s="10" t="str">
        <f t="shared" si="74"/>
      </c>
      <c r="G106" s="10" t="str">
        <f t="shared" si="74"/>
      </c>
      <c r="H106" s="10" t="str">
        <f t="shared" si="74"/>
      </c>
      <c r="I106" s="10" t="str">
        <f t="shared" si="74"/>
      </c>
    </row>
    <row r="107" spans="1:9" x14ac:dyDescent="0.25">
      <c r="A107" s="20" t="str">
        <f t="shared" ref="A107:B107" si="75">A56</f>
      </c>
      <c r="B107" s="20">
        <f t="shared" si="75"/>
      </c>
      <c r="C107" s="10" t="str">
        <f t="shared" ref="C107:I107" si="76">IF(ISBLANK(C56),"NO DATA",IF(OR(C56&lt;C$63,ISNUMBER(C56)=FALSE),C$64,C56))</f>
      </c>
      <c r="D107" s="10" t="str">
        <f t="shared" si="76"/>
      </c>
      <c r="E107" s="10" t="str">
        <f t="shared" si="76"/>
      </c>
      <c r="F107" s="10" t="str">
        <f t="shared" si="76"/>
      </c>
      <c r="G107" s="10" t="str">
        <f t="shared" si="76"/>
      </c>
      <c r="H107" s="10" t="str">
        <f t="shared" si="76"/>
      </c>
      <c r="I107" s="10" t="str">
        <f t="shared" si="76"/>
      </c>
    </row>
    <row r="108" spans="1:9" x14ac:dyDescent="0.25">
      <c r="A108" s="20" t="str">
        <f t="shared" ref="A108:B108" si="77">A57</f>
      </c>
      <c r="B108" s="20">
        <f t="shared" si="77"/>
      </c>
      <c r="C108" s="10" t="str">
        <f t="shared" ref="C108:I108" si="78">IF(ISBLANK(C57),"NO DATA",IF(OR(C57&lt;C$63,ISNUMBER(C57)=FALSE),C$64,C57))</f>
      </c>
      <c r="D108" s="10" t="str">
        <f t="shared" si="78"/>
      </c>
      <c r="E108" s="10" t="str">
        <f t="shared" si="78"/>
      </c>
      <c r="F108" s="10" t="str">
        <f t="shared" si="78"/>
      </c>
      <c r="G108" s="10" t="str">
        <f t="shared" si="78"/>
      </c>
      <c r="H108" s="10" t="str">
        <f t="shared" si="78"/>
      </c>
      <c r="I108" s="10" t="str">
        <f t="shared" si="78"/>
      </c>
    </row>
    <row r="109" spans="1:9" x14ac:dyDescent="0.25">
      <c r="A109" s="20" t="str">
        <f t="shared" ref="A109:B109" si="79">A58</f>
      </c>
      <c r="B109" s="20">
        <f t="shared" si="79"/>
      </c>
      <c r="C109" s="10" t="str">
        <f t="shared" ref="C109:I109" si="80">IF(ISBLANK(C58),"NO DATA",IF(OR(C58&lt;C$63,ISNUMBER(C58)=FALSE),C$64,C58))</f>
      </c>
      <c r="D109" s="10" t="str">
        <f t="shared" si="80"/>
      </c>
      <c r="E109" s="10" t="str">
        <f t="shared" si="80"/>
      </c>
      <c r="F109" s="10" t="str">
        <f t="shared" si="80"/>
      </c>
      <c r="G109" s="10" t="str">
        <f t="shared" si="80"/>
      </c>
      <c r="H109" s="10" t="str">
        <f t="shared" si="80"/>
      </c>
      <c r="I109" s="10" t="str">
        <f t="shared" si="80"/>
      </c>
    </row>
    <row r="110" spans="1:9" x14ac:dyDescent="0.25">
      <c r="A110" s="20" t="str">
        <f t="shared" ref="A110:B110" si="81">A59</f>
      </c>
      <c r="B110" s="20">
        <f t="shared" si="81"/>
      </c>
      <c r="C110" s="10" t="str">
        <f t="shared" ref="C110:I110" si="82">IF(ISBLANK(C59),"NO DATA",IF(OR(C59&lt;C$63,ISNUMBER(C59)=FALSE),C$64,C59))</f>
      </c>
      <c r="D110" s="10" t="str">
        <f t="shared" si="82"/>
      </c>
      <c r="E110" s="10" t="str">
        <f t="shared" si="82"/>
      </c>
      <c r="F110" s="10" t="str">
        <f t="shared" si="82"/>
      </c>
      <c r="G110" s="10" t="str">
        <f t="shared" si="82"/>
      </c>
      <c r="H110" s="10" t="str">
        <f t="shared" si="82"/>
      </c>
      <c r="I110" s="10" t="str">
        <f t="shared" si="82"/>
      </c>
    </row>
    <row r="111" spans="1:9" x14ac:dyDescent="0.25">
      <c r="A111" s="20" t="str">
        <f t="shared" ref="A111:B111" si="83">A60</f>
      </c>
      <c r="B111" s="20">
        <f t="shared" si="83"/>
      </c>
      <c r="C111" s="10" t="str">
        <f t="shared" ref="C111:I111" si="84">IF(ISBLANK(C60),"NO DATA",IF(OR(C60&lt;C$63,ISNUMBER(C60)=FALSE),C$64,C60))</f>
      </c>
      <c r="D111" s="10" t="str">
        <f t="shared" si="84"/>
      </c>
      <c r="E111" s="10" t="str">
        <f t="shared" si="84"/>
      </c>
      <c r="F111" s="10" t="str">
        <f t="shared" si="84"/>
      </c>
      <c r="G111" s="10" t="str">
        <f t="shared" si="84"/>
      </c>
      <c r="H111" s="10" t="str">
        <f t="shared" si="84"/>
      </c>
      <c r="I111" s="10" t="str">
        <f t="shared" si="84"/>
      </c>
    </row>
    <row r="112" spans="1:9" x14ac:dyDescent="0.25">
      <c r="A112" s="20" t="str">
        <f t="shared" ref="A112:B112" si="85">A61</f>
      </c>
      <c r="B112" s="20">
        <f t="shared" si="85"/>
      </c>
      <c r="C112" s="10" t="str">
        <f t="shared" ref="C112:I112" si="86">IF(ISBLANK(C61),"NO DATA",IF(OR(C61&lt;C$63,ISNUMBER(C61)=FALSE),C$64,C61))</f>
      </c>
      <c r="D112" s="10" t="str">
        <f t="shared" si="86"/>
      </c>
      <c r="E112" s="10" t="str">
        <f t="shared" si="86"/>
      </c>
      <c r="F112" s="10" t="str">
        <f t="shared" si="86"/>
      </c>
      <c r="G112" s="10" t="str">
        <f t="shared" si="86"/>
      </c>
      <c r="H112" s="10" t="str">
        <f t="shared" si="86"/>
      </c>
      <c r="I112" s="10" t="str">
        <f t="shared" si="86"/>
      </c>
    </row>
    <row r="113" spans="1:9" x14ac:dyDescent="0.25">
      <c r="A113" s="20" t="str">
        <f t="shared" ref="A113:B113" si="87">A62</f>
      </c>
      <c r="B113" s="20">
        <f t="shared" si="87"/>
      </c>
      <c r="C113" s="10" t="str">
        <f t="shared" ref="C113:I113" si="88">IF(ISBLANK(C62),"NO DATA",IF(OR(C62&lt;C$63,ISNUMBER(C62)=FALSE),C$64,C62))</f>
      </c>
      <c r="D113" s="10" t="str">
        <f t="shared" si="88"/>
      </c>
      <c r="E113" s="10" t="str">
        <f t="shared" si="88"/>
      </c>
      <c r="F113" s="10" t="str">
        <f t="shared" si="88"/>
      </c>
      <c r="G113" s="10" t="str">
        <f t="shared" si="88"/>
      </c>
      <c r="H113" s="10" t="str">
        <f t="shared" si="88"/>
      </c>
      <c r="I113" s="10" t="str">
        <f t="shared" si="88"/>
      </c>
    </row>
  </sheetData>
  <sheetProtection algorithmName="SHA-512" hashValue="ZvfZt151qeH3ZZKZmCr6TPHc65vf/zthOQJfqbpLsaV/QRKIqEkTnLSdvLkeuAtn2tYfRTcv0HA7Jvt/c/7m3A==" saltValue="OMpxIQ1nWgQhzeTk0SkFFw==" spinCount="100000" sheet="1" objects="1" scenarios="1" formatCells="0" formatColumns="0"/>
  <protectedRanges>
    <protectedRange sqref="A18:I62" name="Range2"/>
    <protectedRange sqref="B5:B13" name="Range1"/>
  </protectedRanges>
  <mergeCells count="2">
    <mergeCell ref="A67:B67"/>
    <mergeCell ref="A16:B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63"/>
  <sheetViews>
    <sheetView workbookViewId="0">
      <selection activeCell="L18" sqref="L18"/>
    </sheetView>
  </sheetViews>
  <sheetFormatPr defaultRowHeight="15" x14ac:dyDescent="0.25"/>
  <cols>
    <col min="1" max="1" width="44" customWidth="1"/>
    <col min="2" max="2" width="35.7109375" customWidth="1"/>
    <col min="3" max="5" width="15.28515625" customWidth="1"/>
    <col min="6" max="16" width="15.28515625" style="4" customWidth="1"/>
    <col min="17" max="29" width="15.7109375" style="4" customWidth="1"/>
    <col min="30" max="117" width="15.7109375" customWidth="1"/>
  </cols>
  <sheetData>
    <row r="1" spans="1:16" x14ac:dyDescent="0.25">
      <c r="A1" s="1" t="s">
        <v>0</v>
      </c>
      <c r="B1" s="2"/>
      <c r="C1" s="2"/>
      <c r="D1" s="2"/>
      <c r="E1" s="2"/>
      <c r="F1" s="6"/>
    </row>
    <row r="2" spans="1:16" x14ac:dyDescent="0.25">
      <c r="A2" s="1" t="s">
        <v>1</v>
      </c>
      <c r="B2" s="2"/>
      <c r="C2" s="2"/>
      <c r="D2" s="2"/>
      <c r="E2" s="2"/>
      <c r="F2" s="6"/>
    </row>
    <row r="3" spans="1:16" x14ac:dyDescent="0.25">
      <c r="A3" s="1" t="s">
        <v>2</v>
      </c>
      <c r="B3" s="2" t="str">
        <f>INSTRUCTIONS!A3</f>
      </c>
      <c r="C3" s="2"/>
      <c r="D3" s="2"/>
      <c r="E3" s="2"/>
      <c r="F3" s="6"/>
    </row>
    <row r="4" spans="1:16" x14ac:dyDescent="0.25">
      <c r="A4" s="1"/>
      <c r="B4" s="2"/>
      <c r="C4" s="2"/>
      <c r="D4" s="2"/>
      <c r="E4" s="2"/>
      <c r="F4" s="6"/>
    </row>
    <row r="5" spans="1:16" x14ac:dyDescent="0.25">
      <c r="A5" s="1" t="s">
        <v>3</v>
      </c>
      <c r="B5" s="106" t="str">
        <f>'ICPOES RESULTS'!B5</f>
      </c>
      <c r="C5" s="4"/>
      <c r="D5" s="4"/>
      <c r="E5" s="4"/>
      <c r="F5" s="6"/>
    </row>
    <row r="6" spans="1:16" x14ac:dyDescent="0.25">
      <c r="A6" s="1" t="s">
        <v>4</v>
      </c>
      <c r="B6" s="106" t="str">
        <f>'ICPOES RESULTS'!B6</f>
      </c>
      <c r="C6" s="4"/>
      <c r="D6" s="4"/>
      <c r="E6" s="4"/>
      <c r="F6" s="6"/>
    </row>
    <row r="7" spans="1:16" x14ac:dyDescent="0.25">
      <c r="A7" s="1"/>
      <c r="B7" s="106"/>
      <c r="C7" s="4"/>
      <c r="D7" s="4"/>
      <c r="E7" s="4"/>
      <c r="F7" s="6"/>
    </row>
    <row r="8" spans="1:16" x14ac:dyDescent="0.25">
      <c r="A8" s="1" t="s">
        <v>6</v>
      </c>
      <c r="B8" s="107">
        <f>'ICPOES RESULTS'!B8</f>
      </c>
      <c r="C8" s="5"/>
      <c r="D8" s="5"/>
      <c r="E8" s="5"/>
      <c r="F8" s="6"/>
    </row>
    <row r="9" spans="1:16" x14ac:dyDescent="0.25">
      <c r="A9" s="1" t="s">
        <v>7</v>
      </c>
      <c r="B9" s="106" t="str">
        <f>'ICPOES RESULTS'!B9</f>
      </c>
      <c r="C9" s="4"/>
      <c r="D9" s="4"/>
      <c r="E9" s="4"/>
      <c r="F9" s="6"/>
    </row>
    <row r="10" spans="1:16" x14ac:dyDescent="0.25">
      <c r="A10" s="1" t="s">
        <v>8</v>
      </c>
      <c r="B10" s="106" t="str">
        <f>'ICPOES RESULTS'!B10</f>
      </c>
      <c r="C10" s="4"/>
      <c r="D10" s="4"/>
      <c r="E10" s="4"/>
      <c r="F10" s="6"/>
    </row>
    <row r="11" spans="1:16" x14ac:dyDescent="0.25">
      <c r="A11" s="1" t="s">
        <v>9</v>
      </c>
      <c r="B11" s="106" t="str">
        <f>'ICPOES RESULTS'!B11</f>
      </c>
      <c r="C11" s="4"/>
      <c r="D11" s="4"/>
      <c r="E11" s="4"/>
      <c r="F11" s="7"/>
    </row>
    <row r="12" spans="1:16" x14ac:dyDescent="0.25">
      <c r="A12" s="1" t="s">
        <v>10</v>
      </c>
      <c r="B12" s="106" t="str">
        <f>'ICPOES RESULTS'!B12</f>
      </c>
      <c r="C12" s="4"/>
      <c r="D12" s="4"/>
      <c r="E12" s="4"/>
      <c r="F12" s="7"/>
    </row>
    <row r="13" spans="1:16" x14ac:dyDescent="0.25">
      <c r="A13" s="1" t="s">
        <v>11</v>
      </c>
      <c r="B13" s="106" t="str">
        <f>'ICPOES RESULTS'!B13</f>
      </c>
      <c r="C13" s="4"/>
      <c r="D13" s="4"/>
      <c r="E13" s="4"/>
      <c r="F13" s="6"/>
    </row>
    <row r="14" spans="1:16" x14ac:dyDescent="0.25">
      <c r="A14" s="1"/>
      <c r="B14" s="3"/>
      <c r="C14" s="3"/>
      <c r="D14" s="3"/>
      <c r="E14" s="3"/>
      <c r="F14" s="6"/>
    </row>
    <row r="16" spans="1:16" x14ac:dyDescent="0.25">
      <c r="A16" s="175" t="s">
        <v>187</v>
      </c>
      <c r="B16" s="175"/>
      <c r="C16" s="40" t="s">
        <v>188</v>
      </c>
      <c r="D16" s="40" t="s">
        <v>189</v>
      </c>
      <c r="E16" s="40" t="s">
        <v>190</v>
      </c>
      <c r="F16" s="40" t="s">
        <v>191</v>
      </c>
      <c r="G16" s="40" t="s">
        <v>192</v>
      </c>
      <c r="H16" s="40" t="s">
        <v>193</v>
      </c>
      <c r="I16" s="40" t="s">
        <v>194</v>
      </c>
      <c r="J16" s="40" t="s">
        <v>195</v>
      </c>
      <c r="K16" s="40" t="s">
        <v>196</v>
      </c>
      <c r="L16" s="40" t="s">
        <v>197</v>
      </c>
      <c r="M16" s="40" t="s">
        <v>198</v>
      </c>
      <c r="N16" s="40" t="s">
        <v>199</v>
      </c>
      <c r="O16" s="40" t="s">
        <v>200</v>
      </c>
      <c r="P16" s="40" t="s">
        <v>201</v>
      </c>
    </row>
    <row r="17" spans="1:16" ht="15.75" thickBot="1" x14ac:dyDescent="0.3">
      <c r="A17" s="39" t="s">
        <v>124</v>
      </c>
      <c r="B17" s="59" t="s">
        <v>125</v>
      </c>
      <c r="C17" s="60" t="s">
        <v>202</v>
      </c>
      <c r="D17" s="60"/>
      <c r="E17" s="60" t="s">
        <v>203</v>
      </c>
      <c r="F17" s="60" t="s">
        <v>204</v>
      </c>
      <c r="G17" s="40" t="s">
        <v>205</v>
      </c>
      <c r="H17" s="60" t="s">
        <v>205</v>
      </c>
      <c r="I17" s="60" t="s">
        <v>204</v>
      </c>
      <c r="J17" s="60" t="s">
        <v>204</v>
      </c>
      <c r="K17" s="60" t="s">
        <v>206</v>
      </c>
      <c r="L17" s="60" t="s">
        <v>207</v>
      </c>
      <c r="M17" s="60" t="s">
        <v>204</v>
      </c>
      <c r="N17" s="60" t="s">
        <v>204</v>
      </c>
      <c r="O17" s="60"/>
      <c r="P17" s="78" t="s">
        <v>358</v>
      </c>
    </row>
    <row r="18" spans="1:16" ht="15.75" thickTop="1" x14ac:dyDescent="0.25">
      <c r="A18" s="123" t="str">
        <f>'ICPOES RESULTS'!A18</f>
      </c>
      <c r="B18" s="134"/>
      <c r="C18" s="135"/>
      <c r="D18" s="136"/>
      <c r="E18" s="136"/>
      <c r="F18" s="137"/>
      <c r="G18" s="138">
        <f>2.497*('ICPOES RESULTS'!P18)+4.118*('ICPOES RESULTS'!AZ18)</f>
      </c>
      <c r="H18" s="139"/>
      <c r="I18" s="140"/>
      <c r="J18" s="140"/>
      <c r="K18" s="140"/>
      <c r="L18" s="140"/>
      <c r="M18" s="141"/>
      <c r="N18" s="140"/>
      <c r="O18" s="136"/>
      <c r="P18" s="142"/>
    </row>
    <row r="19" spans="1:16" x14ac:dyDescent="0.25">
      <c r="A19" s="123" t="str">
        <f>'ICPOES RESULTS'!A19</f>
      </c>
      <c r="B19" s="143"/>
      <c r="C19" s="144"/>
      <c r="D19" s="145"/>
      <c r="E19" s="145"/>
      <c r="F19" s="146"/>
      <c r="G19" s="138">
        <f>2.497*('ICPOES RESULTS'!P19)+4.118*('ICPOES RESULTS'!AZ19)</f>
      </c>
      <c r="H19" s="147"/>
      <c r="I19" s="148"/>
      <c r="J19" s="148"/>
      <c r="K19" s="148"/>
      <c r="L19" s="148"/>
      <c r="M19" s="148"/>
      <c r="N19" s="148"/>
      <c r="O19" s="145"/>
      <c r="P19" s="149"/>
    </row>
    <row r="20" spans="1:16" x14ac:dyDescent="0.25">
      <c r="A20" s="123" t="str">
        <f>'ICPOES RESULTS'!A20</f>
      </c>
      <c r="B20" s="143"/>
      <c r="C20" s="144"/>
      <c r="D20" s="145"/>
      <c r="E20" s="145"/>
      <c r="F20" s="146"/>
      <c r="G20" s="138">
        <f>2.497*('ICPOES RESULTS'!P20)+4.118*('ICPOES RESULTS'!AZ20)</f>
      </c>
      <c r="H20" s="147"/>
      <c r="I20" s="148"/>
      <c r="J20" s="148"/>
      <c r="K20" s="148"/>
      <c r="L20" s="148"/>
      <c r="M20" s="148"/>
      <c r="N20" s="148"/>
      <c r="O20" s="145"/>
      <c r="P20" s="149"/>
    </row>
    <row r="21" spans="1:16" x14ac:dyDescent="0.25">
      <c r="A21" s="123" t="str">
        <f>'ICPOES RESULTS'!A21</f>
      </c>
      <c r="B21" s="143"/>
      <c r="C21" s="144"/>
      <c r="D21" s="145"/>
      <c r="E21" s="145"/>
      <c r="F21" s="146"/>
      <c r="G21" s="138">
        <f>2.497*('ICPOES RESULTS'!P21)+4.118*('ICPOES RESULTS'!AZ21)</f>
      </c>
      <c r="H21" s="147"/>
      <c r="I21" s="148"/>
      <c r="J21" s="148"/>
      <c r="K21" s="148"/>
      <c r="L21" s="148"/>
      <c r="M21" s="148"/>
      <c r="N21" s="148"/>
      <c r="O21" s="145"/>
      <c r="P21" s="149"/>
    </row>
    <row r="22" spans="1:16" x14ac:dyDescent="0.25">
      <c r="A22" s="123" t="str">
        <f>'ICPOES RESULTS'!A22</f>
      </c>
      <c r="B22" s="143"/>
      <c r="C22" s="144"/>
      <c r="D22" s="145"/>
      <c r="E22" s="145"/>
      <c r="F22" s="146"/>
      <c r="G22" s="138">
        <f>2.497*('ICPOES RESULTS'!P22)+4.118*('ICPOES RESULTS'!AZ22)</f>
      </c>
      <c r="H22" s="147"/>
      <c r="I22" s="148"/>
      <c r="J22" s="148"/>
      <c r="K22" s="148"/>
      <c r="L22" s="148"/>
      <c r="M22" s="148"/>
      <c r="N22" s="148"/>
      <c r="O22" s="145"/>
      <c r="P22" s="149"/>
    </row>
    <row r="23" spans="1:16" x14ac:dyDescent="0.25">
      <c r="A23" s="123" t="str">
        <f>'ICPOES RESULTS'!A23</f>
      </c>
      <c r="B23" s="143"/>
      <c r="C23" s="144"/>
      <c r="D23" s="145"/>
      <c r="E23" s="145"/>
      <c r="F23" s="146"/>
      <c r="G23" s="138">
        <f>2.497*('ICPOES RESULTS'!P23)+4.118*('ICPOES RESULTS'!AZ23)</f>
      </c>
      <c r="H23" s="147"/>
      <c r="I23" s="148"/>
      <c r="J23" s="148"/>
      <c r="K23" s="148"/>
      <c r="L23" s="148"/>
      <c r="M23" s="148"/>
      <c r="N23" s="148"/>
      <c r="O23" s="145"/>
      <c r="P23" s="149"/>
    </row>
    <row r="24" spans="1:16" x14ac:dyDescent="0.25">
      <c r="A24" s="123" t="str">
        <f>'ICPOES RESULTS'!A24</f>
      </c>
      <c r="B24" s="143"/>
      <c r="C24" s="144"/>
      <c r="D24" s="145"/>
      <c r="E24" s="145"/>
      <c r="F24" s="146"/>
      <c r="G24" s="138">
        <f>2.497*('ICPOES RESULTS'!P24)+4.118*('ICPOES RESULTS'!AZ24)</f>
      </c>
      <c r="H24" s="147"/>
      <c r="I24" s="148"/>
      <c r="J24" s="148"/>
      <c r="K24" s="148"/>
      <c r="L24" s="148"/>
      <c r="M24" s="148"/>
      <c r="N24" s="148"/>
      <c r="O24" s="145"/>
      <c r="P24" s="149"/>
    </row>
    <row r="25" spans="1:16" x14ac:dyDescent="0.25">
      <c r="A25" s="123" t="str">
        <f>'ICPOES RESULTS'!A25</f>
      </c>
      <c r="B25" s="143"/>
      <c r="C25" s="144"/>
      <c r="D25" s="145"/>
      <c r="E25" s="145"/>
      <c r="F25" s="146"/>
      <c r="G25" s="138">
        <f>2.497*('ICPOES RESULTS'!P25)+4.118*('ICPOES RESULTS'!AZ25)</f>
      </c>
      <c r="H25" s="147"/>
      <c r="I25" s="148"/>
      <c r="J25" s="148"/>
      <c r="K25" s="148"/>
      <c r="L25" s="148"/>
      <c r="M25" s="148"/>
      <c r="N25" s="148"/>
      <c r="O25" s="145"/>
      <c r="P25" s="149"/>
    </row>
    <row r="26" spans="1:16" x14ac:dyDescent="0.25">
      <c r="A26" s="123" t="str">
        <f>'ICPOES RESULTS'!A26</f>
      </c>
      <c r="B26" s="143"/>
      <c r="C26" s="144"/>
      <c r="D26" s="145"/>
      <c r="E26" s="145"/>
      <c r="F26" s="146"/>
      <c r="G26" s="138" t="e">
        <f>2.497*('ICPOES RESULTS'!P26)+4.118*('ICPOES RESULTS'!AZ26)</f>
      </c>
      <c r="H26" s="147"/>
      <c r="I26" s="148"/>
      <c r="J26" s="148"/>
      <c r="K26" s="148"/>
      <c r="L26" s="148"/>
      <c r="M26" s="148"/>
      <c r="N26" s="148"/>
      <c r="O26" s="145"/>
      <c r="P26" s="149"/>
    </row>
    <row r="27" spans="1:16" x14ac:dyDescent="0.25">
      <c r="A27" s="123" t="str">
        <f>'ICPOES RESULTS'!A27</f>
      </c>
      <c r="B27" s="143"/>
      <c r="C27" s="144"/>
      <c r="D27" s="145"/>
      <c r="E27" s="145"/>
      <c r="F27" s="146"/>
      <c r="G27" s="138">
        <f>2.497*('ICPOES RESULTS'!P27)+4.118*('ICPOES RESULTS'!AZ27)</f>
      </c>
      <c r="H27" s="147"/>
      <c r="I27" s="148"/>
      <c r="J27" s="148"/>
      <c r="K27" s="148"/>
      <c r="L27" s="148"/>
      <c r="M27" s="148"/>
      <c r="N27" s="148"/>
      <c r="O27" s="145"/>
      <c r="P27" s="149"/>
    </row>
    <row r="28" spans="1:16" x14ac:dyDescent="0.25">
      <c r="A28" s="123" t="str">
        <f>'ICPOES RESULTS'!A28</f>
      </c>
      <c r="B28" s="143"/>
      <c r="C28" s="144"/>
      <c r="D28" s="145"/>
      <c r="E28" s="145"/>
      <c r="F28" s="146"/>
      <c r="G28" s="138">
        <f>2.497*('ICPOES RESULTS'!P28)+4.118*('ICPOES RESULTS'!AZ28)</f>
      </c>
      <c r="H28" s="147"/>
      <c r="I28" s="148"/>
      <c r="J28" s="148"/>
      <c r="K28" s="148"/>
      <c r="L28" s="148"/>
      <c r="M28" s="148"/>
      <c r="N28" s="148"/>
      <c r="O28" s="145"/>
      <c r="P28" s="149"/>
    </row>
    <row r="29" spans="1:16" x14ac:dyDescent="0.25">
      <c r="A29" s="123" t="str">
        <f>'ICPOES RESULTS'!A29</f>
      </c>
      <c r="B29" s="143"/>
      <c r="C29" s="144"/>
      <c r="D29" s="145"/>
      <c r="E29" s="145"/>
      <c r="F29" s="146"/>
      <c r="G29" s="138">
        <f>2.497*('ICPOES RESULTS'!P29)+4.118*('ICPOES RESULTS'!AZ29)</f>
      </c>
      <c r="H29" s="147"/>
      <c r="I29" s="148"/>
      <c r="J29" s="148"/>
      <c r="K29" s="148"/>
      <c r="L29" s="148"/>
      <c r="M29" s="148"/>
      <c r="N29" s="148"/>
      <c r="O29" s="145"/>
      <c r="P29" s="149"/>
    </row>
    <row r="30" spans="1:16" x14ac:dyDescent="0.25">
      <c r="A30" s="123" t="str">
        <f>'ICPOES RESULTS'!A30</f>
      </c>
      <c r="B30" s="143"/>
      <c r="C30" s="144"/>
      <c r="D30" s="145"/>
      <c r="E30" s="145"/>
      <c r="F30" s="146"/>
      <c r="G30" s="138">
        <f>2.497*('ICPOES RESULTS'!P30)+4.118*('ICPOES RESULTS'!AZ30)</f>
      </c>
      <c r="H30" s="147"/>
      <c r="I30" s="148"/>
      <c r="J30" s="148"/>
      <c r="K30" s="148"/>
      <c r="L30" s="148"/>
      <c r="M30" s="148"/>
      <c r="N30" s="148"/>
      <c r="O30" s="145"/>
      <c r="P30" s="149"/>
    </row>
    <row r="31" spans="1:16" x14ac:dyDescent="0.25">
      <c r="A31" s="123" t="str">
        <f>'ICPOES RESULTS'!A31</f>
      </c>
      <c r="B31" s="143"/>
      <c r="C31" s="144"/>
      <c r="D31" s="145"/>
      <c r="E31" s="145"/>
      <c r="F31" s="146"/>
      <c r="G31" s="138">
        <f>2.497*('ICPOES RESULTS'!P31)+4.118*('ICPOES RESULTS'!AZ31)</f>
      </c>
      <c r="H31" s="147"/>
      <c r="I31" s="148"/>
      <c r="J31" s="148"/>
      <c r="K31" s="148"/>
      <c r="L31" s="148"/>
      <c r="M31" s="148"/>
      <c r="N31" s="148"/>
      <c r="O31" s="145"/>
      <c r="P31" s="149"/>
    </row>
    <row r="32" spans="1:16" x14ac:dyDescent="0.25">
      <c r="A32" s="123" t="str">
        <f>'ICPOES RESULTS'!A32</f>
      </c>
      <c r="B32" s="143"/>
      <c r="C32" s="144"/>
      <c r="D32" s="145"/>
      <c r="E32" s="145"/>
      <c r="F32" s="146"/>
      <c r="G32" s="138">
        <f>2.497*('ICPOES RESULTS'!P32)+4.118*('ICPOES RESULTS'!AZ32)</f>
      </c>
      <c r="H32" s="147"/>
      <c r="I32" s="148"/>
      <c r="J32" s="148"/>
      <c r="K32" s="148"/>
      <c r="L32" s="148"/>
      <c r="M32" s="148"/>
      <c r="N32" s="148"/>
      <c r="O32" s="145"/>
      <c r="P32" s="149"/>
    </row>
    <row r="33" spans="1:16" x14ac:dyDescent="0.25">
      <c r="A33" s="123" t="str">
        <f>'ICPOES RESULTS'!A33</f>
      </c>
      <c r="B33" s="143"/>
      <c r="C33" s="144"/>
      <c r="D33" s="145"/>
      <c r="E33" s="145"/>
      <c r="F33" s="146"/>
      <c r="G33" s="138">
        <f>2.497*('ICPOES RESULTS'!P33)+4.118*('ICPOES RESULTS'!AZ33)</f>
      </c>
      <c r="H33" s="147"/>
      <c r="I33" s="148"/>
      <c r="J33" s="148"/>
      <c r="K33" s="148"/>
      <c r="L33" s="148"/>
      <c r="M33" s="148"/>
      <c r="N33" s="148"/>
      <c r="O33" s="145"/>
      <c r="P33" s="149"/>
    </row>
    <row r="34" spans="1:16" x14ac:dyDescent="0.25">
      <c r="A34" s="123" t="str">
        <f>'ICPOES RESULTS'!A34</f>
      </c>
      <c r="B34" s="143"/>
      <c r="C34" s="144"/>
      <c r="D34" s="145"/>
      <c r="E34" s="145"/>
      <c r="F34" s="146"/>
      <c r="G34" s="138">
        <f>2.497*('ICPOES RESULTS'!P34)+4.118*('ICPOES RESULTS'!AZ34)</f>
      </c>
      <c r="H34" s="147"/>
      <c r="I34" s="148"/>
      <c r="J34" s="148"/>
      <c r="K34" s="148"/>
      <c r="L34" s="148"/>
      <c r="M34" s="148"/>
      <c r="N34" s="148"/>
      <c r="O34" s="145"/>
      <c r="P34" s="149"/>
    </row>
    <row r="35" spans="1:16" x14ac:dyDescent="0.25">
      <c r="A35" s="123" t="str">
        <f>'ICPOES RESULTS'!A35</f>
      </c>
      <c r="B35" s="143"/>
      <c r="C35" s="144"/>
      <c r="D35" s="145"/>
      <c r="E35" s="145"/>
      <c r="F35" s="146"/>
      <c r="G35" s="138">
        <f>2.497*('ICPOES RESULTS'!P35)+4.118*('ICPOES RESULTS'!AZ35)</f>
      </c>
      <c r="H35" s="147"/>
      <c r="I35" s="148"/>
      <c r="J35" s="148"/>
      <c r="K35" s="148"/>
      <c r="L35" s="148"/>
      <c r="M35" s="148"/>
      <c r="N35" s="148"/>
      <c r="O35" s="145"/>
      <c r="P35" s="149"/>
    </row>
    <row r="36" spans="1:16" x14ac:dyDescent="0.25">
      <c r="A36" s="123" t="str">
        <f>'ICPOES RESULTS'!A36</f>
      </c>
      <c r="B36" s="143"/>
      <c r="C36" s="144"/>
      <c r="D36" s="145"/>
      <c r="E36" s="145"/>
      <c r="F36" s="146"/>
      <c r="G36" s="138">
        <f>2.497*('ICPOES RESULTS'!P36)+4.118*('ICPOES RESULTS'!AZ36)</f>
      </c>
      <c r="H36" s="147"/>
      <c r="I36" s="148"/>
      <c r="J36" s="148"/>
      <c r="K36" s="148"/>
      <c r="L36" s="148"/>
      <c r="M36" s="148"/>
      <c r="N36" s="148"/>
      <c r="O36" s="145"/>
      <c r="P36" s="149"/>
    </row>
    <row r="37" spans="1:16" x14ac:dyDescent="0.25">
      <c r="A37" s="123" t="str">
        <f>'ICPOES RESULTS'!A37</f>
      </c>
      <c r="B37" s="143"/>
      <c r="C37" s="144"/>
      <c r="D37" s="145"/>
      <c r="E37" s="145"/>
      <c r="F37" s="146"/>
      <c r="G37" s="138">
        <f>2.497*('ICPOES RESULTS'!P37)+4.118*('ICPOES RESULTS'!AZ37)</f>
      </c>
      <c r="H37" s="147"/>
      <c r="I37" s="148"/>
      <c r="J37" s="148"/>
      <c r="K37" s="148"/>
      <c r="L37" s="148"/>
      <c r="M37" s="148"/>
      <c r="N37" s="148"/>
      <c r="O37" s="145"/>
      <c r="P37" s="149"/>
    </row>
    <row r="38" spans="1:16" x14ac:dyDescent="0.25">
      <c r="A38" s="123" t="str">
        <f>'ICPOES RESULTS'!A38</f>
      </c>
      <c r="B38" s="143"/>
      <c r="C38" s="144"/>
      <c r="D38" s="145"/>
      <c r="E38" s="145"/>
      <c r="F38" s="146"/>
      <c r="G38" s="138">
        <f>2.497*('ICPOES RESULTS'!P38)+4.118*('ICPOES RESULTS'!AZ38)</f>
      </c>
      <c r="H38" s="147"/>
      <c r="I38" s="148"/>
      <c r="J38" s="148"/>
      <c r="K38" s="148"/>
      <c r="L38" s="148"/>
      <c r="M38" s="148"/>
      <c r="N38" s="148"/>
      <c r="O38" s="145"/>
      <c r="P38" s="149"/>
    </row>
    <row r="39" spans="1:16" x14ac:dyDescent="0.25">
      <c r="A39" s="123" t="str">
        <f>'ICPOES RESULTS'!A39</f>
      </c>
      <c r="B39" s="143"/>
      <c r="C39" s="144"/>
      <c r="D39" s="145"/>
      <c r="E39" s="145"/>
      <c r="F39" s="146"/>
      <c r="G39" s="138">
        <f>2.497*('ICPOES RESULTS'!P39)+4.118*('ICPOES RESULTS'!AZ39)</f>
      </c>
      <c r="H39" s="147"/>
      <c r="I39" s="148"/>
      <c r="J39" s="148"/>
      <c r="K39" s="148"/>
      <c r="L39" s="148"/>
      <c r="M39" s="148"/>
      <c r="N39" s="148"/>
      <c r="O39" s="145"/>
      <c r="P39" s="149"/>
    </row>
    <row r="40" spans="1:16" x14ac:dyDescent="0.25">
      <c r="A40" s="123" t="str">
        <f>'ICPOES RESULTS'!A40</f>
      </c>
      <c r="B40" s="143"/>
      <c r="C40" s="144"/>
      <c r="D40" s="145"/>
      <c r="E40" s="145"/>
      <c r="F40" s="146"/>
      <c r="G40" s="138">
        <f>2.497*('ICPOES RESULTS'!P40)+4.118*('ICPOES RESULTS'!AZ40)</f>
      </c>
      <c r="H40" s="147"/>
      <c r="I40" s="148"/>
      <c r="J40" s="148"/>
      <c r="K40" s="148"/>
      <c r="L40" s="148"/>
      <c r="M40" s="148"/>
      <c r="N40" s="148"/>
      <c r="O40" s="145"/>
      <c r="P40" s="149"/>
    </row>
    <row r="41" spans="1:16" x14ac:dyDescent="0.25">
      <c r="A41" s="123" t="str">
        <f>'ICPOES RESULTS'!A41</f>
      </c>
      <c r="B41" s="143"/>
      <c r="C41" s="144"/>
      <c r="D41" s="145"/>
      <c r="E41" s="145"/>
      <c r="F41" s="146"/>
      <c r="G41" s="138">
        <f>2.497*('ICPOES RESULTS'!P41)+4.118*('ICPOES RESULTS'!AZ41)</f>
      </c>
      <c r="H41" s="147"/>
      <c r="I41" s="148"/>
      <c r="J41" s="148"/>
      <c r="K41" s="148"/>
      <c r="L41" s="148"/>
      <c r="M41" s="148"/>
      <c r="N41" s="148"/>
      <c r="O41" s="145"/>
      <c r="P41" s="149"/>
    </row>
    <row r="42" spans="1:16" x14ac:dyDescent="0.25">
      <c r="A42" s="123" t="str">
        <f>'ICPOES RESULTS'!A42</f>
      </c>
      <c r="B42" s="143"/>
      <c r="C42" s="144"/>
      <c r="D42" s="145"/>
      <c r="E42" s="145"/>
      <c r="F42" s="146"/>
      <c r="G42" s="138">
        <f>2.497*('ICPOES RESULTS'!P42)+4.118*('ICPOES RESULTS'!AZ42)</f>
      </c>
      <c r="H42" s="147"/>
      <c r="I42" s="148"/>
      <c r="J42" s="148"/>
      <c r="K42" s="148"/>
      <c r="L42" s="148"/>
      <c r="M42" s="148"/>
      <c r="N42" s="148"/>
      <c r="O42" s="145"/>
      <c r="P42" s="149"/>
    </row>
    <row r="43" spans="1:16" x14ac:dyDescent="0.25">
      <c r="A43" s="123" t="str">
        <f>'ICPOES RESULTS'!A43</f>
      </c>
      <c r="B43" s="143"/>
      <c r="C43" s="144"/>
      <c r="D43" s="145"/>
      <c r="E43" s="145"/>
      <c r="F43" s="146"/>
      <c r="G43" s="138">
        <f>2.497*('ICPOES RESULTS'!P43)+4.118*('ICPOES RESULTS'!AZ43)</f>
      </c>
      <c r="H43" s="147"/>
      <c r="I43" s="148"/>
      <c r="J43" s="148"/>
      <c r="K43" s="148"/>
      <c r="L43" s="148"/>
      <c r="M43" s="148"/>
      <c r="N43" s="148"/>
      <c r="O43" s="145"/>
      <c r="P43" s="149"/>
    </row>
    <row r="44" spans="1:16" x14ac:dyDescent="0.25">
      <c r="A44" s="123" t="str">
        <f>'ICPOES RESULTS'!A44</f>
      </c>
      <c r="B44" s="143"/>
      <c r="C44" s="144"/>
      <c r="D44" s="145"/>
      <c r="E44" s="145"/>
      <c r="F44" s="146"/>
      <c r="G44" s="138">
        <f>2.497*('ICPOES RESULTS'!P44)+4.118*('ICPOES RESULTS'!AZ44)</f>
      </c>
      <c r="H44" s="147"/>
      <c r="I44" s="148"/>
      <c r="J44" s="148"/>
      <c r="K44" s="148"/>
      <c r="L44" s="148"/>
      <c r="M44" s="148"/>
      <c r="N44" s="148"/>
      <c r="O44" s="145"/>
      <c r="P44" s="149"/>
    </row>
    <row r="45" spans="1:16" x14ac:dyDescent="0.25">
      <c r="A45" s="123" t="str">
        <f>'ICPOES RESULTS'!A45</f>
      </c>
      <c r="B45" s="143"/>
      <c r="C45" s="144"/>
      <c r="D45" s="145"/>
      <c r="E45" s="145"/>
      <c r="F45" s="146"/>
      <c r="G45" s="138">
        <f>2.497*('ICPOES RESULTS'!P45)+4.118*('ICPOES RESULTS'!AZ45)</f>
      </c>
      <c r="H45" s="147"/>
      <c r="I45" s="148"/>
      <c r="J45" s="148"/>
      <c r="K45" s="148"/>
      <c r="L45" s="148"/>
      <c r="M45" s="148"/>
      <c r="N45" s="148"/>
      <c r="O45" s="145"/>
      <c r="P45" s="149"/>
    </row>
    <row r="46" spans="1:16" x14ac:dyDescent="0.25">
      <c r="A46" s="123" t="str">
        <f>'ICPOES RESULTS'!A46</f>
      </c>
      <c r="B46" s="143"/>
      <c r="C46" s="144"/>
      <c r="D46" s="145"/>
      <c r="E46" s="145"/>
      <c r="F46" s="146"/>
      <c r="G46" s="138">
        <f>2.497*('ICPOES RESULTS'!P46)+4.118*('ICPOES RESULTS'!AZ46)</f>
      </c>
      <c r="H46" s="147"/>
      <c r="I46" s="148"/>
      <c r="J46" s="148"/>
      <c r="K46" s="148"/>
      <c r="L46" s="148"/>
      <c r="M46" s="148"/>
      <c r="N46" s="148"/>
      <c r="O46" s="145"/>
      <c r="P46" s="149"/>
    </row>
    <row r="47" spans="1:16" x14ac:dyDescent="0.25">
      <c r="A47" s="123" t="str">
        <f>'ICPOES RESULTS'!A47</f>
      </c>
      <c r="B47" s="143"/>
      <c r="C47" s="144"/>
      <c r="D47" s="145"/>
      <c r="E47" s="145"/>
      <c r="F47" s="146"/>
      <c r="G47" s="138">
        <f>2.497*('ICPOES RESULTS'!P47)+4.118*('ICPOES RESULTS'!AZ47)</f>
      </c>
      <c r="H47" s="147"/>
      <c r="I47" s="148"/>
      <c r="J47" s="148"/>
      <c r="K47" s="148"/>
      <c r="L47" s="148"/>
      <c r="M47" s="148"/>
      <c r="N47" s="148"/>
      <c r="O47" s="145"/>
      <c r="P47" s="149"/>
    </row>
    <row r="48" spans="1:16" x14ac:dyDescent="0.25">
      <c r="A48" s="123" t="str">
        <f>'ICPOES RESULTS'!A48</f>
      </c>
      <c r="B48" s="143"/>
      <c r="C48" s="144"/>
      <c r="D48" s="145"/>
      <c r="E48" s="145"/>
      <c r="F48" s="146"/>
      <c r="G48" s="138">
        <f>2.497*('ICPOES RESULTS'!P48)+4.118*('ICPOES RESULTS'!AZ48)</f>
      </c>
      <c r="H48" s="147"/>
      <c r="I48" s="148"/>
      <c r="J48" s="148"/>
      <c r="K48" s="148"/>
      <c r="L48" s="148"/>
      <c r="M48" s="148"/>
      <c r="N48" s="148"/>
      <c r="O48" s="145"/>
      <c r="P48" s="149"/>
    </row>
    <row r="49" spans="1:16" x14ac:dyDescent="0.25">
      <c r="A49" s="123" t="str">
        <f>'ICPOES RESULTS'!A49</f>
      </c>
      <c r="B49" s="143"/>
      <c r="C49" s="144"/>
      <c r="D49" s="145"/>
      <c r="E49" s="145"/>
      <c r="F49" s="146"/>
      <c r="G49" s="138">
        <f>2.497*('ICPOES RESULTS'!P49)+4.118*('ICPOES RESULTS'!AZ49)</f>
      </c>
      <c r="H49" s="147"/>
      <c r="I49" s="148"/>
      <c r="J49" s="148"/>
      <c r="K49" s="148"/>
      <c r="L49" s="148"/>
      <c r="M49" s="148"/>
      <c r="N49" s="148"/>
      <c r="O49" s="145"/>
      <c r="P49" s="149"/>
    </row>
    <row r="50" spans="1:16" x14ac:dyDescent="0.25">
      <c r="A50" s="123" t="str">
        <f>'ICPOES RESULTS'!A50</f>
      </c>
      <c r="B50" s="143"/>
      <c r="C50" s="144"/>
      <c r="D50" s="145"/>
      <c r="E50" s="145"/>
      <c r="F50" s="146"/>
      <c r="G50" s="138">
        <f>2.497*('ICPOES RESULTS'!P50)+4.118*('ICPOES RESULTS'!AZ50)</f>
      </c>
      <c r="H50" s="147"/>
      <c r="I50" s="148"/>
      <c r="J50" s="148"/>
      <c r="K50" s="148"/>
      <c r="L50" s="148"/>
      <c r="M50" s="148"/>
      <c r="N50" s="148"/>
      <c r="O50" s="145"/>
      <c r="P50" s="149"/>
    </row>
    <row r="51" spans="1:16" x14ac:dyDescent="0.25">
      <c r="A51" s="123" t="str">
        <f>'ICPOES RESULTS'!A51</f>
      </c>
      <c r="B51" s="143"/>
      <c r="C51" s="144"/>
      <c r="D51" s="145"/>
      <c r="E51" s="145"/>
      <c r="F51" s="146"/>
      <c r="G51" s="138">
        <f>2.497*('ICPOES RESULTS'!P51)+4.118*('ICPOES RESULTS'!AZ51)</f>
      </c>
      <c r="H51" s="147"/>
      <c r="I51" s="148"/>
      <c r="J51" s="148"/>
      <c r="K51" s="148"/>
      <c r="L51" s="148"/>
      <c r="M51" s="148"/>
      <c r="N51" s="148"/>
      <c r="O51" s="145"/>
      <c r="P51" s="149"/>
    </row>
    <row r="52" spans="1:16" x14ac:dyDescent="0.25">
      <c r="A52" s="123" t="str">
        <f>'ICPOES RESULTS'!A52</f>
      </c>
      <c r="B52" s="143"/>
      <c r="C52" s="144"/>
      <c r="D52" s="145"/>
      <c r="E52" s="145"/>
      <c r="F52" s="146"/>
      <c r="G52" s="138">
        <f>2.497*('ICPOES RESULTS'!P52)+4.118*('ICPOES RESULTS'!AZ52)</f>
      </c>
      <c r="H52" s="147"/>
      <c r="I52" s="148"/>
      <c r="J52" s="148"/>
      <c r="K52" s="148"/>
      <c r="L52" s="148"/>
      <c r="M52" s="148"/>
      <c r="N52" s="148"/>
      <c r="O52" s="145"/>
      <c r="P52" s="149"/>
    </row>
    <row r="53" spans="1:16" x14ac:dyDescent="0.25">
      <c r="A53" s="123" t="str">
        <f>'ICPOES RESULTS'!A53</f>
      </c>
      <c r="B53" s="143"/>
      <c r="C53" s="144"/>
      <c r="D53" s="145"/>
      <c r="E53" s="145"/>
      <c r="F53" s="146"/>
      <c r="G53" s="138">
        <f>2.497*('ICPOES RESULTS'!P53)+4.118*('ICPOES RESULTS'!AZ53)</f>
      </c>
      <c r="H53" s="147"/>
      <c r="I53" s="148"/>
      <c r="J53" s="148"/>
      <c r="K53" s="148"/>
      <c r="L53" s="148"/>
      <c r="M53" s="148"/>
      <c r="N53" s="148"/>
      <c r="O53" s="145"/>
      <c r="P53" s="149"/>
    </row>
    <row r="54" spans="1:16" x14ac:dyDescent="0.25">
      <c r="A54" s="123" t="str">
        <f>'ICPOES RESULTS'!A54</f>
      </c>
      <c r="B54" s="143"/>
      <c r="C54" s="144"/>
      <c r="D54" s="145"/>
      <c r="E54" s="145"/>
      <c r="F54" s="146"/>
      <c r="G54" s="138">
        <f>2.497*('ICPOES RESULTS'!P54)+4.118*('ICPOES RESULTS'!AZ54)</f>
      </c>
      <c r="H54" s="147"/>
      <c r="I54" s="148"/>
      <c r="J54" s="148"/>
      <c r="K54" s="148"/>
      <c r="L54" s="148"/>
      <c r="M54" s="148"/>
      <c r="N54" s="148"/>
      <c r="O54" s="145"/>
      <c r="P54" s="149"/>
    </row>
    <row r="55" spans="1:16" x14ac:dyDescent="0.25">
      <c r="A55" s="123" t="str">
        <f>'ICPOES RESULTS'!A55</f>
      </c>
      <c r="B55" s="143"/>
      <c r="C55" s="144"/>
      <c r="D55" s="145"/>
      <c r="E55" s="145"/>
      <c r="F55" s="146"/>
      <c r="G55" s="138">
        <f>2.497*('ICPOES RESULTS'!P55)+4.118*('ICPOES RESULTS'!AZ55)</f>
      </c>
      <c r="H55" s="147"/>
      <c r="I55" s="148"/>
      <c r="J55" s="148"/>
      <c r="K55" s="148"/>
      <c r="L55" s="148"/>
      <c r="M55" s="148"/>
      <c r="N55" s="148"/>
      <c r="O55" s="145"/>
      <c r="P55" s="149"/>
    </row>
    <row r="56" spans="1:16" x14ac:dyDescent="0.25">
      <c r="A56" s="123" t="str">
        <f>'ICPOES RESULTS'!A56</f>
      </c>
      <c r="B56" s="143"/>
      <c r="C56" s="144"/>
      <c r="D56" s="145"/>
      <c r="E56" s="145"/>
      <c r="F56" s="146"/>
      <c r="G56" s="138">
        <f>2.497*('ICPOES RESULTS'!P56)+4.118*('ICPOES RESULTS'!AZ56)</f>
      </c>
      <c r="H56" s="147"/>
      <c r="I56" s="148"/>
      <c r="J56" s="148"/>
      <c r="K56" s="148"/>
      <c r="L56" s="148"/>
      <c r="M56" s="148"/>
      <c r="N56" s="148"/>
      <c r="O56" s="145"/>
      <c r="P56" s="149"/>
    </row>
    <row r="57" spans="1:16" x14ac:dyDescent="0.25">
      <c r="A57" s="123" t="str">
        <f>'ICPOES RESULTS'!A57</f>
      </c>
      <c r="B57" s="143"/>
      <c r="C57" s="144"/>
      <c r="D57" s="145"/>
      <c r="E57" s="145"/>
      <c r="F57" s="146"/>
      <c r="G57" s="138">
        <f>2.497*('ICPOES RESULTS'!P57)+4.118*('ICPOES RESULTS'!AZ57)</f>
      </c>
      <c r="H57" s="147"/>
      <c r="I57" s="148"/>
      <c r="J57" s="148"/>
      <c r="K57" s="148"/>
      <c r="L57" s="148"/>
      <c r="M57" s="148"/>
      <c r="N57" s="148"/>
      <c r="O57" s="145"/>
      <c r="P57" s="149"/>
    </row>
    <row r="58" spans="1:16" x14ac:dyDescent="0.25">
      <c r="A58" s="123" t="str">
        <f>'ICPOES RESULTS'!A58</f>
      </c>
      <c r="B58" s="143"/>
      <c r="C58" s="144"/>
      <c r="D58" s="145"/>
      <c r="E58" s="145"/>
      <c r="F58" s="146"/>
      <c r="G58" s="138">
        <f>2.497*('ICPOES RESULTS'!P58)+4.118*('ICPOES RESULTS'!AZ58)</f>
      </c>
      <c r="H58" s="147"/>
      <c r="I58" s="148"/>
      <c r="J58" s="148"/>
      <c r="K58" s="148"/>
      <c r="L58" s="148"/>
      <c r="M58" s="148"/>
      <c r="N58" s="148"/>
      <c r="O58" s="145"/>
      <c r="P58" s="149"/>
    </row>
    <row r="59" spans="1:16" x14ac:dyDescent="0.25">
      <c r="A59" s="123" t="str">
        <f>'ICPOES RESULTS'!A59</f>
      </c>
      <c r="B59" s="143"/>
      <c r="C59" s="144"/>
      <c r="D59" s="145"/>
      <c r="E59" s="145"/>
      <c r="F59" s="146"/>
      <c r="G59" s="138">
        <f>2.497*('ICPOES RESULTS'!P59)+4.118*('ICPOES RESULTS'!AZ59)</f>
      </c>
      <c r="H59" s="147"/>
      <c r="I59" s="148"/>
      <c r="J59" s="148"/>
      <c r="K59" s="148"/>
      <c r="L59" s="148"/>
      <c r="M59" s="148"/>
      <c r="N59" s="148"/>
      <c r="O59" s="145"/>
      <c r="P59" s="149"/>
    </row>
    <row r="60" spans="1:16" x14ac:dyDescent="0.25">
      <c r="A60" s="123" t="str">
        <f>'ICPOES RESULTS'!A60</f>
      </c>
      <c r="B60" s="143"/>
      <c r="C60" s="144"/>
      <c r="D60" s="145"/>
      <c r="E60" s="145"/>
      <c r="F60" s="146"/>
      <c r="G60" s="138">
        <f>2.497*('ICPOES RESULTS'!P60)+4.118*('ICPOES RESULTS'!AZ60)</f>
      </c>
      <c r="H60" s="147"/>
      <c r="I60" s="148"/>
      <c r="J60" s="148"/>
      <c r="K60" s="148"/>
      <c r="L60" s="148"/>
      <c r="M60" s="148"/>
      <c r="N60" s="148"/>
      <c r="O60" s="145"/>
      <c r="P60" s="149"/>
    </row>
    <row r="61" spans="1:16" x14ac:dyDescent="0.25">
      <c r="A61" s="123" t="str">
        <f>'ICPOES RESULTS'!A61</f>
      </c>
      <c r="B61" s="143"/>
      <c r="C61" s="144"/>
      <c r="D61" s="145"/>
      <c r="E61" s="145"/>
      <c r="F61" s="146"/>
      <c r="G61" s="138">
        <f>2.497*('ICPOES RESULTS'!P61)+4.118*('ICPOES RESULTS'!AZ61)</f>
      </c>
      <c r="H61" s="147"/>
      <c r="I61" s="148"/>
      <c r="J61" s="148"/>
      <c r="K61" s="148"/>
      <c r="L61" s="148"/>
      <c r="M61" s="148"/>
      <c r="N61" s="148"/>
      <c r="O61" s="145"/>
      <c r="P61" s="149"/>
    </row>
    <row r="62" spans="1:16" ht="15.75" thickBot="1" x14ac:dyDescent="0.3">
      <c r="A62" s="123" t="str">
        <f>'ICPOES RESULTS'!A62</f>
      </c>
      <c r="B62" s="150"/>
      <c r="C62" s="151"/>
      <c r="D62" s="152"/>
      <c r="E62" s="152"/>
      <c r="F62" s="153"/>
      <c r="G62" s="138">
        <f>2.497*('ICPOES RESULTS'!P62)+4.118*('ICPOES RESULTS'!AZ62)</f>
      </c>
      <c r="H62" s="154"/>
      <c r="I62" s="155"/>
      <c r="J62" s="155"/>
      <c r="K62" s="155"/>
      <c r="L62" s="155"/>
      <c r="M62" s="155"/>
      <c r="N62" s="155"/>
      <c r="O62" s="152"/>
      <c r="P62" s="156"/>
    </row>
    <row r="63" spans="1:16" ht="15.75" thickTop="1" x14ac:dyDescent="0.25"/>
  </sheetData>
  <sheetProtection algorithmName="SHA-512" hashValue="jpKxYb/VlfeVLWcejMWHlMouW3g2H4nm9PN8AKuJiHFfl7FnS7wHgywlSXJiWO5zEuRZiZE6fzRh64uPYa7btA==" saltValue="8GaXa0Pn6uUIWDeH46ULZg==" spinCount="100000" sheet="1" objects="1" scenarios="1" formatCells="0"/>
  <protectedRanges>
    <protectedRange sqref="A18:P62" name="Range2"/>
    <protectedRange sqref="B5:B13" name="Range1"/>
  </protectedRanges>
  <mergeCells count="1">
    <mergeCell ref="A16:B1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8C2116-84EF-493B-8442-73D1A7C6A69F}">
          <x14:formula1>
            <xm:f>CODES!$A$21:$A$31</xm:f>
          </x14:formula1>
          <xm:sqref>P18:P62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3"/>
  <sheetViews>
    <sheetView topLeftCell="A7" workbookViewId="0">
      <selection activeCell="G21" sqref="G21"/>
    </sheetView>
  </sheetViews>
  <sheetFormatPr defaultRowHeight="15" x14ac:dyDescent="0.25"/>
  <cols>
    <col min="1" max="1" width="44" customWidth="1"/>
    <col min="2" max="2" width="35.7109375" customWidth="1"/>
    <col min="3" max="25" width="15.7109375" style="4" customWidth="1"/>
    <col min="26" max="113" width="15.7109375" customWidth="1"/>
  </cols>
  <sheetData>
    <row r="1" spans="1:5" x14ac:dyDescent="0.25">
      <c r="A1" s="1" t="s">
        <v>0</v>
      </c>
      <c r="B1" s="2"/>
      <c r="C1" s="6"/>
    </row>
    <row r="2" spans="1:5" x14ac:dyDescent="0.25">
      <c r="A2" s="1" t="s">
        <v>1</v>
      </c>
      <c r="B2" s="2"/>
      <c r="C2" s="6"/>
    </row>
    <row r="3" spans="1:5" x14ac:dyDescent="0.25">
      <c r="A3" s="1" t="s">
        <v>2</v>
      </c>
      <c r="B3" s="2" t="str">
        <f>INSTRUCTIONS!A3</f>
      </c>
      <c r="C3" s="6"/>
    </row>
    <row r="4" spans="1:5" x14ac:dyDescent="0.25">
      <c r="A4" s="1"/>
      <c r="B4" s="2"/>
      <c r="C4" s="6"/>
    </row>
    <row r="5" spans="1:5" x14ac:dyDescent="0.25">
      <c r="A5" s="1" t="s">
        <v>3</v>
      </c>
      <c r="B5" s="106" t="str">
        <f>'ICPOES RESULTS'!B5</f>
      </c>
      <c r="C5" s="6"/>
    </row>
    <row r="6" spans="1:5" x14ac:dyDescent="0.25">
      <c r="A6" s="1" t="s">
        <v>4</v>
      </c>
      <c r="B6" s="106" t="str">
        <f>'ICPOES RESULTS'!B6</f>
      </c>
      <c r="C6" s="6"/>
    </row>
    <row r="7" spans="1:5" x14ac:dyDescent="0.25">
      <c r="A7" s="1"/>
      <c r="B7" s="106"/>
      <c r="C7" s="6"/>
    </row>
    <row r="8" spans="1:5" x14ac:dyDescent="0.25">
      <c r="A8" s="1" t="s">
        <v>6</v>
      </c>
      <c r="B8" s="107">
        <f>'ICPOES RESULTS'!B8</f>
      </c>
      <c r="C8" s="6"/>
    </row>
    <row r="9" spans="1:5" x14ac:dyDescent="0.25">
      <c r="A9" s="1" t="s">
        <v>7</v>
      </c>
      <c r="B9" s="106" t="str">
        <f>'ICPOES RESULTS'!B9</f>
      </c>
      <c r="C9" s="6"/>
    </row>
    <row r="10" spans="1:5" x14ac:dyDescent="0.25">
      <c r="A10" s="1" t="s">
        <v>8</v>
      </c>
      <c r="B10" s="106" t="str">
        <f>'ICPOES RESULTS'!B10</f>
      </c>
      <c r="C10" s="6"/>
    </row>
    <row r="11" spans="1:5" x14ac:dyDescent="0.25">
      <c r="A11" s="1" t="s">
        <v>9</v>
      </c>
      <c r="B11" s="106" t="str">
        <f>'ICPOES RESULTS'!B11</f>
      </c>
      <c r="C11" s="7"/>
    </row>
    <row r="12" spans="1:5" x14ac:dyDescent="0.25">
      <c r="A12" s="1" t="s">
        <v>10</v>
      </c>
      <c r="B12" s="106" t="str">
        <f>'ICPOES RESULTS'!B12</f>
      </c>
      <c r="C12" s="7"/>
    </row>
    <row r="13" spans="1:5" x14ac:dyDescent="0.25">
      <c r="A13" s="1" t="s">
        <v>11</v>
      </c>
      <c r="B13" s="106" t="str">
        <f>'ICPOES RESULTS'!B13</f>
      </c>
      <c r="C13" s="6"/>
    </row>
    <row r="14" spans="1:5" x14ac:dyDescent="0.25">
      <c r="A14" s="1"/>
      <c r="B14" s="3"/>
      <c r="C14" s="6"/>
    </row>
    <row r="16" spans="1:5" x14ac:dyDescent="0.25">
      <c r="A16" s="175" t="s">
        <v>209</v>
      </c>
      <c r="B16" s="175"/>
      <c r="C16" s="40" t="s">
        <v>210</v>
      </c>
      <c r="D16" s="40" t="s">
        <v>221</v>
      </c>
      <c r="E16" s="40" t="s">
        <v>211</v>
      </c>
    </row>
    <row r="17" spans="1:5" ht="15.75" thickBot="1" x14ac:dyDescent="0.3">
      <c r="A17" s="39" t="s">
        <v>124</v>
      </c>
      <c r="B17" s="39" t="s">
        <v>125</v>
      </c>
      <c r="C17" s="60" t="s">
        <v>212</v>
      </c>
      <c r="D17" s="60" t="s">
        <v>212</v>
      </c>
      <c r="E17" s="60" t="s">
        <v>213</v>
      </c>
    </row>
    <row r="18" spans="1:5" ht="15.75" thickTop="1" x14ac:dyDescent="0.25">
      <c r="A18" s="157" t="str">
        <f>'ICPOES RESULTS'!A18</f>
      </c>
      <c r="B18" s="123"/>
      <c r="C18" s="158"/>
      <c r="D18" s="159"/>
      <c r="E18" s="137"/>
    </row>
    <row r="19" spans="1:5" x14ac:dyDescent="0.25">
      <c r="A19" s="157" t="str">
        <f>'ICPOES RESULTS'!A19</f>
      </c>
      <c r="B19" s="123"/>
      <c r="C19" s="160"/>
      <c r="D19" s="115"/>
      <c r="E19" s="146"/>
    </row>
    <row r="20" spans="1:5" x14ac:dyDescent="0.25">
      <c r="A20" s="157" t="str">
        <f>'ICPOES RESULTS'!A20</f>
      </c>
      <c r="B20" s="123"/>
      <c r="C20" s="160"/>
      <c r="D20" s="115"/>
      <c r="E20" s="146"/>
    </row>
    <row r="21" spans="1:5" x14ac:dyDescent="0.25">
      <c r="A21" s="157" t="str">
        <f>'ICPOES RESULTS'!A21</f>
      </c>
      <c r="B21" s="123"/>
      <c r="C21" s="160"/>
      <c r="D21" s="115"/>
      <c r="E21" s="146"/>
    </row>
    <row r="22" spans="1:5" x14ac:dyDescent="0.25">
      <c r="A22" s="157" t="str">
        <f>'ICPOES RESULTS'!A22</f>
      </c>
      <c r="B22" s="123"/>
      <c r="C22" s="160"/>
      <c r="D22" s="115"/>
      <c r="E22" s="146"/>
    </row>
    <row r="23" spans="1:5" x14ac:dyDescent="0.25">
      <c r="A23" s="157" t="str">
        <f>'ICPOES RESULTS'!A23</f>
      </c>
      <c r="B23" s="123"/>
      <c r="C23" s="160"/>
      <c r="D23" s="115"/>
      <c r="E23" s="146"/>
    </row>
    <row r="24" spans="1:5" x14ac:dyDescent="0.25">
      <c r="A24" s="157" t="str">
        <f>'ICPOES RESULTS'!A24</f>
      </c>
      <c r="B24" s="123"/>
      <c r="C24" s="160"/>
      <c r="D24" s="115"/>
      <c r="E24" s="146"/>
    </row>
    <row r="25" spans="1:5" x14ac:dyDescent="0.25">
      <c r="A25" s="157" t="str">
        <f>'ICPOES RESULTS'!A25</f>
      </c>
      <c r="B25" s="123"/>
      <c r="C25" s="160"/>
      <c r="D25" s="115"/>
      <c r="E25" s="146"/>
    </row>
    <row r="26" spans="1:5" x14ac:dyDescent="0.25">
      <c r="A26" s="157" t="str">
        <f>'ICPOES RESULTS'!A26</f>
      </c>
      <c r="B26" s="123"/>
      <c r="C26" s="160"/>
      <c r="D26" s="115"/>
      <c r="E26" s="146"/>
    </row>
    <row r="27" spans="1:5" x14ac:dyDescent="0.25">
      <c r="A27" s="157" t="str">
        <f>'ICPOES RESULTS'!A27</f>
      </c>
      <c r="B27" s="123"/>
      <c r="C27" s="160"/>
      <c r="D27" s="115"/>
      <c r="E27" s="146"/>
    </row>
    <row r="28" spans="1:5" x14ac:dyDescent="0.25">
      <c r="A28" s="157" t="str">
        <f>'ICPOES RESULTS'!A28</f>
      </c>
      <c r="B28" s="123"/>
      <c r="C28" s="160"/>
      <c r="D28" s="115"/>
      <c r="E28" s="146"/>
    </row>
    <row r="29" spans="1:5" x14ac:dyDescent="0.25">
      <c r="A29" s="157" t="str">
        <f>'ICPOES RESULTS'!A29</f>
      </c>
      <c r="B29" s="123"/>
      <c r="C29" s="160"/>
      <c r="D29" s="115"/>
      <c r="E29" s="146"/>
    </row>
    <row r="30" spans="1:5" x14ac:dyDescent="0.25">
      <c r="A30" s="157" t="str">
        <f>'ICPOES RESULTS'!A30</f>
      </c>
      <c r="B30" s="123"/>
      <c r="C30" s="160"/>
      <c r="D30" s="115"/>
      <c r="E30" s="146"/>
    </row>
    <row r="31" spans="1:5" x14ac:dyDescent="0.25">
      <c r="A31" s="157" t="str">
        <f>'ICPOES RESULTS'!A31</f>
      </c>
      <c r="B31" s="123"/>
      <c r="C31" s="160"/>
      <c r="D31" s="115"/>
      <c r="E31" s="146"/>
    </row>
    <row r="32" spans="1:5" x14ac:dyDescent="0.25">
      <c r="A32" s="157" t="str">
        <f>'ICPOES RESULTS'!A32</f>
      </c>
      <c r="B32" s="123"/>
      <c r="C32" s="160"/>
      <c r="D32" s="115"/>
      <c r="E32" s="146"/>
    </row>
    <row r="33" spans="1:5" x14ac:dyDescent="0.25">
      <c r="A33" s="157" t="str">
        <f>'ICPOES RESULTS'!A33</f>
      </c>
      <c r="B33" s="123"/>
      <c r="C33" s="160"/>
      <c r="D33" s="115"/>
      <c r="E33" s="146"/>
    </row>
    <row r="34" spans="1:5" x14ac:dyDescent="0.25">
      <c r="A34" s="157" t="str">
        <f>'ICPOES RESULTS'!A34</f>
      </c>
      <c r="B34" s="123"/>
      <c r="C34" s="160"/>
      <c r="D34" s="115"/>
      <c r="E34" s="146"/>
    </row>
    <row r="35" spans="1:5" x14ac:dyDescent="0.25">
      <c r="A35" s="157" t="str">
        <f>'ICPOES RESULTS'!A35</f>
      </c>
      <c r="B35" s="123"/>
      <c r="C35" s="160"/>
      <c r="D35" s="115"/>
      <c r="E35" s="146"/>
    </row>
    <row r="36" spans="1:5" x14ac:dyDescent="0.25">
      <c r="A36" s="157" t="str">
        <f>'ICPOES RESULTS'!A36</f>
      </c>
      <c r="B36" s="123"/>
      <c r="C36" s="160"/>
      <c r="D36" s="115"/>
      <c r="E36" s="146"/>
    </row>
    <row r="37" spans="1:5" x14ac:dyDescent="0.25">
      <c r="A37" s="157" t="str">
        <f>'ICPOES RESULTS'!A37</f>
      </c>
      <c r="B37" s="123"/>
      <c r="C37" s="160"/>
      <c r="D37" s="115"/>
      <c r="E37" s="146"/>
    </row>
    <row r="38" spans="1:5" x14ac:dyDescent="0.25">
      <c r="A38" s="157" t="str">
        <f>'ICPOES RESULTS'!A38</f>
      </c>
      <c r="B38" s="123"/>
      <c r="C38" s="160"/>
      <c r="D38" s="115"/>
      <c r="E38" s="146"/>
    </row>
    <row r="39" spans="1:5" x14ac:dyDescent="0.25">
      <c r="A39" s="157" t="str">
        <f>'ICPOES RESULTS'!A39</f>
      </c>
      <c r="B39" s="123"/>
      <c r="C39" s="160"/>
      <c r="D39" s="115"/>
      <c r="E39" s="146"/>
    </row>
    <row r="40" spans="1:5" x14ac:dyDescent="0.25">
      <c r="A40" s="157" t="str">
        <f>'ICPOES RESULTS'!A40</f>
      </c>
      <c r="B40" s="123"/>
      <c r="C40" s="160"/>
      <c r="D40" s="115"/>
      <c r="E40" s="146"/>
    </row>
    <row r="41" spans="1:5" x14ac:dyDescent="0.25">
      <c r="A41" s="157" t="str">
        <f>'ICPOES RESULTS'!A41</f>
      </c>
      <c r="B41" s="123"/>
      <c r="C41" s="160"/>
      <c r="D41" s="115"/>
      <c r="E41" s="146"/>
    </row>
    <row r="42" spans="1:5" x14ac:dyDescent="0.25">
      <c r="A42" s="157" t="str">
        <f>'ICPOES RESULTS'!A42</f>
      </c>
      <c r="B42" s="123"/>
      <c r="C42" s="160"/>
      <c r="D42" s="115"/>
      <c r="E42" s="146"/>
    </row>
    <row r="43" spans="1:5" x14ac:dyDescent="0.25">
      <c r="A43" s="157" t="str">
        <f>'ICPOES RESULTS'!A43</f>
      </c>
      <c r="B43" s="123"/>
      <c r="C43" s="160"/>
      <c r="D43" s="115"/>
      <c r="E43" s="146"/>
    </row>
    <row r="44" spans="1:5" x14ac:dyDescent="0.25">
      <c r="A44" s="157" t="str">
        <f>'ICPOES RESULTS'!A44</f>
      </c>
      <c r="B44" s="123"/>
      <c r="C44" s="160"/>
      <c r="D44" s="115"/>
      <c r="E44" s="146"/>
    </row>
    <row r="45" spans="1:5" x14ac:dyDescent="0.25">
      <c r="A45" s="157" t="str">
        <f>'ICPOES RESULTS'!A45</f>
      </c>
      <c r="B45" s="123"/>
      <c r="C45" s="160"/>
      <c r="D45" s="115"/>
      <c r="E45" s="146"/>
    </row>
    <row r="46" spans="1:5" x14ac:dyDescent="0.25">
      <c r="A46" s="157" t="str">
        <f>'ICPOES RESULTS'!A46</f>
      </c>
      <c r="B46" s="123"/>
      <c r="C46" s="160"/>
      <c r="D46" s="115"/>
      <c r="E46" s="146"/>
    </row>
    <row r="47" spans="1:5" x14ac:dyDescent="0.25">
      <c r="A47" s="157" t="str">
        <f>'ICPOES RESULTS'!A47</f>
      </c>
      <c r="B47" s="123"/>
      <c r="C47" s="160"/>
      <c r="D47" s="115"/>
      <c r="E47" s="146"/>
    </row>
    <row r="48" spans="1:5" x14ac:dyDescent="0.25">
      <c r="A48" s="157" t="str">
        <f>'ICPOES RESULTS'!A48</f>
      </c>
      <c r="B48" s="123"/>
      <c r="C48" s="160"/>
      <c r="D48" s="115"/>
      <c r="E48" s="146"/>
    </row>
    <row r="49" spans="1:5" x14ac:dyDescent="0.25">
      <c r="A49" s="157" t="str">
        <f>'ICPOES RESULTS'!A49</f>
      </c>
      <c r="B49" s="123"/>
      <c r="C49" s="160"/>
      <c r="D49" s="115"/>
      <c r="E49" s="146"/>
    </row>
    <row r="50" spans="1:5" x14ac:dyDescent="0.25">
      <c r="A50" s="157" t="str">
        <f>'ICPOES RESULTS'!A50</f>
      </c>
      <c r="B50" s="123"/>
      <c r="C50" s="160"/>
      <c r="D50" s="115"/>
      <c r="E50" s="146"/>
    </row>
    <row r="51" spans="1:5" x14ac:dyDescent="0.25">
      <c r="A51" s="157" t="str">
        <f>'ICPOES RESULTS'!A51</f>
      </c>
      <c r="B51" s="123"/>
      <c r="C51" s="160"/>
      <c r="D51" s="115"/>
      <c r="E51" s="146"/>
    </row>
    <row r="52" spans="1:5" x14ac:dyDescent="0.25">
      <c r="A52" s="157" t="str">
        <f>'ICPOES RESULTS'!A52</f>
      </c>
      <c r="B52" s="123"/>
      <c r="C52" s="160"/>
      <c r="D52" s="115"/>
      <c r="E52" s="146"/>
    </row>
    <row r="53" spans="1:5" x14ac:dyDescent="0.25">
      <c r="A53" s="157" t="str">
        <f>'ICPOES RESULTS'!A53</f>
      </c>
      <c r="B53" s="123"/>
      <c r="C53" s="160"/>
      <c r="D53" s="115"/>
      <c r="E53" s="146"/>
    </row>
    <row r="54" spans="1:5" x14ac:dyDescent="0.25">
      <c r="A54" s="157" t="str">
        <f>'ICPOES RESULTS'!A54</f>
      </c>
      <c r="B54" s="123"/>
      <c r="C54" s="160"/>
      <c r="D54" s="115"/>
      <c r="E54" s="146"/>
    </row>
    <row r="55" spans="1:5" x14ac:dyDescent="0.25">
      <c r="A55" s="157" t="str">
        <f>'ICPOES RESULTS'!A55</f>
      </c>
      <c r="B55" s="123"/>
      <c r="C55" s="160"/>
      <c r="D55" s="115"/>
      <c r="E55" s="146"/>
    </row>
    <row r="56" spans="1:5" x14ac:dyDescent="0.25">
      <c r="A56" s="157" t="str">
        <f>'ICPOES RESULTS'!A56</f>
      </c>
      <c r="B56" s="123"/>
      <c r="C56" s="160"/>
      <c r="D56" s="115"/>
      <c r="E56" s="146"/>
    </row>
    <row r="57" spans="1:5" x14ac:dyDescent="0.25">
      <c r="A57" s="157" t="str">
        <f>'ICPOES RESULTS'!A57</f>
      </c>
      <c r="B57" s="123"/>
      <c r="C57" s="160"/>
      <c r="D57" s="115"/>
      <c r="E57" s="146"/>
    </row>
    <row r="58" spans="1:5" x14ac:dyDescent="0.25">
      <c r="A58" s="157" t="str">
        <f>'ICPOES RESULTS'!A58</f>
      </c>
      <c r="B58" s="123"/>
      <c r="C58" s="160"/>
      <c r="D58" s="115"/>
      <c r="E58" s="146"/>
    </row>
    <row r="59" spans="1:5" x14ac:dyDescent="0.25">
      <c r="A59" s="157" t="str">
        <f>'ICPOES RESULTS'!A59</f>
      </c>
      <c r="B59" s="123"/>
      <c r="C59" s="160"/>
      <c r="D59" s="115"/>
      <c r="E59" s="146"/>
    </row>
    <row r="60" spans="1:5" x14ac:dyDescent="0.25">
      <c r="A60" s="157" t="str">
        <f>'ICPOES RESULTS'!A60</f>
      </c>
      <c r="B60" s="123"/>
      <c r="C60" s="160"/>
      <c r="D60" s="115"/>
      <c r="E60" s="146"/>
    </row>
    <row r="61" spans="1:5" x14ac:dyDescent="0.25">
      <c r="A61" s="157" t="str">
        <f>'ICPOES RESULTS'!A61</f>
      </c>
      <c r="B61" s="123"/>
      <c r="C61" s="160"/>
      <c r="D61" s="115"/>
      <c r="E61" s="146"/>
    </row>
    <row r="62" spans="1:5" ht="15.75" thickBot="1" x14ac:dyDescent="0.3">
      <c r="A62" s="157" t="str">
        <f>'ICPOES RESULTS'!A62</f>
      </c>
      <c r="B62" s="123"/>
      <c r="C62" s="161"/>
      <c r="D62" s="162"/>
      <c r="E62" s="153"/>
    </row>
    <row r="63" spans="1:5" ht="15.75" thickTop="1" x14ac:dyDescent="0.25"/>
  </sheetData>
  <sheetProtection algorithmName="SHA-512" hashValue="LWSIUry847bABibEJtOkUb8/dm+bKnftVxha9kX8ZT/U6l2fSg9oxIIC3D9yceIe2LXFFweu2sxq7g8NdLKixg==" saltValue="NuqjCc4sTsfSfViC75QPDw==" spinCount="100000" sheet="1" objects="1" scenarios="1" formatCells="0"/>
  <protectedRanges>
    <protectedRange sqref="B5:B13 A18:E62" name="Range1"/>
  </protectedRanges>
  <mergeCells count="1">
    <mergeCell ref="A16:B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1CAD-94A9-434A-86BE-8D24CCB54115}">
  <dimension ref="A1:AX61"/>
  <sheetViews>
    <sheetView tabSelected="1" topLeftCell="A17" workbookViewId="0">
      <selection activeCell="H31" sqref="H31"/>
    </sheetView>
  </sheetViews>
  <sheetFormatPr defaultRowHeight="15" x14ac:dyDescent="0.25"/>
  <cols>
    <col min="1" max="1" width="22.42578125" customWidth="1"/>
    <col min="5" max="5" width="13.85546875" customWidth="1"/>
    <col min="6" max="50" width="9.28515625" style="29" customWidth="1"/>
  </cols>
  <sheetData>
    <row r="1" spans="1:50" x14ac:dyDescent="0.25">
      <c r="A1" s="44" t="s">
        <v>214</v>
      </c>
    </row>
    <row r="2" spans="1:50" x14ac:dyDescent="0.25">
      <c r="A2" s="12"/>
    </row>
    <row r="3" spans="1:50" x14ac:dyDescent="0.25">
      <c r="A3" s="2" t="str">
        <f>INSTRUCTIONS!A3</f>
      </c>
    </row>
    <row r="6" spans="1:50" ht="15.75" x14ac:dyDescent="0.25">
      <c r="C6" s="30" t="s">
        <v>215</v>
      </c>
      <c r="D6" s="31" t="s">
        <v>216</v>
      </c>
      <c r="E6" s="31" t="s">
        <v>217</v>
      </c>
      <c r="F6" s="179" t="str">
        <f t="array" ref="F6:AX6">TRANSPOSE('PHYSICAL RESULTS'!A18:A62)</f>
      </c>
      <c r="G6" s="179"/>
      <c r="H6" s="179"/>
      <c r="I6" s="179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</row>
    <row r="7" spans="1:50" x14ac:dyDescent="0.25">
      <c r="C7" s="31" t="s">
        <v>189</v>
      </c>
      <c r="D7" s="31"/>
      <c r="E7" s="31" t="s">
        <v>511</v>
      </c>
      <c r="F7" s="184" t="str">
        <f t="array" ref="F7:AX7">TRANSPOSE('PHYSICAL RESULTS'!D18:D62)</f>
      </c>
      <c r="G7" s="184"/>
      <c r="H7" s="184"/>
      <c r="I7" s="184"/>
      <c r="J7" s="46"/>
      <c r="K7" s="46"/>
      <c r="L7" s="32"/>
      <c r="M7" s="46"/>
      <c r="N7" s="46"/>
      <c r="O7" s="46"/>
      <c r="P7" s="46"/>
      <c r="Q7" s="46"/>
      <c r="R7" s="46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</row>
    <row r="8" spans="1:50" x14ac:dyDescent="0.25">
      <c r="C8" s="31" t="s">
        <v>218</v>
      </c>
      <c r="D8" s="31" t="s">
        <v>203</v>
      </c>
      <c r="E8" s="31" t="s">
        <v>219</v>
      </c>
      <c r="F8" s="185" t="str">
        <f t="array" ref="F8:AX8">TRANSPOSE('PHYSICAL RESULTS'!E18:E62)</f>
      </c>
      <c r="G8" s="185"/>
      <c r="H8" s="185"/>
      <c r="I8" s="185"/>
      <c r="J8" s="47"/>
      <c r="K8" s="47"/>
      <c r="L8" s="33"/>
      <c r="M8" s="47"/>
      <c r="N8" s="47"/>
      <c r="O8" s="47"/>
      <c r="P8" s="47"/>
      <c r="Q8" s="47"/>
      <c r="R8" s="47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</row>
    <row r="9" spans="1:50" x14ac:dyDescent="0.25">
      <c r="C9" s="31" t="s">
        <v>192</v>
      </c>
      <c r="D9" s="31" t="s">
        <v>463</v>
      </c>
      <c r="E9" s="31" t="s">
        <v>170</v>
      </c>
      <c r="F9" s="185">
        <f t="array" ref="F9:AX9">TRANSPOSE('PHYSICAL RESULTS'!G18:G62)</f>
      </c>
      <c r="G9" s="185"/>
      <c r="H9" s="185"/>
      <c r="I9" s="185"/>
      <c r="J9" s="90"/>
      <c r="K9" s="45"/>
      <c r="L9" s="4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0" x14ac:dyDescent="0.25">
      <c r="C10" s="31" t="s">
        <v>197</v>
      </c>
      <c r="D10" s="35" t="s">
        <v>207</v>
      </c>
      <c r="E10" s="35">
        <v>1</v>
      </c>
      <c r="F10" s="36">
        <f t="array" ref="F10:AX10">TRANSPOSE('PHYSICAL RESULTS'!L18:L62)</f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0" x14ac:dyDescent="0.25">
      <c r="C11" s="42"/>
      <c r="D11" s="42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</row>
    <row r="12" spans="1:50" ht="15.75" x14ac:dyDescent="0.25">
      <c r="C12" s="30" t="s">
        <v>220</v>
      </c>
      <c r="D12" s="31" t="s">
        <v>216</v>
      </c>
      <c r="E12" s="31" t="s">
        <v>217</v>
      </c>
      <c r="F12" s="31" t="str">
        <f t="array" ref="F12:AX12">TRANSPOSE('BIOLOGICAL RESULTS'!A18:A62)</f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</row>
    <row r="13" spans="1:50" x14ac:dyDescent="0.25">
      <c r="C13" s="31" t="s">
        <v>210</v>
      </c>
      <c r="D13" s="31" t="s">
        <v>212</v>
      </c>
      <c r="E13" s="31">
        <v>0</v>
      </c>
      <c r="F13" s="31" t="str">
        <f t="array" ref="F13:AX13">TRANSPOSE('BIOLOGICAL RESULTS'!C18:C62)</f>
      </c>
      <c r="G13" s="31"/>
      <c r="H13" s="31"/>
      <c r="I13" s="31"/>
      <c r="J13" s="31"/>
      <c r="K13" s="31"/>
      <c r="L13" s="32"/>
      <c r="M13" s="31"/>
      <c r="N13" s="31"/>
      <c r="O13" s="31"/>
      <c r="P13" s="31"/>
      <c r="Q13" s="31"/>
      <c r="R13" s="31"/>
      <c r="S13" s="32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0" x14ac:dyDescent="0.25">
      <c r="C14" s="34" t="s">
        <v>221</v>
      </c>
      <c r="D14" s="31" t="s">
        <v>212</v>
      </c>
      <c r="E14" s="31">
        <v>0</v>
      </c>
      <c r="F14" s="31" t="str">
        <f t="array" ref="F14:AX14">TRANSPOSE('BIOLOGICAL RESULTS'!D18:D62)</f>
      </c>
      <c r="G14" s="31"/>
      <c r="H14" s="31"/>
      <c r="I14" s="31"/>
      <c r="J14" s="31"/>
      <c r="K14" s="31"/>
      <c r="L14" s="33"/>
      <c r="M14" s="31"/>
      <c r="N14" s="31"/>
      <c r="O14" s="31"/>
      <c r="P14" s="31"/>
      <c r="Q14" s="31"/>
      <c r="R14" s="31"/>
      <c r="S14" s="33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0" x14ac:dyDescent="0.25">
      <c r="C15" s="42"/>
      <c r="D15" s="42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</row>
    <row r="16" spans="1:50" ht="15.75" x14ac:dyDescent="0.25">
      <c r="C16" s="30" t="s">
        <v>222</v>
      </c>
      <c r="D16" s="31" t="s">
        <v>216</v>
      </c>
      <c r="E16" s="31" t="s">
        <v>217</v>
      </c>
      <c r="F16" s="31" t="str">
        <f t="array" ref="F16:AX16">TRANSPOSE('IC RESULTS'!A69:A113)</f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</row>
    <row r="17" spans="1:50" x14ac:dyDescent="0.25">
      <c r="C17" s="31" t="s">
        <v>177</v>
      </c>
      <c r="D17" s="31" t="s">
        <v>204</v>
      </c>
      <c r="E17" s="31">
        <v>1.5</v>
      </c>
      <c r="F17" s="45" t="str">
        <f t="array" ref="F17:AX17">TRANSPOSE('IC RESULTS'!C69:C113)</f>
      </c>
      <c r="G17" s="45"/>
      <c r="H17" s="45"/>
      <c r="I17" s="45"/>
      <c r="J17" s="45"/>
      <c r="K17" s="45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0" x14ac:dyDescent="0.25">
      <c r="C18" s="31" t="s">
        <v>178</v>
      </c>
      <c r="D18" s="31" t="s">
        <v>204</v>
      </c>
      <c r="E18" s="31" t="s">
        <v>512</v>
      </c>
      <c r="F18" s="45" t="str">
        <f t="array" ref="F18:AX18">TRANSPOSE('IC RESULTS'!D69:D113)</f>
      </c>
      <c r="G18" s="45"/>
      <c r="H18" s="45"/>
      <c r="I18" s="45"/>
      <c r="J18" s="45"/>
      <c r="K18" s="4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1:50" x14ac:dyDescent="0.25">
      <c r="C19" s="31" t="s">
        <v>179</v>
      </c>
      <c r="D19" s="31" t="s">
        <v>204</v>
      </c>
      <c r="E19" s="31">
        <v>3</v>
      </c>
      <c r="F19" s="45" t="str">
        <f t="array" ref="F19:AX19">TRANSPOSE('IC RESULTS'!E69:E113)</f>
      </c>
      <c r="G19" s="45"/>
      <c r="H19" s="45"/>
      <c r="I19" s="45"/>
      <c r="J19" s="45"/>
      <c r="K19" s="45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1:50" x14ac:dyDescent="0.25">
      <c r="C20" s="31" t="s">
        <v>180</v>
      </c>
      <c r="D20" s="31" t="s">
        <v>204</v>
      </c>
      <c r="E20" s="31" t="s">
        <v>223</v>
      </c>
      <c r="F20" s="45" t="str">
        <f t="array" ref="F20:AX20">TRANSPOSE('IC RESULTS'!F69:F113)</f>
      </c>
      <c r="G20" s="45"/>
      <c r="H20" s="45"/>
      <c r="I20" s="45"/>
      <c r="J20" s="45"/>
      <c r="K20" s="4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1:50" x14ac:dyDescent="0.25">
      <c r="C21" s="31" t="s">
        <v>181</v>
      </c>
      <c r="D21" s="31" t="s">
        <v>204</v>
      </c>
      <c r="E21" s="31" t="s">
        <v>219</v>
      </c>
      <c r="F21" s="45" t="str">
        <f t="array" ref="F21:AX21">TRANSPOSE('IC RESULTS'!G69:G113)</f>
      </c>
      <c r="G21" s="45"/>
      <c r="H21" s="45"/>
      <c r="I21" s="45"/>
      <c r="J21" s="45"/>
      <c r="K21" s="45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0" x14ac:dyDescent="0.25">
      <c r="C22" s="31" t="s">
        <v>182</v>
      </c>
      <c r="D22" s="31" t="s">
        <v>204</v>
      </c>
      <c r="E22" s="31">
        <v>45</v>
      </c>
      <c r="F22" s="45" t="str">
        <f t="array" ref="F22:AX22">TRANSPOSE('IC RESULTS'!H69:H113)</f>
      </c>
      <c r="G22" s="45"/>
      <c r="H22" s="45"/>
      <c r="I22" s="45"/>
      <c r="J22" s="45"/>
      <c r="K22" s="4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ht="15.75" thickBot="1" x14ac:dyDescent="0.3">
      <c r="C23" s="31" t="s">
        <v>183</v>
      </c>
      <c r="D23" s="31" t="s">
        <v>204</v>
      </c>
      <c r="E23" s="31" t="s">
        <v>219</v>
      </c>
      <c r="F23" s="45" t="str">
        <f t="array" ref="F23:AX23">TRANSPOSE('IC RESULTS'!I69:I113)</f>
      </c>
      <c r="G23" s="45"/>
      <c r="H23" s="45"/>
      <c r="I23" s="45"/>
      <c r="J23" s="45"/>
      <c r="K23" s="45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0" ht="15.75" thickBot="1" x14ac:dyDescent="0.3">
      <c r="A24" s="73" t="s">
        <v>310</v>
      </c>
      <c r="C24" s="42"/>
      <c r="D24" s="42"/>
      <c r="E24" s="42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</row>
    <row r="25" spans="1:50" ht="16.5" thickBot="1" x14ac:dyDescent="0.3">
      <c r="A25" s="73" t="s">
        <v>407</v>
      </c>
      <c r="C25" s="30" t="s">
        <v>224</v>
      </c>
      <c r="D25" s="31" t="s">
        <v>216</v>
      </c>
      <c r="E25" s="31" t="s">
        <v>217</v>
      </c>
      <c r="F25" s="179" t="str">
        <f t="array" ref="F25:AX25">TRANSPOSE('ICPOES RESULTS'!A70:A114)</f>
      </c>
      <c r="G25" s="179"/>
      <c r="H25" s="179"/>
      <c r="I25" s="179"/>
      <c r="J25" s="82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</row>
    <row r="26" spans="1:50" x14ac:dyDescent="0.25">
      <c r="A26" s="69" t="s">
        <v>313</v>
      </c>
      <c r="C26" s="31" t="s">
        <v>225</v>
      </c>
      <c r="D26" s="31" t="str">
        <f>IF(A26="ICPOES",CODES!$A$17,IF(A26="ICPMS",CODES!$A$17,IF(A26="ICPQQQ",CODES!$A$16,"ERROR")))</f>
      </c>
      <c r="E26" s="31" t="str">
        <f>IF(A26="ICPOES",CODES!B35,IF(A26="ICPMS",CODES!B35,IF(A26="ICPQQQ",CODES!C35,"ERROR")))</f>
      </c>
      <c r="F26" s="180" t="str" cm="1">
        <f t="array" ref="F26:AX26">IF(A26="ICPOES",TRANSPOSE('ICPOES RESULTS'!E70:E114),IF(A26="ICPQQQ",TRANSPOSE('ICPQQQ RESULTS'!G69:G113),"ERROR"))</f>
      </c>
      <c r="G26" s="180"/>
      <c r="H26" s="180"/>
      <c r="I26" s="180"/>
      <c r="J26" s="168"/>
      <c r="K26" s="48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</row>
    <row r="27" spans="1:50" x14ac:dyDescent="0.25">
      <c r="A27" s="68" t="s">
        <v>359</v>
      </c>
      <c r="C27" s="31" t="s">
        <v>226</v>
      </c>
      <c r="D27" s="31" t="str">
        <f>IF(A27="ICPOES",CODES!$A$17,IF(A27="ICPMS",CODES!$A$17,IF(A27="ICPQQQ",CODES!$A$16,"ERROR")))</f>
      </c>
      <c r="E27" s="31" t="str">
        <f>IF(A27="ICPOES",CODES!B36,IF(A27="ICPMS",CODES!B36,IF(A27="ICPQQQ",CODES!C36,"ERROR")))</f>
      </c>
      <c r="F27" s="181" t="str" cm="1">
        <f t="array" ref="F27:AX27">IF(A27="ICPOES",TRANSPOSE('ICPOES RESULTS'!F70:F114),IF(A27="ICPMS",TRANSPOSE('ICPMS RESULTS'!L69:L113),IF(A27="ICPQQQ",TRANSPOSE('ICPQQQ RESULTS'!Y69:Y113),"ERROR")))</f>
      </c>
      <c r="G27" s="181"/>
      <c r="H27" s="182"/>
      <c r="I27" s="181"/>
      <c r="J27" s="49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</row>
    <row r="28" spans="1:50" x14ac:dyDescent="0.25">
      <c r="A28" s="68" t="s">
        <v>313</v>
      </c>
      <c r="C28" s="31" t="s">
        <v>227</v>
      </c>
      <c r="D28" s="31" t="str">
        <f>IF(A28="ICPOES",CODES!$A$17,IF(A28="ICPMS",CODES!$A$17,IF(A28="ICPQQQ",CODES!$A$16,"ERROR")))</f>
      </c>
      <c r="E28" s="31">
        <f>IF(A28="ICPOES",CODES!B37,IF(A28="ICPMS",CODES!B37,IF(A28="ICPQQQ",CODES!C37,"ERROR")))</f>
      </c>
      <c r="F28" s="181" cm="1">
        <f t="array" ref="F28:AX28">IF(A28="ICPOES",TRANSPOSE('ICPOES RESULTS'!I70:I114),IF(A28="ICPMS",TRANSPOSE('ICPMS RESULTS'!D69:D113),IF(A28="ICPQQQ",TRANSPOSE('ICPQQQ RESULTS'!D69:D113),"ERROR")))</f>
      </c>
      <c r="G28" s="181"/>
      <c r="H28" s="182"/>
      <c r="I28" s="181"/>
      <c r="J28" s="170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</row>
    <row r="29" spans="1:50" x14ac:dyDescent="0.25">
      <c r="A29" s="68" t="s">
        <v>313</v>
      </c>
      <c r="C29" s="31" t="s">
        <v>228</v>
      </c>
      <c r="D29" s="31" t="str">
        <f>IF(A29="ICPOES",CODES!$A$17,IF(A29="ICPMS",CODES!$A$17,IF(A29="ICPQQQ",CODES!$A$16,"ERROR")))</f>
      </c>
      <c r="E29" s="31">
        <f>IF(A29="ICPOES",CODES!B38,IF(A29="ICPMS",CODES!B38,IF(A29="ICPQQQ",CODES!C38,"ERROR")))</f>
      </c>
      <c r="F29" s="181" cm="1">
        <f t="array" ref="F29:AX29">IF(A29="ICPOES",TRANSPOSE('ICPOES RESULTS'!K70:K114),IF(A29="ICPMS",TRANSPOSE('ICPMS RESULTS'!Q69:Q113),IF(A29="ICPQQQ",TRANSPOSE('ICPQQQ RESULTS'!AK69:AK113),"ERROR")))</f>
      </c>
      <c r="G29" s="180"/>
      <c r="H29" s="181"/>
      <c r="I29" s="181"/>
      <c r="J29" s="170"/>
      <c r="K29" s="48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</row>
    <row r="30" spans="1:50" x14ac:dyDescent="0.25">
      <c r="A30" s="68" t="s">
        <v>313</v>
      </c>
      <c r="C30" s="31" t="s">
        <v>229</v>
      </c>
      <c r="D30" s="31" t="str">
        <f>IF(A30="ICPOES",CODES!$A$17,IF(A30="ICPMS",CODES!$A$17,IF(A30="ICPQQQ",CODES!$A$17,"ERROR")))</f>
      </c>
      <c r="E30" s="31" t="str">
        <f>IF(A30="ICPOES",CODES!B39,IF(A30="ICPMS",CODES!B39,IF(A30="ICPQQQ",CODES!B39,"ERROR")))</f>
      </c>
      <c r="F30" s="183" cm="1">
        <f t="array" ref="F30:AX30">IF(A30="ICPOES",TRANSPOSE('ICPOES RESULTS'!P70:P114),IF(A30="ICPQQQ",TRANSPOSE('ICPQQQ RESULTS'!U69:U113),"ERROR"))</f>
      </c>
      <c r="G30" s="183"/>
      <c r="H30" s="183"/>
      <c r="I30" s="183"/>
      <c r="J30" s="171"/>
      <c r="K30" s="48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</row>
    <row r="31" spans="1:50" x14ac:dyDescent="0.25">
      <c r="A31" s="68" t="s">
        <v>313</v>
      </c>
      <c r="C31" s="31" t="s">
        <v>230</v>
      </c>
      <c r="D31" s="31" t="str">
        <f>IF(A31="ICPOES",CODES!$A$17,IF(A31="ICPMS",CODES!$A$17,IF(A31="ICPQQQ",CODES!$A$16,"ERROR")))</f>
      </c>
      <c r="E31" s="31">
        <f>IF(A31="ICPOES",CODES!B40,IF(A31="ICPMS",CODES!B40,IF(A31="ICPQQQ",CODES!C40,"ERROR")))</f>
      </c>
      <c r="F31" s="180" t="str" cm="1">
        <f t="array" ref="F31:AX31">IF(A31="ICPOES",TRANSPOSE('ICPOES RESULTS'!R70:R114),IF(A31="ICPMS",TRANSPOSE('ICPMS RESULTS'!O69:O113),IF(A31="ICPQQQ",TRANSPOSE('ICPQQQ RESULTS'!AF69:AF113),"ERROR")))</f>
      </c>
      <c r="G31" s="180"/>
      <c r="H31" s="180"/>
      <c r="I31" s="180"/>
      <c r="J31" s="168"/>
      <c r="K31" s="48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</row>
    <row r="32" spans="1:50" x14ac:dyDescent="0.25">
      <c r="A32" s="68" t="s">
        <v>313</v>
      </c>
      <c r="C32" s="31" t="s">
        <v>231</v>
      </c>
      <c r="D32" s="31" t="str">
        <f>IF(A32="ICPOES",CODES!$A$17,IF(A32="ICPMS",CODES!$A$17,IF(A32="ICPQQQ",CODES!$A$16,"ERROR")))</f>
      </c>
      <c r="E32" s="31" t="str">
        <f>IF(A32="ICPOES",CODES!B41,IF(A32="ICPMS",CODES!B41,IF(A32="ICPQQQ",CODES!C41,"ERROR")))</f>
      </c>
      <c r="F32" s="180" t="str" cm="1">
        <f t="array" ref="F32:AX32">IF(A32="ICPOES",TRANSPOSE('ICPOES RESULTS'!V70:V114),IF(A32="ICPMS",TRANSPOSE('ICPMS RESULTS'!H69:H113),IF(A32="ICPQQQ",TRANSPOSE('ICPQQQ RESULTS'!S69:S113),"ERROR")))</f>
      </c>
      <c r="G32" s="180"/>
      <c r="H32" s="180"/>
      <c r="I32" s="180"/>
      <c r="J32" s="168"/>
      <c r="K32" s="48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</row>
    <row r="33" spans="1:50" x14ac:dyDescent="0.25">
      <c r="A33" s="68" t="s">
        <v>313</v>
      </c>
      <c r="C33" s="31" t="s">
        <v>232</v>
      </c>
      <c r="D33" s="31" t="str">
        <f>IF(A33="ICPOES",CODES!$A$17,IF(A33="ICPMS",CODES!$A$17,IF(A33="ICPQQQ",CODES!$A$16,"ERROR")))</f>
      </c>
      <c r="E33" s="31">
        <f>IF(A33="ICPOES",CODES!B42,IF(A33="ICPMS",CODES!B42,IF(A33="ICPQQQ",CODES!C42,"ERROR")))</f>
      </c>
      <c r="F33" s="180" cm="1">
        <f t="array" ref="F33:AX33">IF(A33="ICPOES",TRANSPOSE('ICPOES RESULTS'!Y70:Y114),IF(A33="ICPMS",TRANSPOSE('ICPMS RESULTS'!F69:F113),IF(A33="ICPQQQ",TRANSPOSE('ICPQQQ RESULTS'!P69:P113),"ERROR")))</f>
      </c>
      <c r="G33" s="180"/>
      <c r="H33" s="181"/>
      <c r="I33" s="180"/>
      <c r="J33" s="168"/>
      <c r="K33" s="48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</row>
    <row r="34" spans="1:50" x14ac:dyDescent="0.25">
      <c r="A34" s="68" t="s">
        <v>313</v>
      </c>
      <c r="C34" s="31" t="s">
        <v>233</v>
      </c>
      <c r="D34" s="31" t="str">
        <f>IF(A34="ICPOES",CODES!$A$17,IF(A34="ICPMS",CODES!$A$17,IF(A34="ICPQQQ",CODES!$A$16,"ERROR")))</f>
      </c>
      <c r="E34" s="31" t="str">
        <f>IF(A34="ICPOES",CODES!B43,IF(A34="ICPMS",CODES!B43,IF(A34="ICPQQQ",CODES!C43,"ERROR")))</f>
      </c>
      <c r="F34" s="181" cm="1">
        <f t="array" ref="F34:AX34">IF(A34="ICPOES",TRANSPOSE('ICPOES RESULTS'!Z70:Z114),IF(A34="ICPMS",TRANSPOSE('ICPMS RESULTS'!J69:J113),IF(A34="ICPQQQ",TRANSPOSE('ICPQQQ RESULTS'!V69:V113),"ERROR")))</f>
      </c>
      <c r="G34" s="181"/>
      <c r="H34" s="181"/>
      <c r="I34" s="181"/>
      <c r="J34" s="170"/>
      <c r="K34" s="48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</row>
    <row r="35" spans="1:50" x14ac:dyDescent="0.25">
      <c r="A35" s="68" t="s">
        <v>313</v>
      </c>
      <c r="C35" s="31" t="s">
        <v>234</v>
      </c>
      <c r="D35" s="31" t="str">
        <f>IF(A35="ICPOES",CODES!$A$17,IF(A35="ICPMS",CODES!$A$17,IF(A35="ICPQQQ",CODES!$A$16,"ERROR")))</f>
      </c>
      <c r="E35" s="31" t="str">
        <f>IF(A35="ICPOES",CODES!B44,IF(A35="ICPMS",CODES!B44,IF(A35="ICPQQQ",CODES!C44,"ERROR")))</f>
      </c>
      <c r="F35" s="181" cm="1">
        <f t="array" ref="F35:AX35">IF(A35="ICPOES",TRANSPOSE('ICPOES RESULTS'!AH70:AH114),IF(A35="ICPQQQ",TRANSPOSE('ICPQQQ RESULTS'!R69:R113),"ERROR"))</f>
      </c>
      <c r="G35" s="180"/>
      <c r="H35" s="181"/>
      <c r="I35" s="181"/>
      <c r="J35" s="170"/>
      <c r="K35" s="48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spans="1:50" x14ac:dyDescent="0.25">
      <c r="A36" s="68" t="s">
        <v>313</v>
      </c>
      <c r="C36" s="31" t="s">
        <v>236</v>
      </c>
      <c r="D36" s="31" t="str">
        <f>IF(A36="ICPOES",CODES!$A$17,IF(A36="ICPMS",CODES!$A$17,IF(A36="ICPQQQ",CODES!$A$17,"ERROR")))</f>
      </c>
      <c r="E36" s="31" t="str">
        <f>IF(A36="ICPOES",CODES!B46,IF(A36="ICPMS",CODES!B46,IF(A36="ICPQQQ",CODES!B46,"ERROR")))</f>
      </c>
      <c r="F36" s="180" cm="1">
        <f t="array" ref="F36:AX36">IF(A36="ICPOES",TRANSPOSE('ICPOES RESULTS'!AS70:AS114),IF(A36="ICPQQQ",TRANSPOSE('ICPQQQ RESULTS'!H69:H113),"ERROR"))</f>
      </c>
      <c r="G36" s="180"/>
      <c r="H36" s="180"/>
      <c r="I36" s="180"/>
      <c r="J36" s="89"/>
      <c r="K36" s="48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spans="1:50" x14ac:dyDescent="0.25">
      <c r="A37" s="68" t="s">
        <v>313</v>
      </c>
      <c r="C37" s="31" t="s">
        <v>237</v>
      </c>
      <c r="D37" s="31" t="str">
        <f>IF(A37="ICPOES",CODES!$A$17,IF(A37="ICPMS",CODES!$A$17,IF(A37="ICPQQQ",CODES!$A$17,"ERROR")))</f>
      </c>
      <c r="E37" s="31" t="str">
        <f>IF(A37="ICPOES",CODES!B47,IF(A37="ICPMS",CODES!B47,IF(A37="ICPQQQ",CODES!B47,"ERROR")))</f>
      </c>
      <c r="F37" s="184" cm="1">
        <f t="array" ref="F37:AX37">IF(A37="ICPOES",TRANSPOSE('ICPOES RESULTS'!AZ70:AZ114),IF(A37="ICPQQQ",TRANSPOSE('ICPQQQ RESULTS'!F69:F113),"ERROR"))</f>
      </c>
      <c r="G37" s="184"/>
      <c r="H37" s="184"/>
      <c r="I37" s="184"/>
      <c r="J37" s="171"/>
      <c r="K37" s="48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spans="1:50" x14ac:dyDescent="0.25">
      <c r="A38" s="68" t="s">
        <v>313</v>
      </c>
      <c r="C38" s="31" t="s">
        <v>238</v>
      </c>
      <c r="D38" s="31" t="str">
        <f>IF(A38="ICPOES",CODES!$A$17,IF(A38="ICPMS",CODES!$A$17,IF(A38="ICPQQQ",CODES!$A$16,"ERROR")))</f>
      </c>
      <c r="E38" s="31" t="str">
        <f>IF(A38="ICPOES",CODES!B48,IF(A38="ICPMS",CODES!B48,IF(A38="ICPQQQ",CODES!C48,"ERROR")))</f>
      </c>
      <c r="F38" s="181" cm="1">
        <f t="array" ref="F38:AX38">IF(A38="ICPOES",TRANSPOSE('ICPOES RESULTS'!BB70:BB114),IF(A38="ICPMS",TRANSPOSE('ICPMS RESULTS'!G69:G113),IF(A38="ICPQQQ",TRANSPOSE('ICPQQQ RESULTS'!Q69:Q113),"ERROR")))</f>
      </c>
      <c r="G38" s="181"/>
      <c r="H38" s="181"/>
      <c r="I38" s="181"/>
      <c r="J38" s="170"/>
      <c r="K38" s="48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</row>
    <row r="39" spans="1:50" x14ac:dyDescent="0.25">
      <c r="A39" s="68" t="s">
        <v>313</v>
      </c>
      <c r="C39" s="31" t="s">
        <v>239</v>
      </c>
      <c r="D39" s="31" t="str">
        <f>IF(A39="ICPOES",CODES!$A$17,IF(A39="ICPMS",CODES!$A$17,IF(A39="ICPQQQ",CODES!$A$16,"ERROR")))</f>
      </c>
      <c r="E39" s="31" t="str">
        <f>IF(A39="ICPOES",CODES!B49,IF(A39="ICPMS",CODES!B49,IF(A39="ICPQQQ",CODES!C49,"ERROR")))</f>
      </c>
      <c r="F39" s="180" t="str" cm="1">
        <f t="array" ref="F39:AX39">IF(A39="ICPOES",TRANSPOSE('ICPOES RESULTS'!BD70:BD114),IF(A39="ICPMS",TRANSPOSE('ICPMS RESULTS'!N69:N113),IF(A39="ICPQQQ",TRANSPOSE('ICPQQQ RESULTS'!AD69:AD113),"ERROR")))</f>
      </c>
      <c r="G39" s="180"/>
      <c r="H39" s="180"/>
      <c r="I39" s="180"/>
      <c r="J39" s="168"/>
      <c r="K39" s="48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</row>
    <row r="40" spans="1:50" x14ac:dyDescent="0.25">
      <c r="A40" s="68" t="s">
        <v>313</v>
      </c>
      <c r="C40" s="31" t="s">
        <v>240</v>
      </c>
      <c r="D40" s="31" t="str">
        <f>IF(A40="ICPOES",CODES!$A$17,IF(A40="ICPMS",CODES!$A$17,IF(A40="ICPQQQ",CODES!$A$17,"ERROR")))</f>
      </c>
      <c r="E40" s="31" t="str">
        <f>IF(A40="ICPOES",CODES!B50,IF(A40="ICPMS",CODES!B50,IF(A40="ICPQQQ",CODES!B50,"ERROR")))</f>
      </c>
      <c r="F40" s="184" cm="1">
        <f t="array" ref="F40:AX40">IF(A40="ICPOES",TRANSPOSE('ICPOES RESULTS'!BG70:BG114),IF(A40="ICPQQQ",TRANSPOSE('ICPQQQ RESULTS'!E69:E113),"ERROR"))</f>
      </c>
      <c r="G40" s="184"/>
      <c r="H40" s="184"/>
      <c r="I40" s="184"/>
      <c r="J40" s="171"/>
      <c r="K40" s="48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</row>
    <row r="41" spans="1:50" x14ac:dyDescent="0.25">
      <c r="A41" s="68" t="s">
        <v>313</v>
      </c>
      <c r="C41" s="31" t="s">
        <v>242</v>
      </c>
      <c r="D41" s="31" t="str">
        <f>IF(A41="ICPOES",CODES!$A$17,IF(A41="ICPMS",CODES!$A$17,IF(A41="ICPQQQ",CODES!$A$16,"ERROR")))</f>
      </c>
      <c r="E41" s="31" t="str">
        <f>IF(A41="ICPOES",CODES!B51,IF(A41="ICPMS",CODES!B51,IF(A41="ICPQQQ",CODES!C51,"ERROR")))</f>
      </c>
      <c r="F41" s="180" cm="1">
        <f t="array" ref="F41:AX41">IF(A41="ICPOES",TRANSPOSE('ICPOES RESULTS'!BM70:BM114),IF(A41="ICPMS",TRANSPOSE('ICPMS RESULTS'!I69:I113),IF(A41="ICPQQQ",TRANSPOSE('ICPQQQ RESULTS'!T69:T113),"ERROR")))</f>
      </c>
      <c r="G41" s="180"/>
      <c r="H41" s="180"/>
      <c r="I41" s="180"/>
      <c r="J41" s="168"/>
      <c r="K41" s="48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</row>
    <row r="42" spans="1:50" x14ac:dyDescent="0.25">
      <c r="A42" s="68" t="s">
        <v>313</v>
      </c>
      <c r="C42" s="31" t="s">
        <v>243</v>
      </c>
      <c r="D42" s="31" t="str">
        <f>IF(A42="ICPOES",CODES!$A$17,IF(A42="ICPMS",CODES!$A$17,IF(A42="ICPQQQ",CODES!$A$16,"ERROR")))</f>
      </c>
      <c r="E42" s="31" t="str">
        <f>IF(A42="ICPOES",CODES!B52,IF(A42="ICPMS",CODES!B52,IF(A42="ICPQQQ",CODES!C52,"ERROR")))</f>
      </c>
      <c r="F42" s="180" t="str" cm="1">
        <f t="array" ref="F42:AX42">IF(A42="ICPOES",TRANSPOSE('ICPOES RESULTS'!BP70:BP114),IF(A42="ICPQQQ",TRANSPOSE('ICPQQQ RESULTS'!M69:M113),"ERROR"))</f>
      </c>
      <c r="G42" s="180"/>
      <c r="H42" s="180"/>
      <c r="I42" s="180"/>
      <c r="J42" s="168"/>
      <c r="K42" s="48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</row>
    <row r="43" spans="1:50" x14ac:dyDescent="0.25">
      <c r="A43" s="68" t="s">
        <v>313</v>
      </c>
      <c r="C43" s="31" t="s">
        <v>244</v>
      </c>
      <c r="D43" s="31" t="str">
        <f>IF(A43="ICPOES",CODES!$A$17,IF(A43="ICPMS",CODES!$A$17,IF(A43="ICPQQQ",CODES!$A$16,"ERROR")))</f>
      </c>
      <c r="E43" s="31" t="str">
        <f>IF(A43="ICPOES",CODES!B53,IF(A43="ICPMS",CODES!B53,IF(A43="ICPQQQ",CODES!C53,"ERROR")))</f>
      </c>
      <c r="F43" s="180" t="str" cm="1">
        <f t="array" ref="F43:AX43">IF(A43="ICPOES",TRANSPOSE('ICPOES RESULTS'!BQ70:BQ114),IF(A43="ICPMS",TRANSPOSE('ICPMS RESULTS'!T69:T113),IF(A43="ICPQQQ",TRANSPOSE('ICPQQQ RESULTS'!AS69:AS113),"ERROR")))</f>
      </c>
      <c r="G43" s="180"/>
      <c r="H43" s="180"/>
      <c r="I43" s="180"/>
      <c r="J43" s="168"/>
      <c r="K43" s="48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</row>
    <row r="44" spans="1:50" x14ac:dyDescent="0.25">
      <c r="A44" s="68" t="s">
        <v>313</v>
      </c>
      <c r="C44" s="31" t="s">
        <v>245</v>
      </c>
      <c r="D44" s="31" t="str">
        <f>IF(A44="ICPOES",CODES!$A$17,IF(A44="ICPMS",CODES!$A$17,IF(A44="ICPQQQ",CODES!$A$17,"ERROR")))</f>
      </c>
      <c r="E44" s="31" t="str">
        <f>IF(A44="ICPOES",CODES!B54,IF(A44="ICPMS",CODES!B54,IF(A44="ICPQQQ",CODES!B54,"ERROR")))</f>
      </c>
      <c r="F44" s="184" cm="1">
        <f t="array" ref="F44:AX44">IF(A44="ICPOES",TRANSPOSE('ICPOES RESULTS'!BT70:BT114),IF(A44="ICPQQQ",TRANSPOSE('ICPQQQ RESULTS'!N69:N113),"ERROR"))</f>
      </c>
      <c r="G44" s="184"/>
      <c r="H44" s="184"/>
      <c r="I44" s="184"/>
      <c r="J44" s="89"/>
      <c r="K44" s="48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spans="1:50" x14ac:dyDescent="0.25">
      <c r="A45" s="68" t="s">
        <v>313</v>
      </c>
      <c r="C45" s="31" t="s">
        <v>246</v>
      </c>
      <c r="D45" s="31" t="str">
        <f>IF(A45="ICPOES",CODES!$A$17,IF(A45="ICPMS",CODES!$A$17,IF(A45="ICPQQQ",CODES!$A$16,"ERROR")))</f>
      </c>
      <c r="E45" s="31">
        <f>IF(A45="ICPOES",CODES!B55,IF(A45="ICPMS",CODES!B55,IF(A45="ICPQQQ",CODES!C55,"ERROR")))</f>
      </c>
      <c r="F45" s="180" t="str" cm="1">
        <f t="array" ref="F45:AX45">IF(A45="ICPOES",TRANSPOSE('ICPOES RESULTS'!BU70:BU114),IF(A45="ICPMS",TRANSPOSE('ICPMS RESULTS'!P69:P113),IF(A45="ICPQQQ",TRANSPOSE('ICPQQQ RESULTS'!AG69:AG113),"ERROR")))</f>
      </c>
      <c r="G45" s="180"/>
      <c r="H45" s="180"/>
      <c r="I45" s="180"/>
      <c r="J45" s="168"/>
      <c r="K45" s="48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spans="1:50" x14ac:dyDescent="0.25">
      <c r="A46" s="68" t="s">
        <v>313</v>
      </c>
      <c r="C46" s="31" t="s">
        <v>247</v>
      </c>
      <c r="D46" s="31" t="str">
        <f>IF(A46="ICPOES",CODES!$A$17,IF(A46="ICPMS",CODES!$A$17,IF(A46="ICPQQQ",CODES!$A$16,"ERROR")))</f>
      </c>
      <c r="E46" s="31">
        <f>IF(A46="ICPOES",CODES!B56,IF(A46="ICPMS",CODES!B56,IF(A46="ICPQQQ",CODES!C56,"ERROR")))</f>
      </c>
      <c r="F46" s="180" t="str" cm="1">
        <f t="array" ref="F46:AX46">IF(A46="ICPOES",TRANSPOSE('ICPOES RESULTS'!BY70:BY114),IF(A46="ICPMS",TRANSPOSE('ICPMS RESULTS'!M69:M113),IF(A46="ICPQQQ",TRANSPOSE('ICPQQQ RESULTS'!AC69:AC113),"ERROR")))</f>
      </c>
      <c r="G46" s="180"/>
      <c r="H46" s="180"/>
      <c r="I46" s="180"/>
      <c r="J46" s="168"/>
      <c r="K46" s="48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</row>
    <row r="47" spans="1:50" x14ac:dyDescent="0.25">
      <c r="A47" s="68" t="s">
        <v>313</v>
      </c>
      <c r="C47" s="31" t="s">
        <v>248</v>
      </c>
      <c r="D47" s="31" t="str">
        <f>IF(A47="ICPOES",CODES!$A$17,IF(A47="ICPMS",CODES!$A$17,IF(A47="ICPQQQ",CODES!$A$16,"ERROR")))</f>
      </c>
      <c r="E47" s="31" t="str">
        <f>IF(A47="ICPOES",CODES!B57,IF(A47="ICPMS",CODES!B57,IF(A47="ICPQQQ",CODES!C57,"ERROR")))</f>
      </c>
      <c r="F47" s="180" t="str" cm="1">
        <f t="array" ref="F47:AX47">IF(A47="ICPOES",TRANSPOSE('ICPOES RESULTS'!CE70:CE114),IF(A47="ICPQQQ",TRANSPOSE('ICPQQQ RESULTS'!AJ69:AJ113),"ERROR"))</f>
      </c>
      <c r="G47" s="180"/>
      <c r="H47" s="180"/>
      <c r="I47" s="180"/>
      <c r="J47" s="168"/>
      <c r="K47" s="48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</row>
    <row r="48" spans="1:50" x14ac:dyDescent="0.25">
      <c r="A48" s="68" t="s">
        <v>313</v>
      </c>
      <c r="C48" s="31" t="s">
        <v>249</v>
      </c>
      <c r="D48" s="31" t="str">
        <f>IF(A48="ICPOES",CODES!$A$17,IF(A48="ICPMS",CODES!$A$17,IF(A48="ICPQQQ",CODES!$A$16,"ERROR")))</f>
      </c>
      <c r="E48" s="31">
        <f>IF(A48="ICPOES",CODES!B58,IF(A48="ICPMS",CODES!B58,IF(A48="ICPQQQ",CODES!C58,"ERROR")))</f>
      </c>
      <c r="F48" s="180" t="str" cm="1">
        <f t="array" ref="F48:AX48">IF(A48="ICPOES",TRANSPOSE('ICPOES RESULTS'!CW70:CW114),IF(A48="ICPMS",TRANSPOSE('ICPMS RESULTS'!V69:V113),IF(A48="ICPQQQ",TRANSPOSE('ICPQQQ RESULTS'!AU69:AU113),"ERROR")))</f>
      </c>
      <c r="G48" s="180"/>
      <c r="H48" s="180"/>
      <c r="I48" s="180"/>
      <c r="J48" s="168"/>
      <c r="K48" s="4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spans="1:50" x14ac:dyDescent="0.25">
      <c r="A49" s="68" t="s">
        <v>313</v>
      </c>
      <c r="C49" s="31" t="s">
        <v>250</v>
      </c>
      <c r="D49" s="31" t="str">
        <f>IF(A49="ICPOES",CODES!$A$17,IF(A49="ICPMS",CODES!$A$17,IF(A49="ICPQQQ",CODES!$A$16,"ERROR")))</f>
      </c>
      <c r="E49" s="31" t="str">
        <f>IF(A49="ICPOES",CODES!B59,IF(A49="ICPMS",CODES!B59,IF(A49="ICPQQQ",CODES!C59,"ERROR")))</f>
      </c>
      <c r="F49" s="181" t="str" cm="1">
        <f t="array" ref="F49:AX49">IF(A49="ICPOES",TRANSPOSE('ICPOES RESULTS'!CX70:CX114),IF(A49="ICPMS",TRANSPOSE('ICPMS RESULTS'!E69:E113),IF(A49="ICPQQQ",TRANSPOSE('ICPQQQ RESULTS'!O69:O113),"ERROR")))</f>
      </c>
      <c r="G49" s="181"/>
      <c r="H49" s="180"/>
      <c r="I49" s="180"/>
      <c r="J49" s="170"/>
      <c r="K49" s="48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</row>
    <row r="50" spans="1:50" x14ac:dyDescent="0.25">
      <c r="A50" s="68" t="s">
        <v>313</v>
      </c>
      <c r="C50" s="31" t="s">
        <v>251</v>
      </c>
      <c r="D50" s="31" t="str">
        <f>IF(A50="ICPOES",CODES!$A$17,IF(A50="ICPMS",CODES!$A$17,IF(A50="ICPQQQ",CODES!$A$16,"ERROR")))</f>
      </c>
      <c r="E50" s="31" t="str">
        <f>IF(A50="ICPOES",CODES!B60,IF(A50="ICPMS",CODES!B60,IF(A50="ICPQQQ",CODES!C60,"ERROR")))</f>
      </c>
      <c r="F50" s="181" cm="1">
        <f t="array" ref="F50:AX50">IF(A50="ICPOES",TRANSPOSE('ICPOES RESULTS'!DG70:DG114),IF(A50="ICPMS",TRANSPOSE('ICPMS RESULTS'!K69:K113),IF(A50="ICPQQQ",TRANSPOSE('ICPQQQ RESULTS'!W69:W113),"ERROR")))</f>
      </c>
      <c r="G50" s="181"/>
      <c r="H50" s="181"/>
      <c r="I50" s="181"/>
      <c r="J50" s="170"/>
      <c r="K50" s="48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</row>
    <row r="51" spans="1:50" x14ac:dyDescent="0.25">
      <c r="C51" s="42"/>
      <c r="D51" s="42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</row>
    <row r="52" spans="1:50" ht="15.75" x14ac:dyDescent="0.25">
      <c r="C52" s="30" t="s">
        <v>253</v>
      </c>
      <c r="D52" s="31" t="s">
        <v>216</v>
      </c>
      <c r="E52" s="31" t="s">
        <v>217</v>
      </c>
      <c r="F52" s="31" t="str">
        <f t="array" ref="F52:AX52">TRANSPOSE('PHYSICAL RESULTS'!A18:A62)</f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</row>
    <row r="53" spans="1:50" x14ac:dyDescent="0.25">
      <c r="C53" s="31" t="s">
        <v>254</v>
      </c>
      <c r="D53" s="31" t="s">
        <v>213</v>
      </c>
      <c r="E53" s="31" t="s">
        <v>170</v>
      </c>
      <c r="F53" s="31" t="str">
        <f t="array" ref="F53:AX53">TRANSPOSE('BIOLOGICAL RESULTS'!E18:E62)</f>
      </c>
      <c r="G53" s="31"/>
      <c r="H53" s="31"/>
      <c r="I53" s="31"/>
      <c r="J53" s="31"/>
      <c r="K53" s="31"/>
      <c r="L53" s="31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spans="1:50" x14ac:dyDescent="0.25">
      <c r="C54" s="31" t="s">
        <v>255</v>
      </c>
      <c r="D54" s="31" t="s">
        <v>204</v>
      </c>
      <c r="E54" s="31" t="s">
        <v>170</v>
      </c>
      <c r="F54" s="45" t="str">
        <f t="array" ref="F54:AX54">TRANSPOSE('PHYSICAL RESULTS'!F18:F62)</f>
      </c>
      <c r="G54" s="45"/>
      <c r="H54" s="45"/>
      <c r="I54" s="45"/>
      <c r="J54" s="45"/>
      <c r="K54" s="45"/>
      <c r="L54" s="45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</row>
    <row r="55" spans="1:50" x14ac:dyDescent="0.25">
      <c r="C55" s="31" t="s">
        <v>193</v>
      </c>
      <c r="D55" s="31" t="s">
        <v>205</v>
      </c>
      <c r="E55" s="31" t="s">
        <v>219</v>
      </c>
      <c r="F55" s="45" t="str">
        <f t="array" ref="F55:AX55">TRANSPOSE('PHYSICAL RESULTS'!H18:H62)</f>
      </c>
      <c r="G55" s="45"/>
      <c r="H55" s="45"/>
      <c r="I55" s="45"/>
      <c r="J55" s="45"/>
      <c r="K55" s="45"/>
      <c r="L55" s="45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</row>
    <row r="56" spans="1:50" x14ac:dyDescent="0.25">
      <c r="C56" s="31" t="s">
        <v>200</v>
      </c>
      <c r="D56" s="31"/>
      <c r="E56" s="31" t="s">
        <v>219</v>
      </c>
      <c r="F56" s="46" t="str">
        <f t="array" ref="F56:AX56">TRANSPOSE('PHYSICAL RESULTS'!O18:O62)</f>
      </c>
      <c r="G56" s="46"/>
      <c r="H56" s="46"/>
      <c r="I56" s="46"/>
      <c r="J56" s="46"/>
      <c r="K56" s="46"/>
      <c r="L56" s="46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</row>
    <row r="57" spans="1:50" x14ac:dyDescent="0.25">
      <c r="C57" s="31" t="s">
        <v>198</v>
      </c>
      <c r="D57" s="31" t="s">
        <v>204</v>
      </c>
      <c r="E57" s="31" t="s">
        <v>219</v>
      </c>
      <c r="F57" s="46" t="str">
        <f t="array" ref="F57:AX57">TRANSPOSE('PHYSICAL RESULTS'!M18:M62)</f>
      </c>
      <c r="G57" s="46"/>
      <c r="H57" s="46"/>
      <c r="I57" s="46"/>
      <c r="J57" s="46"/>
      <c r="K57" s="46"/>
      <c r="L57" s="46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spans="1:50" x14ac:dyDescent="0.25">
      <c r="C58" s="31" t="s">
        <v>194</v>
      </c>
      <c r="D58" s="31" t="s">
        <v>204</v>
      </c>
      <c r="E58" s="31" t="s">
        <v>219</v>
      </c>
      <c r="F58" s="46" t="str">
        <f t="array" ref="F58:AX58">TRANSPOSE('PHYSICAL RESULTS'!I18:I62)</f>
      </c>
      <c r="G58" s="46"/>
      <c r="H58" s="46"/>
      <c r="I58" s="46"/>
      <c r="J58" s="46"/>
      <c r="K58" s="46"/>
      <c r="L58" s="46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spans="1:50" x14ac:dyDescent="0.25">
      <c r="C59" s="31" t="s">
        <v>195</v>
      </c>
      <c r="D59" s="31" t="s">
        <v>204</v>
      </c>
      <c r="E59" s="31" t="s">
        <v>223</v>
      </c>
      <c r="F59" s="45" t="str">
        <f t="array" ref="F59:AX59">TRANSPOSE('PHYSICAL RESULTS'!J18:J62)</f>
      </c>
      <c r="G59" s="45"/>
      <c r="H59" s="45"/>
      <c r="I59" s="45"/>
      <c r="J59" s="45"/>
      <c r="K59" s="45"/>
      <c r="L59" s="45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</row>
    <row r="60" spans="1:50" x14ac:dyDescent="0.25">
      <c r="C60" s="31" t="s">
        <v>256</v>
      </c>
      <c r="D60" s="31" t="s">
        <v>206</v>
      </c>
      <c r="E60" s="31" t="s">
        <v>257</v>
      </c>
      <c r="F60" s="47" t="str">
        <f t="array" ref="F60:AX60">TRANSPOSE('PHYSICAL RESULTS'!K18:K62)</f>
      </c>
      <c r="G60" s="47"/>
      <c r="H60" s="47"/>
      <c r="I60" s="47"/>
      <c r="J60" s="47"/>
      <c r="K60" s="47"/>
      <c r="L60" s="47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</row>
    <row r="61" spans="1:50" x14ac:dyDescent="0.25">
      <c r="C61" s="31" t="s">
        <v>201</v>
      </c>
      <c r="D61" s="31" t="s">
        <v>258</v>
      </c>
      <c r="E61" s="31" t="s">
        <v>259</v>
      </c>
      <c r="F61" s="31" t="str">
        <f t="array" ref="F61:AX61">TRANSPOSE('PHYSICAL RESULTS'!P18:P62)</f>
      </c>
      <c r="G61" s="31"/>
      <c r="H61" s="31"/>
      <c r="I61" s="31"/>
      <c r="J61" s="31"/>
      <c r="K61" s="31"/>
      <c r="L61" s="31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</sheetData>
  <sheetProtection algorithmName="SHA-512" hashValue="2MaO6e4DLCDQVW2V334ogN6OBAbqPQUzE9LpqL2iCS18LwCNfAsVQk3/9iLlqSZrAGahHXEGGMZJiO2CXtOBxQ==" saltValue="8SxbRgEY1SU5mnduFfC0jw==" spinCount="100000" sheet="1" objects="1" scenarios="1" formatCells="0" formatColumns="0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1AEA8F-4B22-4F3E-95A4-7AAD86739691}">
          <x14:formula1>
            <xm:f>CODES!$A$5:$A$7</xm:f>
          </x14:formula1>
          <xm:sqref>A26:A50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62"/>
  <sheetViews>
    <sheetView workbookViewId="0">
      <selection activeCell="N3" sqref="N3"/>
    </sheetView>
  </sheetViews>
  <sheetFormatPr defaultRowHeight="15" x14ac:dyDescent="0.25"/>
  <cols>
    <col min="1" max="1" width="22.42578125" customWidth="1"/>
    <col min="6" max="50" width="9.28515625" style="29" customWidth="1"/>
  </cols>
  <sheetData>
    <row r="1" spans="1:50" x14ac:dyDescent="0.25">
      <c r="A1" s="44" t="s">
        <v>214</v>
      </c>
    </row>
    <row r="2" spans="1:50" x14ac:dyDescent="0.25">
      <c r="A2" s="12"/>
    </row>
    <row r="3" spans="1:50" x14ac:dyDescent="0.25">
      <c r="A3" s="2" t="str">
        <f>INSTRUCTIONS!A3</f>
      </c>
    </row>
    <row r="6" spans="1:50" ht="15.75" x14ac:dyDescent="0.25">
      <c r="C6" s="30" t="s">
        <v>215</v>
      </c>
      <c r="D6" s="31" t="s">
        <v>216</v>
      </c>
      <c r="E6" s="31" t="s">
        <v>217</v>
      </c>
      <c r="F6" s="31" t="str">
        <f t="array" ref="F6:AX6">TRANSPOSE('PHYSICAL RESULTS'!A18:A62)</f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</row>
    <row r="7" spans="1:50" x14ac:dyDescent="0.25">
      <c r="C7" s="31" t="s">
        <v>189</v>
      </c>
      <c r="D7" s="31"/>
      <c r="E7" s="31" t="s">
        <v>511</v>
      </c>
      <c r="F7" s="46" t="str">
        <f t="array" ref="F7:AX7">TRANSPOSE('PHYSICAL RESULTS'!D18:D62)</f>
      </c>
      <c r="G7" s="46"/>
      <c r="H7" s="46"/>
      <c r="I7" s="46"/>
      <c r="J7" s="46"/>
      <c r="K7" s="46"/>
      <c r="L7" s="32"/>
      <c r="M7" s="46"/>
      <c r="N7" s="46"/>
      <c r="O7" s="46"/>
      <c r="P7" s="46"/>
      <c r="Q7" s="46"/>
      <c r="R7" s="46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</row>
    <row r="8" spans="1:50" x14ac:dyDescent="0.25">
      <c r="C8" s="31" t="s">
        <v>218</v>
      </c>
      <c r="D8" s="31" t="s">
        <v>203</v>
      </c>
      <c r="E8" s="31" t="s">
        <v>219</v>
      </c>
      <c r="F8" s="47" t="str">
        <f t="array" ref="F8:AX8">TRANSPOSE('PHYSICAL RESULTS'!E18:E62)</f>
      </c>
      <c r="G8" s="47"/>
      <c r="H8" s="47"/>
      <c r="I8" s="47"/>
      <c r="J8" s="47"/>
      <c r="K8" s="47"/>
      <c r="L8" s="33"/>
      <c r="M8" s="47"/>
      <c r="N8" s="47"/>
      <c r="O8" s="47"/>
      <c r="P8" s="47"/>
      <c r="Q8" s="47"/>
      <c r="R8" s="47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</row>
    <row r="9" spans="1:50" x14ac:dyDescent="0.25">
      <c r="C9" s="31" t="s">
        <v>192</v>
      </c>
      <c r="D9" s="31" t="s">
        <v>463</v>
      </c>
      <c r="E9" s="31" t="s">
        <v>170</v>
      </c>
      <c r="F9" s="45">
        <f t="array" ref="F9:AX9">TRANSPOSE('PHYSICAL RESULTS'!G18:G62)</f>
      </c>
      <c r="G9" s="45"/>
      <c r="H9" s="45"/>
      <c r="I9" s="45"/>
      <c r="J9" s="45"/>
      <c r="K9" s="45"/>
      <c r="L9" s="4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0" x14ac:dyDescent="0.25">
      <c r="C10" s="31" t="s">
        <v>197</v>
      </c>
      <c r="D10" s="35" t="s">
        <v>207</v>
      </c>
      <c r="E10" s="35">
        <v>1</v>
      </c>
      <c r="F10" s="36">
        <f t="array" ref="F10:AX10">TRANSPOSE('PHYSICAL RESULTS'!L18:L62)</f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0" x14ac:dyDescent="0.25">
      <c r="C11" s="42"/>
      <c r="D11" s="42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</row>
    <row r="12" spans="1:50" ht="15.75" x14ac:dyDescent="0.25">
      <c r="C12" s="30" t="s">
        <v>220</v>
      </c>
      <c r="D12" s="31" t="s">
        <v>216</v>
      </c>
      <c r="E12" s="31" t="s">
        <v>217</v>
      </c>
      <c r="F12" s="31" t="str">
        <f t="array" ref="F12:AX12">TRANSPOSE('BIOLOGICAL RESULTS'!A18:A62)</f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</row>
    <row r="13" spans="1:50" x14ac:dyDescent="0.25">
      <c r="C13" s="31" t="s">
        <v>210</v>
      </c>
      <c r="D13" s="31" t="s">
        <v>212</v>
      </c>
      <c r="E13" s="31">
        <v>0</v>
      </c>
      <c r="F13" s="31" t="str">
        <f t="array" ref="F13:AX13">TRANSPOSE('BIOLOGICAL RESULTS'!C18:C62)</f>
      </c>
      <c r="G13" s="31"/>
      <c r="H13" s="31"/>
      <c r="I13" s="31"/>
      <c r="J13" s="31"/>
      <c r="K13" s="31"/>
      <c r="L13" s="32"/>
      <c r="M13" s="31"/>
      <c r="N13" s="31"/>
      <c r="O13" s="31"/>
      <c r="P13" s="31"/>
      <c r="Q13" s="31"/>
      <c r="R13" s="31"/>
      <c r="S13" s="32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0" x14ac:dyDescent="0.25">
      <c r="C14" s="34" t="s">
        <v>221</v>
      </c>
      <c r="D14" s="31" t="s">
        <v>212</v>
      </c>
      <c r="E14" s="31">
        <v>0</v>
      </c>
      <c r="F14" s="31" t="str">
        <f t="array" ref="F14:AX14">TRANSPOSE('BIOLOGICAL RESULTS'!D18:D62)</f>
      </c>
      <c r="G14" s="31"/>
      <c r="H14" s="31"/>
      <c r="I14" s="31"/>
      <c r="J14" s="31"/>
      <c r="K14" s="31"/>
      <c r="L14" s="33"/>
      <c r="M14" s="31"/>
      <c r="N14" s="31"/>
      <c r="O14" s="31"/>
      <c r="P14" s="31"/>
      <c r="Q14" s="31"/>
      <c r="R14" s="31"/>
      <c r="S14" s="33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0" x14ac:dyDescent="0.25">
      <c r="C15" s="42"/>
      <c r="D15" s="42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</row>
    <row r="16" spans="1:50" ht="15.75" x14ac:dyDescent="0.25">
      <c r="C16" s="30" t="s">
        <v>222</v>
      </c>
      <c r="D16" s="31" t="s">
        <v>216</v>
      </c>
      <c r="E16" s="31" t="s">
        <v>217</v>
      </c>
      <c r="F16" s="31" t="str">
        <f t="array" ref="F16:AX16">TRANSPOSE('IC RESULTS'!A69:A113)</f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</row>
    <row r="17" spans="1:50" x14ac:dyDescent="0.25">
      <c r="C17" s="31" t="s">
        <v>177</v>
      </c>
      <c r="D17" s="31" t="s">
        <v>204</v>
      </c>
      <c r="E17" s="31">
        <v>1.5</v>
      </c>
      <c r="F17" s="45" t="str">
        <f t="array" ref="F17:AX17">TRANSPOSE('IC RESULTS'!C69:C113)</f>
      </c>
      <c r="G17" s="45"/>
      <c r="H17" s="45"/>
      <c r="I17" s="45"/>
      <c r="J17" s="45"/>
      <c r="K17" s="45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0" x14ac:dyDescent="0.25">
      <c r="C18" s="31" t="s">
        <v>178</v>
      </c>
      <c r="D18" s="31" t="s">
        <v>204</v>
      </c>
      <c r="E18" s="31" t="s">
        <v>512</v>
      </c>
      <c r="F18" s="45" t="str">
        <f t="array" ref="F18:AX18">TRANSPOSE('IC RESULTS'!D69:D113)</f>
      </c>
      <c r="G18" s="45"/>
      <c r="H18" s="45"/>
      <c r="I18" s="45"/>
      <c r="J18" s="45"/>
      <c r="K18" s="4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1:50" x14ac:dyDescent="0.25">
      <c r="C19" s="31" t="s">
        <v>179</v>
      </c>
      <c r="D19" s="31" t="s">
        <v>204</v>
      </c>
      <c r="E19" s="31">
        <v>3</v>
      </c>
      <c r="F19" s="45" t="str">
        <f t="array" ref="F19:AX19">TRANSPOSE('IC RESULTS'!E69:E113)</f>
      </c>
      <c r="G19" s="45"/>
      <c r="H19" s="45"/>
      <c r="I19" s="45"/>
      <c r="J19" s="45"/>
      <c r="K19" s="45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1:50" x14ac:dyDescent="0.25">
      <c r="C20" s="31" t="s">
        <v>180</v>
      </c>
      <c r="D20" s="31" t="s">
        <v>204</v>
      </c>
      <c r="E20" s="31" t="s">
        <v>223</v>
      </c>
      <c r="F20" s="45" t="str">
        <f t="array" ref="F20:AX20">TRANSPOSE('IC RESULTS'!F69:F113)</f>
      </c>
      <c r="G20" s="45"/>
      <c r="H20" s="45"/>
      <c r="I20" s="45"/>
      <c r="J20" s="45"/>
      <c r="K20" s="4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1:50" x14ac:dyDescent="0.25">
      <c r="C21" s="31" t="s">
        <v>181</v>
      </c>
      <c r="D21" s="31" t="s">
        <v>204</v>
      </c>
      <c r="E21" s="31" t="s">
        <v>219</v>
      </c>
      <c r="F21" s="45" t="str">
        <f t="array" ref="F21:AX21">TRANSPOSE('IC RESULTS'!G69:G113)</f>
      </c>
      <c r="G21" s="45"/>
      <c r="H21" s="45"/>
      <c r="I21" s="45"/>
      <c r="J21" s="45"/>
      <c r="K21" s="45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0" x14ac:dyDescent="0.25">
      <c r="C22" s="31" t="s">
        <v>182</v>
      </c>
      <c r="D22" s="31" t="s">
        <v>204</v>
      </c>
      <c r="E22" s="31">
        <v>45</v>
      </c>
      <c r="F22" s="45" t="str">
        <f t="array" ref="F22:AX22">TRANSPOSE('IC RESULTS'!H69:H113)</f>
      </c>
      <c r="G22" s="45"/>
      <c r="H22" s="45"/>
      <c r="I22" s="45"/>
      <c r="J22" s="45"/>
      <c r="K22" s="4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ht="15.75" thickBot="1" x14ac:dyDescent="0.3">
      <c r="C23" s="31" t="s">
        <v>183</v>
      </c>
      <c r="D23" s="31" t="s">
        <v>204</v>
      </c>
      <c r="E23" s="31" t="s">
        <v>219</v>
      </c>
      <c r="F23" s="45" t="str">
        <f t="array" ref="F23:AX23">TRANSPOSE('IC RESULTS'!I69:I113)</f>
      </c>
      <c r="G23" s="45"/>
      <c r="H23" s="45"/>
      <c r="I23" s="45"/>
      <c r="J23" s="45"/>
      <c r="K23" s="45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0" ht="15.75" thickBot="1" x14ac:dyDescent="0.3">
      <c r="A24" s="73" t="s">
        <v>310</v>
      </c>
      <c r="C24" s="42"/>
      <c r="D24" s="42"/>
      <c r="E24" s="42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</row>
    <row r="25" spans="1:50" ht="16.5" thickBot="1" x14ac:dyDescent="0.3">
      <c r="A25" s="73" t="s">
        <v>407</v>
      </c>
      <c r="C25" s="30" t="s">
        <v>224</v>
      </c>
      <c r="D25" s="31" t="s">
        <v>216</v>
      </c>
      <c r="E25" s="31" t="s">
        <v>217</v>
      </c>
      <c r="F25" s="31" t="str">
        <f t="array" ref="F25:AX25">TRANSPOSE('ICPOES RESULTS'!A70:A114)</f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</row>
    <row r="26" spans="1:50" x14ac:dyDescent="0.25">
      <c r="A26" s="69" t="s">
        <v>313</v>
      </c>
      <c r="C26" s="31" t="s">
        <v>225</v>
      </c>
      <c r="D26" s="31" t="str">
        <f>IF(A26="ICPOES",CODES!$A$17,IF(A26="ICPMS",CODES!$A$17,IF(A26="ICPQQQ",CODES!$A$16,"ERROR")))</f>
      </c>
      <c r="E26" s="31" t="str">
        <f>IF(A26="ICPOES",CODES!B35,IF(A26="ICPMS",CODES!B35,IF(A26="ICPQQQ",CODES!C35,"ERROR")))</f>
      </c>
      <c r="F26" s="48" t="str" cm="1">
        <f t="array" ref="F26:AX26">IF(A26="ICPOES",TRANSPOSE('ICPOES RESULTS'!E70:E114),IF(A26="ICPQQQ",TRANSPOSE('ICPQQQ RESULTS'!G69:G113),"ERROR"))</f>
      </c>
      <c r="G26" s="48"/>
      <c r="H26" s="48"/>
      <c r="I26" s="48"/>
      <c r="J26" s="48"/>
      <c r="K26" s="48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</row>
    <row r="27" spans="1:50" x14ac:dyDescent="0.25">
      <c r="A27" s="68" t="s">
        <v>359</v>
      </c>
      <c r="C27" s="31" t="s">
        <v>226</v>
      </c>
      <c r="D27" s="31" t="str">
        <f>IF(A27="ICPOES",CODES!$A$17,IF(A27="ICPMS",CODES!$A$17,IF(A27="ICPQQQ",CODES!$A$16,"ERROR")))</f>
      </c>
      <c r="E27" s="31" t="str">
        <f>IF(A27="ICPOES",CODES!B36,IF(A27="ICPMS",CODES!B36,IF(A27="ICPQQQ",CODES!C36,"ERROR")))</f>
      </c>
      <c r="F27" s="49" t="str" cm="1">
        <f t="array" ref="F27:AX27">IF(A27="ICPOES",TRANSPOSE('ICPOES RESULTS'!F70:F114),IF(A27="ICPMS",TRANSPOSE('ICPMS RESULTS'!L69:L113),IF(A27="ICPQQQ",TRANSPOSE('ICPQQQ RESULTS'!Y69:Y113),"ERROR")))</f>
      </c>
      <c r="G27" s="49"/>
      <c r="H27" s="35"/>
      <c r="I27" s="49"/>
      <c r="J27" s="49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</row>
    <row r="28" spans="1:50" x14ac:dyDescent="0.25">
      <c r="A28" s="68" t="s">
        <v>313</v>
      </c>
      <c r="C28" s="31" t="s">
        <v>227</v>
      </c>
      <c r="D28" s="31" t="str">
        <f>IF(A28="ICPOES",CODES!$A$17,IF(A28="ICPMS",CODES!$A$17,IF(A28="ICPQQQ",CODES!$A$16,"ERROR")))</f>
      </c>
      <c r="E28" s="31">
        <f>IF(A28="ICPOES",CODES!B37,IF(A28="ICPMS",CODES!B37,IF(A28="ICPQQQ",CODES!C37,"ERROR")))</f>
      </c>
      <c r="F28" s="49" cm="1">
        <f t="array" ref="F28:AX28">IF(A28="ICPOES",TRANSPOSE('ICPOES RESULTS'!I70:I114),IF(A28="ICPMS",TRANSPOSE('ICPMS RESULTS'!D69:D113),IF(A28="ICPQQQ",TRANSPOSE('ICPQQQ RESULTS'!D69:D113),"ERROR")))</f>
      </c>
      <c r="G28" s="49"/>
      <c r="H28" s="35"/>
      <c r="I28" s="49"/>
      <c r="J28" s="49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</row>
    <row r="29" spans="1:50" x14ac:dyDescent="0.25">
      <c r="A29" s="68" t="s">
        <v>313</v>
      </c>
      <c r="C29" s="31" t="s">
        <v>228</v>
      </c>
      <c r="D29" s="31" t="str">
        <f>IF(A29="ICPOES",CODES!$A$17,IF(A29="ICPMS",CODES!$A$17,IF(A29="ICPQQQ",CODES!$A$16,"ERROR")))</f>
      </c>
      <c r="E29" s="31">
        <f>IF(A29="ICPOES",CODES!B38,IF(A29="ICPMS",CODES!B38,IF(A29="ICPQQQ",CODES!C38,"ERROR")))</f>
      </c>
      <c r="F29" s="48" cm="1">
        <f t="array" ref="F29:AX29">IF(A29="ICPOES",TRANSPOSE('ICPOES RESULTS'!K70:K114),IF(A29="ICPMS",TRANSPOSE('ICPMS RESULTS'!Q69:Q113),IF(A29="ICPQQQ",TRANSPOSE('ICPQQQ RESULTS'!AK69:AK113),"ERROR")))</f>
      </c>
      <c r="G29" s="48"/>
      <c r="H29" s="48"/>
      <c r="I29" s="48"/>
      <c r="J29" s="48"/>
      <c r="K29" s="48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</row>
    <row r="30" spans="1:50" x14ac:dyDescent="0.25">
      <c r="A30" s="68" t="s">
        <v>313</v>
      </c>
      <c r="C30" s="31" t="s">
        <v>229</v>
      </c>
      <c r="D30" s="31" t="str">
        <f>IF(A30="ICPOES",CODES!$A$17,IF(A30="ICPMS",CODES!$A$17,IF(A30="ICPQQQ",CODES!$A$17,"ERROR")))</f>
      </c>
      <c r="E30" s="31" t="str">
        <f>IF(A30="ICPOES",CODES!B39,IF(A30="ICPMS",CODES!B39,IF(A30="ICPQQQ",CODES!B39,"ERROR")))</f>
      </c>
      <c r="F30" s="48" cm="1">
        <f t="array" ref="F30:AX30">IF(A30="ICPOES",TRANSPOSE('ICPOES RESULTS'!P70:P114),IF(A30="ICPQQQ",TRANSPOSE('ICPQQQ RESULTS'!U69:U113),"ERROR"))</f>
      </c>
      <c r="G30" s="48"/>
      <c r="H30" s="48"/>
      <c r="I30" s="48"/>
      <c r="J30" s="48"/>
      <c r="K30" s="48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</row>
    <row r="31" spans="1:50" x14ac:dyDescent="0.25">
      <c r="A31" s="68" t="s">
        <v>313</v>
      </c>
      <c r="C31" s="31" t="s">
        <v>230</v>
      </c>
      <c r="D31" s="31" t="str">
        <f>IF(A31="ICPOES",CODES!$A$17,IF(A31="ICPMS",CODES!$A$17,IF(A31="ICPQQQ",CODES!$A$16,"ERROR")))</f>
      </c>
      <c r="E31" s="31">
        <f>IF(A31="ICPOES",CODES!B40,IF(A31="ICPMS",CODES!B40,IF(A31="ICPQQQ",CODES!C40,"ERROR")))</f>
      </c>
      <c r="F31" s="48" t="str" cm="1">
        <f t="array" ref="F31:AX31">IF(A31="ICPOES",TRANSPOSE('ICPOES RESULTS'!R70:R114),IF(A31="ICPMS",TRANSPOSE('ICPMS RESULTS'!O69:O113),IF(A31="ICPQQQ",TRANSPOSE('ICPQQQ RESULTS'!AF69:AF113),"ERROR")))</f>
      </c>
      <c r="G31" s="48"/>
      <c r="H31" s="48"/>
      <c r="I31" s="48"/>
      <c r="J31" s="48"/>
      <c r="K31" s="48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</row>
    <row r="32" spans="1:50" x14ac:dyDescent="0.25">
      <c r="A32" s="68" t="s">
        <v>313</v>
      </c>
      <c r="C32" s="31" t="s">
        <v>231</v>
      </c>
      <c r="D32" s="31" t="str">
        <f>IF(A32="ICPOES",CODES!$A$17,IF(A32="ICPMS",CODES!$A$17,IF(A32="ICPQQQ",CODES!$A$16,"ERROR")))</f>
      </c>
      <c r="E32" s="31" t="str">
        <f>IF(A32="ICPOES",CODES!B41,IF(A32="ICPMS",CODES!B41,IF(A32="ICPQQQ",CODES!C41,"ERROR")))</f>
      </c>
      <c r="F32" s="48" t="str" cm="1">
        <f t="array" ref="F32:AX32">IF(A32="ICPOES",TRANSPOSE('ICPOES RESULTS'!V70:V114),IF(A32="ICPMS",TRANSPOSE('ICPMS RESULTS'!H69:H113),IF(A32="ICPQQQ",TRANSPOSE('ICPQQQ RESULTS'!S69:S113),"ERROR")))</f>
      </c>
      <c r="G32" s="48"/>
      <c r="H32" s="48"/>
      <c r="I32" s="48"/>
      <c r="J32" s="48"/>
      <c r="K32" s="48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</row>
    <row r="33" spans="1:50" x14ac:dyDescent="0.25">
      <c r="A33" s="68" t="s">
        <v>313</v>
      </c>
      <c r="C33" s="31" t="s">
        <v>232</v>
      </c>
      <c r="D33" s="31" t="str">
        <f>IF(A33="ICPOES",CODES!$A$17,IF(A33="ICPMS",CODES!$A$17,IF(A33="ICPQQQ",CODES!$A$16,"ERROR")))</f>
      </c>
      <c r="E33" s="31">
        <f>IF(A33="ICPOES",CODES!B42,IF(A33="ICPMS",CODES!B42,IF(A33="ICPQQQ",CODES!C42,"ERROR")))</f>
      </c>
      <c r="F33" s="48" cm="1">
        <f t="array" ref="F33:AX33">IF(A33="ICPOES",TRANSPOSE('ICPOES RESULTS'!Y70:Y114),IF(A33="ICPMS",TRANSPOSE('ICPMS RESULTS'!F69:F113),IF(A33="ICPQQQ",TRANSPOSE('ICPQQQ RESULTS'!P69:P113),"ERROR")))</f>
      </c>
      <c r="G33" s="48"/>
      <c r="H33" s="48"/>
      <c r="I33" s="48"/>
      <c r="J33" s="48"/>
      <c r="K33" s="48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</row>
    <row r="34" spans="1:50" x14ac:dyDescent="0.25">
      <c r="A34" s="68" t="s">
        <v>313</v>
      </c>
      <c r="C34" s="31" t="s">
        <v>233</v>
      </c>
      <c r="D34" s="31" t="str">
        <f>IF(A34="ICPOES",CODES!$A$17,IF(A34="ICPMS",CODES!$A$17,IF(A34="ICPQQQ",CODES!$A$16,"ERROR")))</f>
      </c>
      <c r="E34" s="31" t="str">
        <f>IF(A34="ICPOES",CODES!B43,IF(A34="ICPMS",CODES!B43,IF(A34="ICPQQQ",CODES!C43,"ERROR")))</f>
      </c>
      <c r="F34" s="48" cm="1">
        <f t="array" ref="F34:AX34">IF(A34="ICPOES",TRANSPOSE('ICPOES RESULTS'!Z70:Z114),IF(A34="ICPMS",TRANSPOSE('ICPMS RESULTS'!J69:J113),IF(A34="ICPQQQ",TRANSPOSE('ICPQQQ RESULTS'!V69:V113),"ERROR")))</f>
      </c>
      <c r="G34" s="48"/>
      <c r="H34" s="48"/>
      <c r="I34" s="48"/>
      <c r="J34" s="48"/>
      <c r="K34" s="48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</row>
    <row r="35" spans="1:50" x14ac:dyDescent="0.25">
      <c r="A35" s="68" t="s">
        <v>313</v>
      </c>
      <c r="C35" s="31" t="s">
        <v>234</v>
      </c>
      <c r="D35" s="31" t="str">
        <f>IF(A35="ICPOES",CODES!$A$17,IF(A35="ICPMS",CODES!$A$17,IF(A35="ICPQQQ",CODES!$A$16,"ERROR")))</f>
      </c>
      <c r="E35" s="31" t="str">
        <f>IF(A35="ICPOES",CODES!B44,IF(A35="ICPMS",CODES!B44,IF(A35="ICPQQQ",CODES!C44,"ERROR")))</f>
      </c>
      <c r="F35" s="48" cm="1">
        <f t="array" ref="F35:AX35">IF(A35="ICPOES",TRANSPOSE('ICPOES RESULTS'!AH70:AH114),IF(A35="ICPQQQ",TRANSPOSE('ICPQQQ RESULTS'!R69:R113),"ERROR"))</f>
      </c>
      <c r="G35" s="48"/>
      <c r="H35" s="48"/>
      <c r="I35" s="48"/>
      <c r="J35" s="48"/>
      <c r="K35" s="48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spans="1:50" x14ac:dyDescent="0.25">
      <c r="A36" s="68" t="s">
        <v>313</v>
      </c>
      <c r="C36" s="31" t="s">
        <v>235</v>
      </c>
      <c r="D36" s="31" t="str">
        <f>IF(A36="ICPOES",CODES!$A$16,IF(A36="ICPMS",CODES!$A$16,IF(A36="ICPQQQ",CODES!$A$16,"ERROR")))</f>
      </c>
      <c r="E36" s="31">
        <f>IF(A36="ICPOES",CODES!B45,IF(A36="ICPMS",CODES!B45,IF(A36="ICPQQQ",CODES!C45,"ERROR")))</f>
      </c>
      <c r="F36" s="48" t="str" cm="1">
        <f t="array" ref="F36:AX36">IF(A36="ICPOES",TRANSPOSE('ICPOES RESULTS'!AP70:AP114),IF(A36="ICPMS",TRANSPOSE('ICPMS RESULTS'!R69:R113),IF(A36="ICPQQQ",TRANSPOSE('ICPQQQ RESULTS'!AO69:AO113),"ERROR")))</f>
      </c>
      <c r="G36" s="48"/>
      <c r="H36" s="48"/>
      <c r="I36" s="48"/>
      <c r="J36" s="48"/>
      <c r="K36" s="48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spans="1:50" x14ac:dyDescent="0.25">
      <c r="A37" s="68" t="s">
        <v>313</v>
      </c>
      <c r="C37" s="31" t="s">
        <v>236</v>
      </c>
      <c r="D37" s="31" t="str">
        <f>IF(A37="ICPOES",CODES!$A$17,IF(A37="ICPMS",CODES!$A$17,IF(A37="ICPQQQ",CODES!$A$17,"ERROR")))</f>
      </c>
      <c r="E37" s="31" t="str">
        <f>IF(A37="ICPOES",CODES!B46,IF(A37="ICPMS",CODES!B46,IF(A37="ICPQQQ",CODES!B46,"ERROR")))</f>
      </c>
      <c r="F37" s="48" cm="1">
        <f t="array" ref="F37:AX37">IF(A37="ICPOES",TRANSPOSE('ICPOES RESULTS'!AS70:AS114),IF(A37="ICPQQQ",TRANSPOSE('ICPQQQ RESULTS'!H69:H113),"ERROR"))</f>
      </c>
      <c r="G37" s="48"/>
      <c r="H37" s="48"/>
      <c r="I37" s="48"/>
      <c r="J37" s="48"/>
      <c r="K37" s="48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spans="1:50" x14ac:dyDescent="0.25">
      <c r="A38" s="68" t="s">
        <v>313</v>
      </c>
      <c r="C38" s="31" t="s">
        <v>237</v>
      </c>
      <c r="D38" s="31" t="str">
        <f>IF(A38="ICPOES",CODES!$A$17,IF(A38="ICPMS",CODES!$A$17,IF(A38="ICPQQQ",CODES!$A$17,"ERROR")))</f>
      </c>
      <c r="E38" s="31" t="str">
        <f>IF(A38="ICPOES",CODES!B47,IF(A38="ICPMS",CODES!B47,IF(A38="ICPQQQ",CODES!B47,"ERROR")))</f>
      </c>
      <c r="F38" s="48" cm="1">
        <f t="array" ref="F38:AX38">IF(A38="ICPOES",TRANSPOSE('ICPOES RESULTS'!AZ70:AZ114),IF(A38="ICPQQQ",TRANSPOSE('ICPQQQ RESULTS'!F69:F113),"ERROR"))</f>
      </c>
      <c r="G38" s="48"/>
      <c r="H38" s="48"/>
      <c r="I38" s="48"/>
      <c r="J38" s="48"/>
      <c r="K38" s="48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</row>
    <row r="39" spans="1:50" x14ac:dyDescent="0.25">
      <c r="A39" s="68" t="s">
        <v>313</v>
      </c>
      <c r="C39" s="31" t="s">
        <v>238</v>
      </c>
      <c r="D39" s="31" t="str">
        <f>IF(A39="ICPOES",CODES!$A$17,IF(A39="ICPMS",CODES!$A$17,IF(A39="ICPQQQ",CODES!$A$16,"ERROR")))</f>
      </c>
      <c r="E39" s="31" t="str">
        <f>IF(A39="ICPOES",CODES!B48,IF(A39="ICPMS",CODES!B48,IF(A39="ICPQQQ",CODES!C48,"ERROR")))</f>
      </c>
      <c r="F39" s="48" cm="1">
        <f t="array" ref="F39:AX39">IF(A39="ICPOES",TRANSPOSE('ICPOES RESULTS'!BB70:BB114),IF(A39="ICPMS",TRANSPOSE('ICPMS RESULTS'!G69:G113),IF(A39="ICPQQQ",TRANSPOSE('ICPQQQ RESULTS'!Q69:Q113),"ERROR")))</f>
      </c>
      <c r="G39" s="48"/>
      <c r="H39" s="48"/>
      <c r="I39" s="48"/>
      <c r="J39" s="48"/>
      <c r="K39" s="48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</row>
    <row r="40" spans="1:50" x14ac:dyDescent="0.25">
      <c r="A40" s="68" t="s">
        <v>313</v>
      </c>
      <c r="C40" s="31" t="s">
        <v>239</v>
      </c>
      <c r="D40" s="31" t="str">
        <f>IF(A40="ICPOES",CODES!$A$17,IF(A40="ICPMS",CODES!$A$17,IF(A40="ICPQQQ",CODES!$A$16,"ERROR")))</f>
      </c>
      <c r="E40" s="31" t="str">
        <f>IF(A40="ICPOES",CODES!B49,IF(A40="ICPMS",CODES!B49,IF(A40="ICPQQQ",CODES!C49,"ERROR")))</f>
      </c>
      <c r="F40" s="48" t="str" cm="1">
        <f t="array" ref="F40:AX40">IF(A40="ICPOES",TRANSPOSE('ICPOES RESULTS'!BD70:BD114),IF(A40="ICPMS",TRANSPOSE('ICPMS RESULTS'!N69:N113),IF(A40="ICPQQQ",TRANSPOSE('ICPQQQ RESULTS'!AD69:AD113),"ERROR")))</f>
      </c>
      <c r="G40" s="48"/>
      <c r="H40" s="48"/>
      <c r="I40" s="48"/>
      <c r="J40" s="48"/>
      <c r="K40" s="48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</row>
    <row r="41" spans="1:50" x14ac:dyDescent="0.25">
      <c r="A41" s="68" t="s">
        <v>313</v>
      </c>
      <c r="C41" s="31" t="s">
        <v>240</v>
      </c>
      <c r="D41" s="31" t="str">
        <f>IF(A41="ICPOES",CODES!$A$17,IF(A41="ICPMS",CODES!$A$17,IF(A41="ICPQQQ",CODES!$A$17,"ERROR")))</f>
      </c>
      <c r="E41" s="31" t="str">
        <f>IF(A41="ICPOES",CODES!B50,IF(A41="ICPMS",CODES!B50,IF(A41="ICPQQQ",CODES!B50,"ERROR")))</f>
      </c>
      <c r="F41" s="48" cm="1">
        <f t="array" ref="F41:AX41">IF(A41="ICPOES",TRANSPOSE('ICPOES RESULTS'!BG70:BG114),IF(A41="ICPQQQ",TRANSPOSE('ICPQQQ RESULTS'!E69:E113),"ERROR"))</f>
      </c>
      <c r="G41" s="48"/>
      <c r="H41" s="48"/>
      <c r="I41" s="48"/>
      <c r="J41" s="48"/>
      <c r="K41" s="48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</row>
    <row r="42" spans="1:50" x14ac:dyDescent="0.25">
      <c r="A42" s="68" t="s">
        <v>313</v>
      </c>
      <c r="C42" s="31" t="s">
        <v>242</v>
      </c>
      <c r="D42" s="31" t="str">
        <f>IF(A42="ICPOES",CODES!$A$17,IF(A42="ICPMS",CODES!$A$17,IF(A42="ICPQQQ",CODES!$A$16,"ERROR")))</f>
      </c>
      <c r="E42" s="31" t="str">
        <f>IF(A42="ICPOES",CODES!B51,IF(A42="ICPMS",CODES!B51,IF(A42="ICPQQQ",CODES!C51,"ERROR")))</f>
      </c>
      <c r="F42" s="48" cm="1">
        <f t="array" ref="F42:AX42">IF(A42="ICPOES",TRANSPOSE('ICPOES RESULTS'!BM70:BM114),IF(A42="ICPMS",TRANSPOSE('ICPMS RESULTS'!I69:I113),IF(A42="ICPQQQ",TRANSPOSE('ICPQQQ RESULTS'!T69:T113),"ERROR")))</f>
      </c>
      <c r="G42" s="48"/>
      <c r="H42" s="48"/>
      <c r="I42" s="48"/>
      <c r="J42" s="48"/>
      <c r="K42" s="48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</row>
    <row r="43" spans="1:50" x14ac:dyDescent="0.25">
      <c r="A43" s="68" t="s">
        <v>313</v>
      </c>
      <c r="C43" s="31" t="s">
        <v>243</v>
      </c>
      <c r="D43" s="31" t="str">
        <f>IF(A43="ICPOES",CODES!$A$17,IF(A43="ICPMS",CODES!$A$17,IF(A43="ICPQQQ",CODES!$A$16,"ERROR")))</f>
      </c>
      <c r="E43" s="31" t="str">
        <f>IF(A43="ICPOES",CODES!B52,IF(A43="ICPMS",CODES!B52,IF(A43="ICPQQQ",CODES!C52,"ERROR")))</f>
      </c>
      <c r="F43" s="48" t="str" cm="1">
        <f t="array" ref="F43:AX43">IF(A43="ICPOES",TRANSPOSE('ICPOES RESULTS'!BP70:BP114),IF(A43="ICPQQQ",TRANSPOSE('ICPQQQ RESULTS'!M69:M113),"ERROR"))</f>
      </c>
      <c r="G43" s="48"/>
      <c r="H43" s="48"/>
      <c r="I43" s="48"/>
      <c r="J43" s="48"/>
      <c r="K43" s="48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</row>
    <row r="44" spans="1:50" x14ac:dyDescent="0.25">
      <c r="A44" s="68" t="s">
        <v>313</v>
      </c>
      <c r="C44" s="31" t="s">
        <v>244</v>
      </c>
      <c r="D44" s="31" t="str">
        <f>IF(A44="ICPOES",CODES!$A$17,IF(A44="ICPMS",CODES!$A$17,IF(A44="ICPQQQ",CODES!$A$16,"ERROR")))</f>
      </c>
      <c r="E44" s="31" t="str">
        <f>IF(A44="ICPOES",CODES!B53,IF(A44="ICPMS",CODES!B53,IF(A44="ICPQQQ",CODES!C53,"ERROR")))</f>
      </c>
      <c r="F44" s="48" t="str" cm="1">
        <f t="array" ref="F44:AX44">IF(A44="ICPOES",TRANSPOSE('ICPOES RESULTS'!BQ70:BQ114),IF(A44="ICPMS",TRANSPOSE('ICPMS RESULTS'!T69:T113),IF(A44="ICPQQQ",TRANSPOSE('ICPQQQ RESULTS'!AS69:AS113),"ERROR")))</f>
      </c>
      <c r="G44" s="48"/>
      <c r="H44" s="48"/>
      <c r="I44" s="48"/>
      <c r="J44" s="48"/>
      <c r="K44" s="48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spans="1:50" x14ac:dyDescent="0.25">
      <c r="A45" s="68" t="s">
        <v>313</v>
      </c>
      <c r="C45" s="31" t="s">
        <v>245</v>
      </c>
      <c r="D45" s="31" t="str">
        <f>IF(A45="ICPOES",CODES!$A$17,IF(A45="ICPMS",CODES!$A$17,IF(A45="ICPQQQ",CODES!$A$17,"ERROR")))</f>
      </c>
      <c r="E45" s="31" t="str">
        <f>IF(A45="ICPOES",CODES!B54,IF(A45="ICPMS",CODES!B54,IF(A45="ICPQQQ",CODES!B54,"ERROR")))</f>
      </c>
      <c r="F45" s="48" cm="1">
        <f t="array" ref="F45:AX45">IF(A45="ICPOES",TRANSPOSE('ICPOES RESULTS'!BT70:BT114),IF(A45="ICPQQQ",TRANSPOSE('ICPQQQ RESULTS'!N69:N113),"ERROR"))</f>
      </c>
      <c r="G45" s="48"/>
      <c r="H45" s="48"/>
      <c r="I45" s="48"/>
      <c r="J45" s="48"/>
      <c r="K45" s="48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spans="1:50" x14ac:dyDescent="0.25">
      <c r="A46" s="68" t="s">
        <v>313</v>
      </c>
      <c r="C46" s="31" t="s">
        <v>246</v>
      </c>
      <c r="D46" s="31" t="str">
        <f>IF(A46="ICPOES",CODES!$A$17,IF(A46="ICPMS",CODES!$A$17,IF(A46="ICPQQQ",CODES!$A$16,"ERROR")))</f>
      </c>
      <c r="E46" s="31">
        <f>IF(A46="ICPOES",CODES!B55,IF(A46="ICPMS",CODES!B55,IF(A46="ICPQQQ",CODES!C55,"ERROR")))</f>
      </c>
      <c r="F46" s="48" t="str" cm="1">
        <f t="array" ref="F46:AX46">IF(A46="ICPOES",TRANSPOSE('ICPOES RESULTS'!BU70:BU114),IF(A46="ICPMS",TRANSPOSE('ICPMS RESULTS'!P69:P113),IF(A46="ICPQQQ",TRANSPOSE('ICPQQQ RESULTS'!AG69:AG113),"ERROR")))</f>
      </c>
      <c r="G46" s="48"/>
      <c r="H46" s="48"/>
      <c r="I46" s="48"/>
      <c r="J46" s="48"/>
      <c r="K46" s="48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</row>
    <row r="47" spans="1:50" x14ac:dyDescent="0.25">
      <c r="A47" s="68" t="s">
        <v>313</v>
      </c>
      <c r="C47" s="31" t="s">
        <v>247</v>
      </c>
      <c r="D47" s="31" t="str">
        <f>IF(A47="ICPOES",CODES!$A$17,IF(A47="ICPMS",CODES!$A$17,IF(A47="ICPQQQ",CODES!$A$16,"ERROR")))</f>
      </c>
      <c r="E47" s="31">
        <f>IF(A47="ICPOES",CODES!B56,IF(A47="ICPMS",CODES!B56,IF(A47="ICPQQQ",CODES!C56,"ERROR")))</f>
      </c>
      <c r="F47" s="48" t="str" cm="1">
        <f t="array" ref="F47:AX47">IF(A47="ICPOES",TRANSPOSE('ICPOES RESULTS'!BY70:BY114),IF(A47="ICPMS",TRANSPOSE('ICPMS RESULTS'!M69:M113),IF(A47="ICPQQQ",TRANSPOSE('ICPQQQ RESULTS'!AC69:AC113),"ERROR")))</f>
      </c>
      <c r="G47" s="48"/>
      <c r="H47" s="48"/>
      <c r="I47" s="48"/>
      <c r="J47" s="48"/>
      <c r="K47" s="48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</row>
    <row r="48" spans="1:50" x14ac:dyDescent="0.25">
      <c r="A48" s="68" t="s">
        <v>313</v>
      </c>
      <c r="C48" s="31" t="s">
        <v>248</v>
      </c>
      <c r="D48" s="31" t="str">
        <f>IF(A48="ICPOES",CODES!$A$17,IF(A48="ICPMS",CODES!$A$17,IF(A48="ICPQQQ",CODES!$A$16,"ERROR")))</f>
      </c>
      <c r="E48" s="31" t="str">
        <f>IF(A48="ICPOES",CODES!B57,IF(A48="ICPMS",CODES!B57,IF(A48="ICPQQQ",CODES!C57,"ERROR")))</f>
      </c>
      <c r="F48" s="48" t="str" cm="1">
        <f t="array" ref="F48:AX48">IF(A48="ICPOES",TRANSPOSE('ICPOES RESULTS'!CE70:CE114),IF(A48="ICPQQQ",TRANSPOSE('ICPQQQ RESULTS'!AJ69:AJ113),"ERROR"))</f>
      </c>
      <c r="G48" s="48"/>
      <c r="H48" s="48"/>
      <c r="I48" s="48"/>
      <c r="J48" s="48"/>
      <c r="K48" s="4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spans="1:50" x14ac:dyDescent="0.25">
      <c r="A49" s="68" t="s">
        <v>313</v>
      </c>
      <c r="C49" s="31" t="s">
        <v>249</v>
      </c>
      <c r="D49" s="31" t="str">
        <f>IF(A49="ICPOES",CODES!$A$17,IF(A49="ICPMS",CODES!$A$17,IF(A49="ICPQQQ",CODES!$A$16,"ERROR")))</f>
      </c>
      <c r="E49" s="31">
        <f>IF(A49="ICPOES",CODES!B58,IF(A49="ICPMS",CODES!B58,IF(A49="ICPQQQ",CODES!C58,"ERROR")))</f>
      </c>
      <c r="F49" s="48" t="str" cm="1">
        <f t="array" ref="F49:AX49">IF(A49="ICPOES",TRANSPOSE('ICPOES RESULTS'!CW70:CW114),IF(A49="ICPMS",TRANSPOSE('ICPMS RESULTS'!V69:V113),IF(A49="ICPQQQ",TRANSPOSE('ICPQQQ RESULTS'!AU69:AU113),"ERROR")))</f>
      </c>
      <c r="G49" s="48"/>
      <c r="H49" s="48"/>
      <c r="I49" s="48"/>
      <c r="J49" s="48"/>
      <c r="K49" s="48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</row>
    <row r="50" spans="1:50" x14ac:dyDescent="0.25">
      <c r="A50" s="68" t="s">
        <v>313</v>
      </c>
      <c r="C50" s="31" t="s">
        <v>250</v>
      </c>
      <c r="D50" s="31" t="str">
        <f>IF(A50="ICPOES",CODES!$A$17,IF(A50="ICPMS",CODES!$A$17,IF(A50="ICPQQQ",CODES!$A$16,"ERROR")))</f>
      </c>
      <c r="E50" s="31" t="str">
        <f>IF(A50="ICPOES",CODES!B59,IF(A50="ICPMS",CODES!B59,IF(A50="ICPQQQ",CODES!C59,"ERROR")))</f>
      </c>
      <c r="F50" s="48" t="str" cm="1">
        <f t="array" ref="F50:AX50">IF(A50="ICPOES",TRANSPOSE('ICPOES RESULTS'!CX70:CX114),IF(A50="ICPMS",TRANSPOSE('ICPMS RESULTS'!E69:E113),IF(A50="ICPQQQ",TRANSPOSE('ICPQQQ RESULTS'!O69:O113),"ERROR")))</f>
      </c>
      <c r="G50" s="48"/>
      <c r="H50" s="48"/>
      <c r="I50" s="48"/>
      <c r="J50" s="48"/>
      <c r="K50" s="48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</row>
    <row r="51" spans="1:50" x14ac:dyDescent="0.25">
      <c r="A51" s="68" t="s">
        <v>313</v>
      </c>
      <c r="C51" s="31" t="s">
        <v>251</v>
      </c>
      <c r="D51" s="31" t="str">
        <f>IF(A51="ICPOES",CODES!$A$17,IF(A51="ICPMS",CODES!$A$17,IF(A51="ICPQQQ",CODES!$A$16,"ERROR")))</f>
      </c>
      <c r="E51" s="31" t="str">
        <f>IF(A51="ICPOES",CODES!B60,IF(A51="ICPMS",CODES!B60,IF(A51="ICPQQQ",CODES!C60,"ERROR")))</f>
      </c>
      <c r="F51" s="48" cm="1">
        <f t="array" ref="F51:AX51">IF(A51="ICPOES",TRANSPOSE('ICPOES RESULTS'!DG70:DG114),IF(A51="ICPMS",TRANSPOSE('ICPMS RESULTS'!K69:K113),IF(A51="ICPQQQ",TRANSPOSE('ICPQQQ RESULTS'!W69:W113),"ERROR")))</f>
      </c>
      <c r="G51" s="48"/>
      <c r="H51" s="48"/>
      <c r="I51" s="48"/>
      <c r="J51" s="48"/>
      <c r="K51" s="48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</row>
    <row r="52" spans="1:50" x14ac:dyDescent="0.25">
      <c r="C52" s="42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</row>
    <row r="53" spans="1:50" ht="15.75" x14ac:dyDescent="0.25">
      <c r="C53" s="30" t="s">
        <v>253</v>
      </c>
      <c r="D53" s="31" t="s">
        <v>216</v>
      </c>
      <c r="E53" s="31" t="s">
        <v>217</v>
      </c>
      <c r="F53" s="31" t="str">
        <f t="array" ref="F53:AX53">TRANSPOSE('PHYSICAL RESULTS'!A18:A62)</f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</row>
    <row r="54" spans="1:50" x14ac:dyDescent="0.25">
      <c r="C54" s="31" t="s">
        <v>254</v>
      </c>
      <c r="D54" s="31" t="s">
        <v>213</v>
      </c>
      <c r="E54" s="31" t="s">
        <v>170</v>
      </c>
      <c r="F54" s="31" t="str">
        <f t="array" ref="F54:AX54">TRANSPOSE('BIOLOGICAL RESULTS'!E18:E62)</f>
      </c>
      <c r="G54" s="31"/>
      <c r="H54" s="31"/>
      <c r="I54" s="31"/>
      <c r="J54" s="31"/>
      <c r="K54" s="31"/>
      <c r="L54" s="31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spans="1:50" x14ac:dyDescent="0.25">
      <c r="C55" s="31" t="s">
        <v>255</v>
      </c>
      <c r="D55" s="31" t="s">
        <v>204</v>
      </c>
      <c r="E55" s="31" t="s">
        <v>170</v>
      </c>
      <c r="F55" s="45" t="str">
        <f t="array" ref="F55:AX55">TRANSPOSE('PHYSICAL RESULTS'!F18:F62)</f>
      </c>
      <c r="G55" s="45"/>
      <c r="H55" s="45"/>
      <c r="I55" s="45"/>
      <c r="J55" s="45"/>
      <c r="K55" s="45"/>
      <c r="L55" s="45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</row>
    <row r="56" spans="1:50" x14ac:dyDescent="0.25">
      <c r="C56" s="31" t="s">
        <v>193</v>
      </c>
      <c r="D56" s="31" t="s">
        <v>205</v>
      </c>
      <c r="E56" s="31" t="s">
        <v>219</v>
      </c>
      <c r="F56" s="45" t="str">
        <f t="array" ref="F56:AX56">TRANSPOSE('PHYSICAL RESULTS'!H18:H62)</f>
      </c>
      <c r="G56" s="45"/>
      <c r="H56" s="45"/>
      <c r="I56" s="45"/>
      <c r="J56" s="45"/>
      <c r="K56" s="45"/>
      <c r="L56" s="45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</row>
    <row r="57" spans="1:50" x14ac:dyDescent="0.25">
      <c r="C57" s="31" t="s">
        <v>200</v>
      </c>
      <c r="D57" s="31"/>
      <c r="E57" s="31" t="s">
        <v>219</v>
      </c>
      <c r="F57" s="46" t="str">
        <f t="array" ref="F57:AX57">TRANSPOSE('PHYSICAL RESULTS'!O18:O62)</f>
      </c>
      <c r="G57" s="46"/>
      <c r="H57" s="46"/>
      <c r="I57" s="46"/>
      <c r="J57" s="46"/>
      <c r="K57" s="46"/>
      <c r="L57" s="46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spans="1:50" x14ac:dyDescent="0.25">
      <c r="C58" s="31" t="s">
        <v>198</v>
      </c>
      <c r="D58" s="31" t="s">
        <v>204</v>
      </c>
      <c r="E58" s="31" t="s">
        <v>219</v>
      </c>
      <c r="F58" s="46" t="str">
        <f t="array" ref="F58:AX58">TRANSPOSE('PHYSICAL RESULTS'!M18:M62)</f>
      </c>
      <c r="G58" s="46"/>
      <c r="H58" s="46"/>
      <c r="I58" s="46"/>
      <c r="J58" s="46"/>
      <c r="K58" s="46"/>
      <c r="L58" s="46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spans="1:50" x14ac:dyDescent="0.25">
      <c r="C59" s="31" t="s">
        <v>194</v>
      </c>
      <c r="D59" s="31" t="s">
        <v>204</v>
      </c>
      <c r="E59" s="31" t="s">
        <v>219</v>
      </c>
      <c r="F59" s="46" t="str">
        <f t="array" ref="F59:AX59">TRANSPOSE('PHYSICAL RESULTS'!I18:I62)</f>
      </c>
      <c r="G59" s="46"/>
      <c r="H59" s="46"/>
      <c r="I59" s="46"/>
      <c r="J59" s="46"/>
      <c r="K59" s="46"/>
      <c r="L59" s="46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</row>
    <row r="60" spans="1:50" x14ac:dyDescent="0.25">
      <c r="C60" s="31" t="s">
        <v>195</v>
      </c>
      <c r="D60" s="31" t="s">
        <v>204</v>
      </c>
      <c r="E60" s="31" t="s">
        <v>223</v>
      </c>
      <c r="F60" s="45" t="str">
        <f t="array" ref="F60:AX60">TRANSPOSE('PHYSICAL RESULTS'!J18:J62)</f>
      </c>
      <c r="G60" s="45"/>
      <c r="H60" s="45"/>
      <c r="I60" s="45"/>
      <c r="J60" s="45"/>
      <c r="K60" s="45"/>
      <c r="L60" s="45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</row>
    <row r="61" spans="1:50" x14ac:dyDescent="0.25">
      <c r="C61" s="31" t="s">
        <v>256</v>
      </c>
      <c r="D61" s="31" t="s">
        <v>206</v>
      </c>
      <c r="E61" s="31" t="s">
        <v>257</v>
      </c>
      <c r="F61" s="47" t="str">
        <f t="array" ref="F61:AX61">TRANSPOSE('PHYSICAL RESULTS'!K18:K62)</f>
      </c>
      <c r="G61" s="47"/>
      <c r="H61" s="47"/>
      <c r="I61" s="47"/>
      <c r="J61" s="47"/>
      <c r="K61" s="47"/>
      <c r="L61" s="47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</row>
    <row r="62" spans="1:50" x14ac:dyDescent="0.25">
      <c r="C62" s="31" t="s">
        <v>201</v>
      </c>
      <c r="D62" s="31" t="s">
        <v>258</v>
      </c>
      <c r="E62" s="31" t="s">
        <v>259</v>
      </c>
      <c r="F62" s="31" t="str">
        <f t="array" ref="F62:AX62">TRANSPOSE('PHYSICAL RESULTS'!P18:P62)</f>
      </c>
      <c r="G62" s="31"/>
      <c r="H62" s="31"/>
      <c r="I62" s="31"/>
      <c r="J62" s="31"/>
      <c r="K62" s="31"/>
      <c r="L62" s="31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</sheetData>
  <sheetProtection algorithmName="SHA-512" hashValue="r9TLdMcMpI6HG88m76Lk1PhAL9F+esX/DWTb83mxoZunl5C2+qvELSpbAusrOrvRc7S9GjDLJ+kLctdjR9Bkrg==" saltValue="8gngff3hDEUNLtQXx2lV6g==" spinCount="100000" sheet="1" objects="1" scenarios="1" formatCells="0" formatColumns="0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9B9593-FB2B-4D3C-BE56-1F41D33CE19B}">
          <x14:formula1>
            <xm:f>CODES!$A$5:$A$7</xm:f>
          </x14:formula1>
          <xm:sqref>A26:A51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6268-C6C1-4CC7-AE0E-89FF146E13B0}">
  <dimension ref="A1:AW89"/>
  <sheetViews>
    <sheetView workbookViewId="0">
      <selection activeCell="K3" sqref="K3"/>
    </sheetView>
  </sheetViews>
  <sheetFormatPr defaultRowHeight="15" x14ac:dyDescent="0.25"/>
  <cols>
    <col min="5" max="49" width="12" style="29" customWidth="1"/>
  </cols>
  <sheetData>
    <row r="1" spans="1:49" x14ac:dyDescent="0.25">
      <c r="A1" s="44" t="s">
        <v>413</v>
      </c>
    </row>
    <row r="2" spans="1:49" x14ac:dyDescent="0.25">
      <c r="A2" s="12"/>
    </row>
    <row r="3" spans="1:49" x14ac:dyDescent="0.25">
      <c r="A3" s="2" t="str">
        <f>INSTRUCTIONS!A3</f>
      </c>
    </row>
    <row r="6" spans="1:49" ht="15.75" x14ac:dyDescent="0.25">
      <c r="B6" s="30" t="s">
        <v>215</v>
      </c>
      <c r="C6" s="31" t="s">
        <v>216</v>
      </c>
      <c r="D6" s="31" t="s">
        <v>217</v>
      </c>
      <c r="E6" s="31" t="str">
        <f t="array" ref="E6:AW6">TRANSPOSE('PHYSICAL RESULTS'!A18:A62)</f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B7" s="31" t="s">
        <v>189</v>
      </c>
      <c r="C7" s="31"/>
      <c r="D7" s="31" t="s">
        <v>511</v>
      </c>
      <c r="E7" s="46" t="str">
        <f t="array" ref="E7:AW7">TRANSPOSE('PHYSICAL RESULTS'!D18:D62)</f>
      </c>
      <c r="F7" s="46"/>
      <c r="G7" s="46"/>
      <c r="H7" s="46"/>
      <c r="I7" s="46"/>
      <c r="J7" s="46"/>
      <c r="K7" s="32"/>
      <c r="L7" s="46"/>
      <c r="M7" s="46"/>
      <c r="N7" s="46"/>
      <c r="O7" s="46"/>
      <c r="P7" s="46"/>
      <c r="Q7" s="46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spans="1:49" x14ac:dyDescent="0.25">
      <c r="B8" s="31" t="s">
        <v>218</v>
      </c>
      <c r="C8" s="31" t="s">
        <v>203</v>
      </c>
      <c r="D8" s="31" t="s">
        <v>219</v>
      </c>
      <c r="E8" s="47" t="str">
        <f t="array" ref="E8:AW8">TRANSPOSE('PHYSICAL RESULTS'!E18:E62)</f>
      </c>
      <c r="F8" s="47"/>
      <c r="G8" s="47"/>
      <c r="H8" s="47"/>
      <c r="I8" s="47"/>
      <c r="J8" s="47"/>
      <c r="K8" s="33"/>
      <c r="L8" s="47"/>
      <c r="M8" s="47"/>
      <c r="N8" s="47"/>
      <c r="O8" s="47"/>
      <c r="P8" s="47"/>
      <c r="Q8" s="47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</row>
    <row r="9" spans="1:49" x14ac:dyDescent="0.25">
      <c r="B9" s="31" t="s">
        <v>192</v>
      </c>
      <c r="C9" s="31" t="s">
        <v>463</v>
      </c>
      <c r="D9" s="31" t="s">
        <v>170</v>
      </c>
      <c r="E9" s="45">
        <f t="array" ref="E9:AW9">TRANSPOSE('PHYSICAL RESULTS'!G18:G62)</f>
      </c>
      <c r="F9" s="45"/>
      <c r="G9" s="45"/>
      <c r="H9" s="45"/>
      <c r="I9" s="45"/>
      <c r="J9" s="45"/>
      <c r="K9" s="45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</row>
    <row r="10" spans="1:49" x14ac:dyDescent="0.25">
      <c r="B10" s="31" t="s">
        <v>197</v>
      </c>
      <c r="C10" s="35" t="s">
        <v>207</v>
      </c>
      <c r="D10" s="35">
        <v>1</v>
      </c>
      <c r="E10" s="36">
        <f t="array" ref="E10:AW10">TRANSPOSE('PHYSICAL RESULTS'!L18:L62)</f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</row>
    <row r="11" spans="1:49" x14ac:dyDescent="0.25">
      <c r="B11" s="42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5.75" x14ac:dyDescent="0.25">
      <c r="B12" s="30" t="s">
        <v>220</v>
      </c>
      <c r="C12" s="31" t="s">
        <v>216</v>
      </c>
      <c r="D12" s="31" t="s">
        <v>217</v>
      </c>
      <c r="E12" s="31" t="str">
        <f t="array" ref="E12:AW12">TRANSPOSE('BIOLOGICAL RESULTS'!A18:A62)</f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pans="1:49" x14ac:dyDescent="0.25">
      <c r="B13" s="31" t="s">
        <v>210</v>
      </c>
      <c r="C13" s="31" t="s">
        <v>212</v>
      </c>
      <c r="D13" s="31">
        <v>0</v>
      </c>
      <c r="E13" s="31" t="str">
        <f t="array" ref="E13:AW13">TRANSPOSE('BIOLOGICAL RESULTS'!C18:C62)</f>
      </c>
      <c r="F13" s="31"/>
      <c r="G13" s="31"/>
      <c r="H13" s="31"/>
      <c r="I13" s="31"/>
      <c r="J13" s="31"/>
      <c r="K13" s="32"/>
      <c r="L13" s="31"/>
      <c r="M13" s="31"/>
      <c r="N13" s="31"/>
      <c r="O13" s="31"/>
      <c r="P13" s="31"/>
      <c r="Q13" s="31"/>
      <c r="R13" s="32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</row>
    <row r="14" spans="1:49" x14ac:dyDescent="0.25">
      <c r="B14" s="34" t="s">
        <v>221</v>
      </c>
      <c r="C14" s="31" t="s">
        <v>212</v>
      </c>
      <c r="D14" s="31">
        <v>0</v>
      </c>
      <c r="E14" s="31" t="str">
        <f t="array" ref="E14:AW14">TRANSPOSE('BIOLOGICAL RESULTS'!D18:D62)</f>
      </c>
      <c r="F14" s="31"/>
      <c r="G14" s="31"/>
      <c r="H14" s="31"/>
      <c r="I14" s="31"/>
      <c r="J14" s="31"/>
      <c r="K14" s="33"/>
      <c r="L14" s="31"/>
      <c r="M14" s="31"/>
      <c r="N14" s="31"/>
      <c r="O14" s="31"/>
      <c r="P14" s="31"/>
      <c r="Q14" s="31"/>
      <c r="R14" s="33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</row>
    <row r="15" spans="1:49" x14ac:dyDescent="0.25">
      <c r="B15" s="42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15.75" x14ac:dyDescent="0.25">
      <c r="B16" s="30" t="s">
        <v>222</v>
      </c>
      <c r="C16" s="31" t="s">
        <v>216</v>
      </c>
      <c r="D16" s="31" t="s">
        <v>217</v>
      </c>
      <c r="E16" s="31" t="str">
        <f t="array" ref="E16:AW16">TRANSPOSE('IC RESULTS'!A69:A113)</f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2:49" x14ac:dyDescent="0.25">
      <c r="B17" s="31" t="s">
        <v>177</v>
      </c>
      <c r="C17" s="31" t="s">
        <v>204</v>
      </c>
      <c r="D17" s="31">
        <v>1.5</v>
      </c>
      <c r="E17" s="45" t="str">
        <f t="array" ref="E17:AW17">TRANSPOSE('IC RESULTS'!C69:C113)</f>
      </c>
      <c r="F17" s="45"/>
      <c r="G17" s="45"/>
      <c r="H17" s="45"/>
      <c r="I17" s="45"/>
      <c r="J17" s="4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</row>
    <row r="18" spans="2:49" x14ac:dyDescent="0.25">
      <c r="B18" s="31" t="s">
        <v>178</v>
      </c>
      <c r="C18" s="31" t="s">
        <v>204</v>
      </c>
      <c r="D18" s="31" t="s">
        <v>512</v>
      </c>
      <c r="E18" s="45" t="str">
        <f t="array" ref="E18:AW18">TRANSPOSE('IC RESULTS'!D69:D113)</f>
      </c>
      <c r="F18" s="45"/>
      <c r="G18" s="45"/>
      <c r="H18" s="45"/>
      <c r="I18" s="45"/>
      <c r="J18" s="4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</row>
    <row r="19" spans="2:49" x14ac:dyDescent="0.25">
      <c r="B19" s="31" t="s">
        <v>179</v>
      </c>
      <c r="C19" s="31" t="s">
        <v>204</v>
      </c>
      <c r="D19" s="31">
        <v>3</v>
      </c>
      <c r="E19" s="45" t="str">
        <f t="array" ref="E19:AW19">TRANSPOSE('IC RESULTS'!E69:E113)</f>
      </c>
      <c r="F19" s="45"/>
      <c r="G19" s="45"/>
      <c r="H19" s="45"/>
      <c r="I19" s="45"/>
      <c r="J19" s="4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</row>
    <row r="20" spans="2:49" x14ac:dyDescent="0.25">
      <c r="B20" s="31" t="s">
        <v>180</v>
      </c>
      <c r="C20" s="31" t="s">
        <v>204</v>
      </c>
      <c r="D20" s="31" t="s">
        <v>223</v>
      </c>
      <c r="E20" s="45" t="str">
        <f t="array" ref="E20:AW20">TRANSPOSE('IC RESULTS'!F69:F113)</f>
      </c>
      <c r="F20" s="45"/>
      <c r="G20" s="45"/>
      <c r="H20" s="45"/>
      <c r="I20" s="45"/>
      <c r="J20" s="4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</row>
    <row r="21" spans="2:49" x14ac:dyDescent="0.25">
      <c r="B21" s="31" t="s">
        <v>181</v>
      </c>
      <c r="C21" s="31" t="s">
        <v>204</v>
      </c>
      <c r="D21" s="31" t="s">
        <v>219</v>
      </c>
      <c r="E21" s="45" t="str">
        <f t="array" ref="E21:AW21">TRANSPOSE('IC RESULTS'!G69:G113)</f>
      </c>
      <c r="F21" s="45"/>
      <c r="G21" s="45"/>
      <c r="H21" s="45"/>
      <c r="I21" s="45"/>
      <c r="J21" s="4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</row>
    <row r="22" spans="2:49" x14ac:dyDescent="0.25">
      <c r="B22" s="31" t="s">
        <v>182</v>
      </c>
      <c r="C22" s="31" t="s">
        <v>204</v>
      </c>
      <c r="D22" s="31">
        <v>45</v>
      </c>
      <c r="E22" s="45" t="str">
        <f t="array" ref="E22:AW22">TRANSPOSE('IC RESULTS'!H69:H113)</f>
      </c>
      <c r="F22" s="45"/>
      <c r="G22" s="45"/>
      <c r="H22" s="45"/>
      <c r="I22" s="45"/>
      <c r="J22" s="4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</row>
    <row r="23" spans="2:49" x14ac:dyDescent="0.25">
      <c r="B23" s="31" t="s">
        <v>183</v>
      </c>
      <c r="C23" s="31" t="s">
        <v>204</v>
      </c>
      <c r="D23" s="31" t="s">
        <v>219</v>
      </c>
      <c r="E23" s="45" t="str">
        <f t="array" ref="E23:AW23">TRANSPOSE('IC RESULTS'!I69:I113)</f>
      </c>
      <c r="F23" s="45"/>
      <c r="G23" s="45"/>
      <c r="H23" s="45"/>
      <c r="I23" s="45"/>
      <c r="J23" s="4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</row>
    <row r="24" spans="2:49" x14ac:dyDescent="0.25">
      <c r="B24" s="42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2:49" ht="15.75" x14ac:dyDescent="0.25">
      <c r="B25" s="30" t="s">
        <v>224</v>
      </c>
      <c r="C25" s="31" t="s">
        <v>216</v>
      </c>
      <c r="D25" s="31" t="s">
        <v>217</v>
      </c>
      <c r="E25" s="31" t="str">
        <f t="array" ref="E25:AW25">TRANSPOSE('ICPOES RESULTS'!A70:A114)</f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2:49" x14ac:dyDescent="0.25">
      <c r="B26" s="31" t="s">
        <v>315</v>
      </c>
      <c r="C26" s="31" t="str">
        <f>CODES!$A$17</f>
      </c>
      <c r="D26" s="31" t="str">
        <f>CODES!B65</f>
      </c>
      <c r="E26" s="31" t="str" cm="1">
        <f t="array" ref="E26:AW26">TRANSPOSE('ICPOES RESULTS'!C70:C114)</f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2:49" x14ac:dyDescent="0.25">
      <c r="B27" s="31" t="s">
        <v>225</v>
      </c>
      <c r="C27" s="31" t="str">
        <f>CODES!$A$17</f>
      </c>
      <c r="D27" s="31" t="str">
        <f>CODES!B66</f>
      </c>
      <c r="E27" s="31" t="str" cm="1">
        <f t="array" ref="E27:AW27">TRANSPOSE('ICPOES RESULTS'!E70:E114)</f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spans="2:49" s="64" customFormat="1" x14ac:dyDescent="0.25">
      <c r="B28" s="46" t="s">
        <v>226</v>
      </c>
      <c r="C28" s="31" t="str">
        <f>CODES!$A$17</f>
      </c>
      <c r="D28" s="31" t="str">
        <f>CODES!B67</f>
      </c>
      <c r="E28" s="31" t="str" cm="1">
        <f t="array" ref="E28:AW28">TRANSPOSE('ICPOES RESULTS'!F70:F114)</f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spans="2:49" x14ac:dyDescent="0.25">
      <c r="B29" s="31" t="s">
        <v>227</v>
      </c>
      <c r="C29" s="31" t="str">
        <f>CODES!$A$17</f>
      </c>
      <c r="D29" s="31">
        <f>CODES!B68</f>
      </c>
      <c r="E29" s="31" cm="1">
        <f t="array" ref="E29:AW29">TRANSPOSE('ICPOES RESULTS'!I70:I114)</f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</row>
    <row r="30" spans="2:49" x14ac:dyDescent="0.25">
      <c r="B30" s="31" t="s">
        <v>228</v>
      </c>
      <c r="C30" s="31" t="str">
        <f>CODES!$A$17</f>
      </c>
      <c r="D30" s="31">
        <f>CODES!B69</f>
      </c>
      <c r="E30" s="31" cm="1">
        <f t="array" ref="E30:AW30">TRANSPOSE('ICPOES RESULTS'!K70:K114)</f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</row>
    <row r="31" spans="2:49" x14ac:dyDescent="0.25">
      <c r="B31" s="31" t="s">
        <v>309</v>
      </c>
      <c r="C31" s="31" t="str">
        <f>CODES!$A$17</f>
      </c>
      <c r="D31" s="31" t="str">
        <f>CODES!B70</f>
      </c>
      <c r="E31" s="31" t="str" cm="1">
        <f t="array" ref="E31:AW31">TRANSPOSE('ICPOES RESULTS'!M70:M114)</f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</row>
    <row r="32" spans="2:49" x14ac:dyDescent="0.25">
      <c r="B32" s="31" t="s">
        <v>229</v>
      </c>
      <c r="C32" s="31" t="str">
        <f>CODES!$A$17</f>
      </c>
      <c r="D32" s="31" t="str">
        <f>CODES!B71</f>
      </c>
      <c r="E32" s="31" cm="1">
        <f t="array" ref="E32:AW32">TRANSPOSE('ICPOES RESULTS'!P70:P114)</f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</row>
    <row r="33" spans="2:49" x14ac:dyDescent="0.25">
      <c r="B33" s="31" t="s">
        <v>230</v>
      </c>
      <c r="C33" s="31" t="str">
        <f>CODES!$A$17</f>
      </c>
      <c r="D33" s="31">
        <f>CODES!B72</f>
      </c>
      <c r="E33" s="31" t="str" cm="1">
        <f t="array" ref="E33:AW33">TRANSPOSE('ICPOES RESULTS'!R70:R114)</f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 spans="2:49" x14ac:dyDescent="0.25">
      <c r="B34" s="31" t="s">
        <v>316</v>
      </c>
      <c r="C34" s="31" t="str">
        <f>CODES!$A$17</f>
      </c>
      <c r="D34" s="31" t="str">
        <f>CODES!B73</f>
      </c>
      <c r="E34" s="31" t="str" cm="1">
        <f t="array" ref="E34:AW34">TRANSPOSE('ICPOES RESULTS'!T70:T114)</f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 spans="2:49" x14ac:dyDescent="0.25">
      <c r="B35" s="31" t="s">
        <v>231</v>
      </c>
      <c r="C35" s="31" t="str">
        <f>CODES!$A$17</f>
      </c>
      <c r="D35" s="31" t="str">
        <f>CODES!B74</f>
      </c>
      <c r="E35" s="31" t="str" cm="1">
        <f t="array" ref="E35:AW35">TRANSPOSE('ICPOES RESULTS'!V70:V114)</f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 spans="2:49" x14ac:dyDescent="0.25">
      <c r="B36" s="31" t="s">
        <v>232</v>
      </c>
      <c r="C36" s="31" t="str">
        <f>CODES!$A$17</f>
      </c>
      <c r="D36" s="31">
        <f>CODES!B75</f>
      </c>
      <c r="E36" s="31" cm="1">
        <f t="array" ref="E36:AW36">TRANSPOSE('ICPOES RESULTS'!Y70:Y114)</f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</row>
    <row r="37" spans="2:49" x14ac:dyDescent="0.25">
      <c r="B37" s="31" t="s">
        <v>233</v>
      </c>
      <c r="C37" s="31" t="str">
        <f>CODES!$A$17</f>
      </c>
      <c r="D37" s="31" t="str">
        <f>CODES!B76</f>
      </c>
      <c r="E37" s="31" cm="1">
        <f t="array" ref="E37:AW37">TRANSPOSE('ICPOES RESULTS'!Z70:Z114)</f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</row>
    <row r="38" spans="2:49" x14ac:dyDescent="0.25">
      <c r="B38" s="31" t="s">
        <v>317</v>
      </c>
      <c r="C38" s="31" t="str">
        <f>CODES!$A$17</f>
      </c>
      <c r="D38" s="31" t="str">
        <f>CODES!B77</f>
      </c>
      <c r="E38" s="31" t="str" cm="1">
        <f t="array" ref="E38:AW38">TRANSPOSE('ICPOES RESULTS'!AB70:AB114)</f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</row>
    <row r="39" spans="2:49" x14ac:dyDescent="0.25">
      <c r="B39" s="31" t="s">
        <v>318</v>
      </c>
      <c r="C39" s="31" t="str">
        <f>CODES!$A$17</f>
      </c>
      <c r="D39" s="31" t="str">
        <f>CODES!B78</f>
      </c>
      <c r="E39" s="31" t="str" cm="1">
        <f t="array" ref="E39:AW39">TRANSPOSE('ICPOES RESULTS'!AD70:AD114)</f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</row>
    <row r="40" spans="2:49" x14ac:dyDescent="0.25">
      <c r="B40" s="31" t="s">
        <v>319</v>
      </c>
      <c r="C40" s="31" t="str">
        <f>CODES!$A$17</f>
      </c>
      <c r="D40" s="31" t="str">
        <f>CODES!B79</f>
      </c>
      <c r="E40" s="31" t="str" cm="1">
        <f t="array" ref="E40:AW40">TRANSPOSE('ICPOES RESULTS'!AF70:AF114)</f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</row>
    <row r="41" spans="2:49" x14ac:dyDescent="0.25">
      <c r="B41" s="31" t="s">
        <v>234</v>
      </c>
      <c r="C41" s="31" t="str">
        <f>CODES!$A$17</f>
      </c>
      <c r="D41" s="31" t="str">
        <f>CODES!B80</f>
      </c>
      <c r="E41" s="31" cm="1">
        <f t="array" ref="E41:AW41">TRANSPOSE('ICPOES RESULTS'!AH70:AH114)</f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</row>
    <row r="42" spans="2:49" x14ac:dyDescent="0.25">
      <c r="B42" s="31" t="s">
        <v>320</v>
      </c>
      <c r="C42" s="31" t="str">
        <f>CODES!$A$17</f>
      </c>
      <c r="D42" s="31" t="str">
        <f>CODES!B81</f>
      </c>
      <c r="E42" s="31" t="str" cm="1">
        <f t="array" ref="E42:AW42">TRANSPOSE('ICPOES RESULTS'!AI70:AI114)</f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2:49" x14ac:dyDescent="0.25">
      <c r="B43" s="31" t="s">
        <v>321</v>
      </c>
      <c r="C43" s="31" t="str">
        <f>CODES!$A$17</f>
      </c>
      <c r="D43" s="31" t="str">
        <f>CODES!B82</f>
      </c>
      <c r="E43" s="31" t="str" cm="1">
        <f t="array" ref="E43:AW43">TRANSPOSE('ICPOES RESULTS'!AL70:AL114)</f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</row>
    <row r="44" spans="2:49" x14ac:dyDescent="0.25">
      <c r="B44" s="31" t="s">
        <v>322</v>
      </c>
      <c r="C44" s="31" t="str">
        <f>CODES!$A$17</f>
      </c>
      <c r="D44" s="31" t="str">
        <f>CODES!B83</f>
      </c>
      <c r="E44" s="31" t="str" cm="1">
        <f t="array" ref="E44:AW44">TRANSPOSE('ICPOES RESULTS'!AN70:AN114)</f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</row>
    <row r="45" spans="2:49" x14ac:dyDescent="0.25">
      <c r="B45" s="31" t="s">
        <v>235</v>
      </c>
      <c r="C45" s="31" t="str">
        <f>CODES!$A$16</f>
      </c>
      <c r="D45" s="31">
        <f>CODES!B84</f>
      </c>
      <c r="E45" s="31" t="str" cm="1">
        <f t="array" ref="E45:AW45">TRANSPOSE('ICPOES RESULTS'!AP70:AP114)</f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</row>
    <row r="46" spans="2:49" x14ac:dyDescent="0.25">
      <c r="B46" s="31" t="s">
        <v>323</v>
      </c>
      <c r="C46" s="31" t="str">
        <f>CODES!$A$17</f>
      </c>
      <c r="D46" s="31" t="str">
        <f>CODES!B85</f>
      </c>
      <c r="E46" s="31" t="str" cm="1">
        <f t="array" ref="E46:AW46">TRANSPOSE('ICPOES RESULTS'!AR70:AR114)</f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</row>
    <row r="47" spans="2:49" x14ac:dyDescent="0.25">
      <c r="B47" s="31" t="s">
        <v>236</v>
      </c>
      <c r="C47" s="31" t="str">
        <f>CODES!$A$17</f>
      </c>
      <c r="D47" s="31" t="str">
        <f>CODES!B86</f>
      </c>
      <c r="E47" s="31" cm="1">
        <f t="array" ref="E47:AW47">TRANSPOSE('ICPOES RESULTS'!AS70:AS114)</f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</row>
    <row r="48" spans="2:49" x14ac:dyDescent="0.25">
      <c r="B48" s="31" t="s">
        <v>324</v>
      </c>
      <c r="C48" s="31" t="str">
        <f>CODES!$A$17</f>
      </c>
      <c r="D48" s="31" t="str">
        <f>CODES!B87</f>
      </c>
      <c r="E48" s="31" cm="1">
        <f t="array" ref="E48:AW48">TRANSPOSE('ICPOES RESULTS'!AT70:AT114)</f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</row>
    <row r="49" spans="2:49" x14ac:dyDescent="0.25">
      <c r="B49" s="31" t="s">
        <v>325</v>
      </c>
      <c r="C49" s="31" t="str">
        <f>CODES!$A$17</f>
      </c>
      <c r="D49" s="31" t="str">
        <f>CODES!B88</f>
      </c>
      <c r="E49" s="31" t="str" cm="1">
        <f t="array" ref="E49:AW49">TRANSPOSE('ICPOES RESULTS'!AX70:AX114)</f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</row>
    <row r="50" spans="2:49" x14ac:dyDescent="0.25">
      <c r="B50" s="31" t="s">
        <v>237</v>
      </c>
      <c r="C50" s="31" t="str">
        <f>CODES!$A$17</f>
      </c>
      <c r="D50" s="31" t="str">
        <f>CODES!B89</f>
      </c>
      <c r="E50" s="31" cm="1">
        <f t="array" ref="E50:AW50">TRANSPOSE('ICPOES RESULTS'!AZ70:AZ114)</f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</row>
    <row r="51" spans="2:49" x14ac:dyDescent="0.25">
      <c r="B51" s="31" t="s">
        <v>238</v>
      </c>
      <c r="C51" s="31" t="str">
        <f>CODES!$A$17</f>
      </c>
      <c r="D51" s="31" t="str">
        <f>CODES!B90</f>
      </c>
      <c r="E51" s="31" cm="1">
        <f t="array" ref="E51:AW51">TRANSPOSE('ICPOES RESULTS'!BB70:BB114)</f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</row>
    <row r="52" spans="2:49" x14ac:dyDescent="0.25">
      <c r="B52" s="31" t="s">
        <v>239</v>
      </c>
      <c r="C52" s="31" t="str">
        <f>CODES!$A$17</f>
      </c>
      <c r="D52" s="31" t="str">
        <f>CODES!B91</f>
      </c>
      <c r="E52" s="31" t="str" cm="1">
        <f t="array" ref="E52:AW52">TRANSPOSE('ICPOES RESULTS'!BD70:BD114)</f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spans="2:49" x14ac:dyDescent="0.25">
      <c r="B53" s="31" t="s">
        <v>240</v>
      </c>
      <c r="C53" s="31" t="str">
        <f>CODES!$A$17</f>
      </c>
      <c r="D53" s="31" t="str">
        <f>CODES!B92</f>
      </c>
      <c r="E53" s="31" cm="1">
        <f t="array" ref="E53:AW53">TRANSPOSE('ICPOES RESULTS'!BG70:BG114)</f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</row>
    <row r="54" spans="2:49" x14ac:dyDescent="0.25">
      <c r="B54" s="31" t="s">
        <v>326</v>
      </c>
      <c r="C54" s="31" t="str">
        <f>CODES!$A$17</f>
      </c>
      <c r="D54" s="31" t="str">
        <f>CODES!B93</f>
      </c>
      <c r="E54" s="31" t="str" cm="1">
        <f t="array" ref="E54:AW54">TRANSPOSE('ICPOES RESULTS'!BI70:BI114)</f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</row>
    <row r="55" spans="2:49" x14ac:dyDescent="0.25">
      <c r="B55" s="31" t="s">
        <v>327</v>
      </c>
      <c r="C55" s="31" t="str">
        <f>CODES!$A$17</f>
      </c>
      <c r="D55" s="31" t="str">
        <f>CODES!B94</f>
      </c>
      <c r="E55" s="31" t="str" cm="1">
        <f t="array" ref="E55:AW55">TRANSPOSE('ICPOES RESULTS'!BJ70:BJ114)</f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</row>
    <row r="56" spans="2:49" x14ac:dyDescent="0.25">
      <c r="B56" s="31" t="s">
        <v>242</v>
      </c>
      <c r="C56" s="31" t="str">
        <f>CODES!$A$17</f>
      </c>
      <c r="D56" s="31" t="str">
        <f>CODES!B95</f>
      </c>
      <c r="E56" s="31" cm="1">
        <f t="array" ref="E56:AW56">TRANSPOSE('ICPOES RESULTS'!BM70:BM114)</f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</row>
    <row r="57" spans="2:49" x14ac:dyDescent="0.25">
      <c r="B57" s="31" t="s">
        <v>243</v>
      </c>
      <c r="C57" s="31" t="str">
        <f>CODES!$A$17</f>
      </c>
      <c r="D57" s="31" t="str">
        <f>CODES!B96</f>
      </c>
      <c r="E57" s="31" t="str" cm="1">
        <f t="array" ref="E57:AW57">TRANSPOSE('ICPOES RESULTS'!BP70:BP114)</f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</row>
    <row r="58" spans="2:49" x14ac:dyDescent="0.25">
      <c r="B58" s="31" t="s">
        <v>244</v>
      </c>
      <c r="C58" s="31" t="str">
        <f>CODES!$A$17</f>
      </c>
      <c r="D58" s="31" t="str">
        <f>CODES!B97</f>
      </c>
      <c r="E58" s="31" t="str" cm="1">
        <f t="array" ref="E58:AW58">TRANSPOSE('ICPOES RESULTS'!BQ70:BQ114)</f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</row>
    <row r="59" spans="2:49" x14ac:dyDescent="0.25">
      <c r="B59" s="31" t="s">
        <v>328</v>
      </c>
      <c r="C59" s="31" t="str">
        <f>CODES!$A$17</f>
      </c>
      <c r="D59" s="31" t="str">
        <f>CODES!B98</f>
      </c>
      <c r="E59" s="31" t="str" cm="1">
        <f t="array" ref="E59:AW59">TRANSPOSE('ICPOES RESULTS'!BR70:BR114)</f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</row>
    <row r="60" spans="2:49" x14ac:dyDescent="0.25">
      <c r="B60" s="31" t="s">
        <v>245</v>
      </c>
      <c r="C60" s="31" t="str">
        <f>CODES!$A$17</f>
      </c>
      <c r="D60" s="31" t="str">
        <f>CODES!B99</f>
      </c>
      <c r="E60" s="31" cm="1">
        <f t="array" ref="E60:AW60">TRANSPOSE('ICPOES RESULTS'!BT70:BT114)</f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</row>
    <row r="61" spans="2:49" x14ac:dyDescent="0.25">
      <c r="B61" s="31" t="s">
        <v>246</v>
      </c>
      <c r="C61" s="31" t="str">
        <f>CODES!$A$17</f>
      </c>
      <c r="D61" s="31">
        <f>CODES!B100</f>
      </c>
      <c r="E61" s="31" t="str" cm="1">
        <f t="array" ref="E61:AW61">TRANSPOSE('ICPOES RESULTS'!BU70:BU114)</f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</row>
    <row r="62" spans="2:49" x14ac:dyDescent="0.25">
      <c r="B62" s="31" t="s">
        <v>247</v>
      </c>
      <c r="C62" s="31" t="str">
        <f>CODES!$A$17</f>
      </c>
      <c r="D62" s="31">
        <f>CODES!B101</f>
      </c>
      <c r="E62" s="31" t="str" cm="1">
        <f t="array" ref="E62:AW62">TRANSPOSE('ICPOES RESULTS'!BY70:BY114)</f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</row>
    <row r="63" spans="2:49" x14ac:dyDescent="0.25">
      <c r="B63" s="31" t="s">
        <v>329</v>
      </c>
      <c r="C63" s="31" t="str">
        <f>CODES!$A$17</f>
      </c>
      <c r="D63" s="31" t="str">
        <f>CODES!B102</f>
      </c>
      <c r="E63" s="31" t="str" cm="1">
        <f t="array" ref="E63:AW63">TRANSPOSE('ICPOES RESULTS'!CA70:CA114)</f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</row>
    <row r="64" spans="2:49" x14ac:dyDescent="0.25">
      <c r="B64" s="31" t="s">
        <v>330</v>
      </c>
      <c r="C64" s="31" t="str">
        <f>CODES!$A$17</f>
      </c>
      <c r="D64" s="31" t="str">
        <f>CODES!B103</f>
      </c>
      <c r="E64" s="31" t="str" cm="1">
        <f t="array" ref="E64:AW64">TRANSPOSE('ICPOES RESULTS'!CC70:CC114)</f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</row>
    <row r="65" spans="2:49" x14ac:dyDescent="0.25">
      <c r="B65" s="31" t="s">
        <v>248</v>
      </c>
      <c r="C65" s="31" t="str">
        <f>CODES!$A$17</f>
      </c>
      <c r="D65" s="31" t="str">
        <f>CODES!B104</f>
      </c>
      <c r="E65" s="31" t="str" cm="1">
        <f t="array" ref="E65:AW65">TRANSPOSE('ICPOES RESULTS'!CE70:CE114)</f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</row>
    <row r="66" spans="2:49" x14ac:dyDescent="0.25">
      <c r="B66" s="31" t="s">
        <v>331</v>
      </c>
      <c r="C66" s="31" t="str">
        <f>CODES!$A$17</f>
      </c>
      <c r="D66" s="31">
        <f>CODES!B105</f>
      </c>
      <c r="E66" s="31" cm="1">
        <f t="array" ref="E66:AW66">TRANSPOSE('ICPOES RESULTS'!CG70:CG114)</f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</row>
    <row r="67" spans="2:49" x14ac:dyDescent="0.25">
      <c r="B67" s="31" t="s">
        <v>332</v>
      </c>
      <c r="C67" s="31" t="str">
        <f>CODES!$A$17</f>
      </c>
      <c r="D67" s="31" t="str">
        <f>CODES!B106</f>
      </c>
      <c r="E67" s="31" t="str" cm="1">
        <f t="array" ref="E67:AW67">TRANSPOSE('ICPOES RESULTS'!CJ70:CJ114)</f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</row>
    <row r="68" spans="2:49" x14ac:dyDescent="0.25">
      <c r="B68" s="31" t="s">
        <v>333</v>
      </c>
      <c r="C68" s="31" t="str">
        <f>CODES!$A$17</f>
      </c>
      <c r="D68" s="31" t="str">
        <f>CODES!B107</f>
      </c>
      <c r="E68" s="31" t="str" cm="1">
        <f t="array" ref="E68:AW68">TRANSPOSE('ICPOES RESULTS'!CL70:CL114)</f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</row>
    <row r="69" spans="2:49" x14ac:dyDescent="0.25">
      <c r="B69" s="31" t="s">
        <v>308</v>
      </c>
      <c r="C69" s="31" t="str">
        <f>CODES!$A$17</f>
      </c>
      <c r="D69" s="31" t="str">
        <f>CODES!B108</f>
      </c>
      <c r="E69" s="31" t="str" cm="1">
        <f t="array" ref="E69:AW69">TRANSPOSE('ICPOES RESULTS'!CN70:CN114)</f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</row>
    <row r="70" spans="2:49" x14ac:dyDescent="0.25">
      <c r="B70" s="31" t="s">
        <v>334</v>
      </c>
      <c r="C70" s="31" t="str">
        <f>CODES!$A$17</f>
      </c>
      <c r="D70" s="31" t="str">
        <f>CODES!B109</f>
      </c>
      <c r="E70" s="31" t="str" cm="1">
        <f t="array" ref="E70:AW70">TRANSPOSE('ICPOES RESULTS'!CO70:CO114)</f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</row>
    <row r="71" spans="2:49" x14ac:dyDescent="0.25">
      <c r="B71" s="31" t="s">
        <v>307</v>
      </c>
      <c r="C71" s="31" t="str">
        <f>CODES!$A$17</f>
      </c>
      <c r="D71" s="31" t="str">
        <f>CODES!B110</f>
      </c>
      <c r="E71" s="31" t="str" cm="1">
        <f t="array" ref="E71:AW71">TRANSPOSE('ICPOES RESULTS'!CQ70:CQ114)</f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</row>
    <row r="72" spans="2:49" x14ac:dyDescent="0.25">
      <c r="B72" s="31" t="s">
        <v>335</v>
      </c>
      <c r="C72" s="31" t="str">
        <f>CODES!$A$17</f>
      </c>
      <c r="D72" s="31" t="str">
        <f>CODES!B111</f>
      </c>
      <c r="E72" s="31" t="str" cm="1">
        <f t="array" ref="E72:AW72">TRANSPOSE('ICPOES RESULTS'!CT70:CT114)</f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</row>
    <row r="73" spans="2:49" x14ac:dyDescent="0.25">
      <c r="B73" s="31" t="s">
        <v>249</v>
      </c>
      <c r="C73" s="31" t="str">
        <f>CODES!$A$17</f>
      </c>
      <c r="D73" s="31">
        <f>CODES!B112</f>
      </c>
      <c r="E73" s="31" t="str" cm="1">
        <f t="array" ref="E73:AW73">TRANSPOSE('ICPOES RESULTS'!CW70:CW114)</f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</row>
    <row r="74" spans="2:49" x14ac:dyDescent="0.25">
      <c r="B74" s="31" t="s">
        <v>250</v>
      </c>
      <c r="C74" s="31" t="str">
        <f>CODES!$A$17</f>
      </c>
      <c r="D74" s="31" t="str">
        <f>CODES!B113</f>
      </c>
      <c r="E74" s="31" t="str" cm="1">
        <f t="array" ref="E74:AW74">TRANSPOSE('ICPOES RESULTS'!CX70:CX114)</f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</row>
    <row r="75" spans="2:49" x14ac:dyDescent="0.25">
      <c r="B75" s="31" t="s">
        <v>336</v>
      </c>
      <c r="C75" s="31" t="str">
        <f>CODES!$A$17</f>
      </c>
      <c r="D75" s="31" t="str">
        <f>CODES!B114</f>
      </c>
      <c r="E75" s="31" t="str" cm="1">
        <f t="array" ref="E75:AW75">TRANSPOSE('ICPOES RESULTS'!CZ70:CZ114)</f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</row>
    <row r="76" spans="2:49" x14ac:dyDescent="0.25">
      <c r="B76" s="31" t="s">
        <v>337</v>
      </c>
      <c r="C76" s="31" t="str">
        <f>CODES!$A$17</f>
      </c>
      <c r="D76" s="31" t="str">
        <f>CODES!B115</f>
      </c>
      <c r="E76" s="31" t="str" cm="1">
        <f t="array" ref="E76:AW76">TRANSPOSE('ICPOES RESULTS'!DD70:DD114)</f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</row>
    <row r="77" spans="2:49" x14ac:dyDescent="0.25">
      <c r="B77" s="31" t="s">
        <v>251</v>
      </c>
      <c r="C77" s="31" t="str">
        <f>CODES!$A$17</f>
      </c>
      <c r="D77" s="31" t="str">
        <f>CODES!B116</f>
      </c>
      <c r="E77" s="31" cm="1">
        <f t="array" ref="E77:AW77">TRANSPOSE('ICPOES RESULTS'!DG70:DG114)</f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2:49" x14ac:dyDescent="0.25">
      <c r="B78" s="31" t="s">
        <v>338</v>
      </c>
      <c r="C78" s="31" t="str">
        <f>CODES!$A$17</f>
      </c>
      <c r="D78" s="31" t="str">
        <f>CODES!B117</f>
      </c>
      <c r="E78" s="31" t="str" cm="1">
        <f t="array" ref="E78:AW78">TRANSPOSE('ICPOES RESULTS'!DI70:DI114)</f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</row>
    <row r="79" spans="2:49" x14ac:dyDescent="0.25">
      <c r="B79" s="42"/>
      <c r="C79" s="42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</row>
    <row r="80" spans="2:49" ht="15.75" x14ac:dyDescent="0.25">
      <c r="B80" s="30" t="s">
        <v>253</v>
      </c>
      <c r="C80" s="31" t="s">
        <v>216</v>
      </c>
      <c r="D80" s="31" t="s">
        <v>217</v>
      </c>
      <c r="E80" s="31" t="str">
        <f t="array" ref="E80:AW80">TRANSPOSE('PHYSICAL RESULTS'!A18:A62)</f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</row>
    <row r="81" spans="2:49" x14ac:dyDescent="0.25">
      <c r="B81" s="31" t="s">
        <v>254</v>
      </c>
      <c r="C81" s="31" t="s">
        <v>213</v>
      </c>
      <c r="D81" s="31" t="s">
        <v>170</v>
      </c>
      <c r="E81" s="31" t="str">
        <f t="array" ref="E81:AW81">TRANSPOSE('BIOLOGICAL RESULTS'!E18:E62)</f>
      </c>
      <c r="F81" s="31"/>
      <c r="G81" s="31"/>
      <c r="H81" s="31"/>
      <c r="I81" s="31"/>
      <c r="J81" s="31"/>
      <c r="K81" s="31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</row>
    <row r="82" spans="2:49" x14ac:dyDescent="0.25">
      <c r="B82" s="31" t="s">
        <v>255</v>
      </c>
      <c r="C82" s="31" t="s">
        <v>204</v>
      </c>
      <c r="D82" s="31" t="s">
        <v>170</v>
      </c>
      <c r="E82" s="45" t="str">
        <f t="array" ref="E82:AW82">TRANSPOSE('PHYSICAL RESULTS'!F18:F62)</f>
      </c>
      <c r="F82" s="45"/>
      <c r="G82" s="45"/>
      <c r="H82" s="45"/>
      <c r="I82" s="45"/>
      <c r="J82" s="45"/>
      <c r="K82" s="4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</row>
    <row r="83" spans="2:49" x14ac:dyDescent="0.25">
      <c r="B83" s="31" t="s">
        <v>193</v>
      </c>
      <c r="C83" s="31" t="s">
        <v>205</v>
      </c>
      <c r="D83" s="31" t="s">
        <v>219</v>
      </c>
      <c r="E83" s="45" t="str">
        <f t="array" ref="E83:AW83">TRANSPOSE('PHYSICAL RESULTS'!H18:H62)</f>
      </c>
      <c r="F83" s="45"/>
      <c r="G83" s="45"/>
      <c r="H83" s="45"/>
      <c r="I83" s="45"/>
      <c r="J83" s="45"/>
      <c r="K83" s="4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</row>
    <row r="84" spans="2:49" x14ac:dyDescent="0.25">
      <c r="B84" s="31" t="s">
        <v>200</v>
      </c>
      <c r="C84" s="31"/>
      <c r="D84" s="31" t="s">
        <v>219</v>
      </c>
      <c r="E84" s="46" t="str">
        <f t="array" ref="E84:AW84">TRANSPOSE('PHYSICAL RESULTS'!O18:O62)</f>
      </c>
      <c r="F84" s="46"/>
      <c r="G84" s="46"/>
      <c r="H84" s="46"/>
      <c r="I84" s="46"/>
      <c r="J84" s="46"/>
      <c r="K84" s="46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</row>
    <row r="85" spans="2:49" x14ac:dyDescent="0.25">
      <c r="B85" s="31" t="s">
        <v>198</v>
      </c>
      <c r="C85" s="31" t="s">
        <v>204</v>
      </c>
      <c r="D85" s="31" t="s">
        <v>219</v>
      </c>
      <c r="E85" s="46" t="str">
        <f t="array" ref="E85:AW85">TRANSPOSE('PHYSICAL RESULTS'!M18:M62)</f>
      </c>
      <c r="F85" s="46"/>
      <c r="G85" s="46"/>
      <c r="H85" s="46"/>
      <c r="I85" s="46"/>
      <c r="J85" s="46"/>
      <c r="K85" s="46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</row>
    <row r="86" spans="2:49" x14ac:dyDescent="0.25">
      <c r="B86" s="31" t="s">
        <v>194</v>
      </c>
      <c r="C86" s="31" t="s">
        <v>204</v>
      </c>
      <c r="D86" s="31" t="s">
        <v>219</v>
      </c>
      <c r="E86" s="46" t="str">
        <f t="array" ref="E86:AW86">TRANSPOSE('PHYSICAL RESULTS'!I18:I62)</f>
      </c>
      <c r="F86" s="46"/>
      <c r="G86" s="46"/>
      <c r="H86" s="46"/>
      <c r="I86" s="46"/>
      <c r="J86" s="46"/>
      <c r="K86" s="46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</row>
    <row r="87" spans="2:49" x14ac:dyDescent="0.25">
      <c r="B87" s="31" t="s">
        <v>195</v>
      </c>
      <c r="C87" s="31" t="s">
        <v>204</v>
      </c>
      <c r="D87" s="31" t="s">
        <v>223</v>
      </c>
      <c r="E87" s="45" t="str">
        <f t="array" ref="E87:AW87">TRANSPOSE('PHYSICAL RESULTS'!J18:J62)</f>
      </c>
      <c r="F87" s="45"/>
      <c r="G87" s="45"/>
      <c r="H87" s="45"/>
      <c r="I87" s="45"/>
      <c r="J87" s="45"/>
      <c r="K87" s="4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</row>
    <row r="88" spans="2:49" x14ac:dyDescent="0.25">
      <c r="B88" s="31" t="s">
        <v>256</v>
      </c>
      <c r="C88" s="31" t="s">
        <v>206</v>
      </c>
      <c r="D88" s="31" t="s">
        <v>257</v>
      </c>
      <c r="E88" s="47" t="str">
        <f t="array" ref="E88:AW88">TRANSPOSE('PHYSICAL RESULTS'!K18:K62)</f>
      </c>
      <c r="F88" s="47"/>
      <c r="G88" s="47"/>
      <c r="H88" s="47"/>
      <c r="I88" s="47"/>
      <c r="J88" s="47"/>
      <c r="K88" s="4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</row>
    <row r="89" spans="2:49" x14ac:dyDescent="0.25">
      <c r="B89" s="31" t="s">
        <v>201</v>
      </c>
      <c r="C89" s="31" t="s">
        <v>258</v>
      </c>
      <c r="D89" s="31" t="s">
        <v>259</v>
      </c>
      <c r="E89" s="31" t="str">
        <f t="array" ref="E89:AW89">TRANSPOSE('PHYSICAL RESULTS'!P18:P62)</f>
      </c>
      <c r="F89" s="31"/>
      <c r="G89" s="31"/>
      <c r="H89" s="31"/>
      <c r="I89" s="31"/>
      <c r="J89" s="31"/>
      <c r="K89" s="31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</row>
  </sheetData>
  <sheetProtection algorithmName="SHA-512" hashValue="O5fKpvtDV/yClVqy2blKUe+pT6xrL96rEzxkEHaCm/dFLhMBs5tYAR+XOSTxqVBtKmdFqVnkyhQO8pgODM+Cuw==" saltValue="X40WZ0golVIZowAVS1aowA==" spinCount="100000" sheet="1" objects="1" scenarios="1" formatCells="0" formatColumns="0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3ADF-9669-43F3-AAF5-2DFAB2544079}">
  <dimension ref="A1:AW56"/>
  <sheetViews>
    <sheetView workbookViewId="0">
      <selection activeCell="M3" sqref="M3"/>
    </sheetView>
  </sheetViews>
  <sheetFormatPr defaultRowHeight="15" x14ac:dyDescent="0.25"/>
  <cols>
    <col min="5" max="11" width="9.5703125" style="29" customWidth="1"/>
    <col min="12" max="49" width="9.28515625" style="29" customWidth="1"/>
  </cols>
  <sheetData>
    <row r="1" spans="1:49" x14ac:dyDescent="0.25">
      <c r="A1" s="44" t="s">
        <v>412</v>
      </c>
    </row>
    <row r="2" spans="1:49" x14ac:dyDescent="0.25">
      <c r="A2" s="12"/>
    </row>
    <row r="3" spans="1:49" x14ac:dyDescent="0.25">
      <c r="A3" s="2" t="str">
        <f>INSTRUCTIONS!A3</f>
      </c>
    </row>
    <row r="6" spans="1:49" ht="15.75" x14ac:dyDescent="0.25">
      <c r="B6" s="30" t="s">
        <v>215</v>
      </c>
      <c r="C6" s="31" t="s">
        <v>216</v>
      </c>
      <c r="D6" s="31" t="s">
        <v>217</v>
      </c>
      <c r="E6" s="31" t="str">
        <f t="array" ref="E6:AW6">TRANSPOSE('PHYSICAL RESULTS'!A18:A62)</f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B7" s="31" t="s">
        <v>189</v>
      </c>
      <c r="C7" s="31"/>
      <c r="D7" s="31" t="s">
        <v>511</v>
      </c>
      <c r="E7" s="46" t="str">
        <f t="array" ref="E7:AW7">TRANSPOSE('PHYSICAL RESULTS'!D18:D62)</f>
      </c>
      <c r="F7" s="46"/>
      <c r="G7" s="46"/>
      <c r="H7" s="46"/>
      <c r="I7" s="46"/>
      <c r="J7" s="46"/>
      <c r="K7" s="32"/>
      <c r="L7" s="46"/>
      <c r="M7" s="46"/>
      <c r="N7" s="46"/>
      <c r="O7" s="46"/>
      <c r="P7" s="46"/>
      <c r="Q7" s="46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spans="1:49" x14ac:dyDescent="0.25">
      <c r="B8" s="31" t="s">
        <v>218</v>
      </c>
      <c r="C8" s="31" t="s">
        <v>203</v>
      </c>
      <c r="D8" s="31" t="s">
        <v>219</v>
      </c>
      <c r="E8" s="47" t="str">
        <f t="array" ref="E8:AW8">TRANSPOSE('PHYSICAL RESULTS'!E18:E62)</f>
      </c>
      <c r="F8" s="47"/>
      <c r="G8" s="47"/>
      <c r="H8" s="47"/>
      <c r="I8" s="47"/>
      <c r="J8" s="47"/>
      <c r="K8" s="33"/>
      <c r="L8" s="47"/>
      <c r="M8" s="47"/>
      <c r="N8" s="47"/>
      <c r="O8" s="47"/>
      <c r="P8" s="47"/>
      <c r="Q8" s="47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</row>
    <row r="9" spans="1:49" x14ac:dyDescent="0.25">
      <c r="B9" s="31" t="s">
        <v>192</v>
      </c>
      <c r="C9" s="31" t="s">
        <v>463</v>
      </c>
      <c r="D9" s="31" t="s">
        <v>170</v>
      </c>
      <c r="E9" s="45">
        <f t="array" ref="E9:AW9">TRANSPOSE('PHYSICAL RESULTS'!G18:G62)</f>
      </c>
      <c r="F9" s="45"/>
      <c r="G9" s="45"/>
      <c r="H9" s="45"/>
      <c r="I9" s="45"/>
      <c r="J9" s="45"/>
      <c r="K9" s="45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</row>
    <row r="10" spans="1:49" x14ac:dyDescent="0.25">
      <c r="B10" s="31" t="s">
        <v>197</v>
      </c>
      <c r="C10" s="35" t="s">
        <v>207</v>
      </c>
      <c r="D10" s="35">
        <v>1</v>
      </c>
      <c r="E10" s="36">
        <f t="array" ref="E10:AW10">TRANSPOSE('PHYSICAL RESULTS'!L18:L62)</f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</row>
    <row r="11" spans="1:49" x14ac:dyDescent="0.25">
      <c r="B11" s="42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5.75" x14ac:dyDescent="0.25">
      <c r="B12" s="30" t="s">
        <v>220</v>
      </c>
      <c r="C12" s="31" t="s">
        <v>216</v>
      </c>
      <c r="D12" s="31" t="s">
        <v>217</v>
      </c>
      <c r="E12" s="31" t="str">
        <f t="array" ref="E12:AW12">TRANSPOSE('BIOLOGICAL RESULTS'!A18:A62)</f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pans="1:49" x14ac:dyDescent="0.25">
      <c r="B13" s="31" t="s">
        <v>210</v>
      </c>
      <c r="C13" s="31" t="s">
        <v>212</v>
      </c>
      <c r="D13" s="31">
        <v>0</v>
      </c>
      <c r="E13" s="31" t="str">
        <f t="array" ref="E13:AW13">TRANSPOSE('BIOLOGICAL RESULTS'!C18:C62)</f>
      </c>
      <c r="F13" s="31"/>
      <c r="G13" s="31"/>
      <c r="H13" s="31"/>
      <c r="I13" s="31"/>
      <c r="J13" s="31"/>
      <c r="K13" s="32"/>
      <c r="L13" s="31"/>
      <c r="M13" s="31"/>
      <c r="N13" s="31"/>
      <c r="O13" s="31"/>
      <c r="P13" s="31"/>
      <c r="Q13" s="31"/>
      <c r="R13" s="32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</row>
    <row r="14" spans="1:49" x14ac:dyDescent="0.25">
      <c r="B14" s="34" t="s">
        <v>221</v>
      </c>
      <c r="C14" s="31" t="s">
        <v>212</v>
      </c>
      <c r="D14" s="31">
        <v>0</v>
      </c>
      <c r="E14" s="31" t="str">
        <f t="array" ref="E14:AW14">TRANSPOSE('BIOLOGICAL RESULTS'!D18:D62)</f>
      </c>
      <c r="F14" s="31"/>
      <c r="G14" s="31"/>
      <c r="H14" s="31"/>
      <c r="I14" s="31"/>
      <c r="J14" s="31"/>
      <c r="K14" s="33"/>
      <c r="L14" s="31"/>
      <c r="M14" s="31"/>
      <c r="N14" s="31"/>
      <c r="O14" s="31"/>
      <c r="P14" s="31"/>
      <c r="Q14" s="31"/>
      <c r="R14" s="33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</row>
    <row r="15" spans="1:49" x14ac:dyDescent="0.25">
      <c r="B15" s="42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15.75" x14ac:dyDescent="0.25">
      <c r="B16" s="30" t="s">
        <v>222</v>
      </c>
      <c r="C16" s="31" t="s">
        <v>216</v>
      </c>
      <c r="D16" s="31" t="s">
        <v>217</v>
      </c>
      <c r="E16" s="31" t="str">
        <f t="array" ref="E16:AW16">TRANSPOSE('IC RESULTS'!A69:A113)</f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2:49" x14ac:dyDescent="0.25">
      <c r="B17" s="31" t="s">
        <v>177</v>
      </c>
      <c r="C17" s="31" t="s">
        <v>204</v>
      </c>
      <c r="D17" s="31">
        <v>1.5</v>
      </c>
      <c r="E17" s="45" t="str">
        <f t="array" ref="E17:AW17">TRANSPOSE('IC RESULTS'!C69:C113)</f>
      </c>
      <c r="F17" s="45"/>
      <c r="G17" s="45"/>
      <c r="H17" s="45"/>
      <c r="I17" s="45"/>
      <c r="J17" s="4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</row>
    <row r="18" spans="2:49" x14ac:dyDescent="0.25">
      <c r="B18" s="31" t="s">
        <v>178</v>
      </c>
      <c r="C18" s="31" t="s">
        <v>204</v>
      </c>
      <c r="D18" s="31" t="s">
        <v>512</v>
      </c>
      <c r="E18" s="45" t="str">
        <f t="array" ref="E18:AW18">TRANSPOSE('IC RESULTS'!D69:D113)</f>
      </c>
      <c r="F18" s="45"/>
      <c r="G18" s="45"/>
      <c r="H18" s="45"/>
      <c r="I18" s="45"/>
      <c r="J18" s="4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</row>
    <row r="19" spans="2:49" x14ac:dyDescent="0.25">
      <c r="B19" s="31" t="s">
        <v>179</v>
      </c>
      <c r="C19" s="31" t="s">
        <v>204</v>
      </c>
      <c r="D19" s="31">
        <v>3</v>
      </c>
      <c r="E19" s="45" t="str">
        <f t="array" ref="E19:AW19">TRANSPOSE('IC RESULTS'!E69:E113)</f>
      </c>
      <c r="F19" s="45"/>
      <c r="G19" s="45"/>
      <c r="H19" s="45"/>
      <c r="I19" s="45"/>
      <c r="J19" s="4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</row>
    <row r="20" spans="2:49" x14ac:dyDescent="0.25">
      <c r="B20" s="31" t="s">
        <v>180</v>
      </c>
      <c r="C20" s="31" t="s">
        <v>204</v>
      </c>
      <c r="D20" s="31" t="s">
        <v>223</v>
      </c>
      <c r="E20" s="45" t="str">
        <f t="array" ref="E20:AW20">TRANSPOSE('IC RESULTS'!F69:F113)</f>
      </c>
      <c r="F20" s="45"/>
      <c r="G20" s="45"/>
      <c r="H20" s="45"/>
      <c r="I20" s="45"/>
      <c r="J20" s="4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</row>
    <row r="21" spans="2:49" x14ac:dyDescent="0.25">
      <c r="B21" s="31" t="s">
        <v>181</v>
      </c>
      <c r="C21" s="31" t="s">
        <v>204</v>
      </c>
      <c r="D21" s="31" t="s">
        <v>219</v>
      </c>
      <c r="E21" s="45" t="str">
        <f t="array" ref="E21:AW21">TRANSPOSE('IC RESULTS'!G69:G113)</f>
      </c>
      <c r="F21" s="45"/>
      <c r="G21" s="45"/>
      <c r="H21" s="45"/>
      <c r="I21" s="45"/>
      <c r="J21" s="4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</row>
    <row r="22" spans="2:49" x14ac:dyDescent="0.25">
      <c r="B22" s="31" t="s">
        <v>182</v>
      </c>
      <c r="C22" s="31" t="s">
        <v>204</v>
      </c>
      <c r="D22" s="31">
        <v>45</v>
      </c>
      <c r="E22" s="45" t="str">
        <f t="array" ref="E22:AW22">TRANSPOSE('IC RESULTS'!H69:H113)</f>
      </c>
      <c r="F22" s="45"/>
      <c r="G22" s="45"/>
      <c r="H22" s="45"/>
      <c r="I22" s="45"/>
      <c r="J22" s="4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</row>
    <row r="23" spans="2:49" x14ac:dyDescent="0.25">
      <c r="B23" s="31" t="s">
        <v>183</v>
      </c>
      <c r="C23" s="31" t="s">
        <v>204</v>
      </c>
      <c r="D23" s="31" t="s">
        <v>219</v>
      </c>
      <c r="E23" s="45" t="str">
        <f t="array" ref="E23:AW23">TRANSPOSE('IC RESULTS'!I69:I113)</f>
      </c>
      <c r="F23" s="45"/>
      <c r="G23" s="45"/>
      <c r="H23" s="45"/>
      <c r="I23" s="45"/>
      <c r="J23" s="4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</row>
    <row r="24" spans="2:49" x14ac:dyDescent="0.25">
      <c r="B24" s="42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2:49" ht="15.75" x14ac:dyDescent="0.25">
      <c r="B25" s="30" t="s">
        <v>224</v>
      </c>
      <c r="C25" s="31" t="s">
        <v>216</v>
      </c>
      <c r="D25" s="31" t="s">
        <v>217</v>
      </c>
      <c r="E25" s="31" t="str" cm="1">
        <f t="array" ref="E25:AW25">TRANSPOSE('ICPMS RESULTS'!A69:A113)</f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2:49" s="65" customFormat="1" x14ac:dyDescent="0.25">
      <c r="B26" s="49" t="s">
        <v>309</v>
      </c>
      <c r="C26" s="49" t="str">
        <f>CODES!$A$17</f>
      </c>
      <c r="D26" s="49" t="str">
        <f>CODES!B70</f>
      </c>
      <c r="E26" s="49" t="str" cm="1">
        <f t="array" ref="E26:AW45">TRANSPOSE('ICPMS RESULTS'!C69:V113)</f>
      </c>
      <c r="F26" s="49"/>
      <c r="G26" s="49"/>
      <c r="H26" s="49"/>
      <c r="I26" s="49"/>
      <c r="J26" s="49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</row>
    <row r="27" spans="2:49" s="66" customFormat="1" x14ac:dyDescent="0.25">
      <c r="B27" s="48" t="s">
        <v>227</v>
      </c>
      <c r="C27" s="49" t="str">
        <f>CODES!$A$17</f>
      </c>
      <c r="D27" s="47">
        <f>CODES!B68</f>
      </c>
      <c r="E27" s="48" t="str">
        <v>NO DATA</v>
      </c>
      <c r="F27" s="48"/>
      <c r="G27" s="48"/>
      <c r="H27" s="48"/>
      <c r="I27" s="48"/>
      <c r="J27" s="48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</row>
    <row r="28" spans="2:49" s="65" customFormat="1" x14ac:dyDescent="0.25">
      <c r="B28" s="49" t="s">
        <v>250</v>
      </c>
      <c r="C28" s="49" t="str">
        <f>CODES!$A$17</f>
      </c>
      <c r="D28" s="49" t="str">
        <f>CODES!B113</f>
      </c>
      <c r="E28" s="49" t="str">
        <v>NO DATA</v>
      </c>
      <c r="F28" s="49"/>
      <c r="G28" s="49"/>
      <c r="H28" s="49"/>
      <c r="I28" s="49"/>
      <c r="J28" s="49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</row>
    <row r="29" spans="2:49" s="65" customFormat="1" x14ac:dyDescent="0.25">
      <c r="B29" s="49" t="s">
        <v>232</v>
      </c>
      <c r="C29" s="49" t="str">
        <f>CODES!$A$17</f>
      </c>
      <c r="D29" s="46">
        <f>CODES!B75</f>
      </c>
      <c r="E29" s="49" t="str">
        <v>NO DATA</v>
      </c>
      <c r="F29" s="49"/>
      <c r="G29" s="49"/>
      <c r="H29" s="49"/>
      <c r="I29" s="49"/>
      <c r="J29" s="49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</row>
    <row r="30" spans="2:49" s="65" customFormat="1" x14ac:dyDescent="0.25">
      <c r="B30" s="49" t="s">
        <v>238</v>
      </c>
      <c r="C30" s="49" t="str">
        <f>CODES!$A$17</f>
      </c>
      <c r="D30" s="46" t="str">
        <f>CODES!B90</f>
      </c>
      <c r="E30" s="49" t="str">
        <v>NO DATA</v>
      </c>
      <c r="F30" s="49"/>
      <c r="G30" s="49"/>
      <c r="H30" s="49"/>
      <c r="I30" s="49"/>
      <c r="J30" s="49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</row>
    <row r="31" spans="2:49" s="65" customFormat="1" x14ac:dyDescent="0.25">
      <c r="B31" s="49" t="s">
        <v>231</v>
      </c>
      <c r="C31" s="49" t="str">
        <f>CODES!$A$17</f>
      </c>
      <c r="D31" s="49" t="str">
        <f>CODES!B74</f>
      </c>
      <c r="E31" s="49" t="str">
        <v>NO DATA</v>
      </c>
      <c r="F31" s="49"/>
      <c r="G31" s="49"/>
      <c r="H31" s="49"/>
      <c r="I31" s="49"/>
      <c r="J31" s="49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</row>
    <row r="32" spans="2:49" s="65" customFormat="1" x14ac:dyDescent="0.25">
      <c r="B32" s="49" t="s">
        <v>242</v>
      </c>
      <c r="C32" s="49" t="str">
        <f>CODES!$A$17</f>
      </c>
      <c r="D32" s="49" t="str">
        <f>CODES!B95</f>
      </c>
      <c r="E32" s="49" t="str">
        <v>NO DATA</v>
      </c>
      <c r="F32" s="49"/>
      <c r="G32" s="49"/>
      <c r="H32" s="49"/>
      <c r="I32" s="49"/>
      <c r="J32" s="49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</row>
    <row r="33" spans="2:49" s="66" customFormat="1" x14ac:dyDescent="0.25">
      <c r="B33" s="48" t="s">
        <v>233</v>
      </c>
      <c r="C33" s="49" t="str">
        <f>CODES!$A$17</f>
      </c>
      <c r="D33" s="47" t="str">
        <f>CODES!B76</f>
      </c>
      <c r="E33" s="48" t="str">
        <v>NO DATA</v>
      </c>
      <c r="F33" s="48"/>
      <c r="G33" s="48"/>
      <c r="H33" s="48"/>
      <c r="I33" s="48"/>
      <c r="J33" s="48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</row>
    <row r="34" spans="2:49" s="65" customFormat="1" x14ac:dyDescent="0.25">
      <c r="B34" s="49" t="s">
        <v>251</v>
      </c>
      <c r="C34" s="49" t="str">
        <f>CODES!$A$17</f>
      </c>
      <c r="D34" s="49" t="str">
        <f>CODES!B116</f>
      </c>
      <c r="E34" s="49" t="str">
        <v>NO DATA</v>
      </c>
      <c r="F34" s="49"/>
      <c r="G34" s="49"/>
      <c r="H34" s="49"/>
      <c r="I34" s="49"/>
      <c r="J34" s="49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</row>
    <row r="35" spans="2:49" s="65" customFormat="1" x14ac:dyDescent="0.25">
      <c r="B35" s="49" t="s">
        <v>226</v>
      </c>
      <c r="C35" s="49" t="str">
        <f>CODES!$A$17</f>
      </c>
      <c r="D35" s="46" t="str">
        <f>CODES!B67</f>
      </c>
      <c r="E35" s="49" t="str">
        <v>NO DATA</v>
      </c>
      <c r="F35" s="49"/>
      <c r="G35" s="49"/>
      <c r="H35" s="49"/>
      <c r="I35" s="49"/>
      <c r="J35" s="49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</row>
    <row r="36" spans="2:49" s="66" customFormat="1" x14ac:dyDescent="0.25">
      <c r="B36" s="48" t="s">
        <v>247</v>
      </c>
      <c r="C36" s="49" t="str">
        <f>CODES!$A$17</f>
      </c>
      <c r="D36" s="46">
        <f>CODES!B101</f>
      </c>
      <c r="E36" s="48" t="str">
        <v>NO DATA</v>
      </c>
      <c r="F36" s="48"/>
      <c r="G36" s="48"/>
      <c r="H36" s="48"/>
      <c r="I36" s="48"/>
      <c r="J36" s="48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</row>
    <row r="37" spans="2:49" s="66" customFormat="1" x14ac:dyDescent="0.25">
      <c r="B37" s="48" t="s">
        <v>239</v>
      </c>
      <c r="C37" s="49" t="str">
        <f>CODES!$A$17</f>
      </c>
      <c r="D37" s="48" t="str">
        <f>CODES!B91</f>
      </c>
      <c r="E37" s="48" t="str">
        <v>NO DATA</v>
      </c>
      <c r="F37" s="48"/>
      <c r="G37" s="48"/>
      <c r="H37" s="48"/>
      <c r="I37" s="48"/>
      <c r="J37" s="48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</row>
    <row r="38" spans="2:49" s="65" customFormat="1" x14ac:dyDescent="0.25">
      <c r="B38" s="49" t="s">
        <v>230</v>
      </c>
      <c r="C38" s="49" t="str">
        <f>CODES!$A$17</f>
      </c>
      <c r="D38" s="48">
        <f>CODES!B72</f>
      </c>
      <c r="E38" s="49" t="str">
        <v>NO DATA</v>
      </c>
      <c r="F38" s="49"/>
      <c r="G38" s="49"/>
      <c r="H38" s="49"/>
      <c r="I38" s="49"/>
      <c r="J38" s="49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</row>
    <row r="39" spans="2:49" s="66" customFormat="1" x14ac:dyDescent="0.25">
      <c r="B39" s="48" t="s">
        <v>246</v>
      </c>
      <c r="C39" s="49" t="str">
        <f>CODES!$A$17</f>
      </c>
      <c r="D39" s="48">
        <f>CODES!B100</f>
      </c>
      <c r="E39" s="48" t="str">
        <v>NO DATA</v>
      </c>
      <c r="F39" s="48"/>
      <c r="G39" s="48"/>
      <c r="H39" s="48"/>
      <c r="I39" s="48"/>
      <c r="J39" s="4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</row>
    <row r="40" spans="2:49" s="65" customFormat="1" x14ac:dyDescent="0.25">
      <c r="B40" s="49" t="s">
        <v>228</v>
      </c>
      <c r="C40" s="49" t="str">
        <f>CODES!$A$17</f>
      </c>
      <c r="D40" s="47">
        <f>CODES!B69</f>
      </c>
      <c r="E40" s="49" t="str">
        <v>NO DATA</v>
      </c>
      <c r="F40" s="49"/>
      <c r="G40" s="49"/>
      <c r="H40" s="49"/>
      <c r="I40" s="49"/>
      <c r="J40" s="49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</row>
    <row r="41" spans="2:49" s="67" customFormat="1" x14ac:dyDescent="0.25">
      <c r="B41" s="45" t="s">
        <v>235</v>
      </c>
      <c r="C41" s="45" t="str">
        <f>CODES!$A$16</f>
      </c>
      <c r="D41" s="47">
        <f>CODES!B84</f>
      </c>
      <c r="E41" s="45" t="str">
        <v>NO DATA</v>
      </c>
      <c r="F41" s="45"/>
      <c r="G41" s="45"/>
      <c r="H41" s="45"/>
      <c r="I41" s="45"/>
      <c r="J41" s="45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</row>
    <row r="42" spans="2:49" s="65" customFormat="1" x14ac:dyDescent="0.25">
      <c r="B42" s="49" t="s">
        <v>307</v>
      </c>
      <c r="C42" s="49" t="str">
        <f>CODES!$A$17</f>
      </c>
      <c r="D42" s="49" t="str">
        <f>CODES!B110</f>
      </c>
      <c r="E42" s="49" t="str">
        <v>NO DATA</v>
      </c>
      <c r="F42" s="49"/>
      <c r="G42" s="49"/>
      <c r="H42" s="49"/>
      <c r="I42" s="49"/>
      <c r="J42" s="49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</row>
    <row r="43" spans="2:49" s="65" customFormat="1" x14ac:dyDescent="0.25">
      <c r="B43" s="49" t="s">
        <v>244</v>
      </c>
      <c r="C43" s="49" t="str">
        <f>CODES!$A$17</f>
      </c>
      <c r="D43" s="48" t="str">
        <f>CODES!B97</f>
      </c>
      <c r="E43" s="49" t="str">
        <v>NO DATA</v>
      </c>
      <c r="F43" s="49"/>
      <c r="G43" s="49"/>
      <c r="H43" s="49"/>
      <c r="I43" s="49"/>
      <c r="J43" s="49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</row>
    <row r="44" spans="2:49" s="65" customFormat="1" x14ac:dyDescent="0.25">
      <c r="B44" s="49" t="s">
        <v>308</v>
      </c>
      <c r="C44" s="49" t="str">
        <f>CODES!$A$17</f>
      </c>
      <c r="D44" s="49" t="str">
        <f>CODES!B108</f>
      </c>
      <c r="E44" s="49" t="str">
        <v>NO DATA</v>
      </c>
      <c r="F44" s="49"/>
      <c r="G44" s="49"/>
      <c r="H44" s="49"/>
      <c r="I44" s="49"/>
      <c r="J44" s="49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</row>
    <row r="45" spans="2:49" s="65" customFormat="1" x14ac:dyDescent="0.25">
      <c r="B45" s="49" t="s">
        <v>249</v>
      </c>
      <c r="C45" s="49" t="str">
        <f>CODES!$A$17</f>
      </c>
      <c r="D45" s="46">
        <f>CODES!B112</f>
      </c>
      <c r="E45" s="49" t="str">
        <v>NO DATA</v>
      </c>
      <c r="F45" s="49"/>
      <c r="G45" s="49"/>
      <c r="H45" s="49"/>
      <c r="I45" s="49"/>
      <c r="J45" s="49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</row>
    <row r="46" spans="2:49" x14ac:dyDescent="0.25">
      <c r="B46" s="42"/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pans="2:49" ht="15.75" x14ac:dyDescent="0.25">
      <c r="B47" s="30" t="s">
        <v>253</v>
      </c>
      <c r="C47" s="31" t="s">
        <v>216</v>
      </c>
      <c r="D47" s="31" t="s">
        <v>217</v>
      </c>
      <c r="E47" s="31" t="str">
        <f t="array" ref="E47:AW47">TRANSPOSE('PHYSICAL RESULTS'!A18:A62)</f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</row>
    <row r="48" spans="2:49" x14ac:dyDescent="0.25">
      <c r="B48" s="31" t="s">
        <v>254</v>
      </c>
      <c r="C48" s="31" t="s">
        <v>213</v>
      </c>
      <c r="D48" s="31" t="s">
        <v>170</v>
      </c>
      <c r="E48" s="31" t="str">
        <f t="array" ref="E48:AW48">TRANSPOSE('BIOLOGICAL RESULTS'!E18:E62)</f>
      </c>
      <c r="F48" s="31"/>
      <c r="G48" s="31"/>
      <c r="H48" s="31"/>
      <c r="I48" s="31"/>
      <c r="J48" s="31"/>
      <c r="K48" s="31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</row>
    <row r="49" spans="2:49" x14ac:dyDescent="0.25">
      <c r="B49" s="31" t="s">
        <v>255</v>
      </c>
      <c r="C49" s="31" t="s">
        <v>204</v>
      </c>
      <c r="D49" s="31" t="s">
        <v>170</v>
      </c>
      <c r="E49" s="45" t="str">
        <f t="array" ref="E49:AW49">TRANSPOSE('PHYSICAL RESULTS'!F18:F62)</f>
      </c>
      <c r="F49" s="45"/>
      <c r="G49" s="45"/>
      <c r="H49" s="45"/>
      <c r="I49" s="45"/>
      <c r="J49" s="45"/>
      <c r="K49" s="4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</row>
    <row r="50" spans="2:49" x14ac:dyDescent="0.25">
      <c r="B50" s="31" t="s">
        <v>193</v>
      </c>
      <c r="C50" s="31" t="s">
        <v>205</v>
      </c>
      <c r="D50" s="31" t="s">
        <v>219</v>
      </c>
      <c r="E50" s="45" t="str">
        <f t="array" ref="E50:AW50">TRANSPOSE('PHYSICAL RESULTS'!H18:H62)</f>
      </c>
      <c r="F50" s="45"/>
      <c r="G50" s="45"/>
      <c r="H50" s="45"/>
      <c r="I50" s="45"/>
      <c r="J50" s="45"/>
      <c r="K50" s="4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</row>
    <row r="51" spans="2:49" x14ac:dyDescent="0.25">
      <c r="B51" s="31" t="s">
        <v>200</v>
      </c>
      <c r="C51" s="31"/>
      <c r="D51" s="31" t="s">
        <v>219</v>
      </c>
      <c r="E51" s="46" t="str">
        <f t="array" ref="E51:AW51">TRANSPOSE('PHYSICAL RESULTS'!O18:O62)</f>
      </c>
      <c r="F51" s="46"/>
      <c r="G51" s="46"/>
      <c r="H51" s="46"/>
      <c r="I51" s="46"/>
      <c r="J51" s="46"/>
      <c r="K51" s="46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</row>
    <row r="52" spans="2:49" x14ac:dyDescent="0.25">
      <c r="B52" s="31" t="s">
        <v>198</v>
      </c>
      <c r="C52" s="31" t="s">
        <v>204</v>
      </c>
      <c r="D52" s="31" t="s">
        <v>219</v>
      </c>
      <c r="E52" s="46" t="str">
        <f t="array" ref="E52:AW52">TRANSPOSE('PHYSICAL RESULTS'!M18:M62)</f>
      </c>
      <c r="F52" s="46"/>
      <c r="G52" s="46"/>
      <c r="H52" s="46"/>
      <c r="I52" s="46"/>
      <c r="J52" s="46"/>
      <c r="K52" s="46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</row>
    <row r="53" spans="2:49" x14ac:dyDescent="0.25">
      <c r="B53" s="31" t="s">
        <v>194</v>
      </c>
      <c r="C53" s="31" t="s">
        <v>204</v>
      </c>
      <c r="D53" s="31" t="s">
        <v>219</v>
      </c>
      <c r="E53" s="46" t="str">
        <f t="array" ref="E53:AW53">TRANSPOSE('PHYSICAL RESULTS'!I18:I62)</f>
      </c>
      <c r="F53" s="46"/>
      <c r="G53" s="46"/>
      <c r="H53" s="46"/>
      <c r="I53" s="46"/>
      <c r="J53" s="46"/>
      <c r="K53" s="46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</row>
    <row r="54" spans="2:49" x14ac:dyDescent="0.25">
      <c r="B54" s="31" t="s">
        <v>195</v>
      </c>
      <c r="C54" s="31" t="s">
        <v>204</v>
      </c>
      <c r="D54" s="31" t="s">
        <v>223</v>
      </c>
      <c r="E54" s="45" t="str">
        <f t="array" ref="E54:AW54">TRANSPOSE('PHYSICAL RESULTS'!J18:J62)</f>
      </c>
      <c r="F54" s="45"/>
      <c r="G54" s="45"/>
      <c r="H54" s="45"/>
      <c r="I54" s="45"/>
      <c r="J54" s="45"/>
      <c r="K54" s="4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</row>
    <row r="55" spans="2:49" x14ac:dyDescent="0.25">
      <c r="B55" s="31" t="s">
        <v>256</v>
      </c>
      <c r="C55" s="31" t="s">
        <v>206</v>
      </c>
      <c r="D55" s="31" t="s">
        <v>257</v>
      </c>
      <c r="E55" s="47" t="str">
        <f t="array" ref="E55:AW55">TRANSPOSE('PHYSICAL RESULTS'!K18:K62)</f>
      </c>
      <c r="F55" s="47"/>
      <c r="G55" s="47"/>
      <c r="H55" s="47"/>
      <c r="I55" s="47"/>
      <c r="J55" s="47"/>
      <c r="K55" s="4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</row>
    <row r="56" spans="2:49" x14ac:dyDescent="0.25">
      <c r="B56" s="31" t="s">
        <v>201</v>
      </c>
      <c r="C56" s="31" t="s">
        <v>258</v>
      </c>
      <c r="D56" s="31" t="s">
        <v>259</v>
      </c>
      <c r="E56" s="31" t="str">
        <f t="array" ref="E56:AW56">TRANSPOSE('PHYSICAL RESULTS'!P18:P62)</f>
      </c>
      <c r="F56" s="31"/>
      <c r="G56" s="31"/>
      <c r="H56" s="31"/>
      <c r="I56" s="31"/>
      <c r="J56" s="31"/>
      <c r="K56" s="31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</row>
  </sheetData>
  <sheetProtection algorithmName="SHA-512" hashValue="HuK33RAhPpbBef5EBpOxvYOYshhZRjuhnXLnFCfe+Cc3RwiCgXlP0bcbli7xnAXDg7sHli9jHV1SXWGjOpJrVA==" saltValue="mAbS7cdle1d2FVmwfsI9dA==" spinCount="100000" sheet="1" objects="1" scenarios="1" formatCells="0" formatColumns="0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608F-719D-4068-B1AB-323E18B611A1}">
  <dimension ref="A1:AW77"/>
  <sheetViews>
    <sheetView workbookViewId="0">
      <selection activeCell="A3" sqref="A3"/>
    </sheetView>
  </sheetViews>
  <sheetFormatPr defaultRowHeight="15" x14ac:dyDescent="0.25"/>
  <cols>
    <col min="5" max="11" width="9.5703125" style="29" customWidth="1"/>
    <col min="12" max="49" width="9.28515625" style="29" customWidth="1"/>
  </cols>
  <sheetData>
    <row r="1" spans="1:49" x14ac:dyDescent="0.25">
      <c r="A1" s="44" t="s">
        <v>411</v>
      </c>
    </row>
    <row r="2" spans="1:49" x14ac:dyDescent="0.25">
      <c r="A2" s="12"/>
    </row>
    <row r="3" spans="1:49" x14ac:dyDescent="0.25">
      <c r="A3" s="2" t="str">
        <f>INSTRUCTIONS!A3</f>
      </c>
    </row>
    <row r="6" spans="1:49" ht="15.75" x14ac:dyDescent="0.25">
      <c r="B6" s="30" t="s">
        <v>215</v>
      </c>
      <c r="C6" s="31" t="s">
        <v>216</v>
      </c>
      <c r="D6" s="31" t="s">
        <v>217</v>
      </c>
      <c r="E6" s="31" t="str">
        <f t="array" ref="E6:AW6">TRANSPOSE('PHYSICAL RESULTS'!A18:A62)</f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B7" s="31" t="s">
        <v>189</v>
      </c>
      <c r="C7" s="31"/>
      <c r="D7" s="31" t="s">
        <v>511</v>
      </c>
      <c r="E7" s="46" t="str">
        <f t="array" ref="E7:AW7">TRANSPOSE('PHYSICAL RESULTS'!D18:D62)</f>
      </c>
      <c r="F7" s="46"/>
      <c r="G7" s="46"/>
      <c r="H7" s="46"/>
      <c r="I7" s="46"/>
      <c r="J7" s="46"/>
      <c r="K7" s="32"/>
      <c r="L7" s="46"/>
      <c r="M7" s="46"/>
      <c r="N7" s="46"/>
      <c r="O7" s="46"/>
      <c r="P7" s="46"/>
      <c r="Q7" s="46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spans="1:49" x14ac:dyDescent="0.25">
      <c r="B8" s="31" t="s">
        <v>218</v>
      </c>
      <c r="C8" s="31" t="s">
        <v>203</v>
      </c>
      <c r="D8" s="31" t="s">
        <v>219</v>
      </c>
      <c r="E8" s="47" t="str">
        <f t="array" ref="E8:AW8">TRANSPOSE('PHYSICAL RESULTS'!E18:E62)</f>
      </c>
      <c r="F8" s="47"/>
      <c r="G8" s="47"/>
      <c r="H8" s="47"/>
      <c r="I8" s="47"/>
      <c r="J8" s="47"/>
      <c r="K8" s="33"/>
      <c r="L8" s="47"/>
      <c r="M8" s="47"/>
      <c r="N8" s="47"/>
      <c r="O8" s="47"/>
      <c r="P8" s="47"/>
      <c r="Q8" s="47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</row>
    <row r="9" spans="1:49" x14ac:dyDescent="0.25">
      <c r="B9" s="31" t="s">
        <v>192</v>
      </c>
      <c r="C9" s="31" t="s">
        <v>463</v>
      </c>
      <c r="D9" s="31" t="s">
        <v>170</v>
      </c>
      <c r="E9" s="45">
        <f t="array" ref="E9:AW9">TRANSPOSE('PHYSICAL RESULTS'!G18:G62)</f>
      </c>
      <c r="F9" s="45"/>
      <c r="G9" s="45"/>
      <c r="H9" s="45"/>
      <c r="I9" s="45"/>
      <c r="J9" s="45"/>
      <c r="K9" s="45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</row>
    <row r="10" spans="1:49" x14ac:dyDescent="0.25">
      <c r="B10" s="31" t="s">
        <v>197</v>
      </c>
      <c r="C10" s="35" t="s">
        <v>207</v>
      </c>
      <c r="D10" s="35">
        <v>1</v>
      </c>
      <c r="E10" s="36">
        <f t="array" ref="E10:AW10">TRANSPOSE('PHYSICAL RESULTS'!L18:L62)</f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</row>
    <row r="11" spans="1:49" x14ac:dyDescent="0.25">
      <c r="B11" s="42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5.75" x14ac:dyDescent="0.25">
      <c r="B12" s="30" t="s">
        <v>220</v>
      </c>
      <c r="C12" s="31" t="s">
        <v>216</v>
      </c>
      <c r="D12" s="31" t="s">
        <v>217</v>
      </c>
      <c r="E12" s="31" t="str">
        <f t="array" ref="E12:AW12">TRANSPOSE('BIOLOGICAL RESULTS'!A18:A62)</f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pans="1:49" x14ac:dyDescent="0.25">
      <c r="B13" s="31" t="s">
        <v>210</v>
      </c>
      <c r="C13" s="31" t="s">
        <v>212</v>
      </c>
      <c r="D13" s="31">
        <v>0</v>
      </c>
      <c r="E13" s="31" t="str">
        <f t="array" ref="E13:AW13">TRANSPOSE('BIOLOGICAL RESULTS'!C18:C62)</f>
      </c>
      <c r="F13" s="31"/>
      <c r="G13" s="31"/>
      <c r="H13" s="31"/>
      <c r="I13" s="31"/>
      <c r="J13" s="31"/>
      <c r="K13" s="32"/>
      <c r="L13" s="31"/>
      <c r="M13" s="31"/>
      <c r="N13" s="31"/>
      <c r="O13" s="31"/>
      <c r="P13" s="31"/>
      <c r="Q13" s="31"/>
      <c r="R13" s="32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</row>
    <row r="14" spans="1:49" x14ac:dyDescent="0.25">
      <c r="B14" s="34" t="s">
        <v>221</v>
      </c>
      <c r="C14" s="31" t="s">
        <v>212</v>
      </c>
      <c r="D14" s="31">
        <v>0</v>
      </c>
      <c r="E14" s="31" t="str">
        <f t="array" ref="E14:AW14">TRANSPOSE('BIOLOGICAL RESULTS'!D18:D62)</f>
      </c>
      <c r="F14" s="31"/>
      <c r="G14" s="31"/>
      <c r="H14" s="31"/>
      <c r="I14" s="31"/>
      <c r="J14" s="31"/>
      <c r="K14" s="33"/>
      <c r="L14" s="31"/>
      <c r="M14" s="31"/>
      <c r="N14" s="31"/>
      <c r="O14" s="31"/>
      <c r="P14" s="31"/>
      <c r="Q14" s="31"/>
      <c r="R14" s="33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</row>
    <row r="15" spans="1:49" x14ac:dyDescent="0.25">
      <c r="B15" s="42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15.75" x14ac:dyDescent="0.25">
      <c r="B16" s="30" t="s">
        <v>222</v>
      </c>
      <c r="C16" s="31" t="s">
        <v>216</v>
      </c>
      <c r="D16" s="31" t="s">
        <v>217</v>
      </c>
      <c r="E16" s="31" t="str">
        <f t="array" ref="E16:AW16">TRANSPOSE('IC RESULTS'!A69:A113)</f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1:49" x14ac:dyDescent="0.25">
      <c r="B17" s="31" t="s">
        <v>177</v>
      </c>
      <c r="C17" s="31" t="s">
        <v>204</v>
      </c>
      <c r="D17" s="31">
        <v>1.5</v>
      </c>
      <c r="E17" s="45" t="str">
        <f t="array" ref="E17:AW17">TRANSPOSE('IC RESULTS'!C69:C113)</f>
      </c>
      <c r="F17" s="45"/>
      <c r="G17" s="45"/>
      <c r="H17" s="45"/>
      <c r="I17" s="45"/>
      <c r="J17" s="4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</row>
    <row r="18" spans="1:49" x14ac:dyDescent="0.25">
      <c r="B18" s="31" t="s">
        <v>178</v>
      </c>
      <c r="C18" s="31" t="s">
        <v>204</v>
      </c>
      <c r="D18" s="31" t="s">
        <v>512</v>
      </c>
      <c r="E18" s="45" t="str">
        <f t="array" ref="E18:AW18">TRANSPOSE('IC RESULTS'!D69:D113)</f>
      </c>
      <c r="F18" s="45"/>
      <c r="G18" s="45"/>
      <c r="H18" s="45"/>
      <c r="I18" s="45"/>
      <c r="J18" s="4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</row>
    <row r="19" spans="1:49" x14ac:dyDescent="0.25">
      <c r="B19" s="31" t="s">
        <v>179</v>
      </c>
      <c r="C19" s="31" t="s">
        <v>204</v>
      </c>
      <c r="D19" s="31">
        <v>3</v>
      </c>
      <c r="E19" s="45" t="str">
        <f t="array" ref="E19:AW19">TRANSPOSE('IC RESULTS'!E69:E113)</f>
      </c>
      <c r="F19" s="45"/>
      <c r="G19" s="45"/>
      <c r="H19" s="45"/>
      <c r="I19" s="45"/>
      <c r="J19" s="4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</row>
    <row r="20" spans="1:49" x14ac:dyDescent="0.25">
      <c r="B20" s="31" t="s">
        <v>180</v>
      </c>
      <c r="C20" s="31" t="s">
        <v>204</v>
      </c>
      <c r="D20" s="31" t="s">
        <v>223</v>
      </c>
      <c r="E20" s="45" t="str">
        <f t="array" ref="E20:AW20">TRANSPOSE('IC RESULTS'!F69:F113)</f>
      </c>
      <c r="F20" s="45"/>
      <c r="G20" s="45"/>
      <c r="H20" s="45"/>
      <c r="I20" s="45"/>
      <c r="J20" s="4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</row>
    <row r="21" spans="1:49" x14ac:dyDescent="0.25">
      <c r="B21" s="31" t="s">
        <v>181</v>
      </c>
      <c r="C21" s="31" t="s">
        <v>204</v>
      </c>
      <c r="D21" s="31" t="s">
        <v>219</v>
      </c>
      <c r="E21" s="45" t="str">
        <f t="array" ref="E21:AW21">TRANSPOSE('IC RESULTS'!G69:G113)</f>
      </c>
      <c r="F21" s="45"/>
      <c r="G21" s="45"/>
      <c r="H21" s="45"/>
      <c r="I21" s="45"/>
      <c r="J21" s="4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</row>
    <row r="22" spans="1:49" x14ac:dyDescent="0.25">
      <c r="B22" s="31" t="s">
        <v>182</v>
      </c>
      <c r="C22" s="31" t="s">
        <v>204</v>
      </c>
      <c r="D22" s="31">
        <v>45</v>
      </c>
      <c r="E22" s="45" t="str">
        <f t="array" ref="E22:AW22">TRANSPOSE('IC RESULTS'!H69:H113)</f>
      </c>
      <c r="F22" s="45"/>
      <c r="G22" s="45"/>
      <c r="H22" s="45"/>
      <c r="I22" s="45"/>
      <c r="J22" s="4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</row>
    <row r="23" spans="1:49" x14ac:dyDescent="0.25">
      <c r="B23" s="31" t="s">
        <v>183</v>
      </c>
      <c r="C23" s="31" t="s">
        <v>204</v>
      </c>
      <c r="D23" s="31" t="s">
        <v>219</v>
      </c>
      <c r="E23" s="45" t="str">
        <f t="array" ref="E23:AW23">TRANSPOSE('IC RESULTS'!I69:I113)</f>
      </c>
      <c r="F23" s="45"/>
      <c r="G23" s="45"/>
      <c r="H23" s="45"/>
      <c r="I23" s="45"/>
      <c r="J23" s="4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</row>
    <row r="24" spans="1:49" x14ac:dyDescent="0.25">
      <c r="B24" s="42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ht="15.75" x14ac:dyDescent="0.25">
      <c r="B25" s="30" t="s">
        <v>224</v>
      </c>
      <c r="C25" s="31" t="s">
        <v>216</v>
      </c>
      <c r="D25" s="31" t="s">
        <v>217</v>
      </c>
      <c r="E25" s="31" t="str" cm="1">
        <f t="array" ref="E25:AW25">TRANSPOSE('ICPMS RESULTS'!A69:A113)</f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1:49" s="65" customFormat="1" x14ac:dyDescent="0.25">
      <c r="A26" s="29"/>
      <c r="B26" s="49" t="s">
        <v>309</v>
      </c>
      <c r="C26" s="49" t="str">
        <f>CODES!$A$16</f>
      </c>
      <c r="D26" s="47" t="str">
        <f>CODES!C70</f>
      </c>
      <c r="E26" s="46" t="str" cm="1">
        <f t="array" ref="E26:AW31">TRANSPOSE('ICPQQQ RESULTS'!C69:H113)</f>
      </c>
      <c r="F26" s="46"/>
      <c r="G26" s="46"/>
      <c r="H26" s="46"/>
      <c r="I26" s="46"/>
      <c r="J26" s="46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</row>
    <row r="27" spans="1:49" s="66" customFormat="1" x14ac:dyDescent="0.25">
      <c r="A27" s="29"/>
      <c r="B27" s="48" t="s">
        <v>227</v>
      </c>
      <c r="C27" s="49" t="str">
        <f>CODES!$A$16</f>
      </c>
      <c r="D27" s="47">
        <f>CODES!C68</f>
      </c>
      <c r="E27" s="46" t="str">
        <v>NO DATA</v>
      </c>
      <c r="F27" s="46"/>
      <c r="G27" s="46"/>
      <c r="H27" s="46"/>
      <c r="I27" s="46"/>
      <c r="J27" s="46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</row>
    <row r="28" spans="1:49" s="66" customFormat="1" x14ac:dyDescent="0.25">
      <c r="A28" s="29"/>
      <c r="B28" s="48" t="s">
        <v>240</v>
      </c>
      <c r="C28" s="49" t="str">
        <f>CODES!$A$17</f>
      </c>
      <c r="D28" s="47" t="str">
        <f>CODES!B92</f>
      </c>
      <c r="E28" s="46" t="str">
        <v>NO DATA</v>
      </c>
      <c r="F28" s="46"/>
      <c r="G28" s="46"/>
      <c r="H28" s="46"/>
      <c r="I28" s="46"/>
      <c r="J28" s="46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</row>
    <row r="29" spans="1:49" s="66" customFormat="1" x14ac:dyDescent="0.25">
      <c r="A29" s="29"/>
      <c r="B29" s="48" t="s">
        <v>237</v>
      </c>
      <c r="C29" s="49" t="str">
        <f>CODES!$A$17</f>
      </c>
      <c r="D29" s="47" t="str">
        <f>CODES!B89</f>
      </c>
      <c r="E29" s="46" t="str">
        <v>NO DATA</v>
      </c>
      <c r="F29" s="46"/>
      <c r="G29" s="46"/>
      <c r="H29" s="46"/>
      <c r="I29" s="46"/>
      <c r="J29" s="46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</row>
    <row r="30" spans="1:49" s="65" customFormat="1" x14ac:dyDescent="0.25">
      <c r="A30" s="29"/>
      <c r="B30" s="49" t="s">
        <v>225</v>
      </c>
      <c r="C30" s="49" t="str">
        <f>CODES!$A$16</f>
      </c>
      <c r="D30" s="47" t="str">
        <f>CODES!C66</f>
      </c>
      <c r="E30" s="46" t="str">
        <v>NO DATA</v>
      </c>
      <c r="F30" s="46"/>
      <c r="G30" s="46"/>
      <c r="H30" s="46"/>
      <c r="I30" s="46"/>
      <c r="J30" s="46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</row>
    <row r="31" spans="1:49" s="65" customFormat="1" x14ac:dyDescent="0.25">
      <c r="A31" s="29"/>
      <c r="B31" s="49" t="s">
        <v>236</v>
      </c>
      <c r="C31" s="49" t="str">
        <f>CODES!$A$17</f>
      </c>
      <c r="D31" s="47" t="str">
        <f>CODES!B86</f>
      </c>
      <c r="E31" s="46" t="str">
        <v>NO DATA</v>
      </c>
      <c r="F31" s="46"/>
      <c r="G31" s="46"/>
      <c r="H31" s="46"/>
      <c r="I31" s="46"/>
      <c r="J31" s="46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</row>
    <row r="32" spans="1:49" s="65" customFormat="1" x14ac:dyDescent="0.25">
      <c r="A32" s="29"/>
      <c r="B32" s="49" t="s">
        <v>329</v>
      </c>
      <c r="C32" s="49" t="str">
        <f>CODES!$A$16</f>
      </c>
      <c r="D32" s="47" t="str">
        <f>CODES!B102</f>
      </c>
      <c r="E32" s="46" t="str" cm="1">
        <f t="array" ref="E32:AW63">TRANSPOSE('ICPQQQ RESULTS'!K69:AP113)</f>
      </c>
      <c r="F32" s="46"/>
      <c r="G32" s="46"/>
      <c r="H32" s="46"/>
      <c r="I32" s="46"/>
      <c r="J32" s="46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</row>
    <row r="33" spans="1:49" s="65" customFormat="1" x14ac:dyDescent="0.25">
      <c r="A33" s="29"/>
      <c r="B33" s="49" t="s">
        <v>334</v>
      </c>
      <c r="C33" s="49" t="str">
        <f>CODES!$A$16</f>
      </c>
      <c r="D33" s="47" t="str">
        <f>CODES!C109</f>
      </c>
      <c r="E33" s="46" t="str">
        <v>NO DATA</v>
      </c>
      <c r="F33" s="46"/>
      <c r="G33" s="46"/>
      <c r="H33" s="46"/>
      <c r="I33" s="46"/>
      <c r="J33" s="46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</row>
    <row r="34" spans="1:49" s="65" customFormat="1" x14ac:dyDescent="0.25">
      <c r="A34" s="29"/>
      <c r="B34" s="49" t="s">
        <v>243</v>
      </c>
      <c r="C34" s="49" t="str">
        <f>CODES!$A$16</f>
      </c>
      <c r="D34" s="47" t="str">
        <f>CODES!C96</f>
      </c>
      <c r="E34" s="46" t="str">
        <v>NO DATA</v>
      </c>
      <c r="F34" s="46"/>
      <c r="G34" s="46"/>
      <c r="H34" s="46"/>
      <c r="I34" s="46"/>
      <c r="J34" s="46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</row>
    <row r="35" spans="1:49" s="65" customFormat="1" x14ac:dyDescent="0.25">
      <c r="A35" s="29"/>
      <c r="B35" s="49" t="s">
        <v>245</v>
      </c>
      <c r="C35" s="49" t="str">
        <f>CODES!$A$17</f>
      </c>
      <c r="D35" s="47"/>
      <c r="E35" s="46" t="str">
        <v>NO DATA</v>
      </c>
      <c r="F35" s="46"/>
      <c r="G35" s="46"/>
      <c r="H35" s="46"/>
      <c r="I35" s="46"/>
      <c r="J35" s="46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</row>
    <row r="36" spans="1:49" s="65" customFormat="1" x14ac:dyDescent="0.25">
      <c r="A36" s="29"/>
      <c r="B36" s="49" t="s">
        <v>250</v>
      </c>
      <c r="C36" s="49" t="str">
        <f>CODES!$A$16</f>
      </c>
      <c r="D36" s="47" t="str">
        <f>CODES!C113</f>
      </c>
      <c r="E36" s="46" t="str">
        <v>NO DATA</v>
      </c>
      <c r="F36" s="46"/>
      <c r="G36" s="46"/>
      <c r="H36" s="46"/>
      <c r="I36" s="46"/>
      <c r="J36" s="46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</row>
    <row r="37" spans="1:49" s="65" customFormat="1" x14ac:dyDescent="0.25">
      <c r="A37" s="29"/>
      <c r="B37" s="49" t="s">
        <v>232</v>
      </c>
      <c r="C37" s="49" t="str">
        <f>CODES!$A$16</f>
      </c>
      <c r="D37" s="47">
        <f>CODES!C75</f>
      </c>
      <c r="E37" s="46" t="str">
        <v>NO DATA</v>
      </c>
      <c r="F37" s="46"/>
      <c r="G37" s="46"/>
      <c r="H37" s="46"/>
      <c r="I37" s="46"/>
      <c r="J37" s="46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</row>
    <row r="38" spans="1:49" s="66" customFormat="1" x14ac:dyDescent="0.25">
      <c r="A38" s="29"/>
      <c r="B38" s="48" t="s">
        <v>238</v>
      </c>
      <c r="C38" s="49" t="str">
        <f>CODES!$A$16</f>
      </c>
      <c r="D38" s="47">
        <f>CODES!C90</f>
      </c>
      <c r="E38" s="46" t="str">
        <v>NO DATA</v>
      </c>
      <c r="F38" s="46"/>
      <c r="G38" s="46"/>
      <c r="H38" s="46"/>
      <c r="I38" s="46"/>
      <c r="J38" s="46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</row>
    <row r="39" spans="1:49" s="65" customFormat="1" x14ac:dyDescent="0.25">
      <c r="A39" s="29"/>
      <c r="B39" s="49" t="s">
        <v>234</v>
      </c>
      <c r="C39" s="49" t="str">
        <f>CODES!$A$16</f>
      </c>
      <c r="D39" s="47" t="str">
        <f>CODES!C80</f>
      </c>
      <c r="E39" s="46" t="str">
        <v>NO DATA</v>
      </c>
      <c r="F39" s="46"/>
      <c r="G39" s="46"/>
      <c r="H39" s="46"/>
      <c r="I39" s="46"/>
      <c r="J39" s="46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</row>
    <row r="40" spans="1:49" s="65" customFormat="1" x14ac:dyDescent="0.25">
      <c r="A40" s="29"/>
      <c r="B40" s="49" t="s">
        <v>231</v>
      </c>
      <c r="C40" s="49" t="str">
        <f>CODES!$A$16</f>
      </c>
      <c r="D40" s="47" t="str">
        <f>CODES!C74</f>
      </c>
      <c r="E40" s="46" t="str">
        <v>NO DATA</v>
      </c>
      <c r="F40" s="46"/>
      <c r="G40" s="46"/>
      <c r="H40" s="46"/>
      <c r="I40" s="46"/>
      <c r="J40" s="46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</row>
    <row r="41" spans="1:49" s="66" customFormat="1" x14ac:dyDescent="0.25">
      <c r="A41" s="29"/>
      <c r="B41" s="48" t="s">
        <v>242</v>
      </c>
      <c r="C41" s="49" t="str">
        <f>CODES!$A$16</f>
      </c>
      <c r="D41" s="47" t="str">
        <f>CODES!C95</f>
      </c>
      <c r="E41" s="46" t="str">
        <v>NO DATA</v>
      </c>
      <c r="F41" s="46"/>
      <c r="G41" s="46"/>
      <c r="H41" s="46"/>
      <c r="I41" s="46"/>
      <c r="J41" s="46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</row>
    <row r="42" spans="1:49" s="66" customFormat="1" x14ac:dyDescent="0.25">
      <c r="A42" s="29"/>
      <c r="B42" s="48" t="s">
        <v>229</v>
      </c>
      <c r="C42" s="49" t="str">
        <f>CODES!$A$17</f>
      </c>
      <c r="D42" s="47" t="str">
        <f>CODES!B71</f>
      </c>
      <c r="E42" s="46" t="str">
        <v>NO DATA</v>
      </c>
      <c r="F42" s="46"/>
      <c r="G42" s="46"/>
      <c r="H42" s="46"/>
      <c r="I42" s="46"/>
      <c r="J42" s="46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</row>
    <row r="43" spans="1:49" s="66" customFormat="1" x14ac:dyDescent="0.25">
      <c r="A43" s="29"/>
      <c r="B43" s="48" t="s">
        <v>233</v>
      </c>
      <c r="C43" s="49" t="str">
        <f>CODES!$A$16</f>
      </c>
      <c r="D43" s="47" t="str">
        <f>CODES!C76</f>
      </c>
      <c r="E43" s="46" t="str">
        <v>NO DATA</v>
      </c>
      <c r="F43" s="46"/>
      <c r="G43" s="46"/>
      <c r="H43" s="46"/>
      <c r="I43" s="46"/>
      <c r="J43" s="46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</row>
    <row r="44" spans="1:49" s="65" customFormat="1" x14ac:dyDescent="0.25">
      <c r="A44" s="29"/>
      <c r="B44" s="49" t="s">
        <v>251</v>
      </c>
      <c r="C44" s="49" t="str">
        <f>CODES!$A$16</f>
      </c>
      <c r="D44" s="47" t="str">
        <f>CODES!C116</f>
      </c>
      <c r="E44" s="46" t="str">
        <v>NO DATA</v>
      </c>
      <c r="F44" s="46"/>
      <c r="G44" s="46"/>
      <c r="H44" s="46"/>
      <c r="I44" s="46"/>
      <c r="J44" s="46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</row>
    <row r="45" spans="1:49" s="66" customFormat="1" x14ac:dyDescent="0.25">
      <c r="A45" s="29"/>
      <c r="B45" s="48" t="s">
        <v>320</v>
      </c>
      <c r="C45" s="49" t="str">
        <f>CODES!$A$16</f>
      </c>
      <c r="D45" s="47" t="str">
        <f>CODES!C81</f>
      </c>
      <c r="E45" s="46" t="str">
        <v>NO DATA</v>
      </c>
      <c r="F45" s="46"/>
      <c r="G45" s="46"/>
      <c r="H45" s="46"/>
      <c r="I45" s="46"/>
      <c r="J45" s="46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</row>
    <row r="46" spans="1:49" s="65" customFormat="1" x14ac:dyDescent="0.25">
      <c r="A46" s="29"/>
      <c r="B46" s="49" t="s">
        <v>226</v>
      </c>
      <c r="C46" s="49" t="str">
        <f>CODES!$A$16</f>
      </c>
      <c r="D46" s="47" t="str">
        <f>CODES!C67</f>
      </c>
      <c r="E46" s="46" t="str">
        <v>NO DATA</v>
      </c>
      <c r="F46" s="46"/>
      <c r="G46" s="46"/>
      <c r="H46" s="46"/>
      <c r="I46" s="46"/>
      <c r="J46" s="46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</row>
    <row r="47" spans="1:49" s="65" customFormat="1" x14ac:dyDescent="0.25">
      <c r="A47" s="29"/>
      <c r="B47" s="45" t="s">
        <v>328</v>
      </c>
      <c r="C47" s="49" t="str">
        <f>CODES!$A$16</f>
      </c>
      <c r="D47" s="47" t="str">
        <f>CODES!C98</f>
      </c>
      <c r="E47" s="46" t="str">
        <v>NO DATA</v>
      </c>
      <c r="F47" s="46"/>
      <c r="G47" s="46"/>
      <c r="H47" s="46"/>
      <c r="I47" s="46"/>
      <c r="J47" s="46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</row>
    <row r="48" spans="1:49" s="67" customFormat="1" x14ac:dyDescent="0.25">
      <c r="A48" s="29"/>
      <c r="B48" s="49" t="s">
        <v>331</v>
      </c>
      <c r="C48" s="49" t="str">
        <f>CODES!$A$16</f>
      </c>
      <c r="D48" s="47">
        <f>CODES!C105</f>
      </c>
      <c r="E48" s="46" t="str">
        <v>NO DATA</v>
      </c>
      <c r="F48" s="46"/>
      <c r="G48" s="46"/>
      <c r="H48" s="46"/>
      <c r="I48" s="46"/>
      <c r="J48" s="46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</row>
    <row r="49" spans="1:49" s="65" customFormat="1" x14ac:dyDescent="0.25">
      <c r="A49" s="29"/>
      <c r="B49" s="49" t="s">
        <v>338</v>
      </c>
      <c r="C49" s="49" t="str">
        <f>CODES!$A$16</f>
      </c>
      <c r="D49" s="47" t="str">
        <f>CODES!C117</f>
      </c>
      <c r="E49" s="46" t="str">
        <v>NO DATA</v>
      </c>
      <c r="F49" s="46"/>
      <c r="G49" s="46"/>
      <c r="H49" s="46"/>
      <c r="I49" s="46"/>
      <c r="J49" s="46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</row>
    <row r="50" spans="1:49" s="65" customFormat="1" x14ac:dyDescent="0.25">
      <c r="A50" s="29"/>
      <c r="B50" s="49" t="s">
        <v>247</v>
      </c>
      <c r="C50" s="49" t="str">
        <f>CODES!$A$16</f>
      </c>
      <c r="D50" s="47">
        <f>CODES!C101</f>
      </c>
      <c r="E50" s="46" t="str">
        <v>NO DATA</v>
      </c>
      <c r="F50" s="46"/>
      <c r="G50" s="46"/>
      <c r="H50" s="46"/>
      <c r="I50" s="46"/>
      <c r="J50" s="46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</row>
    <row r="51" spans="1:49" s="65" customFormat="1" x14ac:dyDescent="0.25">
      <c r="A51" s="29"/>
      <c r="B51" s="49" t="s">
        <v>239</v>
      </c>
      <c r="C51" s="49" t="str">
        <f>CODES!$A$16</f>
      </c>
      <c r="D51" s="47" t="str">
        <f>CODES!C91</f>
      </c>
      <c r="E51" s="46" t="str">
        <v>NO DATA</v>
      </c>
      <c r="F51" s="46"/>
      <c r="G51" s="46"/>
      <c r="H51" s="46"/>
      <c r="I51" s="46"/>
      <c r="J51" s="46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</row>
    <row r="52" spans="1:49" s="65" customFormat="1" x14ac:dyDescent="0.25">
      <c r="A52" s="29"/>
      <c r="B52" s="49" t="s">
        <v>315</v>
      </c>
      <c r="C52" s="49" t="str">
        <f>CODES!$A$16</f>
      </c>
      <c r="D52" s="47" t="str">
        <f>CODES!C65</f>
      </c>
      <c r="E52" s="46" t="str">
        <v>NO DATA</v>
      </c>
      <c r="F52" s="46"/>
      <c r="G52" s="46"/>
      <c r="H52" s="46"/>
      <c r="I52" s="46"/>
      <c r="J52" s="46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</row>
    <row r="53" spans="1:49" s="65" customFormat="1" x14ac:dyDescent="0.25">
      <c r="A53" s="29"/>
      <c r="B53" s="49" t="s">
        <v>230</v>
      </c>
      <c r="C53" s="49" t="str">
        <f>CODES!$A$16</f>
      </c>
      <c r="D53" s="47">
        <f>CODES!C72</f>
      </c>
      <c r="E53" s="46" t="str">
        <v>NO DATA</v>
      </c>
      <c r="F53" s="46"/>
      <c r="G53" s="46"/>
      <c r="H53" s="46"/>
      <c r="I53" s="46"/>
      <c r="J53" s="46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</row>
    <row r="54" spans="1:49" s="65" customFormat="1" x14ac:dyDescent="0.25">
      <c r="A54" s="29"/>
      <c r="B54" s="49" t="s">
        <v>246</v>
      </c>
      <c r="C54" s="49" t="str">
        <f>CODES!$A$16</f>
      </c>
      <c r="D54" s="47">
        <f>CODES!C100</f>
      </c>
      <c r="E54" s="46" t="str">
        <v>NO DATA</v>
      </c>
      <c r="F54" s="46"/>
      <c r="G54" s="46"/>
      <c r="H54" s="46"/>
      <c r="I54" s="46"/>
      <c r="J54" s="46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</row>
    <row r="55" spans="1:49" s="65" customFormat="1" x14ac:dyDescent="0.25">
      <c r="A55" s="29"/>
      <c r="B55" s="49" t="s">
        <v>333</v>
      </c>
      <c r="C55" s="49" t="str">
        <f>CODES!$A$16</f>
      </c>
      <c r="D55" s="47" t="str">
        <f>CODES!C107</f>
      </c>
      <c r="E55" s="46" t="str">
        <v>NO DATA</v>
      </c>
      <c r="F55" s="46"/>
      <c r="G55" s="46"/>
      <c r="H55" s="46"/>
      <c r="I55" s="46"/>
      <c r="J55" s="46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</row>
    <row r="56" spans="1:49" s="65" customFormat="1" x14ac:dyDescent="0.25">
      <c r="A56" s="29"/>
      <c r="B56" s="49" t="s">
        <v>410</v>
      </c>
      <c r="C56" s="49" t="str">
        <f>CODES!$A$16</f>
      </c>
      <c r="D56" s="47" t="str">
        <f>CODES!C118</f>
      </c>
      <c r="E56" s="46" t="str">
        <v>NO DATA</v>
      </c>
      <c r="F56" s="46"/>
      <c r="G56" s="46"/>
      <c r="H56" s="46"/>
      <c r="I56" s="46"/>
      <c r="J56" s="46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</row>
    <row r="57" spans="1:49" s="65" customFormat="1" x14ac:dyDescent="0.25">
      <c r="A57" s="29"/>
      <c r="B57" s="49" t="s">
        <v>248</v>
      </c>
      <c r="C57" s="49" t="str">
        <f>CODES!$A$16</f>
      </c>
      <c r="D57" s="47" t="str">
        <f>CODES!C104</f>
      </c>
      <c r="E57" s="46" t="str">
        <v>NO DATA</v>
      </c>
      <c r="F57" s="46"/>
      <c r="G57" s="46"/>
      <c r="H57" s="46"/>
      <c r="I57" s="46"/>
      <c r="J57" s="46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</row>
    <row r="58" spans="1:49" s="65" customFormat="1" x14ac:dyDescent="0.25">
      <c r="A58" s="29"/>
      <c r="B58" s="49" t="s">
        <v>228</v>
      </c>
      <c r="C58" s="49" t="str">
        <f>CODES!$A$16</f>
      </c>
      <c r="D58" s="47">
        <f>CODES!C69</f>
      </c>
      <c r="E58" s="46" t="str">
        <v>NO DATA</v>
      </c>
      <c r="F58" s="46"/>
      <c r="G58" s="46"/>
      <c r="H58" s="46"/>
      <c r="I58" s="46"/>
      <c r="J58" s="46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</row>
    <row r="59" spans="1:49" s="65" customFormat="1" x14ac:dyDescent="0.25">
      <c r="A59" s="29"/>
      <c r="B59" s="49" t="s">
        <v>322</v>
      </c>
      <c r="C59" s="49" t="str">
        <f>CODES!$A$16</f>
      </c>
      <c r="D59" s="47" t="str">
        <f>CODES!C83</f>
      </c>
      <c r="E59" s="46" t="str">
        <v>NO DATA</v>
      </c>
      <c r="F59" s="46"/>
      <c r="G59" s="46"/>
      <c r="H59" s="46"/>
      <c r="I59" s="46"/>
      <c r="J59" s="46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</row>
    <row r="60" spans="1:49" s="65" customFormat="1" x14ac:dyDescent="0.25">
      <c r="A60" s="29"/>
      <c r="B60" s="49" t="s">
        <v>332</v>
      </c>
      <c r="C60" s="49" t="str">
        <f>CODES!$A$16</f>
      </c>
      <c r="D60" s="47" t="str">
        <f>CODES!C106</f>
      </c>
      <c r="E60" s="46" t="str">
        <v>NO DATA</v>
      </c>
      <c r="F60" s="46"/>
      <c r="G60" s="46"/>
      <c r="H60" s="46"/>
      <c r="I60" s="46"/>
      <c r="J60" s="46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</row>
    <row r="61" spans="1:49" s="65" customFormat="1" x14ac:dyDescent="0.25">
      <c r="A61" s="29"/>
      <c r="B61" s="49" t="s">
        <v>336</v>
      </c>
      <c r="C61" s="49" t="str">
        <f>CODES!$A$16</f>
      </c>
      <c r="D61" s="47" t="str">
        <f>CODES!C114</f>
      </c>
      <c r="E61" s="46" t="str">
        <v>NO DATA</v>
      </c>
      <c r="F61" s="46"/>
      <c r="G61" s="46"/>
      <c r="H61" s="46"/>
      <c r="I61" s="46"/>
      <c r="J61" s="46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</row>
    <row r="62" spans="1:49" s="65" customFormat="1" x14ac:dyDescent="0.25">
      <c r="A62" s="29"/>
      <c r="B62" s="49" t="s">
        <v>235</v>
      </c>
      <c r="C62" s="49" t="str">
        <f>CODES!$A$16</f>
      </c>
      <c r="D62" s="47">
        <f>CODES!C84</f>
      </c>
      <c r="E62" s="46" t="str">
        <v>NO DATA</v>
      </c>
      <c r="F62" s="46"/>
      <c r="G62" s="46"/>
      <c r="H62" s="46"/>
      <c r="I62" s="46"/>
      <c r="J62" s="46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</row>
    <row r="63" spans="1:49" s="65" customFormat="1" x14ac:dyDescent="0.25">
      <c r="A63" s="29"/>
      <c r="B63" s="49" t="s">
        <v>307</v>
      </c>
      <c r="C63" s="49" t="str">
        <f>CODES!$A$16</f>
      </c>
      <c r="D63" s="47" t="str">
        <f>CODES!C110</f>
      </c>
      <c r="E63" s="46" t="str">
        <v>NO DATA</v>
      </c>
      <c r="F63" s="46"/>
      <c r="G63" s="46"/>
      <c r="H63" s="46"/>
      <c r="I63" s="46"/>
      <c r="J63" s="46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</row>
    <row r="64" spans="1:49" s="65" customFormat="1" x14ac:dyDescent="0.25">
      <c r="A64" s="29"/>
      <c r="B64" s="49" t="s">
        <v>244</v>
      </c>
      <c r="C64" s="49" t="str">
        <f>CODES!$A$16</f>
      </c>
      <c r="D64" s="47" t="str">
        <f>CODES!C97</f>
      </c>
      <c r="E64" s="46" t="str" cm="1">
        <f t="array" ref="E64:AW66">TRANSPOSE('ICPQQQ RESULTS'!AS69:AU113)</f>
      </c>
      <c r="F64" s="46"/>
      <c r="G64" s="46"/>
      <c r="H64" s="46"/>
      <c r="I64" s="46"/>
      <c r="J64" s="46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</row>
    <row r="65" spans="1:49" s="65" customFormat="1" x14ac:dyDescent="0.25">
      <c r="A65" s="29"/>
      <c r="B65" s="49" t="s">
        <v>308</v>
      </c>
      <c r="C65" s="49" t="str">
        <f>CODES!$A$16</f>
      </c>
      <c r="D65" s="47" t="str">
        <f>CODES!B108</f>
      </c>
      <c r="E65" s="46" t="str">
        <v>NO DATA</v>
      </c>
      <c r="F65" s="46"/>
      <c r="G65" s="46"/>
      <c r="H65" s="46"/>
      <c r="I65" s="46"/>
      <c r="J65" s="46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</row>
    <row r="66" spans="1:49" s="65" customFormat="1" x14ac:dyDescent="0.25">
      <c r="A66" s="29"/>
      <c r="B66" s="49" t="s">
        <v>249</v>
      </c>
      <c r="C66" s="49" t="str">
        <f>CODES!$A$16</f>
      </c>
      <c r="D66" s="47">
        <f>CODES!C112</f>
      </c>
      <c r="E66" s="46" t="str">
        <v>NO DATA</v>
      </c>
      <c r="F66" s="46"/>
      <c r="G66" s="46"/>
      <c r="H66" s="46"/>
      <c r="I66" s="46"/>
      <c r="J66" s="46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</row>
    <row r="67" spans="1:49" x14ac:dyDescent="0.25">
      <c r="B67" s="42"/>
      <c r="C67" s="42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</row>
    <row r="68" spans="1:49" ht="15.75" x14ac:dyDescent="0.25">
      <c r="B68" s="30" t="s">
        <v>253</v>
      </c>
      <c r="C68" s="31" t="s">
        <v>216</v>
      </c>
      <c r="D68" s="31" t="s">
        <v>217</v>
      </c>
      <c r="E68" s="31" t="str">
        <f t="array" ref="E68:AW68">TRANSPOSE('PHYSICAL RESULTS'!A18:A62)</f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</row>
    <row r="69" spans="1:49" x14ac:dyDescent="0.25">
      <c r="B69" s="31" t="s">
        <v>254</v>
      </c>
      <c r="C69" s="31" t="s">
        <v>213</v>
      </c>
      <c r="D69" s="31" t="s">
        <v>170</v>
      </c>
      <c r="E69" s="31" t="str">
        <f t="array" ref="E69:AW69">TRANSPOSE('BIOLOGICAL RESULTS'!E18:E62)</f>
      </c>
      <c r="F69" s="31"/>
      <c r="G69" s="31"/>
      <c r="H69" s="31"/>
      <c r="I69" s="31"/>
      <c r="J69" s="31"/>
      <c r="K69" s="31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</row>
    <row r="70" spans="1:49" x14ac:dyDescent="0.25">
      <c r="B70" s="31" t="s">
        <v>255</v>
      </c>
      <c r="C70" s="31" t="s">
        <v>204</v>
      </c>
      <c r="D70" s="31" t="s">
        <v>170</v>
      </c>
      <c r="E70" s="45" t="str">
        <f t="array" ref="E70:AW70">TRANSPOSE('PHYSICAL RESULTS'!F18:F62)</f>
      </c>
      <c r="F70" s="45"/>
      <c r="G70" s="45"/>
      <c r="H70" s="45"/>
      <c r="I70" s="45"/>
      <c r="J70" s="45"/>
      <c r="K70" s="4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</row>
    <row r="71" spans="1:49" x14ac:dyDescent="0.25">
      <c r="B71" s="31" t="s">
        <v>193</v>
      </c>
      <c r="C71" s="31" t="s">
        <v>205</v>
      </c>
      <c r="D71" s="31" t="s">
        <v>219</v>
      </c>
      <c r="E71" s="45" t="str">
        <f t="array" ref="E71:AW71">TRANSPOSE('PHYSICAL RESULTS'!H18:H62)</f>
      </c>
      <c r="F71" s="45"/>
      <c r="G71" s="45"/>
      <c r="H71" s="45"/>
      <c r="I71" s="45"/>
      <c r="J71" s="45"/>
      <c r="K71" s="4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</row>
    <row r="72" spans="1:49" x14ac:dyDescent="0.25">
      <c r="B72" s="31" t="s">
        <v>200</v>
      </c>
      <c r="C72" s="31"/>
      <c r="D72" s="31" t="s">
        <v>219</v>
      </c>
      <c r="E72" s="46" t="str">
        <f t="array" ref="E72:AW72">TRANSPOSE('PHYSICAL RESULTS'!O18:O62)</f>
      </c>
      <c r="F72" s="46"/>
      <c r="G72" s="46"/>
      <c r="H72" s="46"/>
      <c r="I72" s="46"/>
      <c r="J72" s="46"/>
      <c r="K72" s="46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</row>
    <row r="73" spans="1:49" x14ac:dyDescent="0.25">
      <c r="B73" s="31" t="s">
        <v>198</v>
      </c>
      <c r="C73" s="31" t="s">
        <v>204</v>
      </c>
      <c r="D73" s="31" t="s">
        <v>219</v>
      </c>
      <c r="E73" s="46" t="str">
        <f t="array" ref="E73:AW73">TRANSPOSE('PHYSICAL RESULTS'!M18:M62)</f>
      </c>
      <c r="F73" s="46"/>
      <c r="G73" s="46"/>
      <c r="H73" s="46"/>
      <c r="I73" s="46"/>
      <c r="J73" s="46"/>
      <c r="K73" s="46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</row>
    <row r="74" spans="1:49" x14ac:dyDescent="0.25">
      <c r="B74" s="31" t="s">
        <v>194</v>
      </c>
      <c r="C74" s="31" t="s">
        <v>204</v>
      </c>
      <c r="D74" s="31" t="s">
        <v>219</v>
      </c>
      <c r="E74" s="46" t="str">
        <f t="array" ref="E74:AW74">TRANSPOSE('PHYSICAL RESULTS'!I18:I62)</f>
      </c>
      <c r="F74" s="46"/>
      <c r="G74" s="46"/>
      <c r="H74" s="46"/>
      <c r="I74" s="46"/>
      <c r="J74" s="46"/>
      <c r="K74" s="46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</row>
    <row r="75" spans="1:49" x14ac:dyDescent="0.25">
      <c r="B75" s="31" t="s">
        <v>195</v>
      </c>
      <c r="C75" s="31" t="s">
        <v>204</v>
      </c>
      <c r="D75" s="31" t="s">
        <v>223</v>
      </c>
      <c r="E75" s="45" t="str">
        <f t="array" ref="E75:AW75">TRANSPOSE('PHYSICAL RESULTS'!J18:J62)</f>
      </c>
      <c r="F75" s="45"/>
      <c r="G75" s="45"/>
      <c r="H75" s="45"/>
      <c r="I75" s="45"/>
      <c r="J75" s="45"/>
      <c r="K75" s="4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</row>
    <row r="76" spans="1:49" x14ac:dyDescent="0.25">
      <c r="B76" s="31" t="s">
        <v>256</v>
      </c>
      <c r="C76" s="31" t="s">
        <v>206</v>
      </c>
      <c r="D76" s="31" t="s">
        <v>257</v>
      </c>
      <c r="E76" s="47" t="str">
        <f t="array" ref="E76:AW76">TRANSPOSE('PHYSICAL RESULTS'!K18:K62)</f>
      </c>
      <c r="F76" s="47"/>
      <c r="G76" s="47"/>
      <c r="H76" s="47"/>
      <c r="I76" s="47"/>
      <c r="J76" s="47"/>
      <c r="K76" s="4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</row>
    <row r="77" spans="1:49" x14ac:dyDescent="0.25">
      <c r="B77" s="31" t="s">
        <v>201</v>
      </c>
      <c r="C77" s="31" t="s">
        <v>258</v>
      </c>
      <c r="D77" s="31" t="s">
        <v>259</v>
      </c>
      <c r="E77" s="31" t="str">
        <f t="array" ref="E77:AW77">TRANSPOSE('PHYSICAL RESULTS'!P18:P62)</f>
      </c>
      <c r="F77" s="31"/>
      <c r="G77" s="31"/>
      <c r="H77" s="31"/>
      <c r="I77" s="31"/>
      <c r="J77" s="31"/>
      <c r="K77" s="31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</row>
  </sheetData>
  <sheetProtection algorithmName="SHA-512" hashValue="RoL0xJyLCjmGiaCUv8CH9BbS8ladLFWyOM8pm1sBKK8n9PdMsH1h4jxTqtGIF89bdlBwaJnviJFW07acmoOKPA==" saltValue="+ZxDeylLAdfeo8J8cE1p8w==" spinCount="100000" sheet="1" objects="1" scenarios="1" formatCells="0" formatColumns="0"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8"/>
  <sheetViews>
    <sheetView workbookViewId="0">
      <selection activeCell="A4" sqref="A4"/>
    </sheetView>
  </sheetViews>
  <sheetFormatPr defaultRowHeight="15" x14ac:dyDescent="0.25"/>
  <cols>
    <col min="1" max="16384" width="9.140625" style="12"/>
  </cols>
  <sheetData>
    <row r="1" spans="1:1" x14ac:dyDescent="0.25">
      <c r="A1" s="44" t="s">
        <v>260</v>
      </c>
    </row>
    <row r="3" spans="1:1" x14ac:dyDescent="0.25">
      <c r="A3" s="2" t="s">
        <v>521</v>
      </c>
    </row>
    <row r="5" spans="1:1" x14ac:dyDescent="0.25">
      <c r="A5" s="44" t="s">
        <v>261</v>
      </c>
    </row>
    <row r="6" spans="1:1" x14ac:dyDescent="0.25">
      <c r="A6" s="12" t="s">
        <v>262</v>
      </c>
    </row>
    <row r="8" spans="1:1" x14ac:dyDescent="0.25">
      <c r="A8" s="44" t="s">
        <v>263</v>
      </c>
    </row>
    <row r="9" spans="1:1" x14ac:dyDescent="0.25">
      <c r="A9" s="12" t="s">
        <v>264</v>
      </c>
    </row>
    <row r="10" spans="1:1" x14ac:dyDescent="0.25">
      <c r="A10" s="12" t="s">
        <v>419</v>
      </c>
    </row>
    <row r="12" spans="1:1" x14ac:dyDescent="0.25">
      <c r="A12" s="44" t="s">
        <v>417</v>
      </c>
    </row>
    <row r="13" spans="1:1" x14ac:dyDescent="0.25">
      <c r="A13" s="12" t="s">
        <v>418</v>
      </c>
    </row>
    <row r="14" spans="1:1" x14ac:dyDescent="0.25">
      <c r="A14" s="12" t="s">
        <v>419</v>
      </c>
    </row>
    <row r="16" spans="1:1" x14ac:dyDescent="0.25">
      <c r="A16" s="44" t="s">
        <v>265</v>
      </c>
    </row>
    <row r="17" spans="1:1" x14ac:dyDescent="0.25">
      <c r="A17" s="12" t="s">
        <v>266</v>
      </c>
    </row>
    <row r="18" spans="1:1" x14ac:dyDescent="0.25">
      <c r="A18" s="12" t="s">
        <v>267</v>
      </c>
    </row>
    <row r="19" spans="1:1" x14ac:dyDescent="0.25">
      <c r="A19" s="12" t="s">
        <v>268</v>
      </c>
    </row>
    <row r="21" spans="1:1" x14ac:dyDescent="0.25">
      <c r="A21" s="44" t="s">
        <v>269</v>
      </c>
    </row>
    <row r="22" spans="1:1" x14ac:dyDescent="0.25">
      <c r="A22" s="12" t="s">
        <v>421</v>
      </c>
    </row>
    <row r="23" spans="1:1" x14ac:dyDescent="0.25">
      <c r="A23" s="12" t="s">
        <v>422</v>
      </c>
    </row>
    <row r="24" spans="1:1" x14ac:dyDescent="0.25">
      <c r="A24" s="12" t="s">
        <v>268</v>
      </c>
    </row>
    <row r="26" spans="1:1" x14ac:dyDescent="0.25">
      <c r="A26" s="44" t="s">
        <v>270</v>
      </c>
    </row>
    <row r="27" spans="1:1" x14ac:dyDescent="0.25">
      <c r="A27" s="12" t="s">
        <v>271</v>
      </c>
    </row>
    <row r="28" spans="1:1" x14ac:dyDescent="0.25">
      <c r="A28" s="12" t="s">
        <v>268</v>
      </c>
    </row>
    <row r="30" spans="1:1" x14ac:dyDescent="0.25">
      <c r="A30" s="44" t="s">
        <v>272</v>
      </c>
    </row>
    <row r="31" spans="1:1" x14ac:dyDescent="0.25">
      <c r="A31" s="12" t="s">
        <v>420</v>
      </c>
    </row>
    <row r="32" spans="1:1" x14ac:dyDescent="0.25">
      <c r="A32" s="12" t="s">
        <v>273</v>
      </c>
    </row>
    <row r="33" spans="1:2" x14ac:dyDescent="0.25">
      <c r="A33" s="12" t="s">
        <v>274</v>
      </c>
    </row>
    <row r="38" spans="1:2" x14ac:dyDescent="0.25">
      <c r="A38" s="44" t="s">
        <v>403</v>
      </c>
    </row>
    <row r="39" spans="1:2" x14ac:dyDescent="0.25">
      <c r="A39" s="12" t="s">
        <v>314</v>
      </c>
      <c r="B39" s="12" t="s">
        <v>404</v>
      </c>
    </row>
    <row r="40" spans="1:2" x14ac:dyDescent="0.25">
      <c r="A40" s="12" t="s">
        <v>313</v>
      </c>
      <c r="B40" s="12" t="s">
        <v>468</v>
      </c>
    </row>
    <row r="41" spans="1:2" x14ac:dyDescent="0.25">
      <c r="A41" s="12" t="s">
        <v>359</v>
      </c>
      <c r="B41" s="12" t="s">
        <v>448</v>
      </c>
    </row>
    <row r="42" spans="1:2" x14ac:dyDescent="0.25">
      <c r="A42" s="12" t="s">
        <v>402</v>
      </c>
      <c r="B42" s="12" t="s">
        <v>441</v>
      </c>
    </row>
    <row r="44" spans="1:2" x14ac:dyDescent="0.25">
      <c r="A44" s="44" t="s">
        <v>423</v>
      </c>
    </row>
    <row r="45" spans="1:2" x14ac:dyDescent="0.25">
      <c r="A45" s="12" t="s">
        <v>314</v>
      </c>
      <c r="B45" s="12" t="s">
        <v>424</v>
      </c>
    </row>
    <row r="46" spans="1:2" x14ac:dyDescent="0.25">
      <c r="A46" s="12" t="s">
        <v>313</v>
      </c>
      <c r="B46" s="12" t="s">
        <v>425</v>
      </c>
    </row>
    <row r="47" spans="1:2" x14ac:dyDescent="0.25">
      <c r="A47" s="12" t="s">
        <v>359</v>
      </c>
      <c r="B47" s="12" t="s">
        <v>444</v>
      </c>
    </row>
    <row r="48" spans="1:2" x14ac:dyDescent="0.25">
      <c r="A48" s="12" t="s">
        <v>402</v>
      </c>
      <c r="B48" s="12" t="s">
        <v>426</v>
      </c>
    </row>
  </sheetData>
  <sheetProtection algorithmName="SHA-512" hashValue="ft6a5bdf/5TaX335iy63+QFtIntvYwYEvItaZ4OVCo3sf4sC2+ogMRooUaLFCmx9mDL8+WFwQB5tY5qWvfPXCg==" saltValue="6uULLGRxNQVvQXVwf8QDvw==" spinCount="100000" sheet="1" objects="1" scenarios="1" formatCell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5A3E-8742-43A8-B915-1AAC91213A58}">
  <dimension ref="A1:F123"/>
  <sheetViews>
    <sheetView zoomScale="85" zoomScaleNormal="85" workbookViewId="0">
      <selection activeCell="P51" sqref="P51"/>
    </sheetView>
  </sheetViews>
  <sheetFormatPr defaultRowHeight="15" x14ac:dyDescent="0.25"/>
  <cols>
    <col min="1" max="1" width="17.85546875" customWidth="1"/>
    <col min="2" max="3" width="24.28515625" customWidth="1"/>
  </cols>
  <sheetData>
    <row r="1" spans="1:5" ht="31.5" x14ac:dyDescent="0.5">
      <c r="A1" s="71" t="s">
        <v>311</v>
      </c>
      <c r="B1" s="72"/>
      <c r="C1" s="72"/>
      <c r="D1" s="72"/>
      <c r="E1" s="72"/>
    </row>
    <row r="2" spans="1:5" x14ac:dyDescent="0.25">
      <c r="A2" t="str">
        <f>INSTRUCTIONS!A3</f>
      </c>
    </row>
    <row r="4" spans="1:5" x14ac:dyDescent="0.25">
      <c r="A4" s="76" t="s">
        <v>312</v>
      </c>
      <c r="C4" s="169" t="s">
        <v>507</v>
      </c>
    </row>
    <row r="5" spans="1:5" x14ac:dyDescent="0.25">
      <c r="A5" s="70" t="s">
        <v>313</v>
      </c>
      <c r="C5" s="77" t="s">
        <v>348</v>
      </c>
    </row>
    <row r="6" spans="1:5" x14ac:dyDescent="0.25">
      <c r="A6" s="70" t="s">
        <v>314</v>
      </c>
      <c r="C6" s="77" t="s">
        <v>506</v>
      </c>
    </row>
    <row r="7" spans="1:5" x14ac:dyDescent="0.25">
      <c r="A7" s="70" t="s">
        <v>359</v>
      </c>
    </row>
    <row r="9" spans="1:5" x14ac:dyDescent="0.25">
      <c r="A9" s="76" t="s">
        <v>343</v>
      </c>
    </row>
    <row r="10" spans="1:5" x14ac:dyDescent="0.25">
      <c r="A10" s="70" t="s">
        <v>340</v>
      </c>
    </row>
    <row r="11" spans="1:5" x14ac:dyDescent="0.25">
      <c r="A11" s="70" t="s">
        <v>342</v>
      </c>
    </row>
    <row r="12" spans="1:5" x14ac:dyDescent="0.25">
      <c r="A12" s="70" t="s">
        <v>339</v>
      </c>
    </row>
    <row r="13" spans="1:5" x14ac:dyDescent="0.25">
      <c r="A13" s="70" t="s">
        <v>341</v>
      </c>
    </row>
    <row r="15" spans="1:5" x14ac:dyDescent="0.25">
      <c r="A15" s="76" t="s">
        <v>345</v>
      </c>
    </row>
    <row r="16" spans="1:5" x14ac:dyDescent="0.25">
      <c r="A16" s="70" t="s">
        <v>408</v>
      </c>
    </row>
    <row r="17" spans="1:1" x14ac:dyDescent="0.25">
      <c r="A17" s="70" t="s">
        <v>204</v>
      </c>
    </row>
    <row r="18" spans="1:1" x14ac:dyDescent="0.25">
      <c r="A18" s="70" t="s">
        <v>346</v>
      </c>
    </row>
    <row r="20" spans="1:1" x14ac:dyDescent="0.25">
      <c r="A20" s="76" t="s">
        <v>347</v>
      </c>
    </row>
    <row r="21" spans="1:1" x14ac:dyDescent="0.25">
      <c r="A21" s="70" t="s">
        <v>259</v>
      </c>
    </row>
    <row r="22" spans="1:1" x14ac:dyDescent="0.25">
      <c r="A22" s="70" t="s">
        <v>349</v>
      </c>
    </row>
    <row r="23" spans="1:1" x14ac:dyDescent="0.25">
      <c r="A23" s="70" t="s">
        <v>350</v>
      </c>
    </row>
    <row r="24" spans="1:1" x14ac:dyDescent="0.25">
      <c r="A24" s="70" t="s">
        <v>351</v>
      </c>
    </row>
    <row r="25" spans="1:1" x14ac:dyDescent="0.25">
      <c r="A25" s="70" t="s">
        <v>352</v>
      </c>
    </row>
    <row r="26" spans="1:1" x14ac:dyDescent="0.25">
      <c r="A26" s="70" t="s">
        <v>353</v>
      </c>
    </row>
    <row r="27" spans="1:1" x14ac:dyDescent="0.25">
      <c r="A27" s="70" t="s">
        <v>354</v>
      </c>
    </row>
    <row r="28" spans="1:1" x14ac:dyDescent="0.25">
      <c r="A28" s="70" t="s">
        <v>355</v>
      </c>
    </row>
    <row r="29" spans="1:1" x14ac:dyDescent="0.25">
      <c r="A29" s="70" t="s">
        <v>357</v>
      </c>
    </row>
    <row r="30" spans="1:1" x14ac:dyDescent="0.25">
      <c r="A30" s="70" t="s">
        <v>356</v>
      </c>
    </row>
    <row r="31" spans="1:1" x14ac:dyDescent="0.25">
      <c r="A31" s="70" t="s">
        <v>208</v>
      </c>
    </row>
    <row r="33" spans="1:6" x14ac:dyDescent="0.25">
      <c r="A33" s="176" t="s">
        <v>415</v>
      </c>
      <c r="B33" s="177"/>
      <c r="C33" s="178"/>
    </row>
    <row r="34" spans="1:6" x14ac:dyDescent="0.25">
      <c r="A34" s="81" t="s">
        <v>397</v>
      </c>
      <c r="B34" s="81" t="s">
        <v>398</v>
      </c>
      <c r="C34" s="81" t="s">
        <v>414</v>
      </c>
    </row>
    <row r="35" spans="1:6" x14ac:dyDescent="0.25">
      <c r="A35" s="82" t="s">
        <v>225</v>
      </c>
      <c r="B35" s="82" t="str">
        <f t="shared" ref="B35:C38" si="0">B66</f>
      </c>
      <c r="C35" s="82" t="str">
        <f t="shared" si="0"/>
      </c>
    </row>
    <row r="36" spans="1:6" x14ac:dyDescent="0.25">
      <c r="A36" s="82" t="s">
        <v>226</v>
      </c>
      <c r="B36" s="168" t="str">
        <f t="shared" si="0"/>
      </c>
      <c r="C36" s="90" t="str">
        <f t="shared" si="0"/>
      </c>
    </row>
    <row r="37" spans="1:6" x14ac:dyDescent="0.25">
      <c r="A37" s="82" t="s">
        <v>227</v>
      </c>
      <c r="B37" s="82">
        <f t="shared" si="0"/>
      </c>
      <c r="C37" s="82">
        <f t="shared" si="0"/>
      </c>
    </row>
    <row r="38" spans="1:6" x14ac:dyDescent="0.25">
      <c r="A38" s="82" t="s">
        <v>228</v>
      </c>
      <c r="B38" s="82">
        <f t="shared" si="0"/>
      </c>
      <c r="C38" s="82">
        <f t="shared" si="0"/>
      </c>
    </row>
    <row r="39" spans="1:6" x14ac:dyDescent="0.25">
      <c r="A39" s="82" t="s">
        <v>229</v>
      </c>
      <c r="B39" s="82" t="str">
        <f>B71</f>
      </c>
      <c r="C39" s="82" t="str">
        <f>C71</f>
      </c>
    </row>
    <row r="40" spans="1:6" x14ac:dyDescent="0.25">
      <c r="A40" s="82" t="s">
        <v>230</v>
      </c>
      <c r="B40" s="82">
        <f>B72</f>
      </c>
      <c r="C40" s="82">
        <f>C72</f>
      </c>
    </row>
    <row r="41" spans="1:6" x14ac:dyDescent="0.25">
      <c r="A41" s="82" t="s">
        <v>231</v>
      </c>
      <c r="B41" s="82" t="str">
        <f t="shared" ref="B41:C43" si="1">B74</f>
      </c>
      <c r="C41" s="82" t="str">
        <f t="shared" si="1"/>
      </c>
    </row>
    <row r="42" spans="1:6" x14ac:dyDescent="0.25">
      <c r="A42" s="82" t="s">
        <v>232</v>
      </c>
      <c r="B42" s="82">
        <f t="shared" si="1"/>
      </c>
      <c r="C42" s="82">
        <f t="shared" si="1"/>
      </c>
    </row>
    <row r="43" spans="1:6" x14ac:dyDescent="0.25">
      <c r="A43" s="82" t="s">
        <v>233</v>
      </c>
      <c r="B43" s="82" t="str">
        <f t="shared" si="1"/>
      </c>
      <c r="C43" s="82" t="str">
        <f t="shared" si="1"/>
      </c>
    </row>
    <row r="44" spans="1:6" x14ac:dyDescent="0.25">
      <c r="A44" s="82" t="s">
        <v>234</v>
      </c>
      <c r="B44" s="82" t="str">
        <f>B80</f>
      </c>
      <c r="C44" s="82" t="str">
        <f>C80</f>
      </c>
    </row>
    <row r="45" spans="1:6" x14ac:dyDescent="0.25">
      <c r="A45" s="82" t="s">
        <v>235</v>
      </c>
      <c r="B45" s="82">
        <f>B84</f>
      </c>
      <c r="C45" s="82">
        <f>C84</f>
      </c>
      <c r="D45" s="86" t="s">
        <v>409</v>
      </c>
      <c r="E45" s="87"/>
      <c r="F45" s="87"/>
    </row>
    <row r="46" spans="1:6" x14ac:dyDescent="0.25">
      <c r="A46" s="82" t="s">
        <v>236</v>
      </c>
      <c r="B46" s="82" t="str">
        <f>B86</f>
      </c>
      <c r="C46" s="82" t="str">
        <f>C86</f>
      </c>
    </row>
    <row r="47" spans="1:6" x14ac:dyDescent="0.25">
      <c r="A47" s="82" t="s">
        <v>237</v>
      </c>
      <c r="B47" s="82" t="str">
        <f t="shared" ref="B47:C50" si="2">B89</f>
      </c>
      <c r="C47" s="82" t="str">
        <f t="shared" si="2"/>
      </c>
    </row>
    <row r="48" spans="1:6" x14ac:dyDescent="0.25">
      <c r="A48" s="82" t="s">
        <v>238</v>
      </c>
      <c r="B48" s="82" t="str">
        <f t="shared" si="2"/>
      </c>
      <c r="C48" s="82">
        <f t="shared" si="2"/>
      </c>
    </row>
    <row r="49" spans="1:3" x14ac:dyDescent="0.25">
      <c r="A49" s="82" t="s">
        <v>239</v>
      </c>
      <c r="B49" s="82" t="str">
        <f t="shared" si="2"/>
      </c>
      <c r="C49" s="82" t="str">
        <f t="shared" si="2"/>
      </c>
    </row>
    <row r="50" spans="1:3" x14ac:dyDescent="0.25">
      <c r="A50" s="82" t="s">
        <v>240</v>
      </c>
      <c r="B50" s="82" t="str">
        <f t="shared" si="2"/>
      </c>
      <c r="C50" s="82" t="str">
        <f t="shared" si="2"/>
      </c>
    </row>
    <row r="51" spans="1:3" x14ac:dyDescent="0.25">
      <c r="A51" s="82" t="s">
        <v>242</v>
      </c>
      <c r="B51" s="82" t="str">
        <f t="shared" ref="B51:C53" si="3">B95</f>
      </c>
      <c r="C51" s="82" t="str">
        <f t="shared" si="3"/>
      </c>
    </row>
    <row r="52" spans="1:3" x14ac:dyDescent="0.25">
      <c r="A52" s="82" t="s">
        <v>243</v>
      </c>
      <c r="B52" s="82" t="str">
        <f t="shared" si="3"/>
      </c>
      <c r="C52" s="82" t="str">
        <f t="shared" si="3"/>
      </c>
    </row>
    <row r="53" spans="1:3" x14ac:dyDescent="0.25">
      <c r="A53" s="82" t="s">
        <v>244</v>
      </c>
      <c r="B53" s="82" t="str">
        <f t="shared" si="3"/>
      </c>
      <c r="C53" s="82" t="str">
        <f t="shared" si="3"/>
      </c>
    </row>
    <row r="54" spans="1:3" x14ac:dyDescent="0.25">
      <c r="A54" s="82" t="s">
        <v>245</v>
      </c>
      <c r="B54" s="82" t="str">
        <f t="shared" ref="B54:C56" si="4">B99</f>
      </c>
      <c r="C54" s="82" t="str">
        <f t="shared" si="4"/>
      </c>
    </row>
    <row r="55" spans="1:3" x14ac:dyDescent="0.25">
      <c r="A55" s="82" t="s">
        <v>246</v>
      </c>
      <c r="B55" s="82">
        <f t="shared" si="4"/>
      </c>
      <c r="C55" s="82">
        <f t="shared" si="4"/>
      </c>
    </row>
    <row r="56" spans="1:3" x14ac:dyDescent="0.25">
      <c r="A56" s="82" t="s">
        <v>247</v>
      </c>
      <c r="B56" s="82">
        <f t="shared" si="4"/>
      </c>
      <c r="C56" s="82">
        <f t="shared" si="4"/>
      </c>
    </row>
    <row r="57" spans="1:3" x14ac:dyDescent="0.25">
      <c r="A57" s="82" t="s">
        <v>248</v>
      </c>
      <c r="B57" s="82" t="str">
        <f>B104</f>
      </c>
      <c r="C57" s="82" t="str">
        <f>C104</f>
      </c>
    </row>
    <row r="58" spans="1:3" x14ac:dyDescent="0.25">
      <c r="A58" s="82" t="s">
        <v>249</v>
      </c>
      <c r="B58" s="82">
        <f>B112</f>
      </c>
      <c r="C58" s="82">
        <f>C112</f>
      </c>
    </row>
    <row r="59" spans="1:3" x14ac:dyDescent="0.25">
      <c r="A59" s="82" t="s">
        <v>250</v>
      </c>
      <c r="B59" s="82" t="str">
        <f>B113</f>
      </c>
      <c r="C59" s="82" t="str">
        <f>C113</f>
      </c>
    </row>
    <row r="60" spans="1:3" x14ac:dyDescent="0.25">
      <c r="A60" s="82" t="s">
        <v>251</v>
      </c>
      <c r="B60" s="82" t="str">
        <f>B116</f>
      </c>
      <c r="C60" s="82" t="str">
        <f>C116</f>
      </c>
    </row>
    <row r="63" spans="1:3" x14ac:dyDescent="0.25">
      <c r="A63" s="176" t="s">
        <v>416</v>
      </c>
      <c r="B63" s="177"/>
      <c r="C63" s="178"/>
    </row>
    <row r="64" spans="1:3" x14ac:dyDescent="0.25">
      <c r="A64" s="81" t="s">
        <v>397</v>
      </c>
      <c r="B64" s="81" t="s">
        <v>398</v>
      </c>
      <c r="C64" s="81" t="s">
        <v>414</v>
      </c>
    </row>
    <row r="65" spans="1:3" x14ac:dyDescent="0.25">
      <c r="A65" s="82" t="s">
        <v>315</v>
      </c>
      <c r="B65" s="82" t="s">
        <v>170</v>
      </c>
      <c r="C65" s="82" t="s">
        <v>170</v>
      </c>
    </row>
    <row r="66" spans="1:3" x14ac:dyDescent="0.25">
      <c r="A66" s="82" t="s">
        <v>225</v>
      </c>
      <c r="B66" s="82" t="s">
        <v>502</v>
      </c>
      <c r="C66" s="88" t="s">
        <v>503</v>
      </c>
    </row>
    <row r="67" spans="1:3" x14ac:dyDescent="0.25">
      <c r="A67" s="89" t="s">
        <v>226</v>
      </c>
      <c r="B67" s="168" t="s">
        <v>516</v>
      </c>
      <c r="C67" s="88" t="s">
        <v>517</v>
      </c>
    </row>
    <row r="68" spans="1:3" x14ac:dyDescent="0.25">
      <c r="A68" s="82" t="s">
        <v>227</v>
      </c>
      <c r="B68" s="82">
        <v>5</v>
      </c>
      <c r="C68" s="88">
        <v>5000</v>
      </c>
    </row>
    <row r="69" spans="1:3" x14ac:dyDescent="0.25">
      <c r="A69" s="82" t="s">
        <v>228</v>
      </c>
      <c r="B69" s="82">
        <v>2</v>
      </c>
      <c r="C69" s="88">
        <v>2000</v>
      </c>
    </row>
    <row r="70" spans="1:3" x14ac:dyDescent="0.25">
      <c r="A70" s="82" t="s">
        <v>309</v>
      </c>
      <c r="B70" s="82" t="s">
        <v>219</v>
      </c>
      <c r="C70" s="82" t="s">
        <v>219</v>
      </c>
    </row>
    <row r="71" spans="1:3" x14ac:dyDescent="0.25">
      <c r="A71" s="82" t="s">
        <v>229</v>
      </c>
      <c r="B71" s="82" t="s">
        <v>170</v>
      </c>
      <c r="C71" s="82" t="s">
        <v>170</v>
      </c>
    </row>
    <row r="72" spans="1:3" x14ac:dyDescent="0.25">
      <c r="A72" s="82" t="s">
        <v>230</v>
      </c>
      <c r="B72" s="82">
        <v>7.0000000000000001E-3</v>
      </c>
      <c r="C72" s="88">
        <v>7</v>
      </c>
    </row>
    <row r="73" spans="1:3" x14ac:dyDescent="0.25">
      <c r="A73" s="82" t="s">
        <v>316</v>
      </c>
      <c r="B73" s="82" t="s">
        <v>219</v>
      </c>
      <c r="C73" s="82" t="s">
        <v>219</v>
      </c>
    </row>
    <row r="74" spans="1:3" x14ac:dyDescent="0.25">
      <c r="A74" s="82" t="s">
        <v>231</v>
      </c>
      <c r="B74" s="82" t="s">
        <v>219</v>
      </c>
      <c r="C74" s="82" t="s">
        <v>219</v>
      </c>
    </row>
    <row r="75" spans="1:3" x14ac:dyDescent="0.25">
      <c r="A75" s="82" t="s">
        <v>232</v>
      </c>
      <c r="B75" s="82">
        <v>0.05</v>
      </c>
      <c r="C75" s="88">
        <v>50</v>
      </c>
    </row>
    <row r="76" spans="1:3" x14ac:dyDescent="0.25">
      <c r="A76" s="82" t="s">
        <v>233</v>
      </c>
      <c r="B76" s="82" t="s">
        <v>504</v>
      </c>
      <c r="C76" s="88" t="s">
        <v>505</v>
      </c>
    </row>
    <row r="77" spans="1:3" x14ac:dyDescent="0.25">
      <c r="A77" s="82" t="s">
        <v>317</v>
      </c>
      <c r="B77" s="82" t="s">
        <v>219</v>
      </c>
      <c r="C77" s="82" t="s">
        <v>219</v>
      </c>
    </row>
    <row r="78" spans="1:3" x14ac:dyDescent="0.25">
      <c r="A78" s="82" t="s">
        <v>318</v>
      </c>
      <c r="B78" s="82" t="s">
        <v>219</v>
      </c>
      <c r="C78" s="82" t="s">
        <v>219</v>
      </c>
    </row>
    <row r="79" spans="1:3" x14ac:dyDescent="0.25">
      <c r="A79" s="82" t="s">
        <v>319</v>
      </c>
      <c r="B79" s="82" t="s">
        <v>219</v>
      </c>
      <c r="C79" s="82" t="s">
        <v>219</v>
      </c>
    </row>
    <row r="80" spans="1:3" x14ac:dyDescent="0.25">
      <c r="A80" s="82" t="s">
        <v>234</v>
      </c>
      <c r="B80" s="82" t="s">
        <v>513</v>
      </c>
      <c r="C80" s="82" t="s">
        <v>514</v>
      </c>
    </row>
    <row r="81" spans="1:6" x14ac:dyDescent="0.25">
      <c r="A81" s="82" t="s">
        <v>320</v>
      </c>
      <c r="B81" s="82" t="s">
        <v>219</v>
      </c>
      <c r="C81" s="82" t="s">
        <v>219</v>
      </c>
    </row>
    <row r="82" spans="1:6" x14ac:dyDescent="0.25">
      <c r="A82" s="82" t="s">
        <v>321</v>
      </c>
      <c r="B82" s="82" t="s">
        <v>219</v>
      </c>
      <c r="C82" s="82" t="s">
        <v>219</v>
      </c>
    </row>
    <row r="83" spans="1:6" x14ac:dyDescent="0.25">
      <c r="A83" s="82" t="s">
        <v>322</v>
      </c>
      <c r="B83" s="82" t="s">
        <v>219</v>
      </c>
      <c r="C83" s="82" t="s">
        <v>219</v>
      </c>
    </row>
    <row r="84" spans="1:6" x14ac:dyDescent="0.25">
      <c r="A84" s="82" t="s">
        <v>235</v>
      </c>
      <c r="B84" s="82">
        <v>1</v>
      </c>
      <c r="C84" s="88">
        <v>1</v>
      </c>
      <c r="D84" s="86" t="s">
        <v>409</v>
      </c>
      <c r="E84" s="87"/>
      <c r="F84" s="87"/>
    </row>
    <row r="85" spans="1:6" x14ac:dyDescent="0.25">
      <c r="A85" s="82" t="s">
        <v>323</v>
      </c>
      <c r="B85" s="82" t="s">
        <v>219</v>
      </c>
      <c r="C85" s="82" t="s">
        <v>219</v>
      </c>
    </row>
    <row r="86" spans="1:6" x14ac:dyDescent="0.25">
      <c r="A86" s="82" t="s">
        <v>236</v>
      </c>
      <c r="B86" s="82" t="s">
        <v>219</v>
      </c>
      <c r="C86" s="82" t="s">
        <v>219</v>
      </c>
    </row>
    <row r="87" spans="1:6" x14ac:dyDescent="0.25">
      <c r="A87" s="82" t="s">
        <v>324</v>
      </c>
      <c r="B87" s="82" t="s">
        <v>219</v>
      </c>
      <c r="C87" s="82" t="s">
        <v>219</v>
      </c>
    </row>
    <row r="88" spans="1:6" x14ac:dyDescent="0.25">
      <c r="A88" s="82" t="s">
        <v>325</v>
      </c>
      <c r="B88" s="82" t="s">
        <v>219</v>
      </c>
      <c r="C88" s="82" t="s">
        <v>219</v>
      </c>
    </row>
    <row r="89" spans="1:6" x14ac:dyDescent="0.25">
      <c r="A89" s="82" t="s">
        <v>237</v>
      </c>
      <c r="B89" s="82" t="s">
        <v>170</v>
      </c>
      <c r="C89" s="82" t="s">
        <v>170</v>
      </c>
    </row>
    <row r="90" spans="1:6" x14ac:dyDescent="0.25">
      <c r="A90" s="82" t="s">
        <v>238</v>
      </c>
      <c r="B90" s="82" t="s">
        <v>515</v>
      </c>
      <c r="C90" s="88">
        <v>120</v>
      </c>
    </row>
    <row r="91" spans="1:6" x14ac:dyDescent="0.25">
      <c r="A91" s="82" t="s">
        <v>239</v>
      </c>
      <c r="B91" s="82" t="s">
        <v>219</v>
      </c>
      <c r="C91" s="82" t="s">
        <v>219</v>
      </c>
    </row>
    <row r="92" spans="1:6" x14ac:dyDescent="0.25">
      <c r="A92" s="82" t="s">
        <v>240</v>
      </c>
      <c r="B92" s="82" t="s">
        <v>241</v>
      </c>
      <c r="C92" s="82" t="s">
        <v>399</v>
      </c>
    </row>
    <row r="93" spans="1:6" x14ac:dyDescent="0.25">
      <c r="A93" s="82" t="s">
        <v>326</v>
      </c>
      <c r="B93" s="82" t="s">
        <v>219</v>
      </c>
      <c r="C93" s="82" t="s">
        <v>219</v>
      </c>
    </row>
    <row r="94" spans="1:6" x14ac:dyDescent="0.25">
      <c r="A94" s="82" t="s">
        <v>327</v>
      </c>
      <c r="B94" s="82" t="s">
        <v>219</v>
      </c>
      <c r="C94" s="82" t="s">
        <v>219</v>
      </c>
    </row>
    <row r="95" spans="1:6" x14ac:dyDescent="0.25">
      <c r="A95" s="82" t="s">
        <v>242</v>
      </c>
      <c r="B95" s="82" t="s">
        <v>219</v>
      </c>
      <c r="C95" s="82" t="s">
        <v>219</v>
      </c>
    </row>
    <row r="96" spans="1:6" x14ac:dyDescent="0.25">
      <c r="A96" s="82" t="s">
        <v>243</v>
      </c>
      <c r="B96" s="82" t="s">
        <v>219</v>
      </c>
      <c r="C96" s="82" t="s">
        <v>219</v>
      </c>
    </row>
    <row r="97" spans="1:3" x14ac:dyDescent="0.25">
      <c r="A97" s="82" t="s">
        <v>244</v>
      </c>
      <c r="B97" s="82" t="s">
        <v>518</v>
      </c>
      <c r="C97" s="88" t="s">
        <v>519</v>
      </c>
    </row>
    <row r="98" spans="1:3" x14ac:dyDescent="0.25">
      <c r="A98" s="82" t="s">
        <v>328</v>
      </c>
      <c r="B98" s="82" t="s">
        <v>219</v>
      </c>
      <c r="C98" s="82" t="s">
        <v>219</v>
      </c>
    </row>
    <row r="99" spans="1:3" x14ac:dyDescent="0.25">
      <c r="A99" s="82" t="s">
        <v>245</v>
      </c>
      <c r="B99" s="82" t="s">
        <v>219</v>
      </c>
      <c r="C99" s="82" t="s">
        <v>219</v>
      </c>
    </row>
    <row r="100" spans="1:3" x14ac:dyDescent="0.25">
      <c r="A100" s="82" t="s">
        <v>246</v>
      </c>
      <c r="B100" s="82">
        <v>6.0000000000000001E-3</v>
      </c>
      <c r="C100" s="88">
        <v>6</v>
      </c>
    </row>
    <row r="101" spans="1:3" x14ac:dyDescent="0.25">
      <c r="A101" s="82" t="s">
        <v>247</v>
      </c>
      <c r="B101" s="82">
        <v>0.05</v>
      </c>
      <c r="C101" s="88">
        <v>50</v>
      </c>
    </row>
    <row r="102" spans="1:3" x14ac:dyDescent="0.25">
      <c r="A102" s="82" t="s">
        <v>329</v>
      </c>
      <c r="B102" s="82" t="s">
        <v>219</v>
      </c>
      <c r="C102" s="82" t="s">
        <v>219</v>
      </c>
    </row>
    <row r="103" spans="1:3" x14ac:dyDescent="0.25">
      <c r="A103" s="82" t="s">
        <v>330</v>
      </c>
      <c r="B103" s="82" t="s">
        <v>219</v>
      </c>
      <c r="C103" s="82" t="s">
        <v>219</v>
      </c>
    </row>
    <row r="104" spans="1:3" x14ac:dyDescent="0.25">
      <c r="A104" s="82" t="s">
        <v>248</v>
      </c>
      <c r="B104" s="82" t="s">
        <v>219</v>
      </c>
      <c r="C104" s="82" t="s">
        <v>219</v>
      </c>
    </row>
    <row r="105" spans="1:3" x14ac:dyDescent="0.25">
      <c r="A105" s="82" t="s">
        <v>331</v>
      </c>
      <c r="B105" s="82">
        <v>7</v>
      </c>
      <c r="C105" s="88">
        <v>7000</v>
      </c>
    </row>
    <row r="106" spans="1:3" x14ac:dyDescent="0.25">
      <c r="A106" s="82" t="s">
        <v>332</v>
      </c>
      <c r="B106" s="82" t="s">
        <v>219</v>
      </c>
      <c r="C106" s="82" t="s">
        <v>219</v>
      </c>
    </row>
    <row r="107" spans="1:3" x14ac:dyDescent="0.25">
      <c r="A107" s="82" t="s">
        <v>333</v>
      </c>
      <c r="B107" s="82" t="s">
        <v>219</v>
      </c>
      <c r="C107" s="82" t="s">
        <v>219</v>
      </c>
    </row>
    <row r="108" spans="1:3" x14ac:dyDescent="0.25">
      <c r="A108" s="82" t="s">
        <v>308</v>
      </c>
      <c r="B108" s="82" t="s">
        <v>219</v>
      </c>
      <c r="C108" s="82" t="s">
        <v>219</v>
      </c>
    </row>
    <row r="109" spans="1:3" x14ac:dyDescent="0.25">
      <c r="A109" s="82" t="s">
        <v>334</v>
      </c>
      <c r="B109" s="82" t="s">
        <v>219</v>
      </c>
      <c r="C109" s="82" t="s">
        <v>219</v>
      </c>
    </row>
    <row r="110" spans="1:3" x14ac:dyDescent="0.25">
      <c r="A110" s="82" t="s">
        <v>307</v>
      </c>
      <c r="B110" s="82" t="s">
        <v>219</v>
      </c>
      <c r="C110" s="82" t="s">
        <v>219</v>
      </c>
    </row>
    <row r="111" spans="1:3" x14ac:dyDescent="0.25">
      <c r="A111" s="82" t="s">
        <v>335</v>
      </c>
      <c r="B111" s="82" t="s">
        <v>219</v>
      </c>
      <c r="C111" s="82" t="s">
        <v>219</v>
      </c>
    </row>
    <row r="112" spans="1:3" x14ac:dyDescent="0.25">
      <c r="A112" s="82" t="s">
        <v>249</v>
      </c>
      <c r="B112" s="82">
        <v>0.02</v>
      </c>
      <c r="C112" s="88">
        <v>20</v>
      </c>
    </row>
    <row r="113" spans="1:5" x14ac:dyDescent="0.25">
      <c r="A113" s="82" t="s">
        <v>250</v>
      </c>
      <c r="B113" s="82" t="s">
        <v>219</v>
      </c>
      <c r="C113" s="82" t="s">
        <v>219</v>
      </c>
    </row>
    <row r="114" spans="1:5" x14ac:dyDescent="0.25">
      <c r="A114" s="82" t="s">
        <v>336</v>
      </c>
      <c r="B114" s="82" t="s">
        <v>219</v>
      </c>
      <c r="C114" s="82" t="s">
        <v>219</v>
      </c>
    </row>
    <row r="115" spans="1:5" x14ac:dyDescent="0.25">
      <c r="A115" s="82" t="s">
        <v>337</v>
      </c>
      <c r="B115" s="82" t="s">
        <v>219</v>
      </c>
      <c r="C115" s="82" t="s">
        <v>219</v>
      </c>
    </row>
    <row r="116" spans="1:5" x14ac:dyDescent="0.25">
      <c r="A116" s="82" t="s">
        <v>251</v>
      </c>
      <c r="B116" s="82" t="s">
        <v>252</v>
      </c>
      <c r="C116" s="82" t="s">
        <v>400</v>
      </c>
    </row>
    <row r="117" spans="1:5" x14ac:dyDescent="0.25">
      <c r="A117" s="82" t="s">
        <v>338</v>
      </c>
      <c r="B117" s="82" t="s">
        <v>219</v>
      </c>
      <c r="C117" s="82" t="s">
        <v>219</v>
      </c>
    </row>
    <row r="118" spans="1:5" x14ac:dyDescent="0.25">
      <c r="A118" s="82" t="s">
        <v>410</v>
      </c>
      <c r="B118" s="82" t="s">
        <v>219</v>
      </c>
      <c r="C118" s="82" t="s">
        <v>219</v>
      </c>
      <c r="E118" s="77"/>
    </row>
    <row r="120" spans="1:5" x14ac:dyDescent="0.25">
      <c r="A120" s="76" t="s">
        <v>460</v>
      </c>
    </row>
    <row r="121" spans="1:5" x14ac:dyDescent="0.25">
      <c r="A121" s="96" t="s">
        <v>459</v>
      </c>
    </row>
    <row r="122" spans="1:5" x14ac:dyDescent="0.25">
      <c r="A122" s="97">
        <v>1000</v>
      </c>
    </row>
    <row r="123" spans="1:5" x14ac:dyDescent="0.25">
      <c r="A123" s="97">
        <v>20</v>
      </c>
    </row>
  </sheetData>
  <sheetProtection algorithmName="SHA-512" hashValue="C8tQWqROugY2U2sChPnXHudvN+YkkatNVp2mBhqdTAi7oOluo1cgncf8VgSQLp8OQZkaIeWHmBRvnl1uLZEH9w==" saltValue="631BTFxZ7+R69/jUo33UDA==" spinCount="100000" sheet="1" objects="1" scenarios="1"/>
  <mergeCells count="2">
    <mergeCell ref="A33:C33"/>
    <mergeCell ref="A63:C63"/>
  </mergeCells>
  <hyperlinks>
    <hyperlink ref="C5" r:id="rId1" location=":~:text=Odor%20(Smell)%20%2D%20Phenolic%2F,Hydrogen%20Sulfide%2C%20microbiological%20contaminants%3B%20Perfume" xr:uid="{85D6901B-17D6-4676-AA90-F59BD116872C}"/>
    <hyperlink ref="C6" r:id="rId2" xr:uid="{062BB43F-795E-4A4C-96EF-76406C0D175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CD0E-B594-4A9B-BCDF-D8F7B1145EFA}">
  <dimension ref="A1:C32"/>
  <sheetViews>
    <sheetView workbookViewId="0">
      <selection activeCell="C27" sqref="C27"/>
    </sheetView>
  </sheetViews>
  <sheetFormatPr defaultRowHeight="15" x14ac:dyDescent="0.25"/>
  <cols>
    <col min="1" max="1" width="24.85546875" style="166" customWidth="1"/>
    <col min="2" max="2" width="56.7109375" style="29" customWidth="1"/>
    <col min="3" max="3" width="150.140625" customWidth="1"/>
  </cols>
  <sheetData>
    <row r="1" spans="1:3" x14ac:dyDescent="0.25">
      <c r="A1" s="164" t="s">
        <v>435</v>
      </c>
      <c r="B1" s="92" t="s">
        <v>436</v>
      </c>
      <c r="C1" s="92" t="s">
        <v>437</v>
      </c>
    </row>
    <row r="2" spans="1:3" x14ac:dyDescent="0.25">
      <c r="A2" s="165">
        <v>45307</v>
      </c>
      <c r="B2" s="79" t="s">
        <v>442</v>
      </c>
      <c r="C2" s="91" t="s">
        <v>440</v>
      </c>
    </row>
    <row r="3" spans="1:3" x14ac:dyDescent="0.25">
      <c r="A3" s="165"/>
      <c r="B3" s="79"/>
      <c r="C3" s="91" t="s">
        <v>438</v>
      </c>
    </row>
    <row r="4" spans="1:3" x14ac:dyDescent="0.25">
      <c r="A4" s="165"/>
      <c r="B4" s="79"/>
      <c r="C4" s="91" t="s">
        <v>439</v>
      </c>
    </row>
    <row r="5" spans="1:3" x14ac:dyDescent="0.25">
      <c r="A5" s="165"/>
      <c r="B5" s="79"/>
      <c r="C5" s="91" t="s">
        <v>443</v>
      </c>
    </row>
    <row r="6" spans="1:3" x14ac:dyDescent="0.25">
      <c r="A6" s="165">
        <v>45489</v>
      </c>
      <c r="B6" s="79" t="s">
        <v>445</v>
      </c>
      <c r="C6" s="91" t="s">
        <v>446</v>
      </c>
    </row>
    <row r="7" spans="1:3" x14ac:dyDescent="0.25">
      <c r="A7" s="165"/>
      <c r="B7" s="79"/>
      <c r="C7" s="91" t="s">
        <v>447</v>
      </c>
    </row>
    <row r="8" spans="1:3" x14ac:dyDescent="0.25">
      <c r="A8" s="165"/>
      <c r="B8" s="79"/>
      <c r="C8" s="91" t="s">
        <v>461</v>
      </c>
    </row>
    <row r="9" spans="1:3" x14ac:dyDescent="0.25">
      <c r="A9" s="165"/>
      <c r="B9" s="79"/>
      <c r="C9" s="91" t="s">
        <v>462</v>
      </c>
    </row>
    <row r="10" spans="1:3" x14ac:dyDescent="0.25">
      <c r="A10" s="165">
        <v>45572</v>
      </c>
      <c r="B10" s="79" t="s">
        <v>464</v>
      </c>
      <c r="C10" s="91" t="s">
        <v>465</v>
      </c>
    </row>
    <row r="11" spans="1:3" x14ac:dyDescent="0.25">
      <c r="A11" s="165"/>
      <c r="B11" s="79"/>
      <c r="C11" s="91" t="s">
        <v>466</v>
      </c>
    </row>
    <row r="12" spans="1:3" x14ac:dyDescent="0.25">
      <c r="A12" s="165"/>
      <c r="B12" s="79"/>
      <c r="C12" s="91" t="s">
        <v>467</v>
      </c>
    </row>
    <row r="13" spans="1:3" x14ac:dyDescent="0.25">
      <c r="A13" s="165">
        <v>45615</v>
      </c>
      <c r="B13" s="79" t="s">
        <v>469</v>
      </c>
      <c r="C13" s="91" t="s">
        <v>470</v>
      </c>
    </row>
    <row r="14" spans="1:3" x14ac:dyDescent="0.25">
      <c r="A14" s="165"/>
      <c r="B14" s="79"/>
      <c r="C14" s="91" t="s">
        <v>471</v>
      </c>
    </row>
    <row r="15" spans="1:3" x14ac:dyDescent="0.25">
      <c r="A15" s="165"/>
      <c r="B15" s="79"/>
      <c r="C15" s="91" t="s">
        <v>472</v>
      </c>
    </row>
    <row r="16" spans="1:3" x14ac:dyDescent="0.25">
      <c r="A16" s="165"/>
      <c r="B16" s="79"/>
      <c r="C16" s="91" t="s">
        <v>509</v>
      </c>
    </row>
    <row r="17" spans="1:3" x14ac:dyDescent="0.25">
      <c r="A17" s="165"/>
      <c r="B17" s="79"/>
      <c r="C17" s="91" t="s">
        <v>508</v>
      </c>
    </row>
    <row r="18" spans="1:3" x14ac:dyDescent="0.25">
      <c r="A18" s="165">
        <v>45922</v>
      </c>
      <c r="B18" s="79" t="s">
        <v>469</v>
      </c>
      <c r="C18" s="91" t="s">
        <v>510</v>
      </c>
    </row>
    <row r="19" spans="1:3" x14ac:dyDescent="0.25">
      <c r="A19" s="165">
        <v>45922</v>
      </c>
      <c r="B19" s="79" t="s">
        <v>469</v>
      </c>
      <c r="C19" s="91" t="s">
        <v>520</v>
      </c>
    </row>
    <row r="20" spans="1:3" x14ac:dyDescent="0.25">
      <c r="A20" s="165">
        <v>45922</v>
      </c>
      <c r="B20" s="79" t="s">
        <v>521</v>
      </c>
      <c r="C20" s="91" t="s">
        <v>522</v>
      </c>
    </row>
    <row r="21" spans="1:3" x14ac:dyDescent="0.25">
      <c r="A21" s="165"/>
      <c r="B21" s="79"/>
      <c r="C21" s="91"/>
    </row>
    <row r="22" spans="1:3" x14ac:dyDescent="0.25">
      <c r="A22" s="165"/>
      <c r="B22" s="79"/>
      <c r="C22" s="91"/>
    </row>
    <row r="23" spans="1:3" x14ac:dyDescent="0.25">
      <c r="A23" s="165"/>
      <c r="B23" s="79"/>
      <c r="C23" s="91"/>
    </row>
    <row r="24" spans="1:3" x14ac:dyDescent="0.25">
      <c r="A24" s="165"/>
      <c r="B24" s="79"/>
      <c r="C24" s="91"/>
    </row>
    <row r="25" spans="1:3" x14ac:dyDescent="0.25">
      <c r="A25" s="165"/>
      <c r="B25" s="79"/>
      <c r="C25" s="91"/>
    </row>
    <row r="26" spans="1:3" x14ac:dyDescent="0.25">
      <c r="A26" s="165"/>
      <c r="B26" s="79"/>
      <c r="C26" s="91"/>
    </row>
    <row r="27" spans="1:3" x14ac:dyDescent="0.25">
      <c r="A27" s="165"/>
      <c r="B27" s="79"/>
      <c r="C27" s="91"/>
    </row>
    <row r="28" spans="1:3" x14ac:dyDescent="0.25">
      <c r="A28" s="165"/>
      <c r="B28" s="79"/>
      <c r="C28" s="91"/>
    </row>
    <row r="29" spans="1:3" x14ac:dyDescent="0.25">
      <c r="A29" s="165"/>
      <c r="B29" s="79"/>
      <c r="C29" s="91"/>
    </row>
    <row r="30" spans="1:3" x14ac:dyDescent="0.25">
      <c r="A30" s="165"/>
      <c r="B30" s="79"/>
      <c r="C30" s="91"/>
    </row>
    <row r="31" spans="1:3" x14ac:dyDescent="0.25">
      <c r="A31" s="165"/>
      <c r="B31" s="79"/>
      <c r="C31" s="91"/>
    </row>
    <row r="32" spans="1:3" x14ac:dyDescent="0.25">
      <c r="A32" s="165"/>
      <c r="B32" s="79"/>
      <c r="C32" s="91"/>
    </row>
  </sheetData>
  <sheetProtection algorithmName="SHA-512" hashValue="ivjLasRvIVyD0dRrMRr3NcoxsUMYdLj27zBPD8pknDlHeRExSMfK4KcEQTe9Vptk/09K+hGyQZtQtKOZuKgN1w==" saltValue="wj7iaVihXgPG30NtSaqlEg==" spinCount="100000" sheet="1" objects="1" scenarios="1" formatCell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a7e801-43e4-4b22-a41e-ba69c3e95488" xsi:nil="true"/>
    <lcf76f155ced4ddcb4097134ff3c332f xmlns="fbae9897-e45d-4f8a-ae0a-a257fb1cafb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85B7E0732A243BB349903B336AEC9" ma:contentTypeVersion="19" ma:contentTypeDescription="Create a new document." ma:contentTypeScope="" ma:versionID="bbcb12c9e888cc972ba72ba9ac4717fd">
  <xsd:schema xmlns:xsd="http://www.w3.org/2001/XMLSchema" xmlns:xs="http://www.w3.org/2001/XMLSchema" xmlns:p="http://schemas.microsoft.com/office/2006/metadata/properties" xmlns:ns2="fbae9897-e45d-4f8a-ae0a-a257fb1cafb0" xmlns:ns3="42a7e801-43e4-4b22-a41e-ba69c3e95488" targetNamespace="http://schemas.microsoft.com/office/2006/metadata/properties" ma:root="true" ma:fieldsID="1c513e34afd1617fc9f73beca44208a5" ns2:_="" ns3:_="">
    <xsd:import namespace="fbae9897-e45d-4f8a-ae0a-a257fb1cafb0"/>
    <xsd:import namespace="42a7e801-43e4-4b22-a41e-ba69c3e954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9897-e45d-4f8a-ae0a-a257fb1caf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ea17b95-a0f7-4c1e-abd1-3200a77ac4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7e801-43e4-4b22-a41e-ba69c3e954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d92c3e-0add-4f6b-85a6-38cf39ccfaec}" ma:internalName="TaxCatchAll" ma:showField="CatchAllData" ma:web="42a7e801-43e4-4b22-a41e-ba69c3e954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E1472-D93E-4203-B3D9-B58ED4C24F5B}">
  <ds:schemaRefs>
    <ds:schemaRef ds:uri="http://schemas.microsoft.com/office/2006/metadata/properties"/>
    <ds:schemaRef ds:uri="http://schemas.microsoft.com/office/infopath/2007/PartnerControls"/>
    <ds:schemaRef ds:uri="42a7e801-43e4-4b22-a41e-ba69c3e95488"/>
    <ds:schemaRef ds:uri="fbae9897-e45d-4f8a-ae0a-a257fb1cafb0"/>
  </ds:schemaRefs>
</ds:datastoreItem>
</file>

<file path=customXml/itemProps2.xml><?xml version="1.0" encoding="utf-8"?>
<ds:datastoreItem xmlns:ds="http://schemas.openxmlformats.org/officeDocument/2006/customXml" ds:itemID="{712E0F8A-43EC-4AAF-A278-28783FBBF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ae9897-e45d-4f8a-ae0a-a257fb1cafb0"/>
    <ds:schemaRef ds:uri="42a7e801-43e4-4b22-a41e-ba69c3e954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349205-6D66-4BC2-954C-442721AD50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ICPOES RESULTS</vt:lpstr>
      <vt:lpstr>ICPMS RESULTS</vt:lpstr>
      <vt:lpstr>ICPQQQ RESULTS</vt:lpstr>
      <vt:lpstr>IC RESULTS</vt:lpstr>
      <vt:lpstr>PHYSICAL RESULTS</vt:lpstr>
      <vt:lpstr>BIOLOGICAL RESULTS</vt:lpstr>
      <vt:lpstr>REPORT DATA (NO Hg)</vt:lpstr>
      <vt:lpstr>REPORT DATA</vt:lpstr>
      <vt:lpstr>REPORT DATA ICPOES ONLY</vt:lpstr>
      <vt:lpstr>REPORT DATA ICPMS ONLY</vt:lpstr>
      <vt:lpstr>REPORT DATA ICPQQQ ONLY</vt:lpstr>
      <vt:lpstr>INSTRUCTIONS</vt:lpstr>
      <vt:lpstr>CODES</vt:lpstr>
      <vt:lpstr>TRACKED CHANGES</vt:lpstr>
    </vt:vector>
  </TitlesOfParts>
  <Manager/>
  <Company>UNBC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2015-10-27T17:16:05Z</dcterms:created>
  <dcterms:modified xsi:type="dcterms:W3CDTF">2026-01-28T17:40:12Z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0x01010075485B7E0732A243BB349903B336AEC9</vt:lpwstr>
  </property>
  <property fmtid="{D5CDD505-2E9C-101B-9397-08002B2CF9AE}" pid="3" name="MediaServiceImageTags">
    <vt:lpwstr/>
  </property>
</Properties>
</file>